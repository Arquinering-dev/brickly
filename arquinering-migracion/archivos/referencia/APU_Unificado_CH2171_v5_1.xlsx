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referencia\"/>
    </mc:Choice>
  </mc:AlternateContent>
  <xr:revisionPtr revIDLastSave="0" documentId="13_ncr:1_{1E92BF4D-BA1D-47B9-9273-9A2F09406981}" xr6:coauthVersionLast="47" xr6:coauthVersionMax="47" xr10:uidLastSave="{00000000-0000-0000-0000-000000000000}"/>
  <bookViews>
    <workbookView xWindow="-110" yWindow="-110" windowWidth="19420" windowHeight="11500" tabRatio="500" firstSheet="5" activeTab="5" xr2:uid="{00000000-000D-0000-FFFF-FFFF00000000}"/>
  </bookViews>
  <sheets>
    <sheet name="CONFIG" sheetId="1" r:id="rId1"/>
    <sheet name="MATERIALES" sheetId="2" r:id="rId2"/>
    <sheet name="EQUIPOS" sheetId="4" r:id="rId3"/>
    <sheet name="SUBCONTRATOS_PRY" sheetId="5" r:id="rId4"/>
    <sheet name="MANO_DE_OBRA" sheetId="3" r:id="rId5"/>
    <sheet name="COMPOSICIÓN" sheetId="7" r:id="rId6"/>
    <sheet name="PARTIDAS" sheetId="6" r:id="rId7"/>
    <sheet name="PPTO_GENERADOR" sheetId="8" r:id="rId8"/>
    <sheet name="Sheet1" sheetId="9" r:id="rId9"/>
  </sheets>
  <externalReferences>
    <externalReference r:id="rId10"/>
  </externalReferences>
  <definedNames>
    <definedName name="_xlnm._FilterDatabase" localSheetId="5" hidden="1">COMPOSICIÓN!$A$1:$R$1865</definedName>
    <definedName name="_xlnm._FilterDatabase" localSheetId="2" hidden="1">EQUIPOS!$A$1:$G$104</definedName>
    <definedName name="_xlnm._FilterDatabase" localSheetId="4" hidden="1">MANO_DE_OBRA!$A$1:$G$11</definedName>
    <definedName name="_xlnm._FilterDatabase" localSheetId="1" hidden="1">MATERIALES!$A$1:$D$276</definedName>
    <definedName name="_xlnm._FilterDatabase" localSheetId="6" hidden="1">PARTIDAS!$A$1:$V$277</definedName>
    <definedName name="_xlnm._FilterDatabase" localSheetId="7" hidden="1">PPTO_GENERADOR!$A$3:$W$237</definedName>
    <definedName name="_xlnm._FilterDatabase" localSheetId="3" hidden="1">SUBCONTRATOS_PRY!$A$1:$F$95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65" i="7" l="1"/>
  <c r="O1864" i="7"/>
  <c r="O1863" i="7"/>
  <c r="O1862" i="7"/>
  <c r="O1861" i="7"/>
  <c r="O1860" i="7"/>
  <c r="O1859" i="7"/>
  <c r="O1858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91" i="7"/>
  <c r="O1790" i="7"/>
  <c r="O1789" i="7"/>
  <c r="O1788" i="7"/>
  <c r="O1787" i="7"/>
  <c r="O1786" i="7"/>
  <c r="O1785" i="7"/>
  <c r="O1784" i="7"/>
  <c r="O1783" i="7"/>
  <c r="O1782" i="7"/>
  <c r="O1781" i="7"/>
  <c r="O1780" i="7"/>
  <c r="O1779" i="7"/>
  <c r="O1778" i="7"/>
  <c r="O1777" i="7"/>
  <c r="O1776" i="7"/>
  <c r="O1775" i="7"/>
  <c r="O1774" i="7"/>
  <c r="O1773" i="7"/>
  <c r="O1772" i="7"/>
  <c r="O1771" i="7"/>
  <c r="O1770" i="7"/>
  <c r="O1769" i="7"/>
  <c r="O1768" i="7"/>
  <c r="O1767" i="7"/>
  <c r="O1766" i="7"/>
  <c r="O1765" i="7"/>
  <c r="O1764" i="7"/>
  <c r="O1763" i="7"/>
  <c r="O1762" i="7"/>
  <c r="O1761" i="7"/>
  <c r="O1760" i="7"/>
  <c r="O1759" i="7"/>
  <c r="O1758" i="7"/>
  <c r="O1757" i="7"/>
  <c r="O1756" i="7"/>
  <c r="O1755" i="7"/>
  <c r="O1754" i="7"/>
  <c r="O1753" i="7"/>
  <c r="O1752" i="7"/>
  <c r="O1751" i="7"/>
  <c r="O1750" i="7"/>
  <c r="O1749" i="7"/>
  <c r="O1748" i="7"/>
  <c r="O1747" i="7"/>
  <c r="O1746" i="7"/>
  <c r="O1745" i="7"/>
  <c r="O1744" i="7"/>
  <c r="O1743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O1730" i="7"/>
  <c r="O1729" i="7"/>
  <c r="O1728" i="7"/>
  <c r="O1727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O1713" i="7"/>
  <c r="O1712" i="7"/>
  <c r="O1711" i="7"/>
  <c r="O1710" i="7"/>
  <c r="O1709" i="7"/>
  <c r="O1708" i="7"/>
  <c r="O1707" i="7"/>
  <c r="O1706" i="7"/>
  <c r="O1705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3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8" i="7"/>
  <c r="O1527" i="7"/>
  <c r="O1526" i="7"/>
  <c r="O1524" i="7"/>
  <c r="O1523" i="7"/>
  <c r="O1521" i="7"/>
  <c r="O1520" i="7"/>
  <c r="O1517" i="7"/>
  <c r="O1516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498" i="7"/>
  <c r="O1497" i="7"/>
  <c r="O1496" i="7"/>
  <c r="O1495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464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6" i="7"/>
  <c r="O1425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88" i="7"/>
  <c r="O1287" i="7"/>
  <c r="O1286" i="7"/>
  <c r="O1285" i="7"/>
  <c r="O1282" i="7"/>
  <c r="O1281" i="7"/>
  <c r="O1280" i="7"/>
  <c r="O1279" i="7"/>
  <c r="O1276" i="7"/>
  <c r="O1275" i="7"/>
  <c r="O1274" i="7"/>
  <c r="O1273" i="7"/>
  <c r="O1272" i="7"/>
  <c r="O1271" i="7"/>
  <c r="O1270" i="7"/>
  <c r="O1269" i="7"/>
  <c r="O1267" i="7"/>
  <c r="O1266" i="7"/>
  <c r="O1265" i="7"/>
  <c r="O1264" i="7"/>
  <c r="O1263" i="7"/>
  <c r="O1262" i="7"/>
  <c r="O1261" i="7"/>
  <c r="O1260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4" i="7"/>
  <c r="O1123" i="7"/>
  <c r="O1122" i="7"/>
  <c r="O1121" i="7"/>
  <c r="O1120" i="7"/>
  <c r="O1117" i="7"/>
  <c r="O1116" i="7"/>
  <c r="O1115" i="7"/>
  <c r="O1114" i="7"/>
  <c r="O1113" i="7"/>
  <c r="O1110" i="7"/>
  <c r="O1109" i="7"/>
  <c r="O1108" i="7"/>
  <c r="O1107" i="7"/>
  <c r="O1106" i="7"/>
  <c r="O1103" i="7"/>
  <c r="O1102" i="7"/>
  <c r="O1101" i="7"/>
  <c r="O1100" i="7"/>
  <c r="O1099" i="7"/>
  <c r="O1096" i="7"/>
  <c r="O1095" i="7"/>
  <c r="O1094" i="7"/>
  <c r="O1093" i="7"/>
  <c r="O1092" i="7"/>
  <c r="O1089" i="7"/>
  <c r="O1088" i="7"/>
  <c r="O1087" i="7"/>
  <c r="O1086" i="7"/>
  <c r="O1085" i="7"/>
  <c r="O1082" i="7"/>
  <c r="O1081" i="7"/>
  <c r="O1080" i="7"/>
  <c r="O1077" i="7"/>
  <c r="O1076" i="7"/>
  <c r="O1075" i="7"/>
  <c r="O1074" i="7"/>
  <c r="O1073" i="7"/>
  <c r="O1072" i="7"/>
  <c r="O1069" i="7"/>
  <c r="O1068" i="7"/>
  <c r="O1067" i="7"/>
  <c r="O1064" i="7"/>
  <c r="O1063" i="7"/>
  <c r="O1062" i="7"/>
  <c r="O1061" i="7"/>
  <c r="O1060" i="7"/>
  <c r="O1057" i="7"/>
  <c r="O1056" i="7"/>
  <c r="O1055" i="7"/>
  <c r="O1054" i="7"/>
  <c r="O1053" i="7"/>
  <c r="O1050" i="7"/>
  <c r="O1049" i="7"/>
  <c r="O1048" i="7"/>
  <c r="O1047" i="7"/>
  <c r="O1046" i="7"/>
  <c r="O1043" i="7"/>
  <c r="O1042" i="7"/>
  <c r="O1041" i="7"/>
  <c r="O1040" i="7"/>
  <c r="O1039" i="7"/>
  <c r="O1038" i="7"/>
  <c r="O1037" i="7"/>
  <c r="O1036" i="7"/>
  <c r="O1033" i="7"/>
  <c r="O1030" i="7"/>
  <c r="O1029" i="7"/>
  <c r="O1026" i="7"/>
  <c r="O1025" i="7"/>
  <c r="O1024" i="7"/>
  <c r="O1023" i="7"/>
  <c r="O1022" i="7"/>
  <c r="O1019" i="7"/>
  <c r="O1018" i="7"/>
  <c r="O1017" i="7"/>
  <c r="O1016" i="7"/>
  <c r="O1013" i="7"/>
  <c r="O1012" i="7"/>
  <c r="O1011" i="7"/>
  <c r="O1008" i="7"/>
  <c r="O1007" i="7"/>
  <c r="O1006" i="7"/>
  <c r="O1005" i="7"/>
  <c r="O1002" i="7"/>
  <c r="O1001" i="7"/>
  <c r="O1000" i="7"/>
  <c r="O999" i="7"/>
  <c r="O996" i="7"/>
  <c r="O995" i="7"/>
  <c r="O994" i="7"/>
  <c r="O993" i="7"/>
  <c r="O990" i="7"/>
  <c r="O989" i="7"/>
  <c r="O988" i="7"/>
  <c r="O987" i="7"/>
  <c r="O984" i="7"/>
  <c r="O983" i="7"/>
  <c r="O982" i="7"/>
  <c r="O981" i="7"/>
  <c r="O980" i="7"/>
  <c r="O979" i="7"/>
  <c r="O976" i="7"/>
  <c r="O975" i="7"/>
  <c r="O974" i="7"/>
  <c r="O973" i="7"/>
  <c r="O972" i="7"/>
  <c r="O968" i="7"/>
  <c r="O967" i="7"/>
  <c r="O966" i="7"/>
  <c r="O965" i="7"/>
  <c r="O964" i="7"/>
  <c r="O963" i="7"/>
  <c r="O962" i="7"/>
  <c r="O961" i="7"/>
  <c r="O958" i="7"/>
  <c r="O957" i="7"/>
  <c r="O956" i="7"/>
  <c r="O955" i="7"/>
  <c r="O954" i="7"/>
  <c r="O953" i="7"/>
  <c r="O952" i="7"/>
  <c r="O949" i="7"/>
  <c r="O948" i="7"/>
  <c r="O947" i="7"/>
  <c r="O946" i="7"/>
  <c r="O945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0" i="7"/>
  <c r="O929" i="7"/>
  <c r="O928" i="7"/>
  <c r="O927" i="7"/>
  <c r="O926" i="7"/>
  <c r="O925" i="7"/>
  <c r="O924" i="7"/>
  <c r="O923" i="7"/>
  <c r="O920" i="7"/>
  <c r="O919" i="7"/>
  <c r="O918" i="7"/>
  <c r="O917" i="7"/>
  <c r="O916" i="7"/>
  <c r="O915" i="7"/>
  <c r="O914" i="7"/>
  <c r="O911" i="7"/>
  <c r="O910" i="7"/>
  <c r="O909" i="7"/>
  <c r="O908" i="7"/>
  <c r="O907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0" i="7"/>
  <c r="O889" i="7"/>
  <c r="O888" i="7"/>
  <c r="O887" i="7"/>
  <c r="O886" i="7"/>
  <c r="O885" i="7"/>
  <c r="O884" i="7"/>
  <c r="O883" i="7"/>
  <c r="O882" i="7"/>
  <c r="O879" i="7"/>
  <c r="O878" i="7"/>
  <c r="O877" i="7"/>
  <c r="O876" i="7"/>
  <c r="O875" i="7"/>
  <c r="O874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3" i="7"/>
  <c r="O852" i="7"/>
  <c r="O851" i="7"/>
  <c r="O850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1" i="7"/>
  <c r="O830" i="7"/>
  <c r="O829" i="7"/>
  <c r="O828" i="7"/>
  <c r="O827" i="7"/>
  <c r="O826" i="7"/>
  <c r="O825" i="7"/>
  <c r="O824" i="7"/>
  <c r="O823" i="7"/>
  <c r="O820" i="7"/>
  <c r="O819" i="7"/>
  <c r="O818" i="7"/>
  <c r="O817" i="7"/>
  <c r="O816" i="7"/>
  <c r="O815" i="7"/>
  <c r="O814" i="7"/>
  <c r="O813" i="7"/>
  <c r="O812" i="7"/>
  <c r="O809" i="7"/>
  <c r="O808" i="7"/>
  <c r="O807" i="7"/>
  <c r="O806" i="7"/>
  <c r="O805" i="7"/>
  <c r="O804" i="7"/>
  <c r="O803" i="7"/>
  <c r="O802" i="7"/>
  <c r="O801" i="7"/>
  <c r="O798" i="7"/>
  <c r="O797" i="7"/>
  <c r="O796" i="7"/>
  <c r="O795" i="7"/>
  <c r="O794" i="7"/>
  <c r="O793" i="7"/>
  <c r="O792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2" i="7"/>
  <c r="O731" i="7"/>
  <c r="O730" i="7"/>
  <c r="O729" i="7"/>
  <c r="O728" i="7"/>
  <c r="O727" i="7"/>
  <c r="O726" i="7"/>
  <c r="O722" i="7"/>
  <c r="O721" i="7"/>
  <c r="O720" i="7"/>
  <c r="O718" i="7"/>
  <c r="O716" i="7"/>
  <c r="O715" i="7"/>
  <c r="O714" i="7"/>
  <c r="O712" i="7"/>
  <c r="O711" i="7"/>
  <c r="O710" i="7"/>
  <c r="O709" i="7"/>
  <c r="O708" i="7"/>
  <c r="O705" i="7"/>
  <c r="O704" i="7"/>
  <c r="O703" i="7"/>
  <c r="O702" i="7"/>
  <c r="O701" i="7"/>
  <c r="O700" i="7"/>
  <c r="O699" i="7"/>
  <c r="O698" i="7"/>
  <c r="O697" i="7"/>
  <c r="O695" i="7"/>
  <c r="O694" i="7"/>
  <c r="O693" i="7"/>
  <c r="O692" i="7"/>
  <c r="O689" i="7"/>
  <c r="O688" i="7"/>
  <c r="O687" i="7"/>
  <c r="O686" i="7"/>
  <c r="O685" i="7"/>
  <c r="O684" i="7"/>
  <c r="O683" i="7"/>
  <c r="O682" i="7"/>
  <c r="O681" i="7"/>
  <c r="O680" i="7"/>
  <c r="O679" i="7"/>
  <c r="O677" i="7"/>
  <c r="O676" i="7"/>
  <c r="O675" i="7"/>
  <c r="O674" i="7"/>
  <c r="O670" i="7"/>
  <c r="O669" i="7"/>
  <c r="O668" i="7"/>
  <c r="O667" i="7"/>
  <c r="O666" i="7"/>
  <c r="O665" i="7"/>
  <c r="O664" i="7"/>
  <c r="O663" i="7"/>
  <c r="O662" i="7"/>
  <c r="O658" i="7"/>
  <c r="O657" i="7"/>
  <c r="O656" i="7"/>
  <c r="O655" i="7"/>
  <c r="O654" i="7"/>
  <c r="O653" i="7"/>
  <c r="O652" i="7"/>
  <c r="O651" i="7"/>
  <c r="O650" i="7"/>
  <c r="O649" i="7"/>
  <c r="O648" i="7"/>
  <c r="O646" i="7"/>
  <c r="O642" i="7"/>
  <c r="O641" i="7"/>
  <c r="O640" i="7"/>
  <c r="O639" i="7"/>
  <c r="O638" i="7"/>
  <c r="O634" i="7"/>
  <c r="O633" i="7"/>
  <c r="O632" i="7"/>
  <c r="O631" i="7"/>
  <c r="O630" i="7"/>
  <c r="O626" i="7"/>
  <c r="O625" i="7"/>
  <c r="O624" i="7"/>
  <c r="O623" i="7"/>
  <c r="O622" i="7"/>
  <c r="O618" i="7"/>
  <c r="O617" i="7"/>
  <c r="O616" i="7"/>
  <c r="O615" i="7"/>
  <c r="O614" i="7"/>
  <c r="O611" i="7"/>
  <c r="O610" i="7"/>
  <c r="O606" i="7"/>
  <c r="O605" i="7"/>
  <c r="O601" i="7"/>
  <c r="O600" i="7"/>
  <c r="O597" i="7"/>
  <c r="O596" i="7"/>
  <c r="O592" i="7"/>
  <c r="O591" i="7"/>
  <c r="O587" i="7"/>
  <c r="O586" i="7"/>
  <c r="O582" i="7"/>
  <c r="O581" i="7"/>
  <c r="O577" i="7"/>
  <c r="O576" i="7"/>
  <c r="O573" i="7"/>
  <c r="O572" i="7"/>
  <c r="O571" i="7"/>
  <c r="O570" i="7"/>
  <c r="O569" i="7"/>
  <c r="O568" i="7"/>
  <c r="O567" i="7"/>
  <c r="O566" i="7"/>
  <c r="O565" i="7"/>
  <c r="O563" i="7"/>
  <c r="O562" i="7"/>
  <c r="O561" i="7"/>
  <c r="O560" i="7"/>
  <c r="O559" i="7"/>
  <c r="O558" i="7"/>
  <c r="O557" i="7"/>
  <c r="O556" i="7"/>
  <c r="O555" i="7"/>
  <c r="O551" i="7"/>
  <c r="O550" i="7"/>
  <c r="O549" i="7"/>
  <c r="O548" i="7"/>
  <c r="O547" i="7"/>
  <c r="O544" i="7"/>
  <c r="O543" i="7"/>
  <c r="O542" i="7"/>
  <c r="O541" i="7"/>
  <c r="O540" i="7"/>
  <c r="O537" i="7"/>
  <c r="O536" i="7"/>
  <c r="O535" i="7"/>
  <c r="O534" i="7"/>
  <c r="O533" i="7"/>
  <c r="O532" i="7"/>
  <c r="O531" i="7"/>
  <c r="O530" i="7"/>
  <c r="O527" i="7"/>
  <c r="O526" i="7"/>
  <c r="O525" i="7"/>
  <c r="O524" i="7"/>
  <c r="O523" i="7"/>
  <c r="O522" i="7"/>
  <c r="O521" i="7"/>
  <c r="O520" i="7"/>
  <c r="O517" i="7"/>
  <c r="O516" i="7"/>
  <c r="O515" i="7"/>
  <c r="O514" i="7"/>
  <c r="O513" i="7"/>
  <c r="O512" i="7"/>
  <c r="O511" i="7"/>
  <c r="O510" i="7"/>
  <c r="O509" i="7"/>
  <c r="O508" i="7"/>
  <c r="O507" i="7"/>
  <c r="O504" i="7"/>
  <c r="O503" i="7"/>
  <c r="O502" i="7"/>
  <c r="O501" i="7"/>
  <c r="O500" i="7"/>
  <c r="O499" i="7"/>
  <c r="O498" i="7"/>
  <c r="O497" i="7"/>
  <c r="O496" i="7"/>
  <c r="O495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78" i="7"/>
  <c r="O477" i="7"/>
  <c r="O476" i="7"/>
  <c r="O475" i="7"/>
  <c r="O474" i="7"/>
  <c r="O473" i="7"/>
  <c r="O472" i="7"/>
  <c r="O471" i="7"/>
  <c r="O470" i="7"/>
  <c r="O469" i="7"/>
  <c r="O468" i="7"/>
  <c r="O465" i="7"/>
  <c r="O464" i="7"/>
  <c r="O463" i="7"/>
  <c r="O462" i="7"/>
  <c r="O461" i="7"/>
  <c r="O460" i="7"/>
  <c r="O459" i="7"/>
  <c r="O456" i="7"/>
  <c r="O455" i="7"/>
  <c r="O454" i="7"/>
  <c r="O453" i="7"/>
  <c r="O452" i="7"/>
  <c r="O451" i="7"/>
  <c r="O448" i="7"/>
  <c r="O447" i="7"/>
  <c r="O446" i="7"/>
  <c r="O445" i="7"/>
  <c r="O444" i="7"/>
  <c r="O443" i="7"/>
  <c r="O442" i="7"/>
  <c r="O441" i="7"/>
  <c r="O440" i="7"/>
  <c r="O439" i="7"/>
  <c r="O436" i="7"/>
  <c r="O435" i="7"/>
  <c r="O434" i="7"/>
  <c r="O433" i="7"/>
  <c r="O432" i="7"/>
  <c r="O431" i="7"/>
  <c r="O430" i="7"/>
  <c r="O429" i="7"/>
  <c r="O428" i="7"/>
  <c r="O425" i="7"/>
  <c r="O424" i="7"/>
  <c r="O423" i="7"/>
  <c r="O422" i="7"/>
  <c r="O421" i="7"/>
  <c r="O420" i="7"/>
  <c r="O419" i="7"/>
  <c r="O418" i="7"/>
  <c r="O417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0" i="7"/>
  <c r="O399" i="7"/>
  <c r="O398" i="7"/>
  <c r="O397" i="7"/>
  <c r="O396" i="7"/>
  <c r="O393" i="7"/>
  <c r="O392" i="7"/>
  <c r="O391" i="7"/>
  <c r="O390" i="7"/>
  <c r="O389" i="7"/>
  <c r="O386" i="7"/>
  <c r="O385" i="7"/>
  <c r="O384" i="7"/>
  <c r="O383" i="7"/>
  <c r="O382" i="7"/>
  <c r="O378" i="7"/>
  <c r="O377" i="7"/>
  <c r="O376" i="7"/>
  <c r="O375" i="7"/>
  <c r="O374" i="7"/>
  <c r="O373" i="7"/>
  <c r="O372" i="7"/>
  <c r="O371" i="7"/>
  <c r="O370" i="7"/>
  <c r="O369" i="7"/>
  <c r="O367" i="7"/>
  <c r="O366" i="7"/>
  <c r="O365" i="7"/>
  <c r="O364" i="7"/>
  <c r="O363" i="7"/>
  <c r="O362" i="7"/>
  <c r="O361" i="7"/>
  <c r="O360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5" i="7"/>
  <c r="O344" i="7"/>
  <c r="O343" i="7"/>
  <c r="O342" i="7"/>
  <c r="O341" i="7"/>
  <c r="O340" i="7"/>
  <c r="O339" i="7"/>
  <c r="O336" i="7"/>
  <c r="O335" i="7"/>
  <c r="O334" i="7"/>
  <c r="O333" i="7"/>
  <c r="O332" i="7"/>
  <c r="O331" i="7"/>
  <c r="O330" i="7"/>
  <c r="O329" i="7"/>
  <c r="O328" i="7"/>
  <c r="O327" i="7"/>
  <c r="O324" i="7"/>
  <c r="O323" i="7"/>
  <c r="O322" i="7"/>
  <c r="O321" i="7"/>
  <c r="O320" i="7"/>
  <c r="O319" i="7"/>
  <c r="O318" i="7"/>
  <c r="O317" i="7"/>
  <c r="O316" i="7"/>
  <c r="O313" i="7"/>
  <c r="O312" i="7"/>
  <c r="O311" i="7"/>
  <c r="O310" i="7"/>
  <c r="O307" i="7"/>
  <c r="O306" i="7"/>
  <c r="O305" i="7"/>
  <c r="O304" i="7"/>
  <c r="O303" i="7"/>
  <c r="O300" i="7"/>
  <c r="O299" i="7"/>
  <c r="O298" i="7"/>
  <c r="O297" i="7"/>
  <c r="O296" i="7"/>
  <c r="O295" i="7"/>
  <c r="O292" i="7"/>
  <c r="O291" i="7"/>
  <c r="O290" i="7"/>
  <c r="O289" i="7"/>
  <c r="O286" i="7"/>
  <c r="O285" i="7"/>
  <c r="O284" i="7"/>
  <c r="O283" i="7"/>
  <c r="O282" i="7"/>
  <c r="O281" i="7"/>
  <c r="O278" i="7"/>
  <c r="O277" i="7"/>
  <c r="O276" i="7"/>
  <c r="O275" i="7"/>
  <c r="O274" i="7"/>
  <c r="O273" i="7"/>
  <c r="O272" i="7"/>
  <c r="O271" i="7"/>
  <c r="O268" i="7"/>
  <c r="O267" i="7"/>
  <c r="O266" i="7"/>
  <c r="O265" i="7"/>
  <c r="O264" i="7"/>
  <c r="O263" i="7"/>
  <c r="O262" i="7"/>
  <c r="O259" i="7"/>
  <c r="O258" i="7"/>
  <c r="O257" i="7"/>
  <c r="O256" i="7"/>
  <c r="O255" i="7"/>
  <c r="O254" i="7"/>
  <c r="O251" i="7"/>
  <c r="O250" i="7"/>
  <c r="O249" i="7"/>
  <c r="O248" i="7"/>
  <c r="O247" i="7"/>
  <c r="O246" i="7"/>
  <c r="O243" i="7"/>
  <c r="O242" i="7"/>
  <c r="O241" i="7"/>
  <c r="O240" i="7"/>
  <c r="O239" i="7"/>
  <c r="O236" i="7"/>
  <c r="O235" i="7"/>
  <c r="O234" i="7"/>
  <c r="O233" i="7"/>
  <c r="O230" i="7"/>
  <c r="O229" i="7"/>
  <c r="O228" i="7"/>
  <c r="O227" i="7"/>
  <c r="O224" i="7"/>
  <c r="O223" i="7"/>
  <c r="O222" i="7"/>
  <c r="O221" i="7"/>
  <c r="O220" i="7"/>
  <c r="O219" i="7"/>
  <c r="O218" i="7"/>
  <c r="O217" i="7"/>
  <c r="O216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7" i="7"/>
  <c r="O196" i="7"/>
  <c r="O195" i="7"/>
  <c r="O194" i="7"/>
  <c r="O193" i="7"/>
  <c r="O192" i="7"/>
  <c r="O191" i="7"/>
  <c r="O190" i="7"/>
  <c r="O189" i="7"/>
  <c r="O186" i="7"/>
  <c r="O185" i="7"/>
  <c r="O184" i="7"/>
  <c r="O183" i="7"/>
  <c r="O182" i="7"/>
  <c r="O181" i="7"/>
  <c r="O180" i="7"/>
  <c r="O179" i="7"/>
  <c r="O176" i="7"/>
  <c r="O175" i="7"/>
  <c r="O174" i="7"/>
  <c r="O173" i="7"/>
  <c r="O172" i="7"/>
  <c r="O171" i="7"/>
  <c r="O170" i="7"/>
  <c r="O169" i="7"/>
  <c r="O168" i="7"/>
  <c r="O165" i="7"/>
  <c r="O164" i="7"/>
  <c r="O163" i="7"/>
  <c r="O162" i="7"/>
  <c r="O161" i="7"/>
  <c r="O160" i="7"/>
  <c r="O159" i="7"/>
  <c r="O158" i="7"/>
  <c r="O157" i="7"/>
  <c r="O154" i="7"/>
  <c r="O153" i="7"/>
  <c r="O152" i="7"/>
  <c r="O151" i="7"/>
  <c r="O150" i="7"/>
  <c r="O149" i="7"/>
  <c r="O148" i="7"/>
  <c r="O147" i="7"/>
  <c r="O146" i="7"/>
  <c r="O144" i="7"/>
  <c r="O143" i="7"/>
  <c r="O142" i="7"/>
  <c r="O141" i="7"/>
  <c r="O140" i="7"/>
  <c r="O139" i="7"/>
  <c r="O138" i="7"/>
  <c r="O137" i="7"/>
  <c r="O136" i="7"/>
  <c r="O133" i="7"/>
  <c r="O132" i="7"/>
  <c r="O131" i="7"/>
  <c r="O130" i="7"/>
  <c r="O129" i="7"/>
  <c r="O128" i="7"/>
  <c r="O127" i="7"/>
  <c r="O126" i="7"/>
  <c r="O125" i="7"/>
  <c r="O124" i="7"/>
  <c r="O123" i="7"/>
  <c r="O120" i="7"/>
  <c r="O119" i="7"/>
  <c r="O118" i="7"/>
  <c r="O117" i="7"/>
  <c r="O116" i="7"/>
  <c r="O113" i="7"/>
  <c r="O112" i="7"/>
  <c r="O111" i="7"/>
  <c r="O110" i="7"/>
  <c r="O109" i="7"/>
  <c r="O108" i="7"/>
  <c r="O105" i="7"/>
  <c r="O104" i="7"/>
  <c r="O103" i="7"/>
  <c r="O102" i="7"/>
  <c r="O101" i="7"/>
  <c r="O100" i="7"/>
  <c r="O97" i="7"/>
  <c r="O96" i="7"/>
  <c r="O93" i="7"/>
  <c r="O90" i="7"/>
  <c r="O89" i="7"/>
  <c r="O88" i="7"/>
  <c r="O87" i="7"/>
  <c r="O86" i="7"/>
  <c r="O85" i="7"/>
  <c r="O84" i="7"/>
  <c r="O83" i="7"/>
  <c r="O82" i="7"/>
  <c r="O79" i="7"/>
  <c r="O78" i="7"/>
  <c r="O77" i="7"/>
  <c r="O76" i="7"/>
  <c r="O75" i="7"/>
  <c r="O74" i="7"/>
  <c r="O73" i="7"/>
  <c r="O72" i="7"/>
  <c r="O71" i="7"/>
  <c r="O70" i="7"/>
  <c r="O67" i="7"/>
  <c r="O66" i="7"/>
  <c r="O65" i="7"/>
  <c r="O64" i="7"/>
  <c r="O61" i="7"/>
  <c r="O60" i="7"/>
  <c r="O59" i="7"/>
  <c r="O58" i="7"/>
  <c r="O57" i="7"/>
  <c r="O56" i="7"/>
  <c r="O55" i="7"/>
  <c r="O54" i="7"/>
  <c r="O51" i="7"/>
  <c r="O50" i="7"/>
  <c r="O49" i="7"/>
  <c r="O48" i="7"/>
  <c r="O47" i="7"/>
  <c r="O46" i="7"/>
  <c r="O45" i="7"/>
  <c r="O44" i="7"/>
  <c r="O42" i="7"/>
  <c r="O41" i="7"/>
  <c r="O40" i="7"/>
  <c r="O39" i="7"/>
  <c r="O36" i="7"/>
  <c r="O35" i="7"/>
  <c r="O34" i="7"/>
  <c r="O33" i="7"/>
  <c r="O32" i="7"/>
  <c r="O31" i="7"/>
  <c r="O30" i="7"/>
  <c r="O29" i="7"/>
  <c r="O28" i="7"/>
  <c r="O24" i="7"/>
  <c r="O23" i="7"/>
  <c r="O22" i="7"/>
  <c r="O19" i="7"/>
  <c r="O18" i="7"/>
  <c r="O17" i="7"/>
  <c r="O14" i="7"/>
  <c r="O13" i="7"/>
  <c r="O12" i="7"/>
  <c r="O11" i="7"/>
  <c r="O10" i="7"/>
  <c r="O9" i="7"/>
  <c r="R1865" i="7" l="1"/>
  <c r="R1864" i="7"/>
  <c r="R1863" i="7"/>
  <c r="R1862" i="7"/>
  <c r="R1861" i="7"/>
  <c r="R1860" i="7"/>
  <c r="R1859" i="7"/>
  <c r="R1858" i="7"/>
  <c r="R1857" i="7"/>
  <c r="R1856" i="7"/>
  <c r="R1855" i="7"/>
  <c r="R1854" i="7"/>
  <c r="R1853" i="7"/>
  <c r="R1852" i="7"/>
  <c r="R1851" i="7"/>
  <c r="R1850" i="7"/>
  <c r="R1849" i="7"/>
  <c r="R1848" i="7"/>
  <c r="R1847" i="7"/>
  <c r="R1846" i="7"/>
  <c r="R1845" i="7"/>
  <c r="R1844" i="7"/>
  <c r="R1843" i="7"/>
  <c r="R1842" i="7"/>
  <c r="R1841" i="7"/>
  <c r="R1840" i="7"/>
  <c r="R1839" i="7"/>
  <c r="R1838" i="7"/>
  <c r="R1837" i="7"/>
  <c r="R1836" i="7"/>
  <c r="R1835" i="7"/>
  <c r="R1834" i="7"/>
  <c r="R1833" i="7"/>
  <c r="R1832" i="7"/>
  <c r="R1831" i="7"/>
  <c r="R1830" i="7"/>
  <c r="R1829" i="7"/>
  <c r="R1828" i="7"/>
  <c r="R1827" i="7"/>
  <c r="R1826" i="7"/>
  <c r="R1825" i="7"/>
  <c r="R1824" i="7"/>
  <c r="R1823" i="7"/>
  <c r="R1822" i="7"/>
  <c r="R1821" i="7"/>
  <c r="R1820" i="7"/>
  <c r="R1819" i="7"/>
  <c r="R1818" i="7"/>
  <c r="R1817" i="7"/>
  <c r="R1816" i="7"/>
  <c r="R1815" i="7"/>
  <c r="R1814" i="7"/>
  <c r="R1813" i="7"/>
  <c r="R1812" i="7"/>
  <c r="R1811" i="7"/>
  <c r="R1810" i="7"/>
  <c r="R1809" i="7"/>
  <c r="R1808" i="7"/>
  <c r="R1807" i="7"/>
  <c r="R1806" i="7"/>
  <c r="R1805" i="7"/>
  <c r="R1804" i="7"/>
  <c r="R1803" i="7"/>
  <c r="R1802" i="7"/>
  <c r="R1801" i="7"/>
  <c r="R1800" i="7"/>
  <c r="R1799" i="7"/>
  <c r="R1798" i="7"/>
  <c r="R1797" i="7"/>
  <c r="R1796" i="7"/>
  <c r="R1795" i="7"/>
  <c r="R1794" i="7"/>
  <c r="R1793" i="7"/>
  <c r="R1792" i="7"/>
  <c r="R1791" i="7"/>
  <c r="R1790" i="7"/>
  <c r="R1789" i="7"/>
  <c r="R1788" i="7"/>
  <c r="R1787" i="7"/>
  <c r="R1786" i="7"/>
  <c r="R1785" i="7"/>
  <c r="R1784" i="7"/>
  <c r="R1783" i="7"/>
  <c r="R1782" i="7"/>
  <c r="R1781" i="7"/>
  <c r="R1780" i="7"/>
  <c r="R1779" i="7"/>
  <c r="R1778" i="7"/>
  <c r="R1777" i="7"/>
  <c r="R1776" i="7"/>
  <c r="R1775" i="7"/>
  <c r="R1774" i="7"/>
  <c r="R1773" i="7"/>
  <c r="R1772" i="7"/>
  <c r="R1771" i="7"/>
  <c r="R1770" i="7"/>
  <c r="R1769" i="7"/>
  <c r="R1768" i="7"/>
  <c r="R1767" i="7"/>
  <c r="R1766" i="7"/>
  <c r="R1765" i="7"/>
  <c r="R1764" i="7"/>
  <c r="R1763" i="7"/>
  <c r="R1762" i="7"/>
  <c r="R1761" i="7"/>
  <c r="R1760" i="7"/>
  <c r="R1759" i="7"/>
  <c r="R1758" i="7"/>
  <c r="R1757" i="7"/>
  <c r="R1756" i="7"/>
  <c r="R1755" i="7"/>
  <c r="R1754" i="7"/>
  <c r="R1753" i="7"/>
  <c r="R1752" i="7"/>
  <c r="R1751" i="7"/>
  <c r="R1750" i="7"/>
  <c r="R1749" i="7"/>
  <c r="R1748" i="7"/>
  <c r="R1747" i="7"/>
  <c r="R1746" i="7"/>
  <c r="R1745" i="7"/>
  <c r="R1744" i="7"/>
  <c r="R1743" i="7"/>
  <c r="R1742" i="7"/>
  <c r="R1741" i="7"/>
  <c r="R1740" i="7"/>
  <c r="R1739" i="7"/>
  <c r="R1738" i="7"/>
  <c r="R1737" i="7"/>
  <c r="R1736" i="7"/>
  <c r="R1735" i="7"/>
  <c r="R1734" i="7"/>
  <c r="R1733" i="7"/>
  <c r="R1732" i="7"/>
  <c r="R1731" i="7"/>
  <c r="R1730" i="7"/>
  <c r="R1729" i="7"/>
  <c r="R1728" i="7"/>
  <c r="R1727" i="7"/>
  <c r="R1726" i="7"/>
  <c r="R1725" i="7"/>
  <c r="R1724" i="7"/>
  <c r="R1723" i="7"/>
  <c r="R1722" i="7"/>
  <c r="R1721" i="7"/>
  <c r="R1720" i="7"/>
  <c r="R1719" i="7"/>
  <c r="R1718" i="7"/>
  <c r="R1717" i="7"/>
  <c r="R1716" i="7"/>
  <c r="R1715" i="7"/>
  <c r="R1714" i="7"/>
  <c r="R1713" i="7"/>
  <c r="R1712" i="7"/>
  <c r="R1711" i="7"/>
  <c r="R1710" i="7"/>
  <c r="R1709" i="7"/>
  <c r="R1708" i="7"/>
  <c r="R1707" i="7"/>
  <c r="R1706" i="7"/>
  <c r="R1705" i="7"/>
  <c r="R1704" i="7"/>
  <c r="R1703" i="7"/>
  <c r="R1702" i="7"/>
  <c r="R1701" i="7"/>
  <c r="R1700" i="7"/>
  <c r="R1699" i="7"/>
  <c r="R1698" i="7"/>
  <c r="R1697" i="7"/>
  <c r="R1696" i="7"/>
  <c r="R1695" i="7"/>
  <c r="R1694" i="7"/>
  <c r="R1693" i="7"/>
  <c r="R1692" i="7"/>
  <c r="R1691" i="7"/>
  <c r="R1690" i="7"/>
  <c r="R1689" i="7"/>
  <c r="R1688" i="7"/>
  <c r="R1687" i="7"/>
  <c r="R1686" i="7"/>
  <c r="R1685" i="7"/>
  <c r="R1684" i="7"/>
  <c r="R1683" i="7"/>
  <c r="R1682" i="7"/>
  <c r="R1681" i="7"/>
  <c r="R1680" i="7"/>
  <c r="R1679" i="7"/>
  <c r="R1678" i="7"/>
  <c r="R1677" i="7"/>
  <c r="R1676" i="7"/>
  <c r="R1675" i="7"/>
  <c r="R1674" i="7"/>
  <c r="R1673" i="7"/>
  <c r="R1672" i="7"/>
  <c r="R1671" i="7"/>
  <c r="R1670" i="7"/>
  <c r="R1669" i="7"/>
  <c r="R1668" i="7"/>
  <c r="R1667" i="7"/>
  <c r="R1666" i="7"/>
  <c r="R1665" i="7"/>
  <c r="R1664" i="7"/>
  <c r="R1663" i="7"/>
  <c r="R1662" i="7"/>
  <c r="R1661" i="7"/>
  <c r="R1660" i="7"/>
  <c r="R1659" i="7"/>
  <c r="R1658" i="7"/>
  <c r="R1657" i="7"/>
  <c r="R1656" i="7"/>
  <c r="R1655" i="7"/>
  <c r="R1654" i="7"/>
  <c r="R1653" i="7"/>
  <c r="R1652" i="7"/>
  <c r="R1651" i="7"/>
  <c r="R1650" i="7"/>
  <c r="R1649" i="7"/>
  <c r="R1648" i="7"/>
  <c r="R1647" i="7"/>
  <c r="R1646" i="7"/>
  <c r="R1645" i="7"/>
  <c r="R1644" i="7"/>
  <c r="R1643" i="7"/>
  <c r="R1642" i="7"/>
  <c r="R1641" i="7"/>
  <c r="R1640" i="7"/>
  <c r="R1639" i="7"/>
  <c r="R1638" i="7"/>
  <c r="R1637" i="7"/>
  <c r="R1636" i="7"/>
  <c r="R1635" i="7"/>
  <c r="R1634" i="7"/>
  <c r="R1633" i="7"/>
  <c r="R1632" i="7"/>
  <c r="R1631" i="7"/>
  <c r="R1630" i="7"/>
  <c r="R1629" i="7"/>
  <c r="R1628" i="7"/>
  <c r="R1627" i="7"/>
  <c r="R1626" i="7"/>
  <c r="R1625" i="7"/>
  <c r="R1624" i="7"/>
  <c r="R1623" i="7"/>
  <c r="R1622" i="7"/>
  <c r="R1621" i="7"/>
  <c r="R1620" i="7"/>
  <c r="R1619" i="7"/>
  <c r="R1618" i="7"/>
  <c r="R1617" i="7"/>
  <c r="R1616" i="7"/>
  <c r="R1615" i="7"/>
  <c r="R1614" i="7"/>
  <c r="R1613" i="7"/>
  <c r="R1612" i="7"/>
  <c r="R1611" i="7"/>
  <c r="R1610" i="7"/>
  <c r="R1609" i="7"/>
  <c r="R1608" i="7"/>
  <c r="R1607" i="7"/>
  <c r="R1606" i="7"/>
  <c r="R1605" i="7"/>
  <c r="R1604" i="7"/>
  <c r="R1603" i="7"/>
  <c r="R1602" i="7"/>
  <c r="R1601" i="7"/>
  <c r="R1600" i="7"/>
  <c r="R1599" i="7"/>
  <c r="R1598" i="7"/>
  <c r="R1597" i="7"/>
  <c r="R1596" i="7"/>
  <c r="R1595" i="7"/>
  <c r="R1594" i="7"/>
  <c r="R1593" i="7"/>
  <c r="R1592" i="7"/>
  <c r="R1591" i="7"/>
  <c r="R1590" i="7"/>
  <c r="R1589" i="7"/>
  <c r="R1588" i="7"/>
  <c r="R1587" i="7"/>
  <c r="R1586" i="7"/>
  <c r="R1585" i="7"/>
  <c r="R1584" i="7"/>
  <c r="R1583" i="7"/>
  <c r="R1582" i="7"/>
  <c r="R1581" i="7"/>
  <c r="R1580" i="7"/>
  <c r="R1579" i="7"/>
  <c r="R1578" i="7"/>
  <c r="R1577" i="7"/>
  <c r="R1576" i="7"/>
  <c r="R1575" i="7"/>
  <c r="R1574" i="7"/>
  <c r="R1573" i="7"/>
  <c r="R1572" i="7"/>
  <c r="R1571" i="7"/>
  <c r="R1570" i="7"/>
  <c r="R1569" i="7"/>
  <c r="R1568" i="7"/>
  <c r="R1567" i="7"/>
  <c r="R1566" i="7"/>
  <c r="R1565" i="7"/>
  <c r="R1564" i="7"/>
  <c r="R1563" i="7"/>
  <c r="R1562" i="7"/>
  <c r="R1561" i="7"/>
  <c r="R1560" i="7"/>
  <c r="R1559" i="7"/>
  <c r="R1558" i="7"/>
  <c r="R1557" i="7"/>
  <c r="R1556" i="7"/>
  <c r="R1555" i="7"/>
  <c r="R1554" i="7"/>
  <c r="R1553" i="7"/>
  <c r="R1552" i="7"/>
  <c r="R1551" i="7"/>
  <c r="R1550" i="7"/>
  <c r="R1549" i="7"/>
  <c r="R1548" i="7"/>
  <c r="R1547" i="7"/>
  <c r="R1546" i="7"/>
  <c r="R1545" i="7"/>
  <c r="R1544" i="7"/>
  <c r="R1543" i="7"/>
  <c r="R1542" i="7"/>
  <c r="R1541" i="7"/>
  <c r="R1540" i="7"/>
  <c r="R1539" i="7"/>
  <c r="R1538" i="7"/>
  <c r="R1537" i="7"/>
  <c r="R1536" i="7"/>
  <c r="R1535" i="7"/>
  <c r="R1534" i="7"/>
  <c r="R1533" i="7"/>
  <c r="R1532" i="7"/>
  <c r="R1531" i="7"/>
  <c r="R1530" i="7"/>
  <c r="R1529" i="7"/>
  <c r="R1528" i="7"/>
  <c r="R1527" i="7"/>
  <c r="R1526" i="7"/>
  <c r="R1525" i="7"/>
  <c r="R1524" i="7"/>
  <c r="R1523" i="7"/>
  <c r="R1522" i="7"/>
  <c r="R1521" i="7"/>
  <c r="R1520" i="7"/>
  <c r="R1519" i="7"/>
  <c r="R1518" i="7"/>
  <c r="R1517" i="7"/>
  <c r="R1516" i="7"/>
  <c r="R1515" i="7"/>
  <c r="R1514" i="7"/>
  <c r="R1513" i="7"/>
  <c r="R1512" i="7"/>
  <c r="R1511" i="7"/>
  <c r="R1510" i="7"/>
  <c r="R1509" i="7"/>
  <c r="R1508" i="7"/>
  <c r="R1507" i="7"/>
  <c r="R1506" i="7"/>
  <c r="R1505" i="7"/>
  <c r="R1504" i="7"/>
  <c r="R1503" i="7"/>
  <c r="R1502" i="7"/>
  <c r="R1501" i="7"/>
  <c r="R1500" i="7"/>
  <c r="R1499" i="7"/>
  <c r="R1498" i="7"/>
  <c r="R1497" i="7"/>
  <c r="R1496" i="7"/>
  <c r="R1495" i="7"/>
  <c r="R1494" i="7"/>
  <c r="R1493" i="7"/>
  <c r="R1492" i="7"/>
  <c r="R1491" i="7"/>
  <c r="R1490" i="7"/>
  <c r="R1489" i="7"/>
  <c r="R1488" i="7"/>
  <c r="R1487" i="7"/>
  <c r="R1486" i="7"/>
  <c r="R1485" i="7"/>
  <c r="R1484" i="7"/>
  <c r="R1483" i="7"/>
  <c r="R1482" i="7"/>
  <c r="R1481" i="7"/>
  <c r="R1480" i="7"/>
  <c r="R1479" i="7"/>
  <c r="R1478" i="7"/>
  <c r="R1477" i="7"/>
  <c r="R1476" i="7"/>
  <c r="R1475" i="7"/>
  <c r="R1474" i="7"/>
  <c r="R1473" i="7"/>
  <c r="R1472" i="7"/>
  <c r="R1471" i="7"/>
  <c r="R1470" i="7"/>
  <c r="R1469" i="7"/>
  <c r="R1468" i="7"/>
  <c r="R1467" i="7"/>
  <c r="R1466" i="7"/>
  <c r="R1465" i="7"/>
  <c r="R1464" i="7"/>
  <c r="R1463" i="7"/>
  <c r="R1462" i="7"/>
  <c r="R1461" i="7"/>
  <c r="R1460" i="7"/>
  <c r="R1459" i="7"/>
  <c r="R1458" i="7"/>
  <c r="R1457" i="7"/>
  <c r="R1456" i="7"/>
  <c r="R1455" i="7"/>
  <c r="R1454" i="7"/>
  <c r="R1453" i="7"/>
  <c r="R1452" i="7"/>
  <c r="R1451" i="7"/>
  <c r="R1450" i="7"/>
  <c r="R1449" i="7"/>
  <c r="R1448" i="7"/>
  <c r="R1447" i="7"/>
  <c r="R1446" i="7"/>
  <c r="R1445" i="7"/>
  <c r="R1444" i="7"/>
  <c r="R1443" i="7"/>
  <c r="R1442" i="7"/>
  <c r="R1441" i="7"/>
  <c r="R1440" i="7"/>
  <c r="R1439" i="7"/>
  <c r="R1438" i="7"/>
  <c r="R1437" i="7"/>
  <c r="R1436" i="7"/>
  <c r="R1435" i="7"/>
  <c r="R1434" i="7"/>
  <c r="R1433" i="7"/>
  <c r="R1432" i="7"/>
  <c r="R1431" i="7"/>
  <c r="R1430" i="7"/>
  <c r="R1429" i="7"/>
  <c r="R1428" i="7"/>
  <c r="R1427" i="7"/>
  <c r="R1426" i="7"/>
  <c r="R1425" i="7"/>
  <c r="R1424" i="7"/>
  <c r="R1423" i="7"/>
  <c r="R1422" i="7"/>
  <c r="R1421" i="7"/>
  <c r="R1420" i="7"/>
  <c r="R1419" i="7"/>
  <c r="R1418" i="7"/>
  <c r="R1417" i="7"/>
  <c r="R1416" i="7"/>
  <c r="R1415" i="7"/>
  <c r="R1414" i="7"/>
  <c r="R1413" i="7"/>
  <c r="R1412" i="7"/>
  <c r="R1411" i="7"/>
  <c r="R1410" i="7"/>
  <c r="R1409" i="7"/>
  <c r="R1408" i="7"/>
  <c r="R1407" i="7"/>
  <c r="R1406" i="7"/>
  <c r="R1405" i="7"/>
  <c r="R1404" i="7"/>
  <c r="R1403" i="7"/>
  <c r="R1402" i="7"/>
  <c r="R1401" i="7"/>
  <c r="R1400" i="7"/>
  <c r="R1399" i="7"/>
  <c r="R1398" i="7"/>
  <c r="R1397" i="7"/>
  <c r="R1396" i="7"/>
  <c r="R1395" i="7"/>
  <c r="R1394" i="7"/>
  <c r="R1393" i="7"/>
  <c r="R1392" i="7"/>
  <c r="R1391" i="7"/>
  <c r="R1390" i="7"/>
  <c r="R1389" i="7"/>
  <c r="R1388" i="7"/>
  <c r="R1387" i="7"/>
  <c r="R1386" i="7"/>
  <c r="R1385" i="7"/>
  <c r="R1384" i="7"/>
  <c r="R1383" i="7"/>
  <c r="R1382" i="7"/>
  <c r="R1381" i="7"/>
  <c r="R1380" i="7"/>
  <c r="R1379" i="7"/>
  <c r="R1378" i="7"/>
  <c r="R1377" i="7"/>
  <c r="R1376" i="7"/>
  <c r="R1375" i="7"/>
  <c r="R1374" i="7"/>
  <c r="R1373" i="7"/>
  <c r="R1372" i="7"/>
  <c r="R1371" i="7"/>
  <c r="R1370" i="7"/>
  <c r="R1369" i="7"/>
  <c r="R1368" i="7"/>
  <c r="R1367" i="7"/>
  <c r="R1366" i="7"/>
  <c r="R1365" i="7"/>
  <c r="R1364" i="7"/>
  <c r="R1363" i="7"/>
  <c r="R1362" i="7"/>
  <c r="R1361" i="7"/>
  <c r="R1360" i="7"/>
  <c r="R1359" i="7"/>
  <c r="R1358" i="7"/>
  <c r="R1357" i="7"/>
  <c r="R1356" i="7"/>
  <c r="R1355" i="7"/>
  <c r="R1354" i="7"/>
  <c r="R1353" i="7"/>
  <c r="R1352" i="7"/>
  <c r="R1351" i="7"/>
  <c r="R1350" i="7"/>
  <c r="R1349" i="7"/>
  <c r="R1348" i="7"/>
  <c r="R1347" i="7"/>
  <c r="R1346" i="7"/>
  <c r="R1345" i="7"/>
  <c r="R1344" i="7"/>
  <c r="R1343" i="7"/>
  <c r="R1342" i="7"/>
  <c r="R1341" i="7"/>
  <c r="R1340" i="7"/>
  <c r="R1339" i="7"/>
  <c r="R1338" i="7"/>
  <c r="R1337" i="7"/>
  <c r="R1336" i="7"/>
  <c r="R1335" i="7"/>
  <c r="R1334" i="7"/>
  <c r="R1333" i="7"/>
  <c r="R1332" i="7"/>
  <c r="R1331" i="7"/>
  <c r="R1330" i="7"/>
  <c r="R1329" i="7"/>
  <c r="R1328" i="7"/>
  <c r="R1327" i="7"/>
  <c r="R1326" i="7"/>
  <c r="R1325" i="7"/>
  <c r="R1324" i="7"/>
  <c r="R1323" i="7"/>
  <c r="R1322" i="7"/>
  <c r="R1321" i="7"/>
  <c r="R1320" i="7"/>
  <c r="R1319" i="7"/>
  <c r="R1318" i="7"/>
  <c r="R1317" i="7"/>
  <c r="R1316" i="7"/>
  <c r="R1315" i="7"/>
  <c r="R1314" i="7"/>
  <c r="R1313" i="7"/>
  <c r="R1312" i="7"/>
  <c r="R1311" i="7"/>
  <c r="R1310" i="7"/>
  <c r="R1309" i="7"/>
  <c r="R1308" i="7"/>
  <c r="R1307" i="7"/>
  <c r="R1306" i="7"/>
  <c r="R1305" i="7"/>
  <c r="R1304" i="7"/>
  <c r="R1303" i="7"/>
  <c r="R1302" i="7"/>
  <c r="R1301" i="7"/>
  <c r="R1300" i="7"/>
  <c r="R1299" i="7"/>
  <c r="R1298" i="7"/>
  <c r="R1297" i="7"/>
  <c r="R1296" i="7"/>
  <c r="R1295" i="7"/>
  <c r="R1294" i="7"/>
  <c r="R1293" i="7"/>
  <c r="R1292" i="7"/>
  <c r="R1291" i="7"/>
  <c r="R1290" i="7"/>
  <c r="R1289" i="7"/>
  <c r="R1288" i="7"/>
  <c r="R1287" i="7"/>
  <c r="R1286" i="7"/>
  <c r="R1285" i="7"/>
  <c r="R1284" i="7"/>
  <c r="R1283" i="7"/>
  <c r="R1282" i="7"/>
  <c r="R1281" i="7"/>
  <c r="R1280" i="7"/>
  <c r="R1279" i="7"/>
  <c r="R1278" i="7"/>
  <c r="R1277" i="7"/>
  <c r="R1276" i="7"/>
  <c r="R1275" i="7"/>
  <c r="R1274" i="7"/>
  <c r="R1273" i="7"/>
  <c r="R1272" i="7"/>
  <c r="R1271" i="7"/>
  <c r="R1270" i="7"/>
  <c r="R1269" i="7"/>
  <c r="R1268" i="7"/>
  <c r="R1267" i="7"/>
  <c r="R1266" i="7"/>
  <c r="R1265" i="7"/>
  <c r="R1264" i="7"/>
  <c r="R1263" i="7"/>
  <c r="R1262" i="7"/>
  <c r="R1261" i="7"/>
  <c r="R1260" i="7"/>
  <c r="R1259" i="7"/>
  <c r="R1258" i="7"/>
  <c r="R1257" i="7"/>
  <c r="R1256" i="7"/>
  <c r="R1255" i="7"/>
  <c r="R1254" i="7"/>
  <c r="R1253" i="7"/>
  <c r="R1252" i="7"/>
  <c r="R1251" i="7"/>
  <c r="R1250" i="7"/>
  <c r="R1249" i="7"/>
  <c r="R1248" i="7"/>
  <c r="R1247" i="7"/>
  <c r="R1246" i="7"/>
  <c r="R1245" i="7"/>
  <c r="R1244" i="7"/>
  <c r="R1243" i="7"/>
  <c r="R1242" i="7"/>
  <c r="R1241" i="7"/>
  <c r="R1240" i="7"/>
  <c r="R1239" i="7"/>
  <c r="R1238" i="7"/>
  <c r="R1237" i="7"/>
  <c r="R1236" i="7"/>
  <c r="R1235" i="7"/>
  <c r="R1234" i="7"/>
  <c r="R1233" i="7"/>
  <c r="R1232" i="7"/>
  <c r="R1231" i="7"/>
  <c r="R1230" i="7"/>
  <c r="R1229" i="7"/>
  <c r="R1228" i="7"/>
  <c r="R1227" i="7"/>
  <c r="R1226" i="7"/>
  <c r="R1225" i="7"/>
  <c r="R1224" i="7"/>
  <c r="R1223" i="7"/>
  <c r="R1222" i="7"/>
  <c r="R1221" i="7"/>
  <c r="R1220" i="7"/>
  <c r="R1219" i="7"/>
  <c r="R1218" i="7"/>
  <c r="R1217" i="7"/>
  <c r="R1216" i="7"/>
  <c r="R1215" i="7"/>
  <c r="R1214" i="7"/>
  <c r="R1213" i="7"/>
  <c r="R1212" i="7"/>
  <c r="R1211" i="7"/>
  <c r="R1210" i="7"/>
  <c r="R1209" i="7"/>
  <c r="R1208" i="7"/>
  <c r="R1207" i="7"/>
  <c r="R1206" i="7"/>
  <c r="R1205" i="7"/>
  <c r="R1204" i="7"/>
  <c r="R1203" i="7"/>
  <c r="R1202" i="7"/>
  <c r="R1201" i="7"/>
  <c r="R1200" i="7"/>
  <c r="R1199" i="7"/>
  <c r="R1198" i="7"/>
  <c r="R1197" i="7"/>
  <c r="R1196" i="7"/>
  <c r="R1195" i="7"/>
  <c r="R1194" i="7"/>
  <c r="R1193" i="7"/>
  <c r="R1192" i="7"/>
  <c r="R1191" i="7"/>
  <c r="R1190" i="7"/>
  <c r="R1189" i="7"/>
  <c r="R1188" i="7"/>
  <c r="R1187" i="7"/>
  <c r="R1186" i="7"/>
  <c r="R1185" i="7"/>
  <c r="R1184" i="7"/>
  <c r="R1183" i="7"/>
  <c r="R1182" i="7"/>
  <c r="R1181" i="7"/>
  <c r="R1180" i="7"/>
  <c r="R1179" i="7"/>
  <c r="R1178" i="7"/>
  <c r="R1177" i="7"/>
  <c r="R1176" i="7"/>
  <c r="R1175" i="7"/>
  <c r="R1174" i="7"/>
  <c r="R1173" i="7"/>
  <c r="R1172" i="7"/>
  <c r="R1171" i="7"/>
  <c r="R1170" i="7"/>
  <c r="R1169" i="7"/>
  <c r="R1168" i="7"/>
  <c r="R1167" i="7"/>
  <c r="R1166" i="7"/>
  <c r="R1165" i="7"/>
  <c r="R1164" i="7"/>
  <c r="R1163" i="7"/>
  <c r="R1162" i="7"/>
  <c r="R1161" i="7"/>
  <c r="R1160" i="7"/>
  <c r="R1159" i="7"/>
  <c r="R1158" i="7"/>
  <c r="R1157" i="7"/>
  <c r="R1156" i="7"/>
  <c r="R1155" i="7"/>
  <c r="R1154" i="7"/>
  <c r="R1153" i="7"/>
  <c r="R1152" i="7"/>
  <c r="R1151" i="7"/>
  <c r="R1150" i="7"/>
  <c r="R1149" i="7"/>
  <c r="R1148" i="7"/>
  <c r="R1147" i="7"/>
  <c r="R1146" i="7"/>
  <c r="R1145" i="7"/>
  <c r="R1144" i="7"/>
  <c r="R1143" i="7"/>
  <c r="R1142" i="7"/>
  <c r="R1141" i="7"/>
  <c r="R1140" i="7"/>
  <c r="R1139" i="7"/>
  <c r="R1138" i="7"/>
  <c r="R1137" i="7"/>
  <c r="R1136" i="7"/>
  <c r="R1135" i="7"/>
  <c r="R1134" i="7"/>
  <c r="R1133" i="7"/>
  <c r="R1132" i="7"/>
  <c r="R1131" i="7"/>
  <c r="R1130" i="7"/>
  <c r="R1129" i="7"/>
  <c r="R1128" i="7"/>
  <c r="R1127" i="7"/>
  <c r="R1126" i="7"/>
  <c r="R1125" i="7"/>
  <c r="R1124" i="7"/>
  <c r="R1123" i="7"/>
  <c r="R1122" i="7"/>
  <c r="R1121" i="7"/>
  <c r="R1120" i="7"/>
  <c r="R1119" i="7"/>
  <c r="R1118" i="7"/>
  <c r="R1117" i="7"/>
  <c r="R1116" i="7"/>
  <c r="R1115" i="7"/>
  <c r="R1114" i="7"/>
  <c r="R1113" i="7"/>
  <c r="R1112" i="7"/>
  <c r="R1111" i="7"/>
  <c r="R1110" i="7"/>
  <c r="R1109" i="7"/>
  <c r="R1108" i="7"/>
  <c r="R1107" i="7"/>
  <c r="R1106" i="7"/>
  <c r="R1105" i="7"/>
  <c r="R1104" i="7"/>
  <c r="R1103" i="7"/>
  <c r="R1102" i="7"/>
  <c r="R1101" i="7"/>
  <c r="R1100" i="7"/>
  <c r="R1099" i="7"/>
  <c r="R1098" i="7"/>
  <c r="R1097" i="7"/>
  <c r="R1096" i="7"/>
  <c r="R1095" i="7"/>
  <c r="R1094" i="7"/>
  <c r="R1093" i="7"/>
  <c r="R1092" i="7"/>
  <c r="R1091" i="7"/>
  <c r="R1090" i="7"/>
  <c r="R1089" i="7"/>
  <c r="R1088" i="7"/>
  <c r="R1087" i="7"/>
  <c r="R1086" i="7"/>
  <c r="R1085" i="7"/>
  <c r="R1084" i="7"/>
  <c r="R1083" i="7"/>
  <c r="R1082" i="7"/>
  <c r="R1081" i="7"/>
  <c r="R1080" i="7"/>
  <c r="R1079" i="7"/>
  <c r="R1078" i="7"/>
  <c r="R1077" i="7"/>
  <c r="R1076" i="7"/>
  <c r="R1075" i="7"/>
  <c r="R1074" i="7"/>
  <c r="R1073" i="7"/>
  <c r="R1072" i="7"/>
  <c r="R1071" i="7"/>
  <c r="R1070" i="7"/>
  <c r="R1069" i="7"/>
  <c r="R1068" i="7"/>
  <c r="R1067" i="7"/>
  <c r="R1066" i="7"/>
  <c r="R1065" i="7"/>
  <c r="R1064" i="7"/>
  <c r="R1063" i="7"/>
  <c r="R1062" i="7"/>
  <c r="R1061" i="7"/>
  <c r="R1060" i="7"/>
  <c r="R1059" i="7"/>
  <c r="R1058" i="7"/>
  <c r="R1057" i="7"/>
  <c r="R1056" i="7"/>
  <c r="R1055" i="7"/>
  <c r="R1054" i="7"/>
  <c r="R1053" i="7"/>
  <c r="R1052" i="7"/>
  <c r="R1051" i="7"/>
  <c r="R1050" i="7"/>
  <c r="R1049" i="7"/>
  <c r="R1048" i="7"/>
  <c r="R1047" i="7"/>
  <c r="R1046" i="7"/>
  <c r="R1045" i="7"/>
  <c r="R1044" i="7"/>
  <c r="R1043" i="7"/>
  <c r="R1042" i="7"/>
  <c r="R1041" i="7"/>
  <c r="R1040" i="7"/>
  <c r="R1039" i="7"/>
  <c r="R1038" i="7"/>
  <c r="R1037" i="7"/>
  <c r="R1036" i="7"/>
  <c r="R1035" i="7"/>
  <c r="R1034" i="7"/>
  <c r="R1033" i="7"/>
  <c r="R1032" i="7"/>
  <c r="R1031" i="7"/>
  <c r="R1030" i="7"/>
  <c r="R1029" i="7"/>
  <c r="R1028" i="7"/>
  <c r="R1027" i="7"/>
  <c r="R1026" i="7"/>
  <c r="R1025" i="7"/>
  <c r="R1024" i="7"/>
  <c r="R1023" i="7"/>
  <c r="R1022" i="7"/>
  <c r="R1021" i="7"/>
  <c r="R1020" i="7"/>
  <c r="R1019" i="7"/>
  <c r="R1018" i="7"/>
  <c r="R1017" i="7"/>
  <c r="R1016" i="7"/>
  <c r="R1015" i="7"/>
  <c r="R1014" i="7"/>
  <c r="R1013" i="7"/>
  <c r="R1012" i="7"/>
  <c r="R1011" i="7"/>
  <c r="R1010" i="7"/>
  <c r="R1009" i="7"/>
  <c r="R1008" i="7"/>
  <c r="R1007" i="7"/>
  <c r="R1006" i="7"/>
  <c r="R1005" i="7"/>
  <c r="R1004" i="7"/>
  <c r="R1003" i="7"/>
  <c r="R1002" i="7"/>
  <c r="R1001" i="7"/>
  <c r="R1000" i="7"/>
  <c r="R999" i="7"/>
  <c r="R998" i="7"/>
  <c r="R997" i="7"/>
  <c r="R996" i="7"/>
  <c r="R995" i="7"/>
  <c r="R994" i="7"/>
  <c r="R993" i="7"/>
  <c r="R992" i="7"/>
  <c r="R991" i="7"/>
  <c r="R990" i="7"/>
  <c r="R989" i="7"/>
  <c r="R988" i="7"/>
  <c r="R987" i="7"/>
  <c r="R986" i="7"/>
  <c r="R985" i="7"/>
  <c r="R984" i="7"/>
  <c r="R983" i="7"/>
  <c r="R982" i="7"/>
  <c r="R981" i="7"/>
  <c r="R980" i="7"/>
  <c r="R979" i="7"/>
  <c r="R978" i="7"/>
  <c r="R977" i="7"/>
  <c r="R976" i="7"/>
  <c r="R975" i="7"/>
  <c r="R974" i="7"/>
  <c r="R973" i="7"/>
  <c r="R972" i="7"/>
  <c r="R971" i="7"/>
  <c r="R970" i="7"/>
  <c r="R969" i="7"/>
  <c r="R968" i="7"/>
  <c r="R967" i="7"/>
  <c r="R966" i="7"/>
  <c r="R965" i="7"/>
  <c r="R964" i="7"/>
  <c r="R963" i="7"/>
  <c r="R962" i="7"/>
  <c r="R961" i="7"/>
  <c r="R960" i="7"/>
  <c r="R959" i="7"/>
  <c r="R958" i="7"/>
  <c r="R957" i="7"/>
  <c r="R956" i="7"/>
  <c r="R955" i="7"/>
  <c r="R954" i="7"/>
  <c r="R953" i="7"/>
  <c r="R952" i="7"/>
  <c r="R951" i="7"/>
  <c r="R950" i="7"/>
  <c r="R949" i="7"/>
  <c r="R948" i="7"/>
  <c r="R947" i="7"/>
  <c r="R946" i="7"/>
  <c r="R945" i="7"/>
  <c r="R944" i="7"/>
  <c r="R943" i="7"/>
  <c r="R942" i="7"/>
  <c r="R941" i="7"/>
  <c r="R940" i="7"/>
  <c r="R939" i="7"/>
  <c r="R938" i="7"/>
  <c r="R937" i="7"/>
  <c r="R936" i="7"/>
  <c r="R935" i="7"/>
  <c r="R934" i="7"/>
  <c r="R933" i="7"/>
  <c r="R932" i="7"/>
  <c r="R931" i="7"/>
  <c r="R930" i="7"/>
  <c r="R929" i="7"/>
  <c r="R928" i="7"/>
  <c r="R927" i="7"/>
  <c r="R926" i="7"/>
  <c r="R925" i="7"/>
  <c r="R924" i="7"/>
  <c r="R923" i="7"/>
  <c r="R922" i="7"/>
  <c r="R921" i="7"/>
  <c r="R920" i="7"/>
  <c r="R919" i="7"/>
  <c r="R918" i="7"/>
  <c r="R917" i="7"/>
  <c r="R916" i="7"/>
  <c r="R915" i="7"/>
  <c r="R914" i="7"/>
  <c r="R913" i="7"/>
  <c r="R912" i="7"/>
  <c r="R911" i="7"/>
  <c r="R910" i="7"/>
  <c r="R909" i="7"/>
  <c r="R908" i="7"/>
  <c r="R907" i="7"/>
  <c r="R906" i="7"/>
  <c r="R905" i="7"/>
  <c r="R904" i="7"/>
  <c r="R903" i="7"/>
  <c r="R902" i="7"/>
  <c r="R901" i="7"/>
  <c r="R900" i="7"/>
  <c r="R899" i="7"/>
  <c r="R898" i="7"/>
  <c r="R897" i="7"/>
  <c r="R896" i="7"/>
  <c r="R895" i="7"/>
  <c r="R894" i="7"/>
  <c r="R893" i="7"/>
  <c r="R892" i="7"/>
  <c r="R891" i="7"/>
  <c r="R890" i="7"/>
  <c r="R889" i="7"/>
  <c r="R888" i="7"/>
  <c r="R887" i="7"/>
  <c r="R886" i="7"/>
  <c r="R885" i="7"/>
  <c r="R884" i="7"/>
  <c r="R883" i="7"/>
  <c r="R882" i="7"/>
  <c r="R881" i="7"/>
  <c r="R880" i="7"/>
  <c r="R879" i="7"/>
  <c r="R878" i="7"/>
  <c r="R877" i="7"/>
  <c r="R876" i="7"/>
  <c r="R875" i="7"/>
  <c r="R874" i="7"/>
  <c r="R873" i="7"/>
  <c r="R872" i="7"/>
  <c r="R871" i="7"/>
  <c r="R870" i="7"/>
  <c r="R869" i="7"/>
  <c r="R868" i="7"/>
  <c r="R867" i="7"/>
  <c r="R866" i="7"/>
  <c r="R865" i="7"/>
  <c r="R864" i="7"/>
  <c r="R863" i="7"/>
  <c r="R862" i="7"/>
  <c r="R861" i="7"/>
  <c r="R860" i="7"/>
  <c r="R859" i="7"/>
  <c r="R858" i="7"/>
  <c r="R857" i="7"/>
  <c r="R856" i="7"/>
  <c r="R855" i="7"/>
  <c r="R854" i="7"/>
  <c r="R853" i="7"/>
  <c r="R852" i="7"/>
  <c r="R851" i="7"/>
  <c r="R850" i="7"/>
  <c r="R849" i="7"/>
  <c r="R848" i="7"/>
  <c r="R847" i="7"/>
  <c r="R846" i="7"/>
  <c r="R845" i="7"/>
  <c r="R844" i="7"/>
  <c r="R843" i="7"/>
  <c r="R842" i="7"/>
  <c r="R841" i="7"/>
  <c r="R840" i="7"/>
  <c r="R839" i="7"/>
  <c r="R838" i="7"/>
  <c r="R837" i="7"/>
  <c r="R836" i="7"/>
  <c r="R835" i="7"/>
  <c r="R834" i="7"/>
  <c r="R833" i="7"/>
  <c r="R832" i="7"/>
  <c r="R831" i="7"/>
  <c r="R830" i="7"/>
  <c r="R829" i="7"/>
  <c r="R828" i="7"/>
  <c r="R827" i="7"/>
  <c r="R826" i="7"/>
  <c r="R825" i="7"/>
  <c r="R824" i="7"/>
  <c r="R823" i="7"/>
  <c r="R822" i="7"/>
  <c r="R821" i="7"/>
  <c r="R820" i="7"/>
  <c r="R819" i="7"/>
  <c r="R818" i="7"/>
  <c r="R817" i="7"/>
  <c r="R816" i="7"/>
  <c r="R815" i="7"/>
  <c r="R814" i="7"/>
  <c r="R813" i="7"/>
  <c r="R812" i="7"/>
  <c r="R811" i="7"/>
  <c r="R810" i="7"/>
  <c r="R809" i="7"/>
  <c r="R808" i="7"/>
  <c r="R807" i="7"/>
  <c r="R806" i="7"/>
  <c r="R805" i="7"/>
  <c r="R804" i="7"/>
  <c r="R803" i="7"/>
  <c r="R802" i="7"/>
  <c r="R801" i="7"/>
  <c r="R800" i="7"/>
  <c r="R799" i="7"/>
  <c r="R798" i="7"/>
  <c r="R797" i="7"/>
  <c r="R796" i="7"/>
  <c r="R795" i="7"/>
  <c r="R794" i="7"/>
  <c r="R793" i="7"/>
  <c r="R792" i="7"/>
  <c r="R791" i="7"/>
  <c r="R790" i="7"/>
  <c r="R789" i="7"/>
  <c r="R788" i="7"/>
  <c r="R787" i="7"/>
  <c r="R786" i="7"/>
  <c r="R785" i="7"/>
  <c r="R784" i="7"/>
  <c r="R783" i="7"/>
  <c r="R782" i="7"/>
  <c r="R781" i="7"/>
  <c r="R780" i="7"/>
  <c r="R779" i="7"/>
  <c r="R778" i="7"/>
  <c r="R777" i="7"/>
  <c r="R776" i="7"/>
  <c r="R775" i="7"/>
  <c r="R774" i="7"/>
  <c r="R773" i="7"/>
  <c r="R772" i="7"/>
  <c r="R771" i="7"/>
  <c r="R770" i="7"/>
  <c r="R769" i="7"/>
  <c r="R768" i="7"/>
  <c r="R767" i="7"/>
  <c r="R766" i="7"/>
  <c r="R765" i="7"/>
  <c r="R764" i="7"/>
  <c r="R763" i="7"/>
  <c r="R762" i="7"/>
  <c r="R761" i="7"/>
  <c r="R760" i="7"/>
  <c r="R759" i="7"/>
  <c r="R758" i="7"/>
  <c r="R757" i="7"/>
  <c r="R756" i="7"/>
  <c r="R755" i="7"/>
  <c r="R754" i="7"/>
  <c r="R753" i="7"/>
  <c r="R752" i="7"/>
  <c r="R751" i="7"/>
  <c r="R750" i="7"/>
  <c r="R749" i="7"/>
  <c r="R748" i="7"/>
  <c r="R747" i="7"/>
  <c r="R746" i="7"/>
  <c r="R745" i="7"/>
  <c r="R744" i="7"/>
  <c r="R743" i="7"/>
  <c r="R742" i="7"/>
  <c r="R741" i="7"/>
  <c r="R740" i="7"/>
  <c r="R739" i="7"/>
  <c r="R738" i="7"/>
  <c r="R737" i="7"/>
  <c r="R736" i="7"/>
  <c r="R735" i="7"/>
  <c r="R734" i="7"/>
  <c r="R733" i="7"/>
  <c r="R732" i="7"/>
  <c r="R731" i="7"/>
  <c r="R730" i="7"/>
  <c r="R729" i="7"/>
  <c r="R728" i="7"/>
  <c r="R727" i="7"/>
  <c r="R726" i="7"/>
  <c r="R725" i="7"/>
  <c r="R724" i="7"/>
  <c r="R723" i="7"/>
  <c r="R722" i="7"/>
  <c r="R721" i="7"/>
  <c r="R720" i="7"/>
  <c r="R719" i="7"/>
  <c r="R718" i="7"/>
  <c r="R717" i="7"/>
  <c r="R716" i="7"/>
  <c r="R715" i="7"/>
  <c r="R714" i="7"/>
  <c r="R713" i="7"/>
  <c r="R712" i="7"/>
  <c r="R711" i="7"/>
  <c r="R710" i="7"/>
  <c r="R709" i="7"/>
  <c r="R708" i="7"/>
  <c r="R707" i="7"/>
  <c r="R706" i="7"/>
  <c r="R705" i="7"/>
  <c r="R704" i="7"/>
  <c r="R703" i="7"/>
  <c r="R702" i="7"/>
  <c r="R701" i="7"/>
  <c r="R700" i="7"/>
  <c r="R699" i="7"/>
  <c r="R698" i="7"/>
  <c r="R697" i="7"/>
  <c r="R696" i="7"/>
  <c r="R695" i="7"/>
  <c r="R694" i="7"/>
  <c r="R693" i="7"/>
  <c r="R692" i="7"/>
  <c r="R691" i="7"/>
  <c r="R690" i="7"/>
  <c r="R689" i="7"/>
  <c r="R688" i="7"/>
  <c r="R687" i="7"/>
  <c r="R686" i="7"/>
  <c r="R685" i="7"/>
  <c r="R684" i="7"/>
  <c r="R683" i="7"/>
  <c r="R682" i="7"/>
  <c r="R681" i="7"/>
  <c r="R680" i="7"/>
  <c r="R679" i="7"/>
  <c r="R678" i="7"/>
  <c r="R677" i="7"/>
  <c r="R676" i="7"/>
  <c r="R675" i="7"/>
  <c r="R674" i="7"/>
  <c r="R673" i="7"/>
  <c r="R672" i="7"/>
  <c r="R671" i="7"/>
  <c r="R670" i="7"/>
  <c r="R669" i="7"/>
  <c r="R668" i="7"/>
  <c r="R667" i="7"/>
  <c r="R666" i="7"/>
  <c r="R665" i="7"/>
  <c r="R664" i="7"/>
  <c r="R663" i="7"/>
  <c r="R662" i="7"/>
  <c r="R661" i="7"/>
  <c r="R660" i="7"/>
  <c r="R659" i="7"/>
  <c r="R658" i="7"/>
  <c r="R657" i="7"/>
  <c r="R656" i="7"/>
  <c r="R655" i="7"/>
  <c r="R654" i="7"/>
  <c r="R653" i="7"/>
  <c r="R652" i="7"/>
  <c r="R651" i="7"/>
  <c r="R650" i="7"/>
  <c r="R649" i="7"/>
  <c r="R648" i="7"/>
  <c r="R647" i="7"/>
  <c r="R646" i="7"/>
  <c r="R645" i="7"/>
  <c r="R644" i="7"/>
  <c r="R643" i="7"/>
  <c r="R642" i="7"/>
  <c r="R641" i="7"/>
  <c r="R640" i="7"/>
  <c r="R639" i="7"/>
  <c r="R638" i="7"/>
  <c r="R637" i="7"/>
  <c r="R636" i="7"/>
  <c r="R635" i="7"/>
  <c r="R634" i="7"/>
  <c r="R633" i="7"/>
  <c r="R632" i="7"/>
  <c r="R631" i="7"/>
  <c r="R630" i="7"/>
  <c r="R629" i="7"/>
  <c r="R628" i="7"/>
  <c r="R627" i="7"/>
  <c r="R626" i="7"/>
  <c r="R625" i="7"/>
  <c r="R624" i="7"/>
  <c r="R623" i="7"/>
  <c r="R622" i="7"/>
  <c r="R621" i="7"/>
  <c r="R620" i="7"/>
  <c r="R619" i="7"/>
  <c r="R618" i="7"/>
  <c r="R617" i="7"/>
  <c r="R616" i="7"/>
  <c r="R615" i="7"/>
  <c r="R614" i="7"/>
  <c r="R613" i="7"/>
  <c r="R612" i="7"/>
  <c r="R611" i="7"/>
  <c r="R610" i="7"/>
  <c r="R609" i="7"/>
  <c r="R608" i="7"/>
  <c r="R607" i="7"/>
  <c r="R606" i="7"/>
  <c r="R605" i="7"/>
  <c r="R604" i="7"/>
  <c r="R603" i="7"/>
  <c r="R602" i="7"/>
  <c r="R601" i="7"/>
  <c r="R600" i="7"/>
  <c r="R599" i="7"/>
  <c r="R598" i="7"/>
  <c r="R597" i="7"/>
  <c r="R596" i="7"/>
  <c r="R595" i="7"/>
  <c r="R594" i="7"/>
  <c r="R593" i="7"/>
  <c r="R592" i="7"/>
  <c r="R591" i="7"/>
  <c r="R590" i="7"/>
  <c r="R589" i="7"/>
  <c r="R588" i="7"/>
  <c r="R587" i="7"/>
  <c r="R586" i="7"/>
  <c r="R585" i="7"/>
  <c r="R584" i="7"/>
  <c r="R583" i="7"/>
  <c r="R582" i="7"/>
  <c r="R581" i="7"/>
  <c r="R580" i="7"/>
  <c r="R579" i="7"/>
  <c r="R578" i="7"/>
  <c r="R577" i="7"/>
  <c r="R576" i="7"/>
  <c r="R575" i="7"/>
  <c r="R574" i="7"/>
  <c r="R573" i="7"/>
  <c r="R572" i="7"/>
  <c r="R571" i="7"/>
  <c r="R570" i="7"/>
  <c r="R569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5" i="7"/>
  <c r="R554" i="7"/>
  <c r="R553" i="7"/>
  <c r="R552" i="7"/>
  <c r="R551" i="7"/>
  <c r="R550" i="7"/>
  <c r="R549" i="7"/>
  <c r="R548" i="7"/>
  <c r="R547" i="7"/>
  <c r="R546" i="7"/>
  <c r="R545" i="7"/>
  <c r="R544" i="7"/>
  <c r="R543" i="7"/>
  <c r="R542" i="7"/>
  <c r="R541" i="7"/>
  <c r="R540" i="7"/>
  <c r="R539" i="7"/>
  <c r="R538" i="7"/>
  <c r="R537" i="7"/>
  <c r="R536" i="7"/>
  <c r="R535" i="7"/>
  <c r="R534" i="7"/>
  <c r="R533" i="7"/>
  <c r="R532" i="7"/>
  <c r="R531" i="7"/>
  <c r="R530" i="7"/>
  <c r="R529" i="7"/>
  <c r="R528" i="7"/>
  <c r="R527" i="7"/>
  <c r="R526" i="7"/>
  <c r="R525" i="7"/>
  <c r="R524" i="7"/>
  <c r="R523" i="7"/>
  <c r="R522" i="7"/>
  <c r="R521" i="7"/>
  <c r="R520" i="7"/>
  <c r="R519" i="7"/>
  <c r="R518" i="7"/>
  <c r="R517" i="7"/>
  <c r="R516" i="7"/>
  <c r="R515" i="7"/>
  <c r="R514" i="7"/>
  <c r="R513" i="7"/>
  <c r="R512" i="7"/>
  <c r="R511" i="7"/>
  <c r="R510" i="7"/>
  <c r="R509" i="7"/>
  <c r="R508" i="7"/>
  <c r="R507" i="7"/>
  <c r="R506" i="7"/>
  <c r="R505" i="7"/>
  <c r="R504" i="7"/>
  <c r="R503" i="7"/>
  <c r="R502" i="7"/>
  <c r="R501" i="7"/>
  <c r="R500" i="7"/>
  <c r="R499" i="7"/>
  <c r="R498" i="7"/>
  <c r="R497" i="7"/>
  <c r="R496" i="7"/>
  <c r="R495" i="7"/>
  <c r="R494" i="7"/>
  <c r="R493" i="7"/>
  <c r="R492" i="7"/>
  <c r="R491" i="7"/>
  <c r="R490" i="7"/>
  <c r="R489" i="7"/>
  <c r="R488" i="7"/>
  <c r="R487" i="7"/>
  <c r="R486" i="7"/>
  <c r="R485" i="7"/>
  <c r="R484" i="7"/>
  <c r="R483" i="7"/>
  <c r="R482" i="7"/>
  <c r="R481" i="7"/>
  <c r="R480" i="7"/>
  <c r="R479" i="7"/>
  <c r="R478" i="7"/>
  <c r="R477" i="7"/>
  <c r="R476" i="7"/>
  <c r="R475" i="7"/>
  <c r="R474" i="7"/>
  <c r="R473" i="7"/>
  <c r="R472" i="7"/>
  <c r="R471" i="7"/>
  <c r="R470" i="7"/>
  <c r="R469" i="7"/>
  <c r="R468" i="7"/>
  <c r="R467" i="7"/>
  <c r="R466" i="7"/>
  <c r="R465" i="7"/>
  <c r="R464" i="7"/>
  <c r="R463" i="7"/>
  <c r="R462" i="7"/>
  <c r="R461" i="7"/>
  <c r="R460" i="7"/>
  <c r="R459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38" i="7"/>
  <c r="R437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414" i="7"/>
  <c r="R413" i="7"/>
  <c r="R412" i="7"/>
  <c r="R411" i="7"/>
  <c r="R410" i="7"/>
  <c r="R409" i="7"/>
  <c r="R408" i="7"/>
  <c r="R407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8" i="7"/>
  <c r="R387" i="7"/>
  <c r="R386" i="7"/>
  <c r="R385" i="7"/>
  <c r="R384" i="7"/>
  <c r="R383" i="7"/>
  <c r="R382" i="7"/>
  <c r="R381" i="7"/>
  <c r="R380" i="7"/>
  <c r="R379" i="7"/>
  <c r="R378" i="7"/>
  <c r="R377" i="7"/>
  <c r="R376" i="7"/>
  <c r="R375" i="7"/>
  <c r="R374" i="7"/>
  <c r="R373" i="7"/>
  <c r="R372" i="7"/>
  <c r="R371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2" i="7"/>
  <c r="T5" i="8"/>
  <c r="P1865" i="7" l="1"/>
  <c r="Q1865" i="7" s="1"/>
  <c r="P1864" i="7"/>
  <c r="Q1864" i="7" s="1"/>
  <c r="P1863" i="7"/>
  <c r="Q1863" i="7" s="1"/>
  <c r="P1862" i="7"/>
  <c r="Q1862" i="7" s="1"/>
  <c r="P1861" i="7"/>
  <c r="P1860" i="7"/>
  <c r="Q1860" i="7" s="1"/>
  <c r="P1859" i="7"/>
  <c r="Q1859" i="7" s="1"/>
  <c r="P1858" i="7"/>
  <c r="P1857" i="7"/>
  <c r="Q1857" i="7" s="1"/>
  <c r="P1856" i="7"/>
  <c r="P1855" i="7"/>
  <c r="P1854" i="7"/>
  <c r="P1853" i="7"/>
  <c r="P1852" i="7"/>
  <c r="P1851" i="7"/>
  <c r="P1850" i="7"/>
  <c r="P1849" i="7"/>
  <c r="P1848" i="7"/>
  <c r="P1847" i="7"/>
  <c r="P1846" i="7"/>
  <c r="P1845" i="7"/>
  <c r="P1844" i="7"/>
  <c r="P1843" i="7"/>
  <c r="P1842" i="7"/>
  <c r="P1841" i="7"/>
  <c r="P1840" i="7"/>
  <c r="P1839" i="7"/>
  <c r="P1838" i="7"/>
  <c r="Q1838" i="7" s="1"/>
  <c r="P1837" i="7"/>
  <c r="P1836" i="7"/>
  <c r="P1835" i="7"/>
  <c r="P1834" i="7"/>
  <c r="P1833" i="7"/>
  <c r="P1832" i="7"/>
  <c r="P1831" i="7"/>
  <c r="P1830" i="7"/>
  <c r="Q1830" i="7" s="1"/>
  <c r="P1829" i="7"/>
  <c r="P1828" i="7"/>
  <c r="Q1828" i="7" s="1"/>
  <c r="P1827" i="7"/>
  <c r="Q1827" i="7" s="1"/>
  <c r="P1826" i="7"/>
  <c r="Q1826" i="7" s="1"/>
  <c r="P1825" i="7"/>
  <c r="P1824" i="7"/>
  <c r="P1823" i="7"/>
  <c r="P1822" i="7"/>
  <c r="P1821" i="7"/>
  <c r="P1820" i="7"/>
  <c r="P1819" i="7"/>
  <c r="Q1819" i="7" s="1"/>
  <c r="P1818" i="7"/>
  <c r="P1817" i="7"/>
  <c r="P1816" i="7"/>
  <c r="P1815" i="7"/>
  <c r="Q1815" i="7" s="1"/>
  <c r="P1814" i="7"/>
  <c r="Q1814" i="7" s="1"/>
  <c r="P1813" i="7"/>
  <c r="P1812" i="7"/>
  <c r="Q1812" i="7" s="1"/>
  <c r="P1811" i="7"/>
  <c r="Q1811" i="7" s="1"/>
  <c r="P1810" i="7"/>
  <c r="Q1810" i="7" s="1"/>
  <c r="P1809" i="7"/>
  <c r="P1808" i="7"/>
  <c r="Q1808" i="7" s="1"/>
  <c r="P1807" i="7"/>
  <c r="P1806" i="7"/>
  <c r="P1805" i="7"/>
  <c r="P1804" i="7"/>
  <c r="P1803" i="7"/>
  <c r="Q1803" i="7" s="1"/>
  <c r="P1802" i="7"/>
  <c r="P1801" i="7"/>
  <c r="P1800" i="7"/>
  <c r="P1799" i="7"/>
  <c r="Q1799" i="7" s="1"/>
  <c r="P1798" i="7"/>
  <c r="P1797" i="7"/>
  <c r="Q1797" i="7" s="1"/>
  <c r="P1796" i="7"/>
  <c r="P1795" i="7"/>
  <c r="P1794" i="7"/>
  <c r="P1793" i="7"/>
  <c r="P1792" i="7"/>
  <c r="Q1792" i="7" s="1"/>
  <c r="P1791" i="7"/>
  <c r="Q1791" i="7" s="1"/>
  <c r="P1790" i="7"/>
  <c r="P1789" i="7"/>
  <c r="Q1789" i="7" s="1"/>
  <c r="P1788" i="7"/>
  <c r="Q1788" i="7" s="1"/>
  <c r="P1787" i="7"/>
  <c r="P1786" i="7"/>
  <c r="P1785" i="7"/>
  <c r="P1784" i="7"/>
  <c r="P1783" i="7"/>
  <c r="Q1783" i="7" s="1"/>
  <c r="P1782" i="7"/>
  <c r="P1781" i="7"/>
  <c r="Q1781" i="7" s="1"/>
  <c r="P1780" i="7"/>
  <c r="P1779" i="7"/>
  <c r="P1778" i="7"/>
  <c r="P1777" i="7"/>
  <c r="P1776" i="7"/>
  <c r="Q1776" i="7" s="1"/>
  <c r="P1775" i="7"/>
  <c r="Q1775" i="7" s="1"/>
  <c r="P1774" i="7"/>
  <c r="P1773" i="7"/>
  <c r="P1772" i="7"/>
  <c r="P1771" i="7"/>
  <c r="P1770" i="7"/>
  <c r="Q1770" i="7" s="1"/>
  <c r="P1769" i="7"/>
  <c r="P1768" i="7"/>
  <c r="P1767" i="7"/>
  <c r="P1766" i="7"/>
  <c r="P1765" i="7"/>
  <c r="P1764" i="7"/>
  <c r="P1763" i="7"/>
  <c r="P1762" i="7"/>
  <c r="Q1762" i="7" s="1"/>
  <c r="P1761" i="7"/>
  <c r="P1760" i="7"/>
  <c r="Q1760" i="7" s="1"/>
  <c r="P1759" i="7"/>
  <c r="P1758" i="7"/>
  <c r="Q1758" i="7" s="1"/>
  <c r="P1757" i="7"/>
  <c r="Q1757" i="7" s="1"/>
  <c r="P1756" i="7"/>
  <c r="P1755" i="7"/>
  <c r="P1754" i="7"/>
  <c r="P1753" i="7"/>
  <c r="P1752" i="7"/>
  <c r="Q1752" i="7" s="1"/>
  <c r="P1751" i="7"/>
  <c r="P1750" i="7"/>
  <c r="P1749" i="7"/>
  <c r="P1748" i="7"/>
  <c r="P1747" i="7"/>
  <c r="P1746" i="7"/>
  <c r="Q1746" i="7" s="1"/>
  <c r="P1745" i="7"/>
  <c r="Q1745" i="7" s="1"/>
  <c r="P1744" i="7"/>
  <c r="Q1744" i="7" s="1"/>
  <c r="P1743" i="7"/>
  <c r="P1742" i="7"/>
  <c r="Q1742" i="7" s="1"/>
  <c r="P1741" i="7"/>
  <c r="P1740" i="7"/>
  <c r="P1739" i="7"/>
  <c r="Q1739" i="7" s="1"/>
  <c r="P1738" i="7"/>
  <c r="Q1738" i="7" s="1"/>
  <c r="P1737" i="7"/>
  <c r="P1736" i="7"/>
  <c r="Q1736" i="7" s="1"/>
  <c r="P1735" i="7"/>
  <c r="P1734" i="7"/>
  <c r="P1733" i="7"/>
  <c r="P1732" i="7"/>
  <c r="Q1732" i="7" s="1"/>
  <c r="P1731" i="7"/>
  <c r="P1730" i="7"/>
  <c r="Q1730" i="7" s="1"/>
  <c r="P1729" i="7"/>
  <c r="P1728" i="7"/>
  <c r="Q1728" i="7" s="1"/>
  <c r="P1727" i="7"/>
  <c r="P1726" i="7"/>
  <c r="P1725" i="7"/>
  <c r="P1724" i="7"/>
  <c r="Q1724" i="7" s="1"/>
  <c r="P1723" i="7"/>
  <c r="P1722" i="7"/>
  <c r="Q1722" i="7" s="1"/>
  <c r="P1721" i="7"/>
  <c r="P1720" i="7"/>
  <c r="Q1720" i="7" s="1"/>
  <c r="P1719" i="7"/>
  <c r="P1718" i="7"/>
  <c r="P1717" i="7"/>
  <c r="P1716" i="7"/>
  <c r="P1715" i="7"/>
  <c r="P1714" i="7"/>
  <c r="P1713" i="7"/>
  <c r="P1712" i="7"/>
  <c r="Q1712" i="7" s="1"/>
  <c r="P1711" i="7"/>
  <c r="Q1711" i="7" s="1"/>
  <c r="P1710" i="7"/>
  <c r="P1709" i="7"/>
  <c r="P1708" i="7"/>
  <c r="P1707" i="7"/>
  <c r="P1706" i="7"/>
  <c r="P1705" i="7"/>
  <c r="P1704" i="7"/>
  <c r="Q1704" i="7" s="1"/>
  <c r="P1703" i="7"/>
  <c r="Q1703" i="7" s="1"/>
  <c r="P1702" i="7"/>
  <c r="P1701" i="7"/>
  <c r="P1700" i="7"/>
  <c r="P1699" i="7"/>
  <c r="P1698" i="7"/>
  <c r="P1697" i="7"/>
  <c r="P1696" i="7"/>
  <c r="Q1696" i="7" s="1"/>
  <c r="P1695" i="7"/>
  <c r="P1694" i="7"/>
  <c r="P1693" i="7"/>
  <c r="P1692" i="7"/>
  <c r="P1691" i="7"/>
  <c r="P1690" i="7"/>
  <c r="P1689" i="7"/>
  <c r="P1688" i="7"/>
  <c r="P1687" i="7"/>
  <c r="Q1687" i="7" s="1"/>
  <c r="P1686" i="7"/>
  <c r="P1685" i="7"/>
  <c r="P1684" i="7"/>
  <c r="P1683" i="7"/>
  <c r="P1682" i="7"/>
  <c r="P1681" i="7"/>
  <c r="P1680" i="7"/>
  <c r="P1679" i="7"/>
  <c r="Q1679" i="7" s="1"/>
  <c r="P1678" i="7"/>
  <c r="P1677" i="7"/>
  <c r="P1676" i="7"/>
  <c r="P1675" i="7"/>
  <c r="P1674" i="7"/>
  <c r="P1673" i="7"/>
  <c r="P1672" i="7"/>
  <c r="P1671" i="7"/>
  <c r="P1670" i="7"/>
  <c r="P1669" i="7"/>
  <c r="P1668" i="7"/>
  <c r="P1667" i="7"/>
  <c r="P1666" i="7"/>
  <c r="P1665" i="7"/>
  <c r="P1664" i="7"/>
  <c r="Q1664" i="7" s="1"/>
  <c r="P1663" i="7"/>
  <c r="P1662" i="7"/>
  <c r="Q1662" i="7" s="1"/>
  <c r="P1661" i="7"/>
  <c r="Q1661" i="7" s="1"/>
  <c r="P1660" i="7"/>
  <c r="P1659" i="7"/>
  <c r="P1658" i="7"/>
  <c r="P1657" i="7"/>
  <c r="P1656" i="7"/>
  <c r="Q1656" i="7" s="1"/>
  <c r="P1655" i="7"/>
  <c r="P1654" i="7"/>
  <c r="Q1654" i="7" s="1"/>
  <c r="P1653" i="7"/>
  <c r="P1652" i="7"/>
  <c r="P1651" i="7"/>
  <c r="Q1651" i="7" s="1"/>
  <c r="P1650" i="7"/>
  <c r="P1649" i="7"/>
  <c r="P1648" i="7"/>
  <c r="P1647" i="7"/>
  <c r="P1646" i="7"/>
  <c r="P1645" i="7"/>
  <c r="P1644" i="7"/>
  <c r="P1643" i="7"/>
  <c r="P1642" i="7"/>
  <c r="P1641" i="7"/>
  <c r="P1640" i="7"/>
  <c r="P1639" i="7"/>
  <c r="P1638" i="7"/>
  <c r="P1637" i="7"/>
  <c r="P1636" i="7"/>
  <c r="P1635" i="7"/>
  <c r="P1634" i="7"/>
  <c r="P1633" i="7"/>
  <c r="P1632" i="7"/>
  <c r="P1631" i="7"/>
  <c r="P1630" i="7"/>
  <c r="P1629" i="7"/>
  <c r="P1628" i="7"/>
  <c r="P1627" i="7"/>
  <c r="P1626" i="7"/>
  <c r="P1625" i="7"/>
  <c r="P1624" i="7"/>
  <c r="P1623" i="7"/>
  <c r="P1622" i="7"/>
  <c r="P1621" i="7"/>
  <c r="P1620" i="7"/>
  <c r="P1619" i="7"/>
  <c r="P1618" i="7"/>
  <c r="P1617" i="7"/>
  <c r="P1616" i="7"/>
  <c r="P1615" i="7"/>
  <c r="P1614" i="7"/>
  <c r="P1613" i="7"/>
  <c r="P1612" i="7"/>
  <c r="P1611" i="7"/>
  <c r="P1610" i="7"/>
  <c r="P1609" i="7"/>
  <c r="P1608" i="7"/>
  <c r="P1607" i="7"/>
  <c r="P1606" i="7"/>
  <c r="P1605" i="7"/>
  <c r="P1604" i="7"/>
  <c r="P1603" i="7"/>
  <c r="Q1603" i="7" s="1"/>
  <c r="P1602" i="7"/>
  <c r="P1601" i="7"/>
  <c r="Q1601" i="7" s="1"/>
  <c r="P1600" i="7"/>
  <c r="P1599" i="7"/>
  <c r="P1598" i="7"/>
  <c r="P1597" i="7"/>
  <c r="P1596" i="7"/>
  <c r="Q1596" i="7" s="1"/>
  <c r="P1595" i="7"/>
  <c r="P1594" i="7"/>
  <c r="P1593" i="7"/>
  <c r="P1592" i="7"/>
  <c r="Q1592" i="7" s="1"/>
  <c r="P1591" i="7"/>
  <c r="P1590" i="7"/>
  <c r="P1589" i="7"/>
  <c r="P1588" i="7"/>
  <c r="P1587" i="7"/>
  <c r="Q1587" i="7" s="1"/>
  <c r="P1586" i="7"/>
  <c r="P1585" i="7"/>
  <c r="Q1585" i="7" s="1"/>
  <c r="P1584" i="7"/>
  <c r="P1583" i="7"/>
  <c r="P1582" i="7"/>
  <c r="Q1582" i="7" s="1"/>
  <c r="P1581" i="7"/>
  <c r="P1580" i="7"/>
  <c r="P1579" i="7"/>
  <c r="P1578" i="7"/>
  <c r="P1577" i="7"/>
  <c r="P1576" i="7"/>
  <c r="P1575" i="7"/>
  <c r="P1574" i="7"/>
  <c r="Q1574" i="7" s="1"/>
  <c r="P1573" i="7"/>
  <c r="P1572" i="7"/>
  <c r="P1571" i="7"/>
  <c r="P1570" i="7"/>
  <c r="Q1570" i="7" s="1"/>
  <c r="P1569" i="7"/>
  <c r="P1568" i="7"/>
  <c r="P1567" i="7"/>
  <c r="P1566" i="7"/>
  <c r="P1565" i="7"/>
  <c r="P1564" i="7"/>
  <c r="P1563" i="7"/>
  <c r="P1562" i="7"/>
  <c r="P1561" i="7"/>
  <c r="P1560" i="7"/>
  <c r="P1559" i="7"/>
  <c r="P1558" i="7"/>
  <c r="P1557" i="7"/>
  <c r="P1556" i="7"/>
  <c r="P1555" i="7"/>
  <c r="Q1555" i="7" s="1"/>
  <c r="P1554" i="7"/>
  <c r="P1553" i="7"/>
  <c r="P1552" i="7"/>
  <c r="P1551" i="7"/>
  <c r="P1550" i="7"/>
  <c r="P1549" i="7"/>
  <c r="P1548" i="7"/>
  <c r="P1547" i="7"/>
  <c r="Q1547" i="7" s="1"/>
  <c r="P1546" i="7"/>
  <c r="Q1546" i="7" s="1"/>
  <c r="P1545" i="7"/>
  <c r="P1544" i="7"/>
  <c r="P1543" i="7"/>
  <c r="P1542" i="7"/>
  <c r="P1541" i="7"/>
  <c r="P1540" i="7"/>
  <c r="P1539" i="7"/>
  <c r="P1538" i="7"/>
  <c r="P1537" i="7"/>
  <c r="P1536" i="7"/>
  <c r="P1535" i="7"/>
  <c r="P1534" i="7"/>
  <c r="P1533" i="7"/>
  <c r="P1532" i="7"/>
  <c r="P1531" i="7"/>
  <c r="P1530" i="7"/>
  <c r="P1529" i="7"/>
  <c r="P1528" i="7"/>
  <c r="Q1528" i="7" s="1"/>
  <c r="P1527" i="7"/>
  <c r="P1526" i="7"/>
  <c r="P1525" i="7"/>
  <c r="P1524" i="7"/>
  <c r="Q1524" i="7" s="1"/>
  <c r="P1523" i="7"/>
  <c r="Q1523" i="7" s="1"/>
  <c r="P1522" i="7"/>
  <c r="P1521" i="7"/>
  <c r="P1520" i="7"/>
  <c r="P1519" i="7"/>
  <c r="P1518" i="7"/>
  <c r="P1517" i="7"/>
  <c r="P1516" i="7"/>
  <c r="Q1516" i="7" s="1"/>
  <c r="P1515" i="7"/>
  <c r="P1514" i="7"/>
  <c r="P1513" i="7"/>
  <c r="P1512" i="7"/>
  <c r="P1511" i="7"/>
  <c r="P1510" i="7"/>
  <c r="P1509" i="7"/>
  <c r="Q1509" i="7" s="1"/>
  <c r="P1508" i="7"/>
  <c r="P1507" i="7"/>
  <c r="Q1507" i="7" s="1"/>
  <c r="P1506" i="7"/>
  <c r="Q1506" i="7" s="1"/>
  <c r="P1505" i="7"/>
  <c r="P1504" i="7"/>
  <c r="P1503" i="7"/>
  <c r="P1502" i="7"/>
  <c r="P1501" i="7"/>
  <c r="Q1501" i="7" s="1"/>
  <c r="P1500" i="7"/>
  <c r="P1499" i="7"/>
  <c r="P1498" i="7"/>
  <c r="P1497" i="7"/>
  <c r="P1496" i="7"/>
  <c r="P1495" i="7"/>
  <c r="Q1495" i="7" s="1"/>
  <c r="P1494" i="7"/>
  <c r="P1493" i="7"/>
  <c r="P1492" i="7"/>
  <c r="P1491" i="7"/>
  <c r="P1490" i="7"/>
  <c r="P1489" i="7"/>
  <c r="P1488" i="7"/>
  <c r="P1487" i="7"/>
  <c r="Q1487" i="7" s="1"/>
  <c r="P1486" i="7"/>
  <c r="P1485" i="7"/>
  <c r="P1484" i="7"/>
  <c r="Q1484" i="7" s="1"/>
  <c r="P1483" i="7"/>
  <c r="P1482" i="7"/>
  <c r="P1481" i="7"/>
  <c r="P1480" i="7"/>
  <c r="P1479" i="7"/>
  <c r="P1478" i="7"/>
  <c r="P1477" i="7"/>
  <c r="P1476" i="7"/>
  <c r="P1475" i="7"/>
  <c r="P1474" i="7"/>
  <c r="P1473" i="7"/>
  <c r="P1472" i="7"/>
  <c r="P1471" i="7"/>
  <c r="P1470" i="7"/>
  <c r="P1469" i="7"/>
  <c r="P1468" i="7"/>
  <c r="P1467" i="7"/>
  <c r="P1466" i="7"/>
  <c r="P1465" i="7"/>
  <c r="P1464" i="7"/>
  <c r="P1463" i="7"/>
  <c r="P1462" i="7"/>
  <c r="P1461" i="7"/>
  <c r="P1460" i="7"/>
  <c r="P1459" i="7"/>
  <c r="Q1459" i="7" s="1"/>
  <c r="P1458" i="7"/>
  <c r="P1457" i="7"/>
  <c r="P1456" i="7"/>
  <c r="P1455" i="7"/>
  <c r="P1454" i="7"/>
  <c r="P1453" i="7"/>
  <c r="Q1453" i="7" s="1"/>
  <c r="P1452" i="7"/>
  <c r="P1451" i="7"/>
  <c r="P1450" i="7"/>
  <c r="P1449" i="7"/>
  <c r="P1448" i="7"/>
  <c r="P1447" i="7"/>
  <c r="Q1447" i="7" s="1"/>
  <c r="P1446" i="7"/>
  <c r="P1445" i="7"/>
  <c r="P1444" i="7"/>
  <c r="P1443" i="7"/>
  <c r="P1442" i="7"/>
  <c r="P1441" i="7"/>
  <c r="P1440" i="7"/>
  <c r="P1439" i="7"/>
  <c r="P1438" i="7"/>
  <c r="P1437" i="7"/>
  <c r="P1436" i="7"/>
  <c r="P1435" i="7"/>
  <c r="Q1435" i="7" s="1"/>
  <c r="P1434" i="7"/>
  <c r="P1433" i="7"/>
  <c r="P1432" i="7"/>
  <c r="P1431" i="7"/>
  <c r="Q1431" i="7" s="1"/>
  <c r="P1430" i="7"/>
  <c r="P1429" i="7"/>
  <c r="P1428" i="7"/>
  <c r="P1427" i="7"/>
  <c r="P1426" i="7"/>
  <c r="P1425" i="7"/>
  <c r="P1424" i="7"/>
  <c r="P1423" i="7"/>
  <c r="P1422" i="7"/>
  <c r="P1421" i="7"/>
  <c r="P1420" i="7"/>
  <c r="P1419" i="7"/>
  <c r="P1418" i="7"/>
  <c r="P1417" i="7"/>
  <c r="P1416" i="7"/>
  <c r="P1415" i="7"/>
  <c r="P1414" i="7"/>
  <c r="P1413" i="7"/>
  <c r="P1412" i="7"/>
  <c r="P1411" i="7"/>
  <c r="P1410" i="7"/>
  <c r="P1409" i="7"/>
  <c r="P1408" i="7"/>
  <c r="P1407" i="7"/>
  <c r="P1406" i="7"/>
  <c r="P1405" i="7"/>
  <c r="P1404" i="7"/>
  <c r="Q1404" i="7" s="1"/>
  <c r="P1403" i="7"/>
  <c r="Q1403" i="7" s="1"/>
  <c r="P1402" i="7"/>
  <c r="P1401" i="7"/>
  <c r="P1400" i="7"/>
  <c r="P1399" i="7"/>
  <c r="P1398" i="7"/>
  <c r="P1397" i="7"/>
  <c r="P1396" i="7"/>
  <c r="P1395" i="7"/>
  <c r="P1394" i="7"/>
  <c r="Q1394" i="7" s="1"/>
  <c r="P1393" i="7"/>
  <c r="P1392" i="7"/>
  <c r="P1391" i="7"/>
  <c r="P1390" i="7"/>
  <c r="P1389" i="7"/>
  <c r="P1388" i="7"/>
  <c r="P1387" i="7"/>
  <c r="P1386" i="7"/>
  <c r="P1385" i="7"/>
  <c r="P1384" i="7"/>
  <c r="P1383" i="7"/>
  <c r="P1382" i="7"/>
  <c r="P1381" i="7"/>
  <c r="P1380" i="7"/>
  <c r="P1379" i="7"/>
  <c r="P1378" i="7"/>
  <c r="P1377" i="7"/>
  <c r="P1376" i="7"/>
  <c r="P1375" i="7"/>
  <c r="P1374" i="7"/>
  <c r="P1373" i="7"/>
  <c r="P1372" i="7"/>
  <c r="P1371" i="7"/>
  <c r="P1370" i="7"/>
  <c r="P1369" i="7"/>
  <c r="P1368" i="7"/>
  <c r="P1367" i="7"/>
  <c r="P1366" i="7"/>
  <c r="P1365" i="7"/>
  <c r="P1364" i="7"/>
  <c r="P1363" i="7"/>
  <c r="P1362" i="7"/>
  <c r="Q1362" i="7" s="1"/>
  <c r="P1361" i="7"/>
  <c r="P1360" i="7"/>
  <c r="P1359" i="7"/>
  <c r="P1358" i="7"/>
  <c r="P1357" i="7"/>
  <c r="P1356" i="7"/>
  <c r="P1355" i="7"/>
  <c r="P1354" i="7"/>
  <c r="P1353" i="7"/>
  <c r="P1352" i="7"/>
  <c r="P1351" i="7"/>
  <c r="P1350" i="7"/>
  <c r="P1349" i="7"/>
  <c r="P1348" i="7"/>
  <c r="P1347" i="7"/>
  <c r="Q1347" i="7" s="1"/>
  <c r="P1346" i="7"/>
  <c r="P1345" i="7"/>
  <c r="P1344" i="7"/>
  <c r="P1343" i="7"/>
  <c r="P1342" i="7"/>
  <c r="P1341" i="7"/>
  <c r="P1340" i="7"/>
  <c r="P1339" i="7"/>
  <c r="P1338" i="7"/>
  <c r="P1337" i="7"/>
  <c r="P1336" i="7"/>
  <c r="P1335" i="7"/>
  <c r="P1334" i="7"/>
  <c r="P1333" i="7"/>
  <c r="P1332" i="7"/>
  <c r="P1331" i="7"/>
  <c r="P1330" i="7"/>
  <c r="P1329" i="7"/>
  <c r="P1328" i="7"/>
  <c r="P1327" i="7"/>
  <c r="P1326" i="7"/>
  <c r="P1325" i="7"/>
  <c r="P1324" i="7"/>
  <c r="P1323" i="7"/>
  <c r="P1322" i="7"/>
  <c r="P1321" i="7"/>
  <c r="P1320" i="7"/>
  <c r="P1319" i="7"/>
  <c r="P1318" i="7"/>
  <c r="P1317" i="7"/>
  <c r="P1316" i="7"/>
  <c r="Q1316" i="7" s="1"/>
  <c r="P1315" i="7"/>
  <c r="P1314" i="7"/>
  <c r="Q1314" i="7" s="1"/>
  <c r="P1313" i="7"/>
  <c r="Q1313" i="7" s="1"/>
  <c r="P1312" i="7"/>
  <c r="P1311" i="7"/>
  <c r="P1310" i="7"/>
  <c r="P1309" i="7"/>
  <c r="P1308" i="7"/>
  <c r="P1307" i="7"/>
  <c r="P1306" i="7"/>
  <c r="P1305" i="7"/>
  <c r="P1304" i="7"/>
  <c r="P1303" i="7"/>
  <c r="P1302" i="7"/>
  <c r="P1301" i="7"/>
  <c r="P1300" i="7"/>
  <c r="Q1300" i="7" s="1"/>
  <c r="P1299" i="7"/>
  <c r="Q1299" i="7" s="1"/>
  <c r="P1298" i="7"/>
  <c r="P1297" i="7"/>
  <c r="Q1297" i="7" s="1"/>
  <c r="P1296" i="7"/>
  <c r="P1295" i="7"/>
  <c r="P1294" i="7"/>
  <c r="P1293" i="7"/>
  <c r="P1292" i="7"/>
  <c r="P1291" i="7"/>
  <c r="P1290" i="7"/>
  <c r="P1289" i="7"/>
  <c r="P1288" i="7"/>
  <c r="Q1288" i="7" s="1"/>
  <c r="P1287" i="7"/>
  <c r="P1286" i="7"/>
  <c r="P1285" i="7"/>
  <c r="P1284" i="7"/>
  <c r="P1283" i="7"/>
  <c r="P1282" i="7"/>
  <c r="P1281" i="7"/>
  <c r="P1280" i="7"/>
  <c r="Q1280" i="7" s="1"/>
  <c r="P1279" i="7"/>
  <c r="P1278" i="7"/>
  <c r="P1277" i="7"/>
  <c r="P1276" i="7"/>
  <c r="Q1276" i="7" s="1"/>
  <c r="P1275" i="7"/>
  <c r="P1274" i="7"/>
  <c r="P1273" i="7"/>
  <c r="P1272" i="7"/>
  <c r="P1271" i="7"/>
  <c r="Q1271" i="7" s="1"/>
  <c r="P1270" i="7"/>
  <c r="P1269" i="7"/>
  <c r="P1268" i="7"/>
  <c r="P1267" i="7"/>
  <c r="P1266" i="7"/>
  <c r="P1265" i="7"/>
  <c r="P1264" i="7"/>
  <c r="Q1264" i="7"/>
  <c r="P1263" i="7"/>
  <c r="P1262" i="7"/>
  <c r="P1261" i="7"/>
  <c r="P1260" i="7"/>
  <c r="P1259" i="7"/>
  <c r="P1258" i="7"/>
  <c r="P1257" i="7"/>
  <c r="P1256" i="7"/>
  <c r="P1255" i="7"/>
  <c r="P1254" i="7"/>
  <c r="P1253" i="7"/>
  <c r="P1252" i="7"/>
  <c r="P1251" i="7"/>
  <c r="P1250" i="7"/>
  <c r="P1249" i="7"/>
  <c r="P1248" i="7"/>
  <c r="P1247" i="7"/>
  <c r="P1246" i="7"/>
  <c r="P1245" i="7"/>
  <c r="P1244" i="7"/>
  <c r="P1243" i="7"/>
  <c r="P1242" i="7"/>
  <c r="P1241" i="7"/>
  <c r="P1240" i="7"/>
  <c r="P1239" i="7"/>
  <c r="P1238" i="7"/>
  <c r="P1237" i="7"/>
  <c r="P1236" i="7"/>
  <c r="P1235" i="7"/>
  <c r="P1234" i="7"/>
  <c r="P1233" i="7"/>
  <c r="P1232" i="7"/>
  <c r="P1231" i="7"/>
  <c r="P1230" i="7"/>
  <c r="P1229" i="7"/>
  <c r="P1228" i="7"/>
  <c r="Q1228" i="7"/>
  <c r="P1227" i="7"/>
  <c r="Q1227" i="7" s="1"/>
  <c r="P1226" i="7"/>
  <c r="P1225" i="7"/>
  <c r="P1224" i="7"/>
  <c r="P1223" i="7"/>
  <c r="P1222" i="7"/>
  <c r="P1221" i="7"/>
  <c r="P1220" i="7"/>
  <c r="P1219" i="7"/>
  <c r="Q1219" i="7" s="1"/>
  <c r="P1218" i="7"/>
  <c r="P1217" i="7"/>
  <c r="P1216" i="7"/>
  <c r="P1215" i="7"/>
  <c r="P1214" i="7"/>
  <c r="P1213" i="7"/>
  <c r="P1212" i="7"/>
  <c r="P1211" i="7"/>
  <c r="Q1211" i="7" s="1"/>
  <c r="P1210" i="7"/>
  <c r="P1209" i="7"/>
  <c r="P1208" i="7"/>
  <c r="P1207" i="7"/>
  <c r="P1206" i="7"/>
  <c r="P1205" i="7"/>
  <c r="P1204" i="7"/>
  <c r="P1203" i="7"/>
  <c r="P1202" i="7"/>
  <c r="P1201" i="7"/>
  <c r="P1200" i="7"/>
  <c r="P1199" i="7"/>
  <c r="P1198" i="7"/>
  <c r="P1197" i="7"/>
  <c r="P1196" i="7"/>
  <c r="P1195" i="7"/>
  <c r="P1194" i="7"/>
  <c r="P1193" i="7"/>
  <c r="P1192" i="7"/>
  <c r="Q1192" i="7" s="1"/>
  <c r="P1191" i="7"/>
  <c r="P1190" i="7"/>
  <c r="P1189" i="7"/>
  <c r="P1188" i="7"/>
  <c r="P1187" i="7"/>
  <c r="P1186" i="7"/>
  <c r="P1185" i="7"/>
  <c r="Q1185" i="7" s="1"/>
  <c r="P1184" i="7"/>
  <c r="Q1184" i="7" s="1"/>
  <c r="P1183" i="7"/>
  <c r="P1182" i="7"/>
  <c r="P1181" i="7"/>
  <c r="P1180" i="7"/>
  <c r="P1179" i="7"/>
  <c r="P1178" i="7"/>
  <c r="Q1178" i="7" s="1"/>
  <c r="P1177" i="7"/>
  <c r="Q1177" i="7" s="1"/>
  <c r="P1176" i="7"/>
  <c r="Q1176" i="7" s="1"/>
  <c r="P1175" i="7"/>
  <c r="P1174" i="7"/>
  <c r="P1173" i="7"/>
  <c r="P1172" i="7"/>
  <c r="P1171" i="7"/>
  <c r="P1170" i="7"/>
  <c r="P1169" i="7"/>
  <c r="P1168" i="7"/>
  <c r="P1167" i="7"/>
  <c r="P1166" i="7"/>
  <c r="P1165" i="7"/>
  <c r="P1164" i="7"/>
  <c r="P1163" i="7"/>
  <c r="P1162" i="7"/>
  <c r="P1161" i="7"/>
  <c r="P1160" i="7"/>
  <c r="P1159" i="7"/>
  <c r="P1158" i="7"/>
  <c r="P1157" i="7"/>
  <c r="P1156" i="7"/>
  <c r="P1155" i="7"/>
  <c r="Q1155" i="7" s="1"/>
  <c r="P1154" i="7"/>
  <c r="P1153" i="7"/>
  <c r="P1152" i="7"/>
  <c r="P1151" i="7"/>
  <c r="Q1151" i="7" s="1"/>
  <c r="P1150" i="7"/>
  <c r="P1149" i="7"/>
  <c r="P1148" i="7"/>
  <c r="P1147" i="7"/>
  <c r="P1146" i="7"/>
  <c r="P1145" i="7"/>
  <c r="P1144" i="7"/>
  <c r="P1143" i="7"/>
  <c r="Q1143" i="7" s="1"/>
  <c r="P1142" i="7"/>
  <c r="P1141" i="7"/>
  <c r="P1140" i="7"/>
  <c r="P1139" i="7"/>
  <c r="P1138" i="7"/>
  <c r="P1137" i="7"/>
  <c r="P1136" i="7"/>
  <c r="P1135" i="7"/>
  <c r="Q1135" i="7" s="1"/>
  <c r="P1134" i="7"/>
  <c r="P1133" i="7"/>
  <c r="P1132" i="7"/>
  <c r="P1131" i="7"/>
  <c r="P1130" i="7"/>
  <c r="P1129" i="7"/>
  <c r="P1128" i="7"/>
  <c r="P1127" i="7"/>
  <c r="Q1127" i="7" s="1"/>
  <c r="P1126" i="7"/>
  <c r="P1125" i="7"/>
  <c r="P1124" i="7"/>
  <c r="P1123" i="7"/>
  <c r="P1122" i="7"/>
  <c r="P1121" i="7"/>
  <c r="P1120" i="7"/>
  <c r="P1119" i="7"/>
  <c r="P1118" i="7"/>
  <c r="P1117" i="7"/>
  <c r="P1116" i="7"/>
  <c r="P1115" i="7"/>
  <c r="Q1115" i="7" s="1"/>
  <c r="P1114" i="7"/>
  <c r="P1113" i="7"/>
  <c r="P1112" i="7"/>
  <c r="P1111" i="7"/>
  <c r="P1110" i="7"/>
  <c r="P1109" i="7"/>
  <c r="P1108" i="7"/>
  <c r="Q1108" i="7" s="1"/>
  <c r="P1107" i="7"/>
  <c r="P1106" i="7"/>
  <c r="P1105" i="7"/>
  <c r="P1104" i="7"/>
  <c r="P1103" i="7"/>
  <c r="P1102" i="7"/>
  <c r="P1101" i="7"/>
  <c r="P1100" i="7"/>
  <c r="P1099" i="7"/>
  <c r="P1098" i="7"/>
  <c r="P1097" i="7"/>
  <c r="P1096" i="7"/>
  <c r="P1095" i="7"/>
  <c r="P1094" i="7"/>
  <c r="P1093" i="7"/>
  <c r="P1092" i="7"/>
  <c r="P1091" i="7"/>
  <c r="P1090" i="7"/>
  <c r="P1089" i="7"/>
  <c r="P1088" i="7"/>
  <c r="P1087" i="7"/>
  <c r="P1086" i="7"/>
  <c r="P1085" i="7"/>
  <c r="P1084" i="7"/>
  <c r="P1083" i="7"/>
  <c r="P1082" i="7"/>
  <c r="P1081" i="7"/>
  <c r="P1080" i="7"/>
  <c r="Q1080" i="7" s="1"/>
  <c r="P1079" i="7"/>
  <c r="P1078" i="7"/>
  <c r="P1077" i="7"/>
  <c r="P1076" i="7"/>
  <c r="P1075" i="7"/>
  <c r="P1074" i="7"/>
  <c r="P1073" i="7"/>
  <c r="P1072" i="7"/>
  <c r="Q1072" i="7" s="1"/>
  <c r="P1071" i="7"/>
  <c r="P1070" i="7"/>
  <c r="P1069" i="7"/>
  <c r="P1068" i="7"/>
  <c r="P1067" i="7"/>
  <c r="P1066" i="7"/>
  <c r="P1065" i="7"/>
  <c r="P1064" i="7"/>
  <c r="P1063" i="7"/>
  <c r="P1062" i="7"/>
  <c r="Q1062" i="7" s="1"/>
  <c r="P1061" i="7"/>
  <c r="Q1061" i="7" s="1"/>
  <c r="P1060" i="7"/>
  <c r="P1059" i="7"/>
  <c r="P1058" i="7"/>
  <c r="P1057" i="7"/>
  <c r="P1056" i="7"/>
  <c r="P1055" i="7"/>
  <c r="P1054" i="7"/>
  <c r="P1053" i="7"/>
  <c r="P1052" i="7"/>
  <c r="P1051" i="7"/>
  <c r="P1050" i="7"/>
  <c r="P1049" i="7"/>
  <c r="P1048" i="7"/>
  <c r="P1047" i="7"/>
  <c r="P1046" i="7"/>
  <c r="P1045" i="7"/>
  <c r="P1044" i="7"/>
  <c r="P1043" i="7"/>
  <c r="Q1043" i="7" s="1"/>
  <c r="P1042" i="7"/>
  <c r="P1041" i="7"/>
  <c r="P1040" i="7"/>
  <c r="Q1040" i="7" s="1"/>
  <c r="P1039" i="7"/>
  <c r="P1038" i="7"/>
  <c r="P1037" i="7"/>
  <c r="P1036" i="7"/>
  <c r="P1035" i="7"/>
  <c r="P1034" i="7"/>
  <c r="P1033" i="7"/>
  <c r="Q1033" i="7" s="1"/>
  <c r="P1032" i="7"/>
  <c r="P1031" i="7"/>
  <c r="P1030" i="7"/>
  <c r="Q1030" i="7" s="1"/>
  <c r="P1029" i="7"/>
  <c r="P1028" i="7"/>
  <c r="P1027" i="7"/>
  <c r="P1026" i="7"/>
  <c r="P1025" i="7"/>
  <c r="P1024" i="7"/>
  <c r="Q1024" i="7" s="1"/>
  <c r="P1023" i="7"/>
  <c r="P1022" i="7"/>
  <c r="P1021" i="7"/>
  <c r="P1020" i="7"/>
  <c r="P1019" i="7"/>
  <c r="Q1019" i="7" s="1"/>
  <c r="P1018" i="7"/>
  <c r="P1017" i="7"/>
  <c r="P1016" i="7"/>
  <c r="P1015" i="7"/>
  <c r="P1014" i="7"/>
  <c r="P1013" i="7"/>
  <c r="P1012" i="7"/>
  <c r="P1011" i="7"/>
  <c r="P1010" i="7"/>
  <c r="P1009" i="7"/>
  <c r="P1008" i="7"/>
  <c r="P1007" i="7"/>
  <c r="P1006" i="7"/>
  <c r="P1005" i="7"/>
  <c r="P1004" i="7"/>
  <c r="P1003" i="7"/>
  <c r="P1002" i="7"/>
  <c r="P1001" i="7"/>
  <c r="P1000" i="7"/>
  <c r="P999" i="7"/>
  <c r="P998" i="7"/>
  <c r="P997" i="7"/>
  <c r="P996" i="7"/>
  <c r="P995" i="7"/>
  <c r="P994" i="7"/>
  <c r="P993" i="7"/>
  <c r="P992" i="7"/>
  <c r="P991" i="7"/>
  <c r="P990" i="7"/>
  <c r="Q990" i="7" s="1"/>
  <c r="P989" i="7"/>
  <c r="P988" i="7"/>
  <c r="P987" i="7"/>
  <c r="Q987" i="7" s="1"/>
  <c r="P986" i="7"/>
  <c r="P985" i="7"/>
  <c r="P984" i="7"/>
  <c r="P983" i="7"/>
  <c r="P982" i="7"/>
  <c r="P981" i="7"/>
  <c r="P980" i="7"/>
  <c r="Q980" i="7" s="1"/>
  <c r="P979" i="7"/>
  <c r="P978" i="7"/>
  <c r="P977" i="7"/>
  <c r="P976" i="7"/>
  <c r="P975" i="7"/>
  <c r="P974" i="7"/>
  <c r="P973" i="7"/>
  <c r="P972" i="7"/>
  <c r="P971" i="7"/>
  <c r="P970" i="7"/>
  <c r="P969" i="7"/>
  <c r="P968" i="7"/>
  <c r="Q968" i="7" s="1"/>
  <c r="P967" i="7"/>
  <c r="P966" i="7"/>
  <c r="P965" i="7"/>
  <c r="P964" i="7"/>
  <c r="P963" i="7"/>
  <c r="P962" i="7"/>
  <c r="P961" i="7"/>
  <c r="P960" i="7"/>
  <c r="P959" i="7"/>
  <c r="P958" i="7"/>
  <c r="Q958" i="7" s="1"/>
  <c r="P957" i="7"/>
  <c r="P956" i="7"/>
  <c r="P955" i="7"/>
  <c r="P954" i="7"/>
  <c r="P953" i="7"/>
  <c r="P952" i="7"/>
  <c r="P951" i="7"/>
  <c r="P950" i="7"/>
  <c r="P949" i="7"/>
  <c r="P948" i="7"/>
  <c r="P947" i="7"/>
  <c r="Q947" i="7" s="1"/>
  <c r="P946" i="7"/>
  <c r="P945" i="7"/>
  <c r="P944" i="7"/>
  <c r="Q944" i="7" s="1"/>
  <c r="P943" i="7"/>
  <c r="P942" i="7"/>
  <c r="P941" i="7"/>
  <c r="P940" i="7"/>
  <c r="P939" i="7"/>
  <c r="P938" i="7"/>
  <c r="P937" i="7"/>
  <c r="P936" i="7"/>
  <c r="Q936" i="7" s="1"/>
  <c r="P935" i="7"/>
  <c r="P934" i="7"/>
  <c r="P933" i="7"/>
  <c r="P932" i="7"/>
  <c r="P931" i="7"/>
  <c r="P930" i="7"/>
  <c r="P929" i="7"/>
  <c r="P928" i="7"/>
  <c r="P927" i="7"/>
  <c r="Q927" i="7" s="1"/>
  <c r="P926" i="7"/>
  <c r="P925" i="7"/>
  <c r="Q925" i="7" s="1"/>
  <c r="P924" i="7"/>
  <c r="Q924" i="7" s="1"/>
  <c r="P923" i="7"/>
  <c r="P922" i="7"/>
  <c r="P921" i="7"/>
  <c r="P920" i="7"/>
  <c r="P919" i="7"/>
  <c r="P918" i="7"/>
  <c r="P917" i="7"/>
  <c r="P916" i="7"/>
  <c r="P915" i="7"/>
  <c r="Q915" i="7" s="1"/>
  <c r="P914" i="7"/>
  <c r="P913" i="7"/>
  <c r="P912" i="7"/>
  <c r="P911" i="7"/>
  <c r="P910" i="7"/>
  <c r="P909" i="7"/>
  <c r="P908" i="7"/>
  <c r="Q908" i="7" s="1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Q888" i="7" s="1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Q837" i="7" s="1"/>
  <c r="P836" i="7"/>
  <c r="P835" i="7"/>
  <c r="P834" i="7"/>
  <c r="P833" i="7"/>
  <c r="P832" i="7"/>
  <c r="P831" i="7"/>
  <c r="P830" i="7"/>
  <c r="P829" i="7"/>
  <c r="P828" i="7"/>
  <c r="P827" i="7"/>
  <c r="P826" i="7"/>
  <c r="Q826" i="7" s="1"/>
  <c r="P825" i="7"/>
  <c r="Q825" i="7" s="1"/>
  <c r="P824" i="7"/>
  <c r="P823" i="7"/>
  <c r="P822" i="7"/>
  <c r="P821" i="7"/>
  <c r="P820" i="7"/>
  <c r="P819" i="7"/>
  <c r="P818" i="7"/>
  <c r="P817" i="7"/>
  <c r="Q817" i="7" s="1"/>
  <c r="P816" i="7"/>
  <c r="P815" i="7"/>
  <c r="Q815" i="7" s="1"/>
  <c r="P814" i="7"/>
  <c r="P813" i="7"/>
  <c r="P812" i="7"/>
  <c r="P811" i="7"/>
  <c r="P810" i="7"/>
  <c r="P809" i="7"/>
  <c r="P808" i="7"/>
  <c r="Q808" i="7" s="1"/>
  <c r="P807" i="7"/>
  <c r="P806" i="7"/>
  <c r="P805" i="7"/>
  <c r="P804" i="7"/>
  <c r="P803" i="7"/>
  <c r="P802" i="7"/>
  <c r="P801" i="7"/>
  <c r="Q801" i="7" s="1"/>
  <c r="P800" i="7"/>
  <c r="P799" i="7"/>
  <c r="P798" i="7"/>
  <c r="P797" i="7"/>
  <c r="P796" i="7"/>
  <c r="P795" i="7"/>
  <c r="P794" i="7"/>
  <c r="P793" i="7"/>
  <c r="P792" i="7"/>
  <c r="P791" i="7"/>
  <c r="P790" i="7"/>
  <c r="P789" i="7"/>
  <c r="P788" i="7"/>
  <c r="P787" i="7"/>
  <c r="P786" i="7"/>
  <c r="P785" i="7"/>
  <c r="P784" i="7"/>
  <c r="P783" i="7"/>
  <c r="P782" i="7"/>
  <c r="P781" i="7"/>
  <c r="P780" i="7"/>
  <c r="P779" i="7"/>
  <c r="P778" i="7"/>
  <c r="P777" i="7"/>
  <c r="P776" i="7"/>
  <c r="P775" i="7"/>
  <c r="Q775" i="7" s="1"/>
  <c r="P774" i="7"/>
  <c r="P773" i="7"/>
  <c r="P772" i="7"/>
  <c r="P771" i="7"/>
  <c r="P770" i="7"/>
  <c r="P769" i="7"/>
  <c r="P768" i="7"/>
  <c r="P767" i="7"/>
  <c r="Q767" i="7" s="1"/>
  <c r="P766" i="7"/>
  <c r="Q766" i="7" s="1"/>
  <c r="P765" i="7"/>
  <c r="P764" i="7"/>
  <c r="Q764" i="7" s="1"/>
  <c r="P763" i="7"/>
  <c r="Q763" i="7" s="1"/>
  <c r="P762" i="7"/>
  <c r="P761" i="7"/>
  <c r="P760" i="7"/>
  <c r="P759" i="7"/>
  <c r="P758" i="7"/>
  <c r="P757" i="7"/>
  <c r="P756" i="7"/>
  <c r="P755" i="7"/>
  <c r="P754" i="7"/>
  <c r="Q754" i="7" s="1"/>
  <c r="P753" i="7"/>
  <c r="P752" i="7"/>
  <c r="P751" i="7"/>
  <c r="Q751" i="7" s="1"/>
  <c r="P750" i="7"/>
  <c r="P749" i="7"/>
  <c r="P748" i="7"/>
  <c r="P747" i="7"/>
  <c r="P746" i="7"/>
  <c r="P745" i="7"/>
  <c r="P744" i="7"/>
  <c r="P743" i="7"/>
  <c r="P742" i="7"/>
  <c r="P741" i="7"/>
  <c r="P740" i="7"/>
  <c r="P739" i="7"/>
  <c r="P738" i="7"/>
  <c r="P737" i="7"/>
  <c r="P736" i="7"/>
  <c r="P735" i="7"/>
  <c r="P734" i="7"/>
  <c r="P733" i="7"/>
  <c r="P732" i="7"/>
  <c r="P731" i="7"/>
  <c r="P730" i="7"/>
  <c r="P729" i="7"/>
  <c r="P728" i="7"/>
  <c r="P727" i="7"/>
  <c r="P726" i="7"/>
  <c r="P725" i="7"/>
  <c r="P724" i="7"/>
  <c r="P723" i="7"/>
  <c r="P722" i="7"/>
  <c r="P721" i="7"/>
  <c r="P720" i="7"/>
  <c r="Q720" i="7" s="1"/>
  <c r="P719" i="7"/>
  <c r="P718" i="7"/>
  <c r="P717" i="7"/>
  <c r="P716" i="7"/>
  <c r="P715" i="7"/>
  <c r="P714" i="7"/>
  <c r="P713" i="7"/>
  <c r="P712" i="7"/>
  <c r="P711" i="7"/>
  <c r="P710" i="7"/>
  <c r="P709" i="7"/>
  <c r="P708" i="7"/>
  <c r="P707" i="7"/>
  <c r="P706" i="7"/>
  <c r="P705" i="7"/>
  <c r="P704" i="7"/>
  <c r="P703" i="7"/>
  <c r="P702" i="7"/>
  <c r="P701" i="7"/>
  <c r="P700" i="7"/>
  <c r="P699" i="7"/>
  <c r="Q699" i="7" s="1"/>
  <c r="P698" i="7"/>
  <c r="P697" i="7"/>
  <c r="P696" i="7"/>
  <c r="P695" i="7"/>
  <c r="Q695" i="7" s="1"/>
  <c r="P694" i="7"/>
  <c r="P693" i="7"/>
  <c r="P692" i="7"/>
  <c r="P691" i="7"/>
  <c r="P690" i="7"/>
  <c r="P689" i="7"/>
  <c r="P688" i="7"/>
  <c r="P687" i="7"/>
  <c r="P686" i="7"/>
  <c r="P685" i="7"/>
  <c r="Q685" i="7" s="1"/>
  <c r="P684" i="7"/>
  <c r="P683" i="7"/>
  <c r="P682" i="7"/>
  <c r="Q682" i="7" s="1"/>
  <c r="P681" i="7"/>
  <c r="P680" i="7"/>
  <c r="P679" i="7"/>
  <c r="P678" i="7"/>
  <c r="P677" i="7"/>
  <c r="P676" i="7"/>
  <c r="P675" i="7"/>
  <c r="P674" i="7"/>
  <c r="P673" i="7"/>
  <c r="P672" i="7"/>
  <c r="P671" i="7"/>
  <c r="P670" i="7"/>
  <c r="P669" i="7"/>
  <c r="P668" i="7"/>
  <c r="Q668" i="7" s="1"/>
  <c r="P667" i="7"/>
  <c r="P666" i="7"/>
  <c r="P665" i="7"/>
  <c r="P664" i="7"/>
  <c r="P663" i="7"/>
  <c r="P662" i="7"/>
  <c r="P661" i="7"/>
  <c r="P660" i="7"/>
  <c r="P659" i="7"/>
  <c r="P658" i="7"/>
  <c r="P657" i="7"/>
  <c r="P656" i="7"/>
  <c r="P655" i="7"/>
  <c r="P654" i="7"/>
  <c r="P653" i="7"/>
  <c r="P652" i="7"/>
  <c r="P651" i="7"/>
  <c r="P650" i="7"/>
  <c r="P649" i="7"/>
  <c r="P648" i="7"/>
  <c r="P647" i="7"/>
  <c r="P646" i="7"/>
  <c r="P645" i="7"/>
  <c r="P644" i="7"/>
  <c r="P643" i="7"/>
  <c r="P642" i="7"/>
  <c r="Q642" i="7" s="1"/>
  <c r="P641" i="7"/>
  <c r="P640" i="7"/>
  <c r="P639" i="7"/>
  <c r="P638" i="7"/>
  <c r="P637" i="7"/>
  <c r="P636" i="7"/>
  <c r="P635" i="7"/>
  <c r="P634" i="7"/>
  <c r="P633" i="7"/>
  <c r="P632" i="7"/>
  <c r="P631" i="7"/>
  <c r="P630" i="7"/>
  <c r="P629" i="7"/>
  <c r="P628" i="7"/>
  <c r="P627" i="7"/>
  <c r="P626" i="7"/>
  <c r="P625" i="7"/>
  <c r="P624" i="7"/>
  <c r="P623" i="7"/>
  <c r="P622" i="7"/>
  <c r="P621" i="7"/>
  <c r="P620" i="7"/>
  <c r="P619" i="7"/>
  <c r="P618" i="7"/>
  <c r="P617" i="7"/>
  <c r="P616" i="7"/>
  <c r="P615" i="7"/>
  <c r="P614" i="7"/>
  <c r="P613" i="7"/>
  <c r="P612" i="7"/>
  <c r="P611" i="7"/>
  <c r="P610" i="7"/>
  <c r="P609" i="7"/>
  <c r="P608" i="7"/>
  <c r="P607" i="7"/>
  <c r="P606" i="7"/>
  <c r="P605" i="7"/>
  <c r="P604" i="7"/>
  <c r="P603" i="7"/>
  <c r="P602" i="7"/>
  <c r="P601" i="7"/>
  <c r="P600" i="7"/>
  <c r="P599" i="7"/>
  <c r="P598" i="7"/>
  <c r="P597" i="7"/>
  <c r="P596" i="7"/>
  <c r="P595" i="7"/>
  <c r="P594" i="7"/>
  <c r="P593" i="7"/>
  <c r="P592" i="7"/>
  <c r="P591" i="7"/>
  <c r="P590" i="7"/>
  <c r="P589" i="7"/>
  <c r="P588" i="7"/>
  <c r="P587" i="7"/>
  <c r="P586" i="7"/>
  <c r="P585" i="7"/>
  <c r="P584" i="7"/>
  <c r="P583" i="7"/>
  <c r="P582" i="7"/>
  <c r="Q582" i="7" s="1"/>
  <c r="P581" i="7"/>
  <c r="P580" i="7"/>
  <c r="P579" i="7"/>
  <c r="P578" i="7"/>
  <c r="P577" i="7"/>
  <c r="P576" i="7"/>
  <c r="P575" i="7"/>
  <c r="P574" i="7"/>
  <c r="P573" i="7"/>
  <c r="P572" i="7"/>
  <c r="Q572" i="7" s="1"/>
  <c r="P571" i="7"/>
  <c r="P570" i="7"/>
  <c r="P569" i="7"/>
  <c r="P568" i="7"/>
  <c r="P567" i="7"/>
  <c r="Q567" i="7" s="1"/>
  <c r="P566" i="7"/>
  <c r="P565" i="7"/>
  <c r="P564" i="7"/>
  <c r="P563" i="7"/>
  <c r="Q563" i="7" s="1"/>
  <c r="P562" i="7"/>
  <c r="P561" i="7"/>
  <c r="P560" i="7"/>
  <c r="P559" i="7"/>
  <c r="P558" i="7"/>
  <c r="P557" i="7"/>
  <c r="P556" i="7"/>
  <c r="P555" i="7"/>
  <c r="P554" i="7"/>
  <c r="P553" i="7"/>
  <c r="P552" i="7"/>
  <c r="P551" i="7"/>
  <c r="P550" i="7"/>
  <c r="P549" i="7"/>
  <c r="P548" i="7"/>
  <c r="P547" i="7"/>
  <c r="Q547" i="7" s="1"/>
  <c r="P546" i="7"/>
  <c r="P545" i="7"/>
  <c r="P544" i="7"/>
  <c r="P543" i="7"/>
  <c r="Q543" i="7" s="1"/>
  <c r="P542" i="7"/>
  <c r="P541" i="7"/>
  <c r="Q541" i="7" s="1"/>
  <c r="P540" i="7"/>
  <c r="Q540" i="7" s="1"/>
  <c r="P539" i="7"/>
  <c r="P538" i="7"/>
  <c r="P537" i="7"/>
  <c r="P536" i="7"/>
  <c r="P535" i="7"/>
  <c r="P534" i="7"/>
  <c r="P533" i="7"/>
  <c r="P532" i="7"/>
  <c r="P531" i="7"/>
  <c r="Q531" i="7" s="1"/>
  <c r="P530" i="7"/>
  <c r="Q530" i="7" s="1"/>
  <c r="P529" i="7"/>
  <c r="P528" i="7"/>
  <c r="P527" i="7"/>
  <c r="P526" i="7"/>
  <c r="P525" i="7"/>
  <c r="Q525" i="7" s="1"/>
  <c r="P524" i="7"/>
  <c r="P523" i="7"/>
  <c r="P522" i="7"/>
  <c r="P521" i="7"/>
  <c r="P520" i="7"/>
  <c r="P519" i="7"/>
  <c r="P518" i="7"/>
  <c r="P517" i="7"/>
  <c r="P516" i="7"/>
  <c r="P515" i="7"/>
  <c r="Q515" i="7" s="1"/>
  <c r="P514" i="7"/>
  <c r="P513" i="7"/>
  <c r="P512" i="7"/>
  <c r="P511" i="7"/>
  <c r="P510" i="7"/>
  <c r="P509" i="7"/>
  <c r="P508" i="7"/>
  <c r="P507" i="7"/>
  <c r="P506" i="7"/>
  <c r="P505" i="7"/>
  <c r="P504" i="7"/>
  <c r="P503" i="7"/>
  <c r="P502" i="7"/>
  <c r="P501" i="7"/>
  <c r="P500" i="7"/>
  <c r="Q500" i="7" s="1"/>
  <c r="P499" i="7"/>
  <c r="P498" i="7"/>
  <c r="Q498" i="7" s="1"/>
  <c r="P497" i="7"/>
  <c r="P496" i="7"/>
  <c r="P495" i="7"/>
  <c r="P494" i="7"/>
  <c r="P493" i="7"/>
  <c r="P492" i="7"/>
  <c r="P491" i="7"/>
  <c r="P490" i="7"/>
  <c r="P489" i="7"/>
  <c r="P488" i="7"/>
  <c r="Q488" i="7" s="1"/>
  <c r="P487" i="7"/>
  <c r="P486" i="7"/>
  <c r="P485" i="7"/>
  <c r="Q485" i="7" s="1"/>
  <c r="P484" i="7"/>
  <c r="Q484" i="7" s="1"/>
  <c r="P483" i="7"/>
  <c r="P482" i="7"/>
  <c r="P481" i="7"/>
  <c r="P480" i="7"/>
  <c r="P479" i="7"/>
  <c r="P478" i="7"/>
  <c r="P477" i="7"/>
  <c r="P476" i="7"/>
  <c r="P475" i="7"/>
  <c r="P474" i="7"/>
  <c r="P473" i="7"/>
  <c r="P472" i="7"/>
  <c r="P471" i="7"/>
  <c r="Q471" i="7" s="1"/>
  <c r="P470" i="7"/>
  <c r="P469" i="7"/>
  <c r="P468" i="7"/>
  <c r="P467" i="7"/>
  <c r="P466" i="7"/>
  <c r="P465" i="7"/>
  <c r="Q465" i="7" s="1"/>
  <c r="P464" i="7"/>
  <c r="P463" i="7"/>
  <c r="P462" i="7"/>
  <c r="P461" i="7"/>
  <c r="P460" i="7"/>
  <c r="P459" i="7"/>
  <c r="P458" i="7"/>
  <c r="P457" i="7"/>
  <c r="P456" i="7"/>
  <c r="P455" i="7"/>
  <c r="P454" i="7"/>
  <c r="P453" i="7"/>
  <c r="P452" i="7"/>
  <c r="P451" i="7"/>
  <c r="P450" i="7"/>
  <c r="P449" i="7"/>
  <c r="P448" i="7"/>
  <c r="P447" i="7"/>
  <c r="P446" i="7"/>
  <c r="P445" i="7"/>
  <c r="P444" i="7"/>
  <c r="P443" i="7"/>
  <c r="P442" i="7"/>
  <c r="P441" i="7"/>
  <c r="Q441" i="7" s="1"/>
  <c r="P440" i="7"/>
  <c r="P439" i="7"/>
  <c r="P438" i="7"/>
  <c r="P437" i="7"/>
  <c r="P436" i="7"/>
  <c r="P435" i="7"/>
  <c r="P434" i="7"/>
  <c r="P433" i="7"/>
  <c r="P432" i="7"/>
  <c r="Q432" i="7" s="1"/>
  <c r="P431" i="7"/>
  <c r="P430" i="7"/>
  <c r="Q430" i="7" s="1"/>
  <c r="P429" i="7"/>
  <c r="P428" i="7"/>
  <c r="P427" i="7"/>
  <c r="P426" i="7"/>
  <c r="P425" i="7"/>
  <c r="P424" i="7"/>
  <c r="P423" i="7"/>
  <c r="P422" i="7"/>
  <c r="P421" i="7"/>
  <c r="P420" i="7"/>
  <c r="P419" i="7"/>
  <c r="P418" i="7"/>
  <c r="P417" i="7"/>
  <c r="P416" i="7"/>
  <c r="P415" i="7"/>
  <c r="P414" i="7"/>
  <c r="P413" i="7"/>
  <c r="P412" i="7"/>
  <c r="Q412" i="7" s="1"/>
  <c r="P411" i="7"/>
  <c r="P410" i="7"/>
  <c r="P409" i="7"/>
  <c r="P408" i="7"/>
  <c r="P407" i="7"/>
  <c r="P406" i="7"/>
  <c r="P405" i="7"/>
  <c r="P404" i="7"/>
  <c r="Q404" i="7" s="1"/>
  <c r="P403" i="7"/>
  <c r="P402" i="7"/>
  <c r="P401" i="7"/>
  <c r="P400" i="7"/>
  <c r="P399" i="7"/>
  <c r="P398" i="7"/>
  <c r="P397" i="7"/>
  <c r="P396" i="7"/>
  <c r="P395" i="7"/>
  <c r="P394" i="7"/>
  <c r="P393" i="7"/>
  <c r="P392" i="7"/>
  <c r="P391" i="7"/>
  <c r="P390" i="7"/>
  <c r="P389" i="7"/>
  <c r="P388" i="7"/>
  <c r="P387" i="7"/>
  <c r="P386" i="7"/>
  <c r="P385" i="7"/>
  <c r="P384" i="7"/>
  <c r="P383" i="7"/>
  <c r="P382" i="7"/>
  <c r="P381" i="7"/>
  <c r="P380" i="7"/>
  <c r="P379" i="7"/>
  <c r="P378" i="7"/>
  <c r="P377" i="7"/>
  <c r="P376" i="7"/>
  <c r="Q376" i="7" s="1"/>
  <c r="P375" i="7"/>
  <c r="P374" i="7"/>
  <c r="P373" i="7"/>
  <c r="P372" i="7"/>
  <c r="P371" i="7"/>
  <c r="P370" i="7"/>
  <c r="P369" i="7"/>
  <c r="P368" i="7"/>
  <c r="P367" i="7"/>
  <c r="P366" i="7"/>
  <c r="P365" i="7"/>
  <c r="P364" i="7"/>
  <c r="P363" i="7"/>
  <c r="P362" i="7"/>
  <c r="P361" i="7"/>
  <c r="P360" i="7"/>
  <c r="P359" i="7"/>
  <c r="P358" i="7"/>
  <c r="P357" i="7"/>
  <c r="Q357" i="7" s="1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Q344" i="7" s="1"/>
  <c r="P343" i="7"/>
  <c r="P342" i="7"/>
  <c r="Q342" i="7" s="1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Q327" i="7" s="1"/>
  <c r="P326" i="7"/>
  <c r="P325" i="7"/>
  <c r="P324" i="7"/>
  <c r="P323" i="7"/>
  <c r="P322" i="7"/>
  <c r="P321" i="7"/>
  <c r="P320" i="7"/>
  <c r="Q320" i="7" s="1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Q295" i="7" s="1"/>
  <c r="P294" i="7"/>
  <c r="P293" i="7"/>
  <c r="P292" i="7"/>
  <c r="P291" i="7"/>
  <c r="Q291" i="7" s="1"/>
  <c r="P290" i="7"/>
  <c r="P289" i="7"/>
  <c r="P288" i="7"/>
  <c r="P287" i="7"/>
  <c r="P286" i="7"/>
  <c r="P285" i="7"/>
  <c r="P284" i="7"/>
  <c r="P283" i="7"/>
  <c r="P282" i="7"/>
  <c r="P281" i="7"/>
  <c r="P280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Q228" i="7" s="1"/>
  <c r="P227" i="7"/>
  <c r="P226" i="7"/>
  <c r="P225" i="7"/>
  <c r="P224" i="7"/>
  <c r="Q224" i="7" s="1"/>
  <c r="P223" i="7"/>
  <c r="P222" i="7"/>
  <c r="P221" i="7"/>
  <c r="P220" i="7"/>
  <c r="P219" i="7"/>
  <c r="P218" i="7"/>
  <c r="P217" i="7"/>
  <c r="P216" i="7"/>
  <c r="Q216" i="7" s="1"/>
  <c r="P215" i="7"/>
  <c r="P214" i="7"/>
  <c r="P213" i="7"/>
  <c r="P212" i="7"/>
  <c r="P211" i="7"/>
  <c r="P210" i="7"/>
  <c r="Q210" i="7" s="1"/>
  <c r="P209" i="7"/>
  <c r="Q209" i="7" s="1"/>
  <c r="P208" i="7"/>
  <c r="P207" i="7"/>
  <c r="P206" i="7"/>
  <c r="P205" i="7"/>
  <c r="P204" i="7"/>
  <c r="P203" i="7"/>
  <c r="P202" i="7"/>
  <c r="P201" i="7"/>
  <c r="Q201" i="7" s="1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Q183" i="7" s="1"/>
  <c r="P182" i="7"/>
  <c r="P181" i="7"/>
  <c r="P180" i="7"/>
  <c r="P179" i="7"/>
  <c r="P178" i="7"/>
  <c r="P177" i="7"/>
  <c r="P176" i="7"/>
  <c r="P175" i="7"/>
  <c r="P174" i="7"/>
  <c r="Q174" i="7" s="1"/>
  <c r="P173" i="7"/>
  <c r="P172" i="7"/>
  <c r="Q172" i="7" s="1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Q152" i="7" s="1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Q138" i="7" s="1"/>
  <c r="P137" i="7"/>
  <c r="Q137" i="7" s="1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Q119" i="7" s="1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Q103" i="7" s="1"/>
  <c r="P102" i="7"/>
  <c r="P101" i="7"/>
  <c r="Q101" i="7" s="1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Q84" i="7" s="1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Q57" i="7" s="1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Q40" i="7" s="1"/>
  <c r="P39" i="7"/>
  <c r="Q39" i="7" s="1"/>
  <c r="P38" i="7"/>
  <c r="P37" i="7"/>
  <c r="P36" i="7"/>
  <c r="P35" i="7"/>
  <c r="P34" i="7"/>
  <c r="P33" i="7"/>
  <c r="P32" i="7"/>
  <c r="P31" i="7"/>
  <c r="Q31" i="7" s="1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N1865" i="7"/>
  <c r="N1864" i="7"/>
  <c r="N1863" i="7"/>
  <c r="N1862" i="7"/>
  <c r="N1861" i="7"/>
  <c r="N1860" i="7"/>
  <c r="N1859" i="7"/>
  <c r="N1858" i="7"/>
  <c r="N1857" i="7"/>
  <c r="N1856" i="7"/>
  <c r="N1855" i="7"/>
  <c r="N1854" i="7"/>
  <c r="N1853" i="7"/>
  <c r="N1852" i="7"/>
  <c r="N1851" i="7"/>
  <c r="N1850" i="7"/>
  <c r="N1849" i="7"/>
  <c r="N1848" i="7"/>
  <c r="N1847" i="7"/>
  <c r="N1846" i="7"/>
  <c r="N1845" i="7"/>
  <c r="N1844" i="7"/>
  <c r="N1843" i="7"/>
  <c r="N1842" i="7"/>
  <c r="N1841" i="7"/>
  <c r="N1840" i="7"/>
  <c r="N1839" i="7"/>
  <c r="N1838" i="7"/>
  <c r="N1837" i="7"/>
  <c r="N1836" i="7"/>
  <c r="N1835" i="7"/>
  <c r="N1834" i="7"/>
  <c r="N1833" i="7"/>
  <c r="N1832" i="7"/>
  <c r="N1831" i="7"/>
  <c r="N1830" i="7"/>
  <c r="N1829" i="7"/>
  <c r="N1828" i="7"/>
  <c r="N1827" i="7"/>
  <c r="N1826" i="7"/>
  <c r="N1825" i="7"/>
  <c r="N1824" i="7"/>
  <c r="N1823" i="7"/>
  <c r="N1822" i="7"/>
  <c r="N1821" i="7"/>
  <c r="N1820" i="7"/>
  <c r="N1819" i="7"/>
  <c r="N1818" i="7"/>
  <c r="N1817" i="7"/>
  <c r="N1816" i="7"/>
  <c r="N1815" i="7"/>
  <c r="N1814" i="7"/>
  <c r="N1813" i="7"/>
  <c r="N1812" i="7"/>
  <c r="N1811" i="7"/>
  <c r="N1810" i="7"/>
  <c r="N1809" i="7"/>
  <c r="N1808" i="7"/>
  <c r="N1807" i="7"/>
  <c r="N1806" i="7"/>
  <c r="N1805" i="7"/>
  <c r="N1804" i="7"/>
  <c r="N1803" i="7"/>
  <c r="N1802" i="7"/>
  <c r="N1801" i="7"/>
  <c r="N1800" i="7"/>
  <c r="N1799" i="7"/>
  <c r="N1798" i="7"/>
  <c r="N1797" i="7"/>
  <c r="N1796" i="7"/>
  <c r="N1795" i="7"/>
  <c r="N1794" i="7"/>
  <c r="N1793" i="7"/>
  <c r="N1792" i="7"/>
  <c r="N1791" i="7"/>
  <c r="N1790" i="7"/>
  <c r="N1789" i="7"/>
  <c r="N1788" i="7"/>
  <c r="N1787" i="7"/>
  <c r="N1786" i="7"/>
  <c r="N1785" i="7"/>
  <c r="N1784" i="7"/>
  <c r="N1783" i="7"/>
  <c r="N1782" i="7"/>
  <c r="N1781" i="7"/>
  <c r="N1780" i="7"/>
  <c r="N1779" i="7"/>
  <c r="N1778" i="7"/>
  <c r="N1777" i="7"/>
  <c r="N1776" i="7"/>
  <c r="N1775" i="7"/>
  <c r="N1774" i="7"/>
  <c r="N1773" i="7"/>
  <c r="N1772" i="7"/>
  <c r="N1771" i="7"/>
  <c r="N1770" i="7"/>
  <c r="N1769" i="7"/>
  <c r="N1768" i="7"/>
  <c r="N1767" i="7"/>
  <c r="N1766" i="7"/>
  <c r="N1765" i="7"/>
  <c r="N1764" i="7"/>
  <c r="N1763" i="7"/>
  <c r="N1762" i="7"/>
  <c r="N1761" i="7"/>
  <c r="N1760" i="7"/>
  <c r="N1759" i="7"/>
  <c r="N1758" i="7"/>
  <c r="N1757" i="7"/>
  <c r="N1756" i="7"/>
  <c r="N1755" i="7"/>
  <c r="N1754" i="7"/>
  <c r="N1753" i="7"/>
  <c r="N1752" i="7"/>
  <c r="N1751" i="7"/>
  <c r="N1750" i="7"/>
  <c r="N1749" i="7"/>
  <c r="N1748" i="7"/>
  <c r="N1747" i="7"/>
  <c r="N1746" i="7"/>
  <c r="N1745" i="7"/>
  <c r="N1744" i="7"/>
  <c r="N1743" i="7"/>
  <c r="N1742" i="7"/>
  <c r="N1741" i="7"/>
  <c r="N1740" i="7"/>
  <c r="N1739" i="7"/>
  <c r="N1738" i="7"/>
  <c r="N1737" i="7"/>
  <c r="N1736" i="7"/>
  <c r="N1735" i="7"/>
  <c r="N1734" i="7"/>
  <c r="N1733" i="7"/>
  <c r="N1732" i="7"/>
  <c r="N1731" i="7"/>
  <c r="N1730" i="7"/>
  <c r="N1729" i="7"/>
  <c r="N1728" i="7"/>
  <c r="N1727" i="7"/>
  <c r="N1726" i="7"/>
  <c r="N1725" i="7"/>
  <c r="N1724" i="7"/>
  <c r="N1723" i="7"/>
  <c r="N1722" i="7"/>
  <c r="N1721" i="7"/>
  <c r="N1720" i="7"/>
  <c r="N1719" i="7"/>
  <c r="N1718" i="7"/>
  <c r="N1717" i="7"/>
  <c r="N1716" i="7"/>
  <c r="N1715" i="7"/>
  <c r="N1714" i="7"/>
  <c r="N1713" i="7"/>
  <c r="N1712" i="7"/>
  <c r="N1711" i="7"/>
  <c r="N1710" i="7"/>
  <c r="N1709" i="7"/>
  <c r="N1708" i="7"/>
  <c r="N1707" i="7"/>
  <c r="N1706" i="7"/>
  <c r="N1705" i="7"/>
  <c r="N1704" i="7"/>
  <c r="N1703" i="7"/>
  <c r="N1702" i="7"/>
  <c r="N1701" i="7"/>
  <c r="N1700" i="7"/>
  <c r="N1699" i="7"/>
  <c r="N1698" i="7"/>
  <c r="N1697" i="7"/>
  <c r="N1696" i="7"/>
  <c r="N1695" i="7"/>
  <c r="N1694" i="7"/>
  <c r="N1693" i="7"/>
  <c r="N1692" i="7"/>
  <c r="N1691" i="7"/>
  <c r="N1690" i="7"/>
  <c r="N1689" i="7"/>
  <c r="N1688" i="7"/>
  <c r="N1687" i="7"/>
  <c r="N1686" i="7"/>
  <c r="N1685" i="7"/>
  <c r="N1684" i="7"/>
  <c r="N1683" i="7"/>
  <c r="N1682" i="7"/>
  <c r="N1681" i="7"/>
  <c r="N1680" i="7"/>
  <c r="N1679" i="7"/>
  <c r="N1678" i="7"/>
  <c r="N1677" i="7"/>
  <c r="N1676" i="7"/>
  <c r="N1675" i="7"/>
  <c r="N1674" i="7"/>
  <c r="N1673" i="7"/>
  <c r="N1672" i="7"/>
  <c r="N1671" i="7"/>
  <c r="N1670" i="7"/>
  <c r="N1669" i="7"/>
  <c r="N1668" i="7"/>
  <c r="O1668" i="7" s="1"/>
  <c r="N1667" i="7"/>
  <c r="O1667" i="7" s="1"/>
  <c r="N1666" i="7"/>
  <c r="O1666" i="7" s="1"/>
  <c r="N1665" i="7"/>
  <c r="O1665" i="7" s="1"/>
  <c r="N1664" i="7"/>
  <c r="N1663" i="7"/>
  <c r="N1662" i="7"/>
  <c r="N1661" i="7"/>
  <c r="N1660" i="7"/>
  <c r="N1659" i="7"/>
  <c r="N1658" i="7"/>
  <c r="N1657" i="7"/>
  <c r="N1656" i="7"/>
  <c r="N1655" i="7"/>
  <c r="N1654" i="7"/>
  <c r="N1653" i="7"/>
  <c r="N1652" i="7"/>
  <c r="N1651" i="7"/>
  <c r="N1650" i="7"/>
  <c r="N1649" i="7"/>
  <c r="N1648" i="7"/>
  <c r="N1647" i="7"/>
  <c r="O1647" i="7" s="1"/>
  <c r="N1646" i="7"/>
  <c r="O1646" i="7" s="1"/>
  <c r="N1645" i="7"/>
  <c r="O1645" i="7" s="1"/>
  <c r="N1644" i="7"/>
  <c r="O1644" i="7" s="1"/>
  <c r="N1643" i="7"/>
  <c r="O1643" i="7" s="1"/>
  <c r="N1642" i="7"/>
  <c r="O1642" i="7" s="1"/>
  <c r="N1641" i="7"/>
  <c r="O1641" i="7" s="1"/>
  <c r="N1640" i="7"/>
  <c r="O1640" i="7" s="1"/>
  <c r="N1639" i="7"/>
  <c r="O1639" i="7" s="1"/>
  <c r="N1638" i="7"/>
  <c r="O1638" i="7" s="1"/>
  <c r="N1637" i="7"/>
  <c r="O1637" i="7" s="1"/>
  <c r="N1636" i="7"/>
  <c r="O1636" i="7" s="1"/>
  <c r="N1635" i="7"/>
  <c r="O1635" i="7" s="1"/>
  <c r="N1634" i="7"/>
  <c r="O1634" i="7" s="1"/>
  <c r="N1633" i="7"/>
  <c r="O1633" i="7" s="1"/>
  <c r="N1632" i="7"/>
  <c r="O1632" i="7" s="1"/>
  <c r="N1631" i="7"/>
  <c r="O1631" i="7" s="1"/>
  <c r="N1630" i="7"/>
  <c r="O1630" i="7" s="1"/>
  <c r="N1629" i="7"/>
  <c r="O1629" i="7" s="1"/>
  <c r="N1628" i="7"/>
  <c r="N1627" i="7"/>
  <c r="O1627" i="7" s="1"/>
  <c r="N1626" i="7"/>
  <c r="O1626" i="7" s="1"/>
  <c r="N1625" i="7"/>
  <c r="O1625" i="7" s="1"/>
  <c r="N1624" i="7"/>
  <c r="O1624" i="7" s="1"/>
  <c r="N1623" i="7"/>
  <c r="O1623" i="7" s="1"/>
  <c r="N1622" i="7"/>
  <c r="O1622" i="7" s="1"/>
  <c r="N1621" i="7"/>
  <c r="O1621" i="7" s="1"/>
  <c r="N1620" i="7"/>
  <c r="O1620" i="7" s="1"/>
  <c r="N1619" i="7"/>
  <c r="O1619" i="7" s="1"/>
  <c r="N1618" i="7"/>
  <c r="O1618" i="7" s="1"/>
  <c r="N1617" i="7"/>
  <c r="O1617" i="7" s="1"/>
  <c r="N1616" i="7"/>
  <c r="O1616" i="7" s="1"/>
  <c r="N1615" i="7"/>
  <c r="O1615" i="7" s="1"/>
  <c r="N1614" i="7"/>
  <c r="O1614" i="7" s="1"/>
  <c r="N1613" i="7"/>
  <c r="O1613" i="7" s="1"/>
  <c r="N1612" i="7"/>
  <c r="O1612" i="7" s="1"/>
  <c r="N1611" i="7"/>
  <c r="O1611" i="7" s="1"/>
  <c r="N1610" i="7"/>
  <c r="O1610" i="7" s="1"/>
  <c r="N1609" i="7"/>
  <c r="O1609" i="7" s="1"/>
  <c r="N1608" i="7"/>
  <c r="O1608" i="7" s="1"/>
  <c r="N1607" i="7"/>
  <c r="O1607" i="7" s="1"/>
  <c r="N1606" i="7"/>
  <c r="O1606" i="7" s="1"/>
  <c r="N1605" i="7"/>
  <c r="O1605" i="7" s="1"/>
  <c r="N1604" i="7"/>
  <c r="O1604" i="7" s="1"/>
  <c r="N1603" i="7"/>
  <c r="N1602" i="7"/>
  <c r="N1601" i="7"/>
  <c r="N1600" i="7"/>
  <c r="N1599" i="7"/>
  <c r="N1598" i="7"/>
  <c r="N1597" i="7"/>
  <c r="N1596" i="7"/>
  <c r="N1595" i="7"/>
  <c r="N1594" i="7"/>
  <c r="N1593" i="7"/>
  <c r="N1592" i="7"/>
  <c r="N1591" i="7"/>
  <c r="N1590" i="7"/>
  <c r="N1589" i="7"/>
  <c r="N1588" i="7"/>
  <c r="N1587" i="7"/>
  <c r="N1586" i="7"/>
  <c r="N1585" i="7"/>
  <c r="N1584" i="7"/>
  <c r="N1583" i="7"/>
  <c r="N1582" i="7"/>
  <c r="N1581" i="7"/>
  <c r="N1580" i="7"/>
  <c r="N1579" i="7"/>
  <c r="N1578" i="7"/>
  <c r="N1577" i="7"/>
  <c r="N1576" i="7"/>
  <c r="N1575" i="7"/>
  <c r="N1574" i="7"/>
  <c r="N1573" i="7"/>
  <c r="N1572" i="7"/>
  <c r="N1571" i="7"/>
  <c r="N1570" i="7"/>
  <c r="N1569" i="7"/>
  <c r="N1568" i="7"/>
  <c r="N1567" i="7"/>
  <c r="N1566" i="7"/>
  <c r="N1565" i="7"/>
  <c r="N1564" i="7"/>
  <c r="N1563" i="7"/>
  <c r="N1562" i="7"/>
  <c r="N1561" i="7"/>
  <c r="N1560" i="7"/>
  <c r="N1559" i="7"/>
  <c r="N1558" i="7"/>
  <c r="N1557" i="7"/>
  <c r="N1556" i="7"/>
  <c r="N1555" i="7"/>
  <c r="N1554" i="7"/>
  <c r="N1553" i="7"/>
  <c r="N1552" i="7"/>
  <c r="N1551" i="7"/>
  <c r="N1550" i="7"/>
  <c r="N1549" i="7"/>
  <c r="N1548" i="7"/>
  <c r="N1547" i="7"/>
  <c r="N1546" i="7"/>
  <c r="N1545" i="7"/>
  <c r="N1544" i="7"/>
  <c r="N1543" i="7"/>
  <c r="N1542" i="7"/>
  <c r="N1541" i="7"/>
  <c r="N1540" i="7"/>
  <c r="N1539" i="7"/>
  <c r="N1538" i="7"/>
  <c r="N1537" i="7"/>
  <c r="N1536" i="7"/>
  <c r="N1535" i="7"/>
  <c r="N1534" i="7"/>
  <c r="N1533" i="7"/>
  <c r="N1532" i="7"/>
  <c r="N1531" i="7"/>
  <c r="N1530" i="7"/>
  <c r="N1529" i="7"/>
  <c r="O1529" i="7" s="1"/>
  <c r="N1528" i="7"/>
  <c r="N1527" i="7"/>
  <c r="N1526" i="7"/>
  <c r="N1525" i="7"/>
  <c r="O1525" i="7" s="1"/>
  <c r="N1524" i="7"/>
  <c r="N1523" i="7"/>
  <c r="N1522" i="7"/>
  <c r="N1521" i="7"/>
  <c r="N1520" i="7"/>
  <c r="N1519" i="7"/>
  <c r="O1519" i="7" s="1"/>
  <c r="N1518" i="7"/>
  <c r="O1518" i="7" s="1"/>
  <c r="N1517" i="7"/>
  <c r="N1516" i="7"/>
  <c r="N1515" i="7"/>
  <c r="O1515" i="7" s="1"/>
  <c r="N1514" i="7"/>
  <c r="N1513" i="7"/>
  <c r="O1513" i="7" s="1"/>
  <c r="N1512" i="7"/>
  <c r="N1511" i="7"/>
  <c r="N1510" i="7"/>
  <c r="N1509" i="7"/>
  <c r="N1508" i="7"/>
  <c r="N1507" i="7"/>
  <c r="N1506" i="7"/>
  <c r="N1505" i="7"/>
  <c r="N1504" i="7"/>
  <c r="N1503" i="7"/>
  <c r="N1502" i="7"/>
  <c r="N1501" i="7"/>
  <c r="N1500" i="7"/>
  <c r="O1500" i="7" s="1"/>
  <c r="N1499" i="7"/>
  <c r="O1499" i="7" s="1"/>
  <c r="N1498" i="7"/>
  <c r="N1497" i="7"/>
  <c r="N1496" i="7"/>
  <c r="N1495" i="7"/>
  <c r="N1494" i="7"/>
  <c r="O1494" i="7" s="1"/>
  <c r="N1493" i="7"/>
  <c r="O1493" i="7" s="1"/>
  <c r="N1492" i="7"/>
  <c r="O1492" i="7" s="1"/>
  <c r="N1491" i="7"/>
  <c r="N1490" i="7"/>
  <c r="N1489" i="7"/>
  <c r="N1488" i="7"/>
  <c r="N1487" i="7"/>
  <c r="N1486" i="7"/>
  <c r="N1485" i="7"/>
  <c r="N1484" i="7"/>
  <c r="N1483" i="7"/>
  <c r="N1482" i="7"/>
  <c r="N1481" i="7"/>
  <c r="N1480" i="7"/>
  <c r="N1479" i="7"/>
  <c r="N1478" i="7"/>
  <c r="N1477" i="7"/>
  <c r="N1476" i="7"/>
  <c r="N1475" i="7"/>
  <c r="N1474" i="7"/>
  <c r="N1473" i="7"/>
  <c r="N1472" i="7"/>
  <c r="N1471" i="7"/>
  <c r="N1470" i="7"/>
  <c r="N1469" i="7"/>
  <c r="N1468" i="7"/>
  <c r="N1467" i="7"/>
  <c r="N1466" i="7"/>
  <c r="N1465" i="7"/>
  <c r="N1464" i="7"/>
  <c r="N1463" i="7"/>
  <c r="N1462" i="7"/>
  <c r="N1461" i="7"/>
  <c r="N1460" i="7"/>
  <c r="N1459" i="7"/>
  <c r="N1458" i="7"/>
  <c r="N1457" i="7"/>
  <c r="N1456" i="7"/>
  <c r="N1455" i="7"/>
  <c r="N1454" i="7"/>
  <c r="N1453" i="7"/>
  <c r="N1452" i="7"/>
  <c r="N1451" i="7"/>
  <c r="N1450" i="7"/>
  <c r="N1449" i="7"/>
  <c r="N1448" i="7"/>
  <c r="N1447" i="7"/>
  <c r="N1446" i="7"/>
  <c r="N1445" i="7"/>
  <c r="N1444" i="7"/>
  <c r="N1443" i="7"/>
  <c r="N1442" i="7"/>
  <c r="N1441" i="7"/>
  <c r="N1440" i="7"/>
  <c r="N1439" i="7"/>
  <c r="N1438" i="7"/>
  <c r="N1437" i="7"/>
  <c r="N1436" i="7"/>
  <c r="N1435" i="7"/>
  <c r="N1434" i="7"/>
  <c r="N1433" i="7"/>
  <c r="N1432" i="7"/>
  <c r="N1431" i="7"/>
  <c r="N1430" i="7"/>
  <c r="N1429" i="7"/>
  <c r="O1429" i="7" s="1"/>
  <c r="N1428" i="7"/>
  <c r="O1428" i="7" s="1"/>
  <c r="N1427" i="7"/>
  <c r="O1427" i="7" s="1"/>
  <c r="N1426" i="7"/>
  <c r="N1425" i="7"/>
  <c r="N1424" i="7"/>
  <c r="O1424" i="7" s="1"/>
  <c r="N1423" i="7"/>
  <c r="O1423" i="7" s="1"/>
  <c r="N1422" i="7"/>
  <c r="O1422" i="7" s="1"/>
  <c r="N1421" i="7"/>
  <c r="N1420" i="7"/>
  <c r="N1419" i="7"/>
  <c r="N1418" i="7"/>
  <c r="N1417" i="7"/>
  <c r="N1416" i="7"/>
  <c r="N1415" i="7"/>
  <c r="N1414" i="7"/>
  <c r="N1413" i="7"/>
  <c r="N1412" i="7"/>
  <c r="N1411" i="7"/>
  <c r="N1410" i="7"/>
  <c r="N1409" i="7"/>
  <c r="N1408" i="7"/>
  <c r="N1407" i="7"/>
  <c r="N1406" i="7"/>
  <c r="N1405" i="7"/>
  <c r="N1404" i="7"/>
  <c r="N1403" i="7"/>
  <c r="N1402" i="7"/>
  <c r="N1401" i="7"/>
  <c r="N1400" i="7"/>
  <c r="N1399" i="7"/>
  <c r="N1398" i="7"/>
  <c r="N1397" i="7"/>
  <c r="N1396" i="7"/>
  <c r="N1395" i="7"/>
  <c r="N1394" i="7"/>
  <c r="N1393" i="7"/>
  <c r="N1392" i="7"/>
  <c r="N1391" i="7"/>
  <c r="N1390" i="7"/>
  <c r="N1389" i="7"/>
  <c r="N1388" i="7"/>
  <c r="N1387" i="7"/>
  <c r="N1386" i="7"/>
  <c r="N1385" i="7"/>
  <c r="N1384" i="7"/>
  <c r="N1383" i="7"/>
  <c r="N1382" i="7"/>
  <c r="N1381" i="7"/>
  <c r="N1380" i="7"/>
  <c r="N1379" i="7"/>
  <c r="N1378" i="7"/>
  <c r="N1377" i="7"/>
  <c r="N1376" i="7"/>
  <c r="N1375" i="7"/>
  <c r="N1374" i="7"/>
  <c r="N1373" i="7"/>
  <c r="N1372" i="7"/>
  <c r="N1371" i="7"/>
  <c r="N1370" i="7"/>
  <c r="N1369" i="7"/>
  <c r="N1368" i="7"/>
  <c r="N1367" i="7"/>
  <c r="N1366" i="7"/>
  <c r="N1365" i="7"/>
  <c r="N1364" i="7"/>
  <c r="N1363" i="7"/>
  <c r="N1362" i="7"/>
  <c r="N1361" i="7"/>
  <c r="N1360" i="7"/>
  <c r="N1359" i="7"/>
  <c r="N1358" i="7"/>
  <c r="N1357" i="7"/>
  <c r="N1356" i="7"/>
  <c r="N1355" i="7"/>
  <c r="N1354" i="7"/>
  <c r="N1353" i="7"/>
  <c r="N1352" i="7"/>
  <c r="N1351" i="7"/>
  <c r="N1350" i="7"/>
  <c r="N1349" i="7"/>
  <c r="N1348" i="7"/>
  <c r="N1347" i="7"/>
  <c r="N1346" i="7"/>
  <c r="N1345" i="7"/>
  <c r="N1344" i="7"/>
  <c r="N1343" i="7"/>
  <c r="N1342" i="7"/>
  <c r="N1341" i="7"/>
  <c r="N1340" i="7"/>
  <c r="N1339" i="7"/>
  <c r="N1338" i="7"/>
  <c r="N1337" i="7"/>
  <c r="N1336" i="7"/>
  <c r="N1335" i="7"/>
  <c r="N1334" i="7"/>
  <c r="N1333" i="7"/>
  <c r="N1332" i="7"/>
  <c r="N1331" i="7"/>
  <c r="N1330" i="7"/>
  <c r="N1329" i="7"/>
  <c r="N1328" i="7"/>
  <c r="N1327" i="7"/>
  <c r="N1326" i="7"/>
  <c r="N1325" i="7"/>
  <c r="N1324" i="7"/>
  <c r="N1323" i="7"/>
  <c r="N1322" i="7"/>
  <c r="N1321" i="7"/>
  <c r="N1320" i="7"/>
  <c r="N1319" i="7"/>
  <c r="N1318" i="7"/>
  <c r="N1317" i="7"/>
  <c r="N1316" i="7"/>
  <c r="N1315" i="7"/>
  <c r="N1314" i="7"/>
  <c r="N1313" i="7"/>
  <c r="N1312" i="7"/>
  <c r="N1311" i="7"/>
  <c r="N1310" i="7"/>
  <c r="N1309" i="7"/>
  <c r="N1308" i="7"/>
  <c r="N1307" i="7"/>
  <c r="N1306" i="7"/>
  <c r="N1305" i="7"/>
  <c r="N1304" i="7"/>
  <c r="N1303" i="7"/>
  <c r="N1302" i="7"/>
  <c r="N1301" i="7"/>
  <c r="N1300" i="7"/>
  <c r="N1299" i="7"/>
  <c r="N1298" i="7"/>
  <c r="N1297" i="7"/>
  <c r="N1296" i="7"/>
  <c r="N1295" i="7"/>
  <c r="N1294" i="7"/>
  <c r="N1293" i="7"/>
  <c r="N1292" i="7"/>
  <c r="N1291" i="7"/>
  <c r="N1290" i="7"/>
  <c r="N1289" i="7"/>
  <c r="O1289" i="7" s="1"/>
  <c r="N1288" i="7"/>
  <c r="N1287" i="7"/>
  <c r="N1286" i="7"/>
  <c r="N1285" i="7"/>
  <c r="N1284" i="7"/>
  <c r="O1284" i="7" s="1"/>
  <c r="N1283" i="7"/>
  <c r="O1283" i="7" s="1"/>
  <c r="N1282" i="7"/>
  <c r="N1281" i="7"/>
  <c r="N1280" i="7"/>
  <c r="N1279" i="7"/>
  <c r="N1278" i="7"/>
  <c r="O1278" i="7" s="1"/>
  <c r="N1277" i="7"/>
  <c r="O1277" i="7" s="1"/>
  <c r="N1276" i="7"/>
  <c r="N1275" i="7"/>
  <c r="N1274" i="7"/>
  <c r="N1273" i="7"/>
  <c r="N1272" i="7"/>
  <c r="N1271" i="7"/>
  <c r="N1270" i="7"/>
  <c r="N1269" i="7"/>
  <c r="N1268" i="7"/>
  <c r="N1267" i="7"/>
  <c r="N1266" i="7"/>
  <c r="N1265" i="7"/>
  <c r="N1264" i="7"/>
  <c r="N1263" i="7"/>
  <c r="N1262" i="7"/>
  <c r="N1261" i="7"/>
  <c r="N1260" i="7"/>
  <c r="N1259" i="7"/>
  <c r="N1258" i="7"/>
  <c r="O1258" i="7" s="1"/>
  <c r="N1257" i="7"/>
  <c r="N1256" i="7"/>
  <c r="N1255" i="7"/>
  <c r="N1254" i="7"/>
  <c r="N1253" i="7"/>
  <c r="N1252" i="7"/>
  <c r="N1251" i="7"/>
  <c r="N1250" i="7"/>
  <c r="N1249" i="7"/>
  <c r="N1248" i="7"/>
  <c r="N1247" i="7"/>
  <c r="N1246" i="7"/>
  <c r="N1245" i="7"/>
  <c r="N1244" i="7"/>
  <c r="N1243" i="7"/>
  <c r="N1242" i="7"/>
  <c r="N1241" i="7"/>
  <c r="N1240" i="7"/>
  <c r="N1239" i="7"/>
  <c r="N1238" i="7"/>
  <c r="N1237" i="7"/>
  <c r="N1236" i="7"/>
  <c r="N1235" i="7"/>
  <c r="N1234" i="7"/>
  <c r="N1233" i="7"/>
  <c r="N1232" i="7"/>
  <c r="N1231" i="7"/>
  <c r="N1230" i="7"/>
  <c r="N1229" i="7"/>
  <c r="N1228" i="7"/>
  <c r="N1227" i="7"/>
  <c r="N1226" i="7"/>
  <c r="N1225" i="7"/>
  <c r="N1224" i="7"/>
  <c r="N1223" i="7"/>
  <c r="N1222" i="7"/>
  <c r="N1221" i="7"/>
  <c r="N1220" i="7"/>
  <c r="N1219" i="7"/>
  <c r="N1218" i="7"/>
  <c r="N1217" i="7"/>
  <c r="N1216" i="7"/>
  <c r="N1215" i="7"/>
  <c r="N1214" i="7"/>
  <c r="N1213" i="7"/>
  <c r="N1212" i="7"/>
  <c r="N1211" i="7"/>
  <c r="N1210" i="7"/>
  <c r="N1209" i="7"/>
  <c r="N1208" i="7"/>
  <c r="N1207" i="7"/>
  <c r="N1206" i="7"/>
  <c r="N1205" i="7"/>
  <c r="N1204" i="7"/>
  <c r="N1203" i="7"/>
  <c r="N1202" i="7"/>
  <c r="N1201" i="7"/>
  <c r="N1200" i="7"/>
  <c r="N1199" i="7"/>
  <c r="N1198" i="7"/>
  <c r="N1197" i="7"/>
  <c r="N1196" i="7"/>
  <c r="N1195" i="7"/>
  <c r="N1194" i="7"/>
  <c r="N1193" i="7"/>
  <c r="N1192" i="7"/>
  <c r="N1191" i="7"/>
  <c r="N1190" i="7"/>
  <c r="N1189" i="7"/>
  <c r="N1188" i="7"/>
  <c r="N1187" i="7"/>
  <c r="N1186" i="7"/>
  <c r="N1185" i="7"/>
  <c r="N1184" i="7"/>
  <c r="N1183" i="7"/>
  <c r="N1182" i="7"/>
  <c r="N1181" i="7"/>
  <c r="N1180" i="7"/>
  <c r="N1179" i="7"/>
  <c r="N1178" i="7"/>
  <c r="N1177" i="7"/>
  <c r="N1176" i="7"/>
  <c r="N1175" i="7"/>
  <c r="N1174" i="7"/>
  <c r="N1173" i="7"/>
  <c r="N1172" i="7"/>
  <c r="N1171" i="7"/>
  <c r="N1170" i="7"/>
  <c r="O1170" i="7" s="1"/>
  <c r="N1169" i="7"/>
  <c r="O1169" i="7" s="1"/>
  <c r="N1168" i="7"/>
  <c r="N1167" i="7"/>
  <c r="N1166" i="7"/>
  <c r="N1165" i="7"/>
  <c r="N1164" i="7"/>
  <c r="N1163" i="7"/>
  <c r="N1162" i="7"/>
  <c r="N1161" i="7"/>
  <c r="N1160" i="7"/>
  <c r="N1159" i="7"/>
  <c r="N1158" i="7"/>
  <c r="N1157" i="7"/>
  <c r="N1156" i="7"/>
  <c r="N1155" i="7"/>
  <c r="N1154" i="7"/>
  <c r="N1153" i="7"/>
  <c r="N1152" i="7"/>
  <c r="N1151" i="7"/>
  <c r="N1150" i="7"/>
  <c r="N1149" i="7"/>
  <c r="N1148" i="7"/>
  <c r="N1147" i="7"/>
  <c r="N1146" i="7"/>
  <c r="N1145" i="7"/>
  <c r="N1144" i="7"/>
  <c r="N1143" i="7"/>
  <c r="N1142" i="7"/>
  <c r="N1141" i="7"/>
  <c r="N1140" i="7"/>
  <c r="N1139" i="7"/>
  <c r="N1138" i="7"/>
  <c r="N1137" i="7"/>
  <c r="N1136" i="7"/>
  <c r="N1135" i="7"/>
  <c r="N1134" i="7"/>
  <c r="N1133" i="7"/>
  <c r="N1132" i="7"/>
  <c r="N1131" i="7"/>
  <c r="N1130" i="7"/>
  <c r="N1129" i="7"/>
  <c r="N1128" i="7"/>
  <c r="N1127" i="7"/>
  <c r="N1126" i="7"/>
  <c r="O1126" i="7" s="1"/>
  <c r="N1125" i="7"/>
  <c r="N1124" i="7"/>
  <c r="N1123" i="7"/>
  <c r="N1122" i="7"/>
  <c r="N1121" i="7"/>
  <c r="N1120" i="7"/>
  <c r="N1119" i="7"/>
  <c r="O1119" i="7" s="1"/>
  <c r="N1118" i="7"/>
  <c r="O1118" i="7" s="1"/>
  <c r="N1117" i="7"/>
  <c r="N1116" i="7"/>
  <c r="N1115" i="7"/>
  <c r="N1114" i="7"/>
  <c r="N1113" i="7"/>
  <c r="N1112" i="7"/>
  <c r="O1112" i="7" s="1"/>
  <c r="N1111" i="7"/>
  <c r="O1111" i="7" s="1"/>
  <c r="N1110" i="7"/>
  <c r="N1109" i="7"/>
  <c r="N1108" i="7"/>
  <c r="N1107" i="7"/>
  <c r="N1106" i="7"/>
  <c r="N1105" i="7"/>
  <c r="O1105" i="7" s="1"/>
  <c r="N1104" i="7"/>
  <c r="O1104" i="7" s="1"/>
  <c r="N1103" i="7"/>
  <c r="N1102" i="7"/>
  <c r="N1101" i="7"/>
  <c r="N1100" i="7"/>
  <c r="N1099" i="7"/>
  <c r="N1098" i="7"/>
  <c r="N1097" i="7"/>
  <c r="O1097" i="7" s="1"/>
  <c r="N1096" i="7"/>
  <c r="N1095" i="7"/>
  <c r="N1094" i="7"/>
  <c r="N1093" i="7"/>
  <c r="N1092" i="7"/>
  <c r="N1091" i="7"/>
  <c r="O1091" i="7" s="1"/>
  <c r="N1090" i="7"/>
  <c r="O1090" i="7" s="1"/>
  <c r="N1089" i="7"/>
  <c r="N1088" i="7"/>
  <c r="N1087" i="7"/>
  <c r="N1086" i="7"/>
  <c r="N1085" i="7"/>
  <c r="N1084" i="7"/>
  <c r="O1084" i="7" s="1"/>
  <c r="N1083" i="7"/>
  <c r="O1083" i="7" s="1"/>
  <c r="N1082" i="7"/>
  <c r="N1081" i="7"/>
  <c r="N1080" i="7"/>
  <c r="N1079" i="7"/>
  <c r="O1079" i="7" s="1"/>
  <c r="N1078" i="7"/>
  <c r="O1078" i="7" s="1"/>
  <c r="N1077" i="7"/>
  <c r="N1076" i="7"/>
  <c r="N1075" i="7"/>
  <c r="N1074" i="7"/>
  <c r="N1073" i="7"/>
  <c r="N1072" i="7"/>
  <c r="N1071" i="7"/>
  <c r="O1071" i="7" s="1"/>
  <c r="N1070" i="7"/>
  <c r="O1070" i="7" s="1"/>
  <c r="N1069" i="7"/>
  <c r="N1068" i="7"/>
  <c r="N1067" i="7"/>
  <c r="N1066" i="7"/>
  <c r="O1066" i="7" s="1"/>
  <c r="N1065" i="7"/>
  <c r="O1065" i="7" s="1"/>
  <c r="N1064" i="7"/>
  <c r="N1063" i="7"/>
  <c r="N1062" i="7"/>
  <c r="N1061" i="7"/>
  <c r="N1060" i="7"/>
  <c r="N1059" i="7"/>
  <c r="O1059" i="7" s="1"/>
  <c r="N1058" i="7"/>
  <c r="N1057" i="7"/>
  <c r="N1056" i="7"/>
  <c r="N1055" i="7"/>
  <c r="N1054" i="7"/>
  <c r="N1053" i="7"/>
  <c r="N1052" i="7"/>
  <c r="O1052" i="7" s="1"/>
  <c r="N1051" i="7"/>
  <c r="N1050" i="7"/>
  <c r="N1049" i="7"/>
  <c r="N1048" i="7"/>
  <c r="N1047" i="7"/>
  <c r="N1046" i="7"/>
  <c r="N1045" i="7"/>
  <c r="O1045" i="7" s="1"/>
  <c r="N1044" i="7"/>
  <c r="O1044" i="7" s="1"/>
  <c r="N1043" i="7"/>
  <c r="N1042" i="7"/>
  <c r="N1041" i="7"/>
  <c r="N1040" i="7"/>
  <c r="N1039" i="7"/>
  <c r="N1038" i="7"/>
  <c r="N1037" i="7"/>
  <c r="N1036" i="7"/>
  <c r="N1035" i="7"/>
  <c r="O1035" i="7" s="1"/>
  <c r="N1034" i="7"/>
  <c r="O1034" i="7" s="1"/>
  <c r="N1033" i="7"/>
  <c r="N1032" i="7"/>
  <c r="O1032" i="7" s="1"/>
  <c r="N1031" i="7"/>
  <c r="O1031" i="7" s="1"/>
  <c r="N1030" i="7"/>
  <c r="N1029" i="7"/>
  <c r="N1028" i="7"/>
  <c r="O1028" i="7" s="1"/>
  <c r="N1027" i="7"/>
  <c r="O1027" i="7" s="1"/>
  <c r="N1026" i="7"/>
  <c r="N1025" i="7"/>
  <c r="N1024" i="7"/>
  <c r="N1023" i="7"/>
  <c r="N1022" i="7"/>
  <c r="N1021" i="7"/>
  <c r="O1021" i="7" s="1"/>
  <c r="N1020" i="7"/>
  <c r="O1020" i="7" s="1"/>
  <c r="N1019" i="7"/>
  <c r="N1018" i="7"/>
  <c r="N1017" i="7"/>
  <c r="N1016" i="7"/>
  <c r="N1015" i="7"/>
  <c r="O1015" i="7" s="1"/>
  <c r="N1014" i="7"/>
  <c r="O1014" i="7" s="1"/>
  <c r="N1013" i="7"/>
  <c r="N1012" i="7"/>
  <c r="N1011" i="7"/>
  <c r="N1010" i="7"/>
  <c r="O1010" i="7" s="1"/>
  <c r="N1009" i="7"/>
  <c r="O1009" i="7" s="1"/>
  <c r="N1008" i="7"/>
  <c r="N1007" i="7"/>
  <c r="N1006" i="7"/>
  <c r="N1005" i="7"/>
  <c r="N1004" i="7"/>
  <c r="O1004" i="7" s="1"/>
  <c r="N1003" i="7"/>
  <c r="O1003" i="7" s="1"/>
  <c r="N1002" i="7"/>
  <c r="N1001" i="7"/>
  <c r="N1000" i="7"/>
  <c r="N999" i="7"/>
  <c r="N998" i="7"/>
  <c r="O998" i="7" s="1"/>
  <c r="N997" i="7"/>
  <c r="O997" i="7" s="1"/>
  <c r="N996" i="7"/>
  <c r="N995" i="7"/>
  <c r="N994" i="7"/>
  <c r="N993" i="7"/>
  <c r="N992" i="7"/>
  <c r="O992" i="7" s="1"/>
  <c r="N991" i="7"/>
  <c r="O991" i="7" s="1"/>
  <c r="N990" i="7"/>
  <c r="N989" i="7"/>
  <c r="N988" i="7"/>
  <c r="N987" i="7"/>
  <c r="N986" i="7"/>
  <c r="O986" i="7" s="1"/>
  <c r="N985" i="7"/>
  <c r="O985" i="7" s="1"/>
  <c r="N984" i="7"/>
  <c r="N983" i="7"/>
  <c r="N982" i="7"/>
  <c r="N981" i="7"/>
  <c r="N980" i="7"/>
  <c r="N979" i="7"/>
  <c r="N978" i="7"/>
  <c r="O978" i="7" s="1"/>
  <c r="N977" i="7"/>
  <c r="O977" i="7" s="1"/>
  <c r="N976" i="7"/>
  <c r="N975" i="7"/>
  <c r="N974" i="7"/>
  <c r="N973" i="7"/>
  <c r="N972" i="7"/>
  <c r="N971" i="7"/>
  <c r="O971" i="7" s="1"/>
  <c r="N970" i="7"/>
  <c r="O970" i="7" s="1"/>
  <c r="N969" i="7"/>
  <c r="O969" i="7" s="1"/>
  <c r="N968" i="7"/>
  <c r="N967" i="7"/>
  <c r="N966" i="7"/>
  <c r="N965" i="7"/>
  <c r="N964" i="7"/>
  <c r="N963" i="7"/>
  <c r="N962" i="7"/>
  <c r="N961" i="7"/>
  <c r="N960" i="7"/>
  <c r="O960" i="7" s="1"/>
  <c r="N959" i="7"/>
  <c r="O959" i="7" s="1"/>
  <c r="N958" i="7"/>
  <c r="N957" i="7"/>
  <c r="N956" i="7"/>
  <c r="N955" i="7"/>
  <c r="N954" i="7"/>
  <c r="N953" i="7"/>
  <c r="N952" i="7"/>
  <c r="N951" i="7"/>
  <c r="O951" i="7" s="1"/>
  <c r="N950" i="7"/>
  <c r="O950" i="7" s="1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O931" i="7" s="1"/>
  <c r="N930" i="7"/>
  <c r="N929" i="7"/>
  <c r="N928" i="7"/>
  <c r="N927" i="7"/>
  <c r="N926" i="7"/>
  <c r="N925" i="7"/>
  <c r="N924" i="7"/>
  <c r="N923" i="7"/>
  <c r="N922" i="7"/>
  <c r="O922" i="7" s="1"/>
  <c r="N921" i="7"/>
  <c r="O921" i="7" s="1"/>
  <c r="N920" i="7"/>
  <c r="N919" i="7"/>
  <c r="N918" i="7"/>
  <c r="N917" i="7"/>
  <c r="N916" i="7"/>
  <c r="N915" i="7"/>
  <c r="N914" i="7"/>
  <c r="N913" i="7"/>
  <c r="O913" i="7" s="1"/>
  <c r="N912" i="7"/>
  <c r="O912" i="7" s="1"/>
  <c r="N911" i="7"/>
  <c r="N910" i="7"/>
  <c r="N909" i="7"/>
  <c r="N908" i="7"/>
  <c r="N907" i="7"/>
  <c r="N906" i="7"/>
  <c r="O906" i="7" s="1"/>
  <c r="N905" i="7"/>
  <c r="O905" i="7" s="1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O892" i="7" s="1"/>
  <c r="N891" i="7"/>
  <c r="N890" i="7"/>
  <c r="N889" i="7"/>
  <c r="N888" i="7"/>
  <c r="N887" i="7"/>
  <c r="N886" i="7"/>
  <c r="N885" i="7"/>
  <c r="N884" i="7"/>
  <c r="N883" i="7"/>
  <c r="N882" i="7"/>
  <c r="N881" i="7"/>
  <c r="O881" i="7" s="1"/>
  <c r="N880" i="7"/>
  <c r="O880" i="7" s="1"/>
  <c r="N879" i="7"/>
  <c r="N878" i="7"/>
  <c r="N877" i="7"/>
  <c r="N876" i="7"/>
  <c r="N875" i="7"/>
  <c r="N874" i="7"/>
  <c r="N873" i="7"/>
  <c r="O873" i="7" s="1"/>
  <c r="N872" i="7"/>
  <c r="O872" i="7" s="1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N858" i="7"/>
  <c r="N857" i="7"/>
  <c r="N856" i="7"/>
  <c r="N855" i="7"/>
  <c r="O855" i="7" s="1"/>
  <c r="N854" i="7"/>
  <c r="O854" i="7" s="1"/>
  <c r="N853" i="7"/>
  <c r="N852" i="7"/>
  <c r="N851" i="7"/>
  <c r="N850" i="7"/>
  <c r="N849" i="7"/>
  <c r="O849" i="7" s="1"/>
  <c r="N848" i="7"/>
  <c r="N847" i="7"/>
  <c r="N846" i="7"/>
  <c r="N845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O833" i="7" s="1"/>
  <c r="N832" i="7"/>
  <c r="O832" i="7" s="1"/>
  <c r="N831" i="7"/>
  <c r="N830" i="7"/>
  <c r="N829" i="7"/>
  <c r="N828" i="7"/>
  <c r="N827" i="7"/>
  <c r="N826" i="7"/>
  <c r="N825" i="7"/>
  <c r="N824" i="7"/>
  <c r="N823" i="7"/>
  <c r="N822" i="7"/>
  <c r="O822" i="7" s="1"/>
  <c r="N821" i="7"/>
  <c r="O821" i="7" s="1"/>
  <c r="N820" i="7"/>
  <c r="N819" i="7"/>
  <c r="N818" i="7"/>
  <c r="N817" i="7"/>
  <c r="N816" i="7"/>
  <c r="N815" i="7"/>
  <c r="N814" i="7"/>
  <c r="N813" i="7"/>
  <c r="N812" i="7"/>
  <c r="N811" i="7"/>
  <c r="O811" i="7" s="1"/>
  <c r="N810" i="7"/>
  <c r="O810" i="7" s="1"/>
  <c r="N809" i="7"/>
  <c r="N808" i="7"/>
  <c r="N807" i="7"/>
  <c r="N806" i="7"/>
  <c r="N805" i="7"/>
  <c r="N804" i="7"/>
  <c r="N803" i="7"/>
  <c r="N802" i="7"/>
  <c r="N801" i="7"/>
  <c r="N800" i="7"/>
  <c r="O800" i="7" s="1"/>
  <c r="N799" i="7"/>
  <c r="O799" i="7" s="1"/>
  <c r="N798" i="7"/>
  <c r="N797" i="7"/>
  <c r="N796" i="7"/>
  <c r="N795" i="7"/>
  <c r="N794" i="7"/>
  <c r="N793" i="7"/>
  <c r="N792" i="7"/>
  <c r="N791" i="7"/>
  <c r="O791" i="7" s="1"/>
  <c r="N790" i="7"/>
  <c r="O790" i="7" s="1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O735" i="7" s="1"/>
  <c r="N734" i="7"/>
  <c r="N733" i="7"/>
  <c r="O733" i="7" s="1"/>
  <c r="N732" i="7"/>
  <c r="N731" i="7"/>
  <c r="N730" i="7"/>
  <c r="N729" i="7"/>
  <c r="N728" i="7"/>
  <c r="N727" i="7"/>
  <c r="N726" i="7"/>
  <c r="N725" i="7"/>
  <c r="N724" i="7"/>
  <c r="O724" i="7" s="1"/>
  <c r="N723" i="7"/>
  <c r="O723" i="7" s="1"/>
  <c r="N722" i="7"/>
  <c r="N721" i="7"/>
  <c r="N720" i="7"/>
  <c r="N719" i="7"/>
  <c r="O719" i="7" s="1"/>
  <c r="N718" i="7"/>
  <c r="N717" i="7"/>
  <c r="O717" i="7" s="1"/>
  <c r="N716" i="7"/>
  <c r="N715" i="7"/>
  <c r="N714" i="7"/>
  <c r="N713" i="7"/>
  <c r="O713" i="7" s="1"/>
  <c r="N712" i="7"/>
  <c r="N711" i="7"/>
  <c r="N710" i="7"/>
  <c r="N709" i="7"/>
  <c r="N708" i="7"/>
  <c r="N707" i="7"/>
  <c r="O707" i="7" s="1"/>
  <c r="N706" i="7"/>
  <c r="O706" i="7" s="1"/>
  <c r="N705" i="7"/>
  <c r="N704" i="7"/>
  <c r="N703" i="7"/>
  <c r="N702" i="7"/>
  <c r="N701" i="7"/>
  <c r="N700" i="7"/>
  <c r="N699" i="7"/>
  <c r="N698" i="7"/>
  <c r="N697" i="7"/>
  <c r="N696" i="7"/>
  <c r="O696" i="7" s="1"/>
  <c r="N695" i="7"/>
  <c r="N694" i="7"/>
  <c r="N693" i="7"/>
  <c r="N692" i="7"/>
  <c r="N691" i="7"/>
  <c r="O691" i="7" s="1"/>
  <c r="N690" i="7"/>
  <c r="O690" i="7" s="1"/>
  <c r="N689" i="7"/>
  <c r="N688" i="7"/>
  <c r="N687" i="7"/>
  <c r="N686" i="7"/>
  <c r="N685" i="7"/>
  <c r="N684" i="7"/>
  <c r="N683" i="7"/>
  <c r="N682" i="7"/>
  <c r="N681" i="7"/>
  <c r="N680" i="7"/>
  <c r="N679" i="7"/>
  <c r="N678" i="7"/>
  <c r="O678" i="7" s="1"/>
  <c r="N677" i="7"/>
  <c r="N676" i="7"/>
  <c r="N675" i="7"/>
  <c r="N674" i="7"/>
  <c r="N673" i="7"/>
  <c r="O673" i="7" s="1"/>
  <c r="N672" i="7"/>
  <c r="N671" i="7"/>
  <c r="O671" i="7" s="1"/>
  <c r="N670" i="7"/>
  <c r="N669" i="7"/>
  <c r="N668" i="7"/>
  <c r="N667" i="7"/>
  <c r="N666" i="7"/>
  <c r="N665" i="7"/>
  <c r="N664" i="7"/>
  <c r="N663" i="7"/>
  <c r="N662" i="7"/>
  <c r="N661" i="7"/>
  <c r="O661" i="7" s="1"/>
  <c r="N660" i="7"/>
  <c r="O660" i="7" s="1"/>
  <c r="N659" i="7"/>
  <c r="O659" i="7" s="1"/>
  <c r="N658" i="7"/>
  <c r="N657" i="7"/>
  <c r="N656" i="7"/>
  <c r="N655" i="7"/>
  <c r="N654" i="7"/>
  <c r="N653" i="7"/>
  <c r="N652" i="7"/>
  <c r="N651" i="7"/>
  <c r="N650" i="7"/>
  <c r="N649" i="7"/>
  <c r="N648" i="7"/>
  <c r="N647" i="7"/>
  <c r="O647" i="7" s="1"/>
  <c r="N646" i="7"/>
  <c r="N645" i="7"/>
  <c r="N644" i="7"/>
  <c r="O644" i="7" s="1"/>
  <c r="N643" i="7"/>
  <c r="O643" i="7" s="1"/>
  <c r="N642" i="7"/>
  <c r="N641" i="7"/>
  <c r="N640" i="7"/>
  <c r="N639" i="7"/>
  <c r="N638" i="7"/>
  <c r="N637" i="7"/>
  <c r="O637" i="7" s="1"/>
  <c r="N636" i="7"/>
  <c r="O636" i="7" s="1"/>
  <c r="N635" i="7"/>
  <c r="O635" i="7" s="1"/>
  <c r="N634" i="7"/>
  <c r="N633" i="7"/>
  <c r="N632" i="7"/>
  <c r="N631" i="7"/>
  <c r="N630" i="7"/>
  <c r="N629" i="7"/>
  <c r="N628" i="7"/>
  <c r="O628" i="7" s="1"/>
  <c r="N627" i="7"/>
  <c r="O627" i="7" s="1"/>
  <c r="N626" i="7"/>
  <c r="N625" i="7"/>
  <c r="N624" i="7"/>
  <c r="N623" i="7"/>
  <c r="N622" i="7"/>
  <c r="N621" i="7"/>
  <c r="O621" i="7" s="1"/>
  <c r="N620" i="7"/>
  <c r="N619" i="7"/>
  <c r="O619" i="7" s="1"/>
  <c r="N618" i="7"/>
  <c r="N617" i="7"/>
  <c r="N616" i="7"/>
  <c r="N615" i="7"/>
  <c r="N614" i="7"/>
  <c r="N613" i="7"/>
  <c r="N612" i="7"/>
  <c r="O612" i="7" s="1"/>
  <c r="N611" i="7"/>
  <c r="N610" i="7"/>
  <c r="N609" i="7"/>
  <c r="O609" i="7" s="1"/>
  <c r="N608" i="7"/>
  <c r="O608" i="7" s="1"/>
  <c r="N607" i="7"/>
  <c r="O607" i="7" s="1"/>
  <c r="N606" i="7"/>
  <c r="N605" i="7"/>
  <c r="N604" i="7"/>
  <c r="O604" i="7" s="1"/>
  <c r="N603" i="7"/>
  <c r="O603" i="7" s="1"/>
  <c r="N602" i="7"/>
  <c r="O602" i="7" s="1"/>
  <c r="N601" i="7"/>
  <c r="N600" i="7"/>
  <c r="N599" i="7"/>
  <c r="O599" i="7" s="1"/>
  <c r="N598" i="7"/>
  <c r="O598" i="7" s="1"/>
  <c r="N597" i="7"/>
  <c r="N596" i="7"/>
  <c r="N595" i="7"/>
  <c r="O595" i="7" s="1"/>
  <c r="N594" i="7"/>
  <c r="O594" i="7" s="1"/>
  <c r="N593" i="7"/>
  <c r="O593" i="7" s="1"/>
  <c r="N592" i="7"/>
  <c r="N591" i="7"/>
  <c r="N590" i="7"/>
  <c r="O590" i="7" s="1"/>
  <c r="N589" i="7"/>
  <c r="O589" i="7" s="1"/>
  <c r="N588" i="7"/>
  <c r="O588" i="7" s="1"/>
  <c r="N587" i="7"/>
  <c r="N586" i="7"/>
  <c r="N585" i="7"/>
  <c r="O585" i="7" s="1"/>
  <c r="N584" i="7"/>
  <c r="O584" i="7" s="1"/>
  <c r="N583" i="7"/>
  <c r="O583" i="7" s="1"/>
  <c r="N582" i="7"/>
  <c r="N581" i="7"/>
  <c r="N580" i="7"/>
  <c r="O580" i="7" s="1"/>
  <c r="N579" i="7"/>
  <c r="O579" i="7" s="1"/>
  <c r="N578" i="7"/>
  <c r="O578" i="7" s="1"/>
  <c r="N577" i="7"/>
  <c r="N576" i="7"/>
  <c r="N575" i="7"/>
  <c r="O575" i="7" s="1"/>
  <c r="N574" i="7"/>
  <c r="O574" i="7" s="1"/>
  <c r="N573" i="7"/>
  <c r="N572" i="7"/>
  <c r="N571" i="7"/>
  <c r="N570" i="7"/>
  <c r="N569" i="7"/>
  <c r="N568" i="7"/>
  <c r="N567" i="7"/>
  <c r="N566" i="7"/>
  <c r="N565" i="7"/>
  <c r="N564" i="7"/>
  <c r="O564" i="7" s="1"/>
  <c r="N563" i="7"/>
  <c r="N562" i="7"/>
  <c r="N561" i="7"/>
  <c r="N560" i="7"/>
  <c r="N559" i="7"/>
  <c r="N558" i="7"/>
  <c r="N557" i="7"/>
  <c r="N556" i="7"/>
  <c r="N555" i="7"/>
  <c r="N554" i="7"/>
  <c r="O554" i="7" s="1"/>
  <c r="N553" i="7"/>
  <c r="O553" i="7" s="1"/>
  <c r="N552" i="7"/>
  <c r="O552" i="7" s="1"/>
  <c r="N551" i="7"/>
  <c r="N550" i="7"/>
  <c r="N549" i="7"/>
  <c r="N548" i="7"/>
  <c r="N547" i="7"/>
  <c r="N546" i="7"/>
  <c r="O546" i="7" s="1"/>
  <c r="N545" i="7"/>
  <c r="O545" i="7" s="1"/>
  <c r="N544" i="7"/>
  <c r="N543" i="7"/>
  <c r="N542" i="7"/>
  <c r="N541" i="7"/>
  <c r="N540" i="7"/>
  <c r="N539" i="7"/>
  <c r="O539" i="7" s="1"/>
  <c r="N538" i="7"/>
  <c r="O538" i="7" s="1"/>
  <c r="N537" i="7"/>
  <c r="N536" i="7"/>
  <c r="N535" i="7"/>
  <c r="N534" i="7"/>
  <c r="N533" i="7"/>
  <c r="N532" i="7"/>
  <c r="N531" i="7"/>
  <c r="N530" i="7"/>
  <c r="N529" i="7"/>
  <c r="O529" i="7" s="1"/>
  <c r="N528" i="7"/>
  <c r="O528" i="7" s="1"/>
  <c r="N527" i="7"/>
  <c r="N526" i="7"/>
  <c r="N525" i="7"/>
  <c r="N524" i="7"/>
  <c r="N523" i="7"/>
  <c r="N522" i="7"/>
  <c r="N521" i="7"/>
  <c r="N520" i="7"/>
  <c r="N519" i="7"/>
  <c r="O519" i="7" s="1"/>
  <c r="N518" i="7"/>
  <c r="O518" i="7" s="1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O505" i="7" s="1"/>
  <c r="N504" i="7"/>
  <c r="N503" i="7"/>
  <c r="N502" i="7"/>
  <c r="N501" i="7"/>
  <c r="N500" i="7"/>
  <c r="N499" i="7"/>
  <c r="N498" i="7"/>
  <c r="N497" i="7"/>
  <c r="N496" i="7"/>
  <c r="N495" i="7"/>
  <c r="N494" i="7"/>
  <c r="O494" i="7" s="1"/>
  <c r="N493" i="7"/>
  <c r="O493" i="7" s="1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O480" i="7" s="1"/>
  <c r="N479" i="7"/>
  <c r="O479" i="7" s="1"/>
  <c r="N478" i="7"/>
  <c r="N477" i="7"/>
  <c r="N476" i="7"/>
  <c r="N475" i="7"/>
  <c r="N474" i="7"/>
  <c r="N473" i="7"/>
  <c r="N472" i="7"/>
  <c r="N471" i="7"/>
  <c r="N470" i="7"/>
  <c r="N469" i="7"/>
  <c r="N468" i="7"/>
  <c r="N467" i="7"/>
  <c r="O467" i="7" s="1"/>
  <c r="N466" i="7"/>
  <c r="O466" i="7" s="1"/>
  <c r="N465" i="7"/>
  <c r="N464" i="7"/>
  <c r="N463" i="7"/>
  <c r="N462" i="7"/>
  <c r="N461" i="7"/>
  <c r="N460" i="7"/>
  <c r="N459" i="7"/>
  <c r="N458" i="7"/>
  <c r="N457" i="7"/>
  <c r="O457" i="7" s="1"/>
  <c r="N456" i="7"/>
  <c r="N455" i="7"/>
  <c r="N454" i="7"/>
  <c r="N453" i="7"/>
  <c r="N452" i="7"/>
  <c r="N451" i="7"/>
  <c r="N450" i="7"/>
  <c r="O450" i="7" s="1"/>
  <c r="N449" i="7"/>
  <c r="O449" i="7" s="1"/>
  <c r="N448" i="7"/>
  <c r="N447" i="7"/>
  <c r="N446" i="7"/>
  <c r="N445" i="7"/>
  <c r="N444" i="7"/>
  <c r="N443" i="7"/>
  <c r="N442" i="7"/>
  <c r="N441" i="7"/>
  <c r="N440" i="7"/>
  <c r="N439" i="7"/>
  <c r="N438" i="7"/>
  <c r="O438" i="7" s="1"/>
  <c r="N437" i="7"/>
  <c r="O437" i="7" s="1"/>
  <c r="N436" i="7"/>
  <c r="N435" i="7"/>
  <c r="N434" i="7"/>
  <c r="N433" i="7"/>
  <c r="N432" i="7"/>
  <c r="N431" i="7"/>
  <c r="N430" i="7"/>
  <c r="N429" i="7"/>
  <c r="N428" i="7"/>
  <c r="N427" i="7"/>
  <c r="O427" i="7" s="1"/>
  <c r="N426" i="7"/>
  <c r="O426" i="7" s="1"/>
  <c r="N425" i="7"/>
  <c r="N424" i="7"/>
  <c r="N423" i="7"/>
  <c r="N422" i="7"/>
  <c r="N421" i="7"/>
  <c r="N420" i="7"/>
  <c r="N419" i="7"/>
  <c r="N418" i="7"/>
  <c r="N417" i="7"/>
  <c r="N416" i="7"/>
  <c r="O416" i="7" s="1"/>
  <c r="N415" i="7"/>
  <c r="O415" i="7" s="1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O402" i="7" s="1"/>
  <c r="N401" i="7"/>
  <c r="O401" i="7" s="1"/>
  <c r="N400" i="7"/>
  <c r="N399" i="7"/>
  <c r="N398" i="7"/>
  <c r="N397" i="7"/>
  <c r="N396" i="7"/>
  <c r="N395" i="7"/>
  <c r="O395" i="7" s="1"/>
  <c r="N394" i="7"/>
  <c r="N393" i="7"/>
  <c r="N392" i="7"/>
  <c r="N391" i="7"/>
  <c r="N390" i="7"/>
  <c r="N389" i="7"/>
  <c r="N388" i="7"/>
  <c r="O388" i="7" s="1"/>
  <c r="N387" i="7"/>
  <c r="O387" i="7" s="1"/>
  <c r="N386" i="7"/>
  <c r="N385" i="7"/>
  <c r="N384" i="7"/>
  <c r="N383" i="7"/>
  <c r="N382" i="7"/>
  <c r="N381" i="7"/>
  <c r="O381" i="7" s="1"/>
  <c r="N380" i="7"/>
  <c r="O380" i="7" s="1"/>
  <c r="N379" i="7"/>
  <c r="O379" i="7" s="1"/>
  <c r="N378" i="7"/>
  <c r="N377" i="7"/>
  <c r="N376" i="7"/>
  <c r="N375" i="7"/>
  <c r="N374" i="7"/>
  <c r="N373" i="7"/>
  <c r="N372" i="7"/>
  <c r="N371" i="7"/>
  <c r="N370" i="7"/>
  <c r="N369" i="7"/>
  <c r="N368" i="7"/>
  <c r="O368" i="7" s="1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O346" i="7" s="1"/>
  <c r="N345" i="7"/>
  <c r="N344" i="7"/>
  <c r="N343" i="7"/>
  <c r="N342" i="7"/>
  <c r="N341" i="7"/>
  <c r="N340" i="7"/>
  <c r="N339" i="7"/>
  <c r="N338" i="7"/>
  <c r="O338" i="7" s="1"/>
  <c r="N337" i="7"/>
  <c r="O337" i="7" s="1"/>
  <c r="N336" i="7"/>
  <c r="N335" i="7"/>
  <c r="N334" i="7"/>
  <c r="N333" i="7"/>
  <c r="N332" i="7"/>
  <c r="N331" i="7"/>
  <c r="N330" i="7"/>
  <c r="N329" i="7"/>
  <c r="N328" i="7"/>
  <c r="N327" i="7"/>
  <c r="N326" i="7"/>
  <c r="O326" i="7" s="1"/>
  <c r="N325" i="7"/>
  <c r="O325" i="7" s="1"/>
  <c r="N324" i="7"/>
  <c r="N323" i="7"/>
  <c r="N322" i="7"/>
  <c r="N321" i="7"/>
  <c r="N320" i="7"/>
  <c r="N319" i="7"/>
  <c r="N318" i="7"/>
  <c r="N317" i="7"/>
  <c r="N316" i="7"/>
  <c r="N315" i="7"/>
  <c r="O315" i="7" s="1"/>
  <c r="N314" i="7"/>
  <c r="O314" i="7" s="1"/>
  <c r="N313" i="7"/>
  <c r="N312" i="7"/>
  <c r="N311" i="7"/>
  <c r="N310" i="7"/>
  <c r="N309" i="7"/>
  <c r="O309" i="7" s="1"/>
  <c r="N308" i="7"/>
  <c r="O308" i="7" s="1"/>
  <c r="N307" i="7"/>
  <c r="N306" i="7"/>
  <c r="N305" i="7"/>
  <c r="N304" i="7"/>
  <c r="N303" i="7"/>
  <c r="N302" i="7"/>
  <c r="O302" i="7" s="1"/>
  <c r="N301" i="7"/>
  <c r="O301" i="7" s="1"/>
  <c r="N300" i="7"/>
  <c r="N299" i="7"/>
  <c r="N298" i="7"/>
  <c r="N297" i="7"/>
  <c r="N296" i="7"/>
  <c r="N295" i="7"/>
  <c r="N294" i="7"/>
  <c r="O294" i="7" s="1"/>
  <c r="N293" i="7"/>
  <c r="O293" i="7" s="1"/>
  <c r="N292" i="7"/>
  <c r="N291" i="7"/>
  <c r="N290" i="7"/>
  <c r="N289" i="7"/>
  <c r="N288" i="7"/>
  <c r="O288" i="7" s="1"/>
  <c r="N287" i="7"/>
  <c r="N286" i="7"/>
  <c r="N285" i="7"/>
  <c r="N284" i="7"/>
  <c r="N283" i="7"/>
  <c r="N282" i="7"/>
  <c r="N281" i="7"/>
  <c r="N280" i="7"/>
  <c r="O280" i="7" s="1"/>
  <c r="N279" i="7"/>
  <c r="O279" i="7" s="1"/>
  <c r="N278" i="7"/>
  <c r="N277" i="7"/>
  <c r="N276" i="7"/>
  <c r="N275" i="7"/>
  <c r="N274" i="7"/>
  <c r="N273" i="7"/>
  <c r="N272" i="7"/>
  <c r="N271" i="7"/>
  <c r="N270" i="7"/>
  <c r="O270" i="7" s="1"/>
  <c r="N269" i="7"/>
  <c r="O269" i="7" s="1"/>
  <c r="N268" i="7"/>
  <c r="N267" i="7"/>
  <c r="N266" i="7"/>
  <c r="N265" i="7"/>
  <c r="N264" i="7"/>
  <c r="N263" i="7"/>
  <c r="N262" i="7"/>
  <c r="N261" i="7"/>
  <c r="O261" i="7" s="1"/>
  <c r="N260" i="7"/>
  <c r="O260" i="7" s="1"/>
  <c r="N259" i="7"/>
  <c r="N258" i="7"/>
  <c r="N257" i="7"/>
  <c r="N256" i="7"/>
  <c r="N255" i="7"/>
  <c r="N254" i="7"/>
  <c r="N253" i="7"/>
  <c r="O253" i="7" s="1"/>
  <c r="N252" i="7"/>
  <c r="O252" i="7" s="1"/>
  <c r="N251" i="7"/>
  <c r="N250" i="7"/>
  <c r="N249" i="7"/>
  <c r="N248" i="7"/>
  <c r="N247" i="7"/>
  <c r="N246" i="7"/>
  <c r="N245" i="7"/>
  <c r="O245" i="7" s="1"/>
  <c r="N244" i="7"/>
  <c r="O244" i="7" s="1"/>
  <c r="N243" i="7"/>
  <c r="N242" i="7"/>
  <c r="N241" i="7"/>
  <c r="N240" i="7"/>
  <c r="N239" i="7"/>
  <c r="N238" i="7"/>
  <c r="O238" i="7" s="1"/>
  <c r="N237" i="7"/>
  <c r="O237" i="7" s="1"/>
  <c r="N236" i="7"/>
  <c r="N235" i="7"/>
  <c r="N234" i="7"/>
  <c r="N233" i="7"/>
  <c r="N232" i="7"/>
  <c r="O232" i="7" s="1"/>
  <c r="N231" i="7"/>
  <c r="O231" i="7" s="1"/>
  <c r="N230" i="7"/>
  <c r="N229" i="7"/>
  <c r="N228" i="7"/>
  <c r="N227" i="7"/>
  <c r="N226" i="7"/>
  <c r="O226" i="7" s="1"/>
  <c r="N225" i="7"/>
  <c r="O225" i="7" s="1"/>
  <c r="N224" i="7"/>
  <c r="N223" i="7"/>
  <c r="N222" i="7"/>
  <c r="N221" i="7"/>
  <c r="N220" i="7"/>
  <c r="N219" i="7"/>
  <c r="N218" i="7"/>
  <c r="N217" i="7"/>
  <c r="N216" i="7"/>
  <c r="N215" i="7"/>
  <c r="O215" i="7" s="1"/>
  <c r="N214" i="7"/>
  <c r="O214" i="7" s="1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O199" i="7" s="1"/>
  <c r="N198" i="7"/>
  <c r="O198" i="7" s="1"/>
  <c r="N197" i="7"/>
  <c r="N196" i="7"/>
  <c r="N195" i="7"/>
  <c r="N194" i="7"/>
  <c r="N193" i="7"/>
  <c r="N192" i="7"/>
  <c r="N191" i="7"/>
  <c r="N190" i="7"/>
  <c r="N189" i="7"/>
  <c r="N188" i="7"/>
  <c r="O188" i="7" s="1"/>
  <c r="N187" i="7"/>
  <c r="O187" i="7" s="1"/>
  <c r="N186" i="7"/>
  <c r="N185" i="7"/>
  <c r="N184" i="7"/>
  <c r="N183" i="7"/>
  <c r="N182" i="7"/>
  <c r="N181" i="7"/>
  <c r="N180" i="7"/>
  <c r="N179" i="7"/>
  <c r="N178" i="7"/>
  <c r="O178" i="7" s="1"/>
  <c r="N177" i="7"/>
  <c r="O177" i="7" s="1"/>
  <c r="N176" i="7"/>
  <c r="N175" i="7"/>
  <c r="N174" i="7"/>
  <c r="N173" i="7"/>
  <c r="N172" i="7"/>
  <c r="N171" i="7"/>
  <c r="N170" i="7"/>
  <c r="N169" i="7"/>
  <c r="N168" i="7"/>
  <c r="N167" i="7"/>
  <c r="O167" i="7" s="1"/>
  <c r="N166" i="7"/>
  <c r="O166" i="7" s="1"/>
  <c r="N165" i="7"/>
  <c r="N164" i="7"/>
  <c r="N163" i="7"/>
  <c r="N162" i="7"/>
  <c r="N161" i="7"/>
  <c r="N160" i="7"/>
  <c r="N159" i="7"/>
  <c r="N158" i="7"/>
  <c r="N157" i="7"/>
  <c r="N156" i="7"/>
  <c r="O156" i="7" s="1"/>
  <c r="N155" i="7"/>
  <c r="O155" i="7" s="1"/>
  <c r="N154" i="7"/>
  <c r="N153" i="7"/>
  <c r="N152" i="7"/>
  <c r="N151" i="7"/>
  <c r="N150" i="7"/>
  <c r="N149" i="7"/>
  <c r="N148" i="7"/>
  <c r="N147" i="7"/>
  <c r="N146" i="7"/>
  <c r="N145" i="7"/>
  <c r="O145" i="7" s="1"/>
  <c r="N144" i="7"/>
  <c r="N143" i="7"/>
  <c r="N142" i="7"/>
  <c r="N141" i="7"/>
  <c r="N140" i="7"/>
  <c r="N139" i="7"/>
  <c r="N138" i="7"/>
  <c r="N137" i="7"/>
  <c r="N136" i="7"/>
  <c r="N135" i="7"/>
  <c r="O135" i="7" s="1"/>
  <c r="N134" i="7"/>
  <c r="O134" i="7" s="1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O121" i="7" s="1"/>
  <c r="N120" i="7"/>
  <c r="N119" i="7"/>
  <c r="N118" i="7"/>
  <c r="N117" i="7"/>
  <c r="N116" i="7"/>
  <c r="N115" i="7"/>
  <c r="O115" i="7" s="1"/>
  <c r="N114" i="7"/>
  <c r="O114" i="7" s="1"/>
  <c r="N113" i="7"/>
  <c r="N112" i="7"/>
  <c r="N111" i="7"/>
  <c r="N110" i="7"/>
  <c r="N109" i="7"/>
  <c r="N108" i="7"/>
  <c r="N107" i="7"/>
  <c r="O107" i="7" s="1"/>
  <c r="N106" i="7"/>
  <c r="O106" i="7" s="1"/>
  <c r="N105" i="7"/>
  <c r="N104" i="7"/>
  <c r="N103" i="7"/>
  <c r="N102" i="7"/>
  <c r="N101" i="7"/>
  <c r="N100" i="7"/>
  <c r="N99" i="7"/>
  <c r="O99" i="7" s="1"/>
  <c r="N98" i="7"/>
  <c r="O98" i="7" s="1"/>
  <c r="N97" i="7"/>
  <c r="N96" i="7"/>
  <c r="N95" i="7"/>
  <c r="O95" i="7" s="1"/>
  <c r="N94" i="7"/>
  <c r="O94" i="7" s="1"/>
  <c r="N93" i="7"/>
  <c r="N92" i="7"/>
  <c r="O92" i="7" s="1"/>
  <c r="N91" i="7"/>
  <c r="O91" i="7" s="1"/>
  <c r="N90" i="7"/>
  <c r="N89" i="7"/>
  <c r="N88" i="7"/>
  <c r="N87" i="7"/>
  <c r="N86" i="7"/>
  <c r="N85" i="7"/>
  <c r="N84" i="7"/>
  <c r="N83" i="7"/>
  <c r="N82" i="7"/>
  <c r="N81" i="7"/>
  <c r="O81" i="7" s="1"/>
  <c r="N80" i="7"/>
  <c r="N79" i="7"/>
  <c r="N78" i="7"/>
  <c r="N77" i="7"/>
  <c r="N76" i="7"/>
  <c r="N75" i="7"/>
  <c r="N74" i="7"/>
  <c r="N73" i="7"/>
  <c r="N72" i="7"/>
  <c r="N71" i="7"/>
  <c r="N70" i="7"/>
  <c r="N69" i="7"/>
  <c r="O69" i="7" s="1"/>
  <c r="N68" i="7"/>
  <c r="O68" i="7" s="1"/>
  <c r="N67" i="7"/>
  <c r="N66" i="7"/>
  <c r="N65" i="7"/>
  <c r="N64" i="7"/>
  <c r="N63" i="7"/>
  <c r="O63" i="7" s="1"/>
  <c r="N62" i="7"/>
  <c r="O62" i="7" s="1"/>
  <c r="N61" i="7"/>
  <c r="N60" i="7"/>
  <c r="N59" i="7"/>
  <c r="N58" i="7"/>
  <c r="N57" i="7"/>
  <c r="N56" i="7"/>
  <c r="N55" i="7"/>
  <c r="N54" i="7"/>
  <c r="N53" i="7"/>
  <c r="O53" i="7" s="1"/>
  <c r="N52" i="7"/>
  <c r="O52" i="7" s="1"/>
  <c r="N51" i="7"/>
  <c r="N50" i="7"/>
  <c r="N49" i="7"/>
  <c r="N48" i="7"/>
  <c r="N47" i="7"/>
  <c r="N46" i="7"/>
  <c r="N45" i="7"/>
  <c r="N44" i="7"/>
  <c r="N43" i="7"/>
  <c r="O43" i="7" s="1"/>
  <c r="N42" i="7"/>
  <c r="N41" i="7"/>
  <c r="N40" i="7"/>
  <c r="N39" i="7"/>
  <c r="N38" i="7"/>
  <c r="O38" i="7" s="1"/>
  <c r="N37" i="7"/>
  <c r="N36" i="7"/>
  <c r="N35" i="7"/>
  <c r="N34" i="7"/>
  <c r="N33" i="7"/>
  <c r="N32" i="7"/>
  <c r="N31" i="7"/>
  <c r="N30" i="7"/>
  <c r="N29" i="7"/>
  <c r="N28" i="7"/>
  <c r="N27" i="7"/>
  <c r="O27" i="7" s="1"/>
  <c r="N26" i="7"/>
  <c r="N25" i="7"/>
  <c r="N24" i="7"/>
  <c r="N23" i="7"/>
  <c r="N22" i="7"/>
  <c r="N21" i="7"/>
  <c r="O21" i="7" s="1"/>
  <c r="N20" i="7"/>
  <c r="O20" i="7" s="1"/>
  <c r="N19" i="7"/>
  <c r="N18" i="7"/>
  <c r="N17" i="7"/>
  <c r="N16" i="7"/>
  <c r="O16" i="7" s="1"/>
  <c r="N15" i="7"/>
  <c r="O15" i="7" s="1"/>
  <c r="N14" i="7"/>
  <c r="N13" i="7"/>
  <c r="N12" i="7"/>
  <c r="N11" i="7"/>
  <c r="N10" i="7"/>
  <c r="N9" i="7"/>
  <c r="N8" i="7"/>
  <c r="O8" i="7" s="1"/>
  <c r="N7" i="7"/>
  <c r="O7" i="7" s="1"/>
  <c r="N6" i="7"/>
  <c r="O6" i="7" s="1"/>
  <c r="N5" i="7"/>
  <c r="O5" i="7" s="1"/>
  <c r="N4" i="7"/>
  <c r="O4" i="7" s="1"/>
  <c r="N3" i="7"/>
  <c r="O3" i="7" s="1"/>
  <c r="N2" i="7"/>
  <c r="O2" i="7" s="1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3" i="7"/>
  <c r="F1692" i="7"/>
  <c r="F1691" i="7"/>
  <c r="F1690" i="7"/>
  <c r="F1689" i="7"/>
  <c r="F1688" i="7"/>
  <c r="F1678" i="7"/>
  <c r="F1677" i="7"/>
  <c r="F1676" i="7"/>
  <c r="F1675" i="7"/>
  <c r="F166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28" i="7"/>
  <c r="F1524" i="7"/>
  <c r="F1521" i="7"/>
  <c r="F1517" i="7"/>
  <c r="F1511" i="7"/>
  <c r="F1510" i="7"/>
  <c r="F1509" i="7"/>
  <c r="F1498" i="7"/>
  <c r="F1495" i="7"/>
  <c r="F1491" i="7"/>
  <c r="F1490" i="7"/>
  <c r="F1483" i="7"/>
  <c r="F1481" i="7"/>
  <c r="F1479" i="7"/>
  <c r="F1477" i="7"/>
  <c r="F1474" i="7"/>
  <c r="F1472" i="7"/>
  <c r="F1470" i="7"/>
  <c r="F1468" i="7"/>
  <c r="F1466" i="7"/>
  <c r="F1464" i="7"/>
  <c r="F1462" i="7"/>
  <c r="F1460" i="7"/>
  <c r="F1458" i="7"/>
  <c r="F1456" i="7"/>
  <c r="F1454" i="7"/>
  <c r="F1452" i="7"/>
  <c r="F1448" i="7"/>
  <c r="F1441" i="7"/>
  <c r="F1426" i="7"/>
  <c r="F1421" i="7"/>
  <c r="F1419" i="7"/>
  <c r="F1416" i="7"/>
  <c r="F1413" i="7"/>
  <c r="F1410" i="7"/>
  <c r="F1407" i="7"/>
  <c r="F1404" i="7"/>
  <c r="F1399" i="7"/>
  <c r="F1398" i="7"/>
  <c r="F1397" i="7"/>
  <c r="F1396" i="7"/>
  <c r="F1395" i="7"/>
  <c r="F1394" i="7"/>
  <c r="F1393" i="7"/>
  <c r="F1389" i="7"/>
  <c r="F1388" i="7"/>
  <c r="F1387" i="7"/>
  <c r="F1386" i="7"/>
  <c r="F1385" i="7"/>
  <c r="F1384" i="7"/>
  <c r="F1380" i="7"/>
  <c r="F1379" i="7"/>
  <c r="F1378" i="7"/>
  <c r="F1377" i="7"/>
  <c r="F1376" i="7"/>
  <c r="F1375" i="7"/>
  <c r="F1374" i="7"/>
  <c r="F1370" i="7"/>
  <c r="F1369" i="7"/>
  <c r="F1368" i="7"/>
  <c r="F1367" i="7"/>
  <c r="F1366" i="7"/>
  <c r="F1365" i="7"/>
  <c r="F1364" i="7"/>
  <c r="F1360" i="7"/>
  <c r="F1359" i="7"/>
  <c r="F1358" i="7"/>
  <c r="F1357" i="7"/>
  <c r="F1356" i="7"/>
  <c r="F1355" i="7"/>
  <c r="F1354" i="7"/>
  <c r="F1350" i="7"/>
  <c r="F1349" i="7"/>
  <c r="F1348" i="7"/>
  <c r="F1347" i="7"/>
  <c r="F1346" i="7"/>
  <c r="F1345" i="7"/>
  <c r="F1344" i="7"/>
  <c r="F1340" i="7"/>
  <c r="F1339" i="7"/>
  <c r="F1338" i="7"/>
  <c r="F1337" i="7"/>
  <c r="F1336" i="7"/>
  <c r="F1335" i="7"/>
  <c r="F1334" i="7"/>
  <c r="F1333" i="7"/>
  <c r="F1332" i="7"/>
  <c r="F1328" i="7"/>
  <c r="F1327" i="7"/>
  <c r="F1326" i="7"/>
  <c r="F1325" i="7"/>
  <c r="F1324" i="7"/>
  <c r="F1323" i="7"/>
  <c r="F1322" i="7"/>
  <c r="F1321" i="7"/>
  <c r="F1320" i="7"/>
  <c r="F1316" i="7"/>
  <c r="F1315" i="7"/>
  <c r="F1314" i="7"/>
  <c r="F1313" i="7"/>
  <c r="F1312" i="7"/>
  <c r="F1311" i="7"/>
  <c r="F1310" i="7"/>
  <c r="F1309" i="7"/>
  <c r="F1308" i="7"/>
  <c r="F1304" i="7"/>
  <c r="F1303" i="7"/>
  <c r="F1302" i="7"/>
  <c r="F1301" i="7"/>
  <c r="F1300" i="7"/>
  <c r="F1299" i="7"/>
  <c r="F1298" i="7"/>
  <c r="F1297" i="7"/>
  <c r="F1296" i="7"/>
  <c r="F1293" i="7"/>
  <c r="F1288" i="7"/>
  <c r="F1287" i="7"/>
  <c r="F1282" i="7"/>
  <c r="F1281" i="7"/>
  <c r="F1276" i="7"/>
  <c r="F1275" i="7"/>
  <c r="F1272" i="7"/>
  <c r="F1269" i="7"/>
  <c r="F1267" i="7"/>
  <c r="F1262" i="7"/>
  <c r="F1261" i="7"/>
  <c r="F1257" i="7"/>
  <c r="F1256" i="7"/>
  <c r="F1251" i="7"/>
  <c r="F1250" i="7"/>
  <c r="F1249" i="7"/>
  <c r="F1248" i="7"/>
  <c r="F1247" i="7"/>
  <c r="F1246" i="7"/>
  <c r="F1241" i="7"/>
  <c r="F1240" i="7"/>
  <c r="F1239" i="7"/>
  <c r="F1238" i="7"/>
  <c r="F1237" i="7"/>
  <c r="F1236" i="7"/>
  <c r="F1234" i="7"/>
  <c r="F1233" i="7"/>
  <c r="F1232" i="7"/>
  <c r="F1231" i="7"/>
  <c r="F1230" i="7"/>
  <c r="F1229" i="7"/>
  <c r="F1228" i="7"/>
  <c r="F1227" i="7"/>
  <c r="F1225" i="7"/>
  <c r="F1224" i="7"/>
  <c r="F1223" i="7"/>
  <c r="F1222" i="7"/>
  <c r="F1221" i="7"/>
  <c r="F1220" i="7"/>
  <c r="F1219" i="7"/>
  <c r="F1218" i="7"/>
  <c r="F1217" i="7"/>
  <c r="F1216" i="7"/>
  <c r="F1213" i="7"/>
  <c r="F1212" i="7"/>
  <c r="F1211" i="7"/>
  <c r="F1210" i="7"/>
  <c r="F1209" i="7"/>
  <c r="F1208" i="7"/>
  <c r="F1207" i="7"/>
  <c r="F1206" i="7"/>
  <c r="F1205" i="7"/>
  <c r="F1204" i="7"/>
  <c r="F1201" i="7"/>
  <c r="F1200" i="7"/>
  <c r="F1199" i="7"/>
  <c r="F1198" i="7"/>
  <c r="F1197" i="7"/>
  <c r="F1196" i="7"/>
  <c r="F1195" i="7"/>
  <c r="F1194" i="7"/>
  <c r="F1193" i="7"/>
  <c r="F1192" i="7"/>
  <c r="F1190" i="7"/>
  <c r="F1189" i="7"/>
  <c r="F1188" i="7"/>
  <c r="F1187" i="7"/>
  <c r="F1186" i="7"/>
  <c r="F1185" i="7"/>
  <c r="F1184" i="7"/>
  <c r="F1183" i="7"/>
  <c r="F1181" i="7"/>
  <c r="F1180" i="7"/>
  <c r="F1179" i="7"/>
  <c r="F1178" i="7"/>
  <c r="F1177" i="7"/>
  <c r="F1176" i="7"/>
  <c r="F1175" i="7"/>
  <c r="F1174" i="7"/>
  <c r="F1173" i="7"/>
  <c r="F1172" i="7"/>
  <c r="F1168" i="7"/>
  <c r="F1162" i="7"/>
  <c r="F1161" i="7"/>
  <c r="F1158" i="7"/>
  <c r="F1157" i="7"/>
  <c r="F1155" i="7"/>
  <c r="F1154" i="7"/>
  <c r="F1153" i="7"/>
  <c r="F1152" i="7"/>
  <c r="F1151" i="7"/>
  <c r="F1150" i="7"/>
  <c r="F1149" i="7"/>
  <c r="F1148" i="7"/>
  <c r="F1147" i="7"/>
  <c r="F1146" i="7"/>
  <c r="F1144" i="7"/>
  <c r="F1143" i="7"/>
  <c r="F1142" i="7"/>
  <c r="F1141" i="7"/>
  <c r="F1140" i="7"/>
  <c r="F1139" i="7"/>
  <c r="F1138" i="7"/>
  <c r="F1137" i="7"/>
  <c r="F1135" i="7"/>
  <c r="F1134" i="7"/>
  <c r="F1133" i="7"/>
  <c r="F1132" i="7"/>
  <c r="F1131" i="7"/>
  <c r="F1130" i="7"/>
  <c r="F1129" i="7"/>
  <c r="F1128" i="7"/>
  <c r="F1124" i="7"/>
  <c r="F1123" i="7"/>
  <c r="F1122" i="7"/>
  <c r="F1121" i="7"/>
  <c r="F1117" i="7"/>
  <c r="F1116" i="7"/>
  <c r="F1115" i="7"/>
  <c r="F1114" i="7"/>
  <c r="F1110" i="7"/>
  <c r="F1109" i="7"/>
  <c r="F1108" i="7"/>
  <c r="F1107" i="7"/>
  <c r="F1103" i="7"/>
  <c r="F1102" i="7"/>
  <c r="F1101" i="7"/>
  <c r="F1100" i="7"/>
  <c r="F1096" i="7"/>
  <c r="F1095" i="7"/>
  <c r="F1094" i="7"/>
  <c r="F1093" i="7"/>
  <c r="F1089" i="7"/>
  <c r="F1088" i="7"/>
  <c r="F1087" i="7"/>
  <c r="F1086" i="7"/>
  <c r="F1082" i="7"/>
  <c r="F1081" i="7"/>
  <c r="F1077" i="7"/>
  <c r="F1076" i="7"/>
  <c r="F1075" i="7"/>
  <c r="F1074" i="7"/>
  <c r="F1069" i="7"/>
  <c r="F1068" i="7"/>
  <c r="F1064" i="7"/>
  <c r="F1063" i="7"/>
  <c r="F1062" i="7"/>
  <c r="F1061" i="7"/>
  <c r="F1057" i="7"/>
  <c r="F1056" i="7"/>
  <c r="F1055" i="7"/>
  <c r="F1054" i="7"/>
  <c r="F1050" i="7"/>
  <c r="F1049" i="7"/>
  <c r="F1048" i="7"/>
  <c r="F1047" i="7"/>
  <c r="F1043" i="7"/>
  <c r="F1042" i="7"/>
  <c r="F1041" i="7"/>
  <c r="F1040" i="7"/>
  <c r="F1038" i="7"/>
  <c r="F1037" i="7"/>
  <c r="F1036" i="7"/>
  <c r="F1030" i="7"/>
  <c r="F1026" i="7"/>
  <c r="F1019" i="7"/>
  <c r="F1018" i="7"/>
  <c r="F1017" i="7"/>
  <c r="F1013" i="7"/>
  <c r="F1012" i="7"/>
  <c r="F1008" i="7"/>
  <c r="F1007" i="7"/>
  <c r="F1006" i="7"/>
  <c r="F1002" i="7"/>
  <c r="F1001" i="7"/>
  <c r="F996" i="7"/>
  <c r="F995" i="7"/>
  <c r="F990" i="7"/>
  <c r="F989" i="7"/>
  <c r="F984" i="7"/>
  <c r="F983" i="7"/>
  <c r="F982" i="7"/>
  <c r="F981" i="7"/>
  <c r="F976" i="7"/>
  <c r="F975" i="7"/>
  <c r="F974" i="7"/>
  <c r="F973" i="7"/>
  <c r="F968" i="7"/>
  <c r="F967" i="7"/>
  <c r="F966" i="7"/>
  <c r="F965" i="7"/>
  <c r="F964" i="7"/>
  <c r="F963" i="7"/>
  <c r="F958" i="7"/>
  <c r="F957" i="7"/>
  <c r="F956" i="7"/>
  <c r="F955" i="7"/>
  <c r="F949" i="7"/>
  <c r="F948" i="7"/>
  <c r="F947" i="7"/>
  <c r="F946" i="7"/>
  <c r="F943" i="7"/>
  <c r="F938" i="7"/>
  <c r="F937" i="7"/>
  <c r="F936" i="7"/>
  <c r="F930" i="7"/>
  <c r="F929" i="7"/>
  <c r="F928" i="7"/>
  <c r="F920" i="7"/>
  <c r="F919" i="7"/>
  <c r="F918" i="7"/>
  <c r="F917" i="7"/>
  <c r="F911" i="7"/>
  <c r="F910" i="7"/>
  <c r="F909" i="7"/>
  <c r="F908" i="7"/>
  <c r="F904" i="7"/>
  <c r="F903" i="7"/>
  <c r="F902" i="7"/>
  <c r="F900" i="7"/>
  <c r="F899" i="7"/>
  <c r="F896" i="7"/>
  <c r="F895" i="7"/>
  <c r="F894" i="7"/>
  <c r="F890" i="7"/>
  <c r="F889" i="7"/>
  <c r="F888" i="7"/>
  <c r="F887" i="7"/>
  <c r="F886" i="7"/>
  <c r="F885" i="7"/>
  <c r="F879" i="7"/>
  <c r="F878" i="7"/>
  <c r="F877" i="7"/>
  <c r="F871" i="7"/>
  <c r="F870" i="7"/>
  <c r="F869" i="7"/>
  <c r="F867" i="7"/>
  <c r="F866" i="7"/>
  <c r="F863" i="7"/>
  <c r="F862" i="7"/>
  <c r="F861" i="7"/>
  <c r="F859" i="7"/>
  <c r="F858" i="7"/>
  <c r="F857" i="7"/>
  <c r="F856" i="7"/>
  <c r="F853" i="7"/>
  <c r="F852" i="7"/>
  <c r="F851" i="7"/>
  <c r="F850" i="7"/>
  <c r="F846" i="7"/>
  <c r="F845" i="7"/>
  <c r="F844" i="7"/>
  <c r="F843" i="7"/>
  <c r="F842" i="7"/>
  <c r="F841" i="7"/>
  <c r="F840" i="7"/>
  <c r="F839" i="7"/>
  <c r="F838" i="7"/>
  <c r="F837" i="7"/>
  <c r="F831" i="7"/>
  <c r="F830" i="7"/>
  <c r="F829" i="7"/>
  <c r="F828" i="7"/>
  <c r="F827" i="7"/>
  <c r="F826" i="7"/>
  <c r="F820" i="7"/>
  <c r="F819" i="7"/>
  <c r="F818" i="7"/>
  <c r="F817" i="7"/>
  <c r="F816" i="7"/>
  <c r="F815" i="7"/>
  <c r="F809" i="7"/>
  <c r="F808" i="7"/>
  <c r="F807" i="7"/>
  <c r="F806" i="7"/>
  <c r="F805" i="7"/>
  <c r="F804" i="7"/>
  <c r="F798" i="7"/>
  <c r="F797" i="7"/>
  <c r="F796" i="7"/>
  <c r="F795" i="7"/>
  <c r="F794" i="7"/>
  <c r="F793" i="7"/>
  <c r="F789" i="7"/>
  <c r="F788" i="7"/>
  <c r="F787" i="7"/>
  <c r="F783" i="7"/>
  <c r="F780" i="7"/>
  <c r="F777" i="7"/>
  <c r="F774" i="7"/>
  <c r="F771" i="7"/>
  <c r="F768" i="7"/>
  <c r="F765" i="7"/>
  <c r="F762" i="7"/>
  <c r="F759" i="7"/>
  <c r="F756" i="7"/>
  <c r="F753" i="7"/>
  <c r="F750" i="7"/>
  <c r="F747" i="7"/>
  <c r="F744" i="7"/>
  <c r="F741" i="7"/>
  <c r="F738" i="7"/>
  <c r="F732" i="7"/>
  <c r="F731" i="7"/>
  <c r="F730" i="7"/>
  <c r="F729" i="7"/>
  <c r="F722" i="7"/>
  <c r="F721" i="7"/>
  <c r="F720" i="7"/>
  <c r="F705" i="7"/>
  <c r="F704" i="7"/>
  <c r="F703" i="7"/>
  <c r="F702" i="7"/>
  <c r="F701" i="7"/>
  <c r="F700" i="7"/>
  <c r="F699" i="7"/>
  <c r="F698" i="7"/>
  <c r="F695" i="7"/>
  <c r="F694" i="7"/>
  <c r="F693" i="7"/>
  <c r="F692" i="7"/>
  <c r="F689" i="7"/>
  <c r="F683" i="7"/>
  <c r="F682" i="7"/>
  <c r="F681" i="7"/>
  <c r="F680" i="7"/>
  <c r="F679" i="7"/>
  <c r="F677" i="7"/>
  <c r="F676" i="7"/>
  <c r="F675" i="7"/>
  <c r="F674" i="7"/>
  <c r="F670" i="7"/>
  <c r="F668" i="7"/>
  <c r="F667" i="7"/>
  <c r="F666" i="7"/>
  <c r="F665" i="7"/>
  <c r="F664" i="7"/>
  <c r="F663" i="7"/>
  <c r="F658" i="7"/>
  <c r="F657" i="7"/>
  <c r="F656" i="7"/>
  <c r="F655" i="7"/>
  <c r="F654" i="7"/>
  <c r="F653" i="7"/>
  <c r="F652" i="7"/>
  <c r="F651" i="7"/>
  <c r="F650" i="7"/>
  <c r="F648" i="7"/>
  <c r="F642" i="7"/>
  <c r="F641" i="7"/>
  <c r="F640" i="7"/>
  <c r="F639" i="7"/>
  <c r="F638" i="7"/>
  <c r="F634" i="7"/>
  <c r="F633" i="7"/>
  <c r="F632" i="7"/>
  <c r="F631" i="7"/>
  <c r="F630" i="7"/>
  <c r="F626" i="7"/>
  <c r="F625" i="7"/>
  <c r="F624" i="7"/>
  <c r="F623" i="7"/>
  <c r="F622" i="7"/>
  <c r="F618" i="7"/>
  <c r="F617" i="7"/>
  <c r="F616" i="7"/>
  <c r="F615" i="7"/>
  <c r="F614" i="7"/>
  <c r="F611" i="7"/>
  <c r="F610" i="7"/>
  <c r="F606" i="7"/>
  <c r="F605" i="7"/>
  <c r="F601" i="7"/>
  <c r="F600" i="7"/>
  <c r="F597" i="7"/>
  <c r="F596" i="7"/>
  <c r="F592" i="7"/>
  <c r="F591" i="7"/>
  <c r="F587" i="7"/>
  <c r="F586" i="7"/>
  <c r="F582" i="7"/>
  <c r="F581" i="7"/>
  <c r="F577" i="7"/>
  <c r="F576" i="7"/>
  <c r="F570" i="7"/>
  <c r="F569" i="7"/>
  <c r="F568" i="7"/>
  <c r="F567" i="7"/>
  <c r="F566" i="7"/>
  <c r="F565" i="7"/>
  <c r="F561" i="7"/>
  <c r="F560" i="7"/>
  <c r="F559" i="7"/>
  <c r="F558" i="7"/>
  <c r="F557" i="7"/>
  <c r="F556" i="7"/>
  <c r="F555" i="7"/>
  <c r="F548" i="7"/>
  <c r="F547" i="7"/>
  <c r="F542" i="7"/>
  <c r="F541" i="7"/>
  <c r="F540" i="7"/>
  <c r="F536" i="7"/>
  <c r="F535" i="7"/>
  <c r="F534" i="7"/>
  <c r="F533" i="7"/>
  <c r="F532" i="7"/>
  <c r="F531" i="7"/>
  <c r="F530" i="7"/>
  <c r="F524" i="7"/>
  <c r="F523" i="7"/>
  <c r="F522" i="7"/>
  <c r="F521" i="7"/>
  <c r="F520" i="7"/>
  <c r="F515" i="7"/>
  <c r="F514" i="7"/>
  <c r="F513" i="7"/>
  <c r="F512" i="7"/>
  <c r="F511" i="7"/>
  <c r="F510" i="7"/>
  <c r="F509" i="7"/>
  <c r="F508" i="7"/>
  <c r="F507" i="7"/>
  <c r="F502" i="7"/>
  <c r="F501" i="7"/>
  <c r="F500" i="7"/>
  <c r="F499" i="7"/>
  <c r="F498" i="7"/>
  <c r="F497" i="7"/>
  <c r="F496" i="7"/>
  <c r="F495" i="7"/>
  <c r="F490" i="7"/>
  <c r="F489" i="7"/>
  <c r="F488" i="7"/>
  <c r="F487" i="7"/>
  <c r="F486" i="7"/>
  <c r="F485" i="7"/>
  <c r="F484" i="7"/>
  <c r="F483" i="7"/>
  <c r="F482" i="7"/>
  <c r="F481" i="7"/>
  <c r="F476" i="7"/>
  <c r="F475" i="7"/>
  <c r="F474" i="7"/>
  <c r="F473" i="7"/>
  <c r="F472" i="7"/>
  <c r="F471" i="7"/>
  <c r="F470" i="7"/>
  <c r="F469" i="7"/>
  <c r="F468" i="7"/>
  <c r="F463" i="7"/>
  <c r="F462" i="7"/>
  <c r="F461" i="7"/>
  <c r="F460" i="7"/>
  <c r="F459" i="7"/>
  <c r="F455" i="7"/>
  <c r="F454" i="7"/>
  <c r="F453" i="7"/>
  <c r="F452" i="7"/>
  <c r="F451" i="7"/>
  <c r="F446" i="7"/>
  <c r="F445" i="7"/>
  <c r="F444" i="7"/>
  <c r="F443" i="7"/>
  <c r="F442" i="7"/>
  <c r="F441" i="7"/>
  <c r="F440" i="7"/>
  <c r="F439" i="7"/>
  <c r="F435" i="7"/>
  <c r="F434" i="7"/>
  <c r="F433" i="7"/>
  <c r="F432" i="7"/>
  <c r="F431" i="7"/>
  <c r="F430" i="7"/>
  <c r="F429" i="7"/>
  <c r="F428" i="7"/>
  <c r="F424" i="7"/>
  <c r="F423" i="7"/>
  <c r="F422" i="7"/>
  <c r="F421" i="7"/>
  <c r="F420" i="7"/>
  <c r="F419" i="7"/>
  <c r="F418" i="7"/>
  <c r="F417" i="7"/>
  <c r="F412" i="7"/>
  <c r="F411" i="7"/>
  <c r="F410" i="7"/>
  <c r="F409" i="7"/>
  <c r="F408" i="7"/>
  <c r="F407" i="7"/>
  <c r="F406" i="7"/>
  <c r="F405" i="7"/>
  <c r="F404" i="7"/>
  <c r="F403" i="7"/>
  <c r="F399" i="7"/>
  <c r="F398" i="7"/>
  <c r="F397" i="7"/>
  <c r="F396" i="7"/>
  <c r="F392" i="7"/>
  <c r="F391" i="7"/>
  <c r="F390" i="7"/>
  <c r="F389" i="7"/>
  <c r="F385" i="7"/>
  <c r="F384" i="7"/>
  <c r="F383" i="7"/>
  <c r="F382" i="7"/>
  <c r="F374" i="7"/>
  <c r="F373" i="7"/>
  <c r="F372" i="7"/>
  <c r="F371" i="7"/>
  <c r="F370" i="7"/>
  <c r="F369" i="7"/>
  <c r="F365" i="7"/>
  <c r="F364" i="7"/>
  <c r="F363" i="7"/>
  <c r="F362" i="7"/>
  <c r="F361" i="7"/>
  <c r="F360" i="7"/>
  <c r="F354" i="7"/>
  <c r="F353" i="7"/>
  <c r="F352" i="7"/>
  <c r="F351" i="7"/>
  <c r="F350" i="7"/>
  <c r="F349" i="7"/>
  <c r="F348" i="7"/>
  <c r="F347" i="7"/>
  <c r="F343" i="7"/>
  <c r="F342" i="7"/>
  <c r="F341" i="7"/>
  <c r="F340" i="7"/>
  <c r="F339" i="7"/>
  <c r="F334" i="7"/>
  <c r="F333" i="7"/>
  <c r="F332" i="7"/>
  <c r="F331" i="7"/>
  <c r="F330" i="7"/>
  <c r="F329" i="7"/>
  <c r="F328" i="7"/>
  <c r="F327" i="7"/>
  <c r="F323" i="7"/>
  <c r="F322" i="7"/>
  <c r="F321" i="7"/>
  <c r="F320" i="7"/>
  <c r="F319" i="7"/>
  <c r="F318" i="7"/>
  <c r="F317" i="7"/>
  <c r="F316" i="7"/>
  <c r="F311" i="7"/>
  <c r="F310" i="7"/>
  <c r="F305" i="7"/>
  <c r="F304" i="7"/>
  <c r="F303" i="7"/>
  <c r="F298" i="7"/>
  <c r="F297" i="7"/>
  <c r="F296" i="7"/>
  <c r="F295" i="7"/>
  <c r="F290" i="7"/>
  <c r="F289" i="7"/>
  <c r="F284" i="7"/>
  <c r="F283" i="7"/>
  <c r="F282" i="7"/>
  <c r="F281" i="7"/>
  <c r="F274" i="7"/>
  <c r="F273" i="7"/>
  <c r="F272" i="7"/>
  <c r="F271" i="7"/>
  <c r="F265" i="7"/>
  <c r="F264" i="7"/>
  <c r="F263" i="7"/>
  <c r="F262" i="7"/>
  <c r="F256" i="7"/>
  <c r="F255" i="7"/>
  <c r="F254" i="7"/>
  <c r="F248" i="7"/>
  <c r="F247" i="7"/>
  <c r="F246" i="7"/>
  <c r="F241" i="7"/>
  <c r="F240" i="7"/>
  <c r="F239" i="7"/>
  <c r="F234" i="7"/>
  <c r="F233" i="7"/>
  <c r="F228" i="7"/>
  <c r="F227" i="7"/>
  <c r="F221" i="7"/>
  <c r="F220" i="7"/>
  <c r="F219" i="7"/>
  <c r="F218" i="7"/>
  <c r="F217" i="7"/>
  <c r="F216" i="7"/>
  <c r="F210" i="7"/>
  <c r="F209" i="7"/>
  <c r="F208" i="7"/>
  <c r="F207" i="7"/>
  <c r="F206" i="7"/>
  <c r="F205" i="7"/>
  <c r="F204" i="7"/>
  <c r="F203" i="7"/>
  <c r="F202" i="7"/>
  <c r="F201" i="7"/>
  <c r="F200" i="7"/>
  <c r="F194" i="7"/>
  <c r="F193" i="7"/>
  <c r="F192" i="7"/>
  <c r="F191" i="7"/>
  <c r="F190" i="7"/>
  <c r="F189" i="7"/>
  <c r="F183" i="7"/>
  <c r="F182" i="7"/>
  <c r="F181" i="7"/>
  <c r="F180" i="7"/>
  <c r="F179" i="7"/>
  <c r="F173" i="7"/>
  <c r="F172" i="7"/>
  <c r="F171" i="7"/>
  <c r="F170" i="7"/>
  <c r="F169" i="7"/>
  <c r="F168" i="7"/>
  <c r="F162" i="7"/>
  <c r="F161" i="7"/>
  <c r="F160" i="7"/>
  <c r="F159" i="7"/>
  <c r="F158" i="7"/>
  <c r="F157" i="7"/>
  <c r="F154" i="7"/>
  <c r="F153" i="7"/>
  <c r="F152" i="7"/>
  <c r="F151" i="7"/>
  <c r="F150" i="7"/>
  <c r="F149" i="7"/>
  <c r="F148" i="7"/>
  <c r="F147" i="7"/>
  <c r="F146" i="7"/>
  <c r="F143" i="7"/>
  <c r="F142" i="7"/>
  <c r="F141" i="7"/>
  <c r="F140" i="7"/>
  <c r="F139" i="7"/>
  <c r="F138" i="7"/>
  <c r="F137" i="7"/>
  <c r="F136" i="7"/>
  <c r="F132" i="7"/>
  <c r="F131" i="7"/>
  <c r="F130" i="7"/>
  <c r="F129" i="7"/>
  <c r="F128" i="7"/>
  <c r="F127" i="7"/>
  <c r="F126" i="7"/>
  <c r="F125" i="7"/>
  <c r="F124" i="7"/>
  <c r="F123" i="7"/>
  <c r="F118" i="7"/>
  <c r="F117" i="7"/>
  <c r="F116" i="7"/>
  <c r="F110" i="7"/>
  <c r="F109" i="7"/>
  <c r="F108" i="7"/>
  <c r="F102" i="7"/>
  <c r="F101" i="7"/>
  <c r="F100" i="7"/>
  <c r="F97" i="7"/>
  <c r="F96" i="7"/>
  <c r="F93" i="7"/>
  <c r="F90" i="7"/>
  <c r="F89" i="7"/>
  <c r="F88" i="7"/>
  <c r="F87" i="7"/>
  <c r="F86" i="7"/>
  <c r="F85" i="7"/>
  <c r="F84" i="7"/>
  <c r="F83" i="7"/>
  <c r="F82" i="7"/>
  <c r="F76" i="7"/>
  <c r="F75" i="7"/>
  <c r="F74" i="7"/>
  <c r="F73" i="7"/>
  <c r="F72" i="7"/>
  <c r="F71" i="7"/>
  <c r="F70" i="7"/>
  <c r="F64" i="7"/>
  <c r="F58" i="7"/>
  <c r="F57" i="7"/>
  <c r="F56" i="7"/>
  <c r="F55" i="7"/>
  <c r="F54" i="7"/>
  <c r="F48" i="7"/>
  <c r="F47" i="7"/>
  <c r="F46" i="7"/>
  <c r="F45" i="7"/>
  <c r="F44" i="7"/>
  <c r="F40" i="7"/>
  <c r="F39" i="7"/>
  <c r="F34" i="7"/>
  <c r="F33" i="7"/>
  <c r="F32" i="7"/>
  <c r="F31" i="7"/>
  <c r="F30" i="7"/>
  <c r="F29" i="7"/>
  <c r="F28" i="7"/>
  <c r="F24" i="7"/>
  <c r="F23" i="7"/>
  <c r="F22" i="7"/>
  <c r="F18" i="7"/>
  <c r="F17" i="7"/>
  <c r="F13" i="7"/>
  <c r="F12" i="7"/>
  <c r="F11" i="7"/>
  <c r="F10" i="7"/>
  <c r="F9" i="7"/>
  <c r="Q166" i="7" l="1"/>
  <c r="O1522" i="7"/>
  <c r="Q1522" i="7" s="1"/>
  <c r="O932" i="7"/>
  <c r="Q932" i="7" s="1"/>
  <c r="O1268" i="7"/>
  <c r="Q1268" i="7" s="1"/>
  <c r="O80" i="7"/>
  <c r="Q80" i="7" s="1"/>
  <c r="O1058" i="7"/>
  <c r="Q1058" i="7" s="1"/>
  <c r="O37" i="7"/>
  <c r="Q37" i="7" s="1"/>
  <c r="O613" i="7"/>
  <c r="Q613" i="7" s="1"/>
  <c r="O629" i="7"/>
  <c r="Q629" i="7" s="1"/>
  <c r="O645" i="7"/>
  <c r="Q645" i="7" s="1"/>
  <c r="O725" i="7"/>
  <c r="Q725" i="7" s="1"/>
  <c r="O1125" i="7"/>
  <c r="Q1125" i="7" s="1"/>
  <c r="O359" i="7"/>
  <c r="Q359" i="7" s="1"/>
  <c r="O734" i="7"/>
  <c r="Q734" i="7" s="1"/>
  <c r="O287" i="7"/>
  <c r="Q287" i="7" s="1"/>
  <c r="O25" i="7"/>
  <c r="Q25" i="7" s="1"/>
  <c r="O26" i="7"/>
  <c r="Q26" i="7" s="1"/>
  <c r="O122" i="7"/>
  <c r="Q122" i="7" s="1"/>
  <c r="O394" i="7"/>
  <c r="Q394" i="7" s="1"/>
  <c r="O458" i="7"/>
  <c r="Q458" i="7" s="1"/>
  <c r="O506" i="7"/>
  <c r="Q506" i="7" s="1"/>
  <c r="O1098" i="7"/>
  <c r="Q1098" i="7" s="1"/>
  <c r="O1290" i="7"/>
  <c r="Q1290" i="7" s="1"/>
  <c r="O1514" i="7"/>
  <c r="Q1514" i="7" s="1"/>
  <c r="O891" i="7"/>
  <c r="Q891" i="7" s="1"/>
  <c r="O1051" i="7"/>
  <c r="Q1051" i="7" s="1"/>
  <c r="O1259" i="7"/>
  <c r="Q1259" i="7" s="1"/>
  <c r="O672" i="7"/>
  <c r="Q672" i="7" s="1"/>
  <c r="O620" i="7"/>
  <c r="Q620" i="7" s="1"/>
  <c r="O1628" i="7"/>
  <c r="Q1628" i="7" s="1"/>
  <c r="Q163" i="7"/>
  <c r="Q474" i="7"/>
  <c r="Q835" i="7"/>
  <c r="Q851" i="7"/>
  <c r="Q1068" i="7"/>
  <c r="Q1571" i="7"/>
  <c r="Q1755" i="7"/>
  <c r="Q1778" i="7"/>
  <c r="Q47" i="7"/>
  <c r="Q65" i="7"/>
  <c r="Q307" i="7"/>
  <c r="Q343" i="7"/>
  <c r="Q448" i="7"/>
  <c r="Q526" i="7"/>
  <c r="Q818" i="7"/>
  <c r="Q1379" i="7"/>
  <c r="Q1771" i="7"/>
  <c r="Q56" i="7"/>
  <c r="Q243" i="7"/>
  <c r="Q317" i="7"/>
  <c r="Q360" i="7"/>
  <c r="Q405" i="7"/>
  <c r="Q422" i="7"/>
  <c r="Q440" i="7"/>
  <c r="Q517" i="7"/>
  <c r="Q809" i="7"/>
  <c r="Q827" i="7"/>
  <c r="Q1012" i="7"/>
  <c r="Q1315" i="7"/>
  <c r="Q1355" i="7"/>
  <c r="Q1419" i="7"/>
  <c r="Q1462" i="7"/>
  <c r="Q1470" i="7"/>
  <c r="Q1540" i="7"/>
  <c r="Q1556" i="7"/>
  <c r="Q1763" i="7"/>
  <c r="Q38" i="7"/>
  <c r="Q164" i="7"/>
  <c r="Q173" i="7"/>
  <c r="Q200" i="7"/>
  <c r="Q208" i="7"/>
  <c r="Q449" i="7"/>
  <c r="Q492" i="7"/>
  <c r="Q663" i="7"/>
  <c r="Q681" i="7"/>
  <c r="Q689" i="7"/>
  <c r="Q736" i="7"/>
  <c r="Q852" i="7"/>
  <c r="Q914" i="7"/>
  <c r="Q923" i="7"/>
  <c r="Q940" i="7"/>
  <c r="Q1022" i="7"/>
  <c r="Q1088" i="7"/>
  <c r="Q1107" i="7"/>
  <c r="Q1191" i="7"/>
  <c r="Q1356" i="7"/>
  <c r="Q1380" i="7"/>
  <c r="Q1572" i="7"/>
  <c r="Q1650" i="7"/>
  <c r="Q1740" i="7"/>
  <c r="Q165" i="7"/>
  <c r="Q511" i="7"/>
  <c r="Q995" i="7"/>
  <c r="Q1099" i="7"/>
  <c r="Q1232" i="7"/>
  <c r="Q1589" i="7"/>
  <c r="Q12" i="7"/>
  <c r="Q22" i="7"/>
  <c r="Q85" i="7"/>
  <c r="Q328" i="7"/>
  <c r="Q336" i="7"/>
  <c r="Q345" i="7"/>
  <c r="Q371" i="7"/>
  <c r="Q389" i="7"/>
  <c r="Q407" i="7"/>
  <c r="Q424" i="7"/>
  <c r="Q606" i="7"/>
  <c r="Q626" i="7"/>
  <c r="Q709" i="7"/>
  <c r="Q718" i="7"/>
  <c r="Q820" i="7"/>
  <c r="Q1365" i="7"/>
  <c r="Q1464" i="7"/>
  <c r="Q1480" i="7"/>
  <c r="Q1542" i="7"/>
  <c r="Q50" i="7"/>
  <c r="Q329" i="7"/>
  <c r="Q557" i="7"/>
  <c r="Q648" i="7"/>
  <c r="Q1318" i="7"/>
  <c r="Q1326" i="7"/>
  <c r="Q1358" i="7"/>
  <c r="Q1433" i="7"/>
  <c r="Q1449" i="7"/>
  <c r="Q1473" i="7"/>
  <c r="Q1481" i="7"/>
  <c r="Q1774" i="7"/>
  <c r="Q906" i="7"/>
  <c r="Q470" i="7"/>
  <c r="Q1583" i="7"/>
  <c r="Q637" i="7"/>
  <c r="Q51" i="7"/>
  <c r="Q60" i="7"/>
  <c r="Q70" i="7"/>
  <c r="Q87" i="7"/>
  <c r="Q151" i="7"/>
  <c r="Q186" i="7"/>
  <c r="Q212" i="7"/>
  <c r="Q453" i="7"/>
  <c r="Q462" i="7"/>
  <c r="Q522" i="7"/>
  <c r="Q558" i="7"/>
  <c r="Q587" i="7"/>
  <c r="Q639" i="7"/>
  <c r="Q702" i="7"/>
  <c r="Q711" i="7"/>
  <c r="Q730" i="7"/>
  <c r="Q1295" i="7"/>
  <c r="Q1367" i="7"/>
  <c r="Q1375" i="7"/>
  <c r="Q1391" i="7"/>
  <c r="Q1399" i="7"/>
  <c r="Q1474" i="7"/>
  <c r="Q1544" i="7"/>
  <c r="Q1552" i="7"/>
  <c r="Q1584" i="7"/>
  <c r="Q496" i="7"/>
  <c r="Q771" i="7"/>
  <c r="Q1025" i="7"/>
  <c r="Q1527" i="7"/>
  <c r="Q1575" i="7"/>
  <c r="Q574" i="7"/>
  <c r="Q1243" i="7"/>
  <c r="Q1251" i="7"/>
  <c r="Q597" i="7"/>
  <c r="Q943" i="7"/>
  <c r="Q671" i="7"/>
  <c r="Q71" i="7"/>
  <c r="Q213" i="7"/>
  <c r="Q230" i="7"/>
  <c r="Q249" i="7"/>
  <c r="Q267" i="7"/>
  <c r="Q276" i="7"/>
  <c r="Q322" i="7"/>
  <c r="Q365" i="7"/>
  <c r="Q392" i="7"/>
  <c r="Q419" i="7"/>
  <c r="Q428" i="7"/>
  <c r="Q436" i="7"/>
  <c r="Q454" i="7"/>
  <c r="Q523" i="7"/>
  <c r="Q650" i="7"/>
  <c r="Q731" i="7"/>
  <c r="Q954" i="7"/>
  <c r="Q963" i="7"/>
  <c r="Q1344" i="7"/>
  <c r="Q1360" i="7"/>
  <c r="Q1392" i="7"/>
  <c r="Q1443" i="7"/>
  <c r="Q1451" i="7"/>
  <c r="Q1467" i="7"/>
  <c r="Q1483" i="7"/>
  <c r="Q1768" i="7"/>
  <c r="Q1856" i="7"/>
  <c r="Q220" i="7"/>
  <c r="Q513" i="7"/>
  <c r="Q935" i="7"/>
  <c r="Q1196" i="7"/>
  <c r="Q150" i="7"/>
  <c r="Q487" i="7"/>
  <c r="Q952" i="7"/>
  <c r="Q1250" i="7"/>
  <c r="Q545" i="7"/>
  <c r="Q100" i="7"/>
  <c r="Q118" i="7"/>
  <c r="Q136" i="7"/>
  <c r="Q268" i="7"/>
  <c r="Q277" i="7"/>
  <c r="Q296" i="7"/>
  <c r="Q305" i="7"/>
  <c r="Q323" i="7"/>
  <c r="Q366" i="7"/>
  <c r="Q384" i="7"/>
  <c r="Q393" i="7"/>
  <c r="Q403" i="7"/>
  <c r="Q420" i="7"/>
  <c r="Q622" i="7"/>
  <c r="Q732" i="7"/>
  <c r="Q973" i="7"/>
  <c r="Q1361" i="7"/>
  <c r="Q1401" i="7"/>
  <c r="Q1444" i="7"/>
  <c r="Q1538" i="7"/>
  <c r="Q1602" i="7"/>
  <c r="Q1761" i="7"/>
  <c r="Q1769" i="7"/>
  <c r="Q586" i="7"/>
  <c r="Q55" i="7"/>
  <c r="Q171" i="7"/>
  <c r="Q180" i="7"/>
  <c r="Q189" i="7"/>
  <c r="Q197" i="7"/>
  <c r="Q206" i="7"/>
  <c r="Q473" i="7"/>
  <c r="Q499" i="7"/>
  <c r="Q542" i="7"/>
  <c r="Q561" i="7"/>
  <c r="Q569" i="7"/>
  <c r="Q697" i="7"/>
  <c r="Q867" i="7"/>
  <c r="Q876" i="7"/>
  <c r="Q920" i="7"/>
  <c r="Q946" i="7"/>
  <c r="Q1011" i="7"/>
  <c r="Q1197" i="7"/>
  <c r="Q1245" i="7"/>
  <c r="Q1322" i="7"/>
  <c r="Q1445" i="7"/>
  <c r="Q1461" i="7"/>
  <c r="Q554" i="7"/>
  <c r="Q108" i="7"/>
  <c r="Q312" i="7"/>
  <c r="Q816" i="7"/>
  <c r="Q1007" i="7"/>
  <c r="Q1209" i="7"/>
  <c r="Q1249" i="7"/>
  <c r="Q1520" i="7"/>
  <c r="Q1678" i="7"/>
  <c r="Q1710" i="7"/>
  <c r="Q1718" i="7"/>
  <c r="Q1756" i="7"/>
  <c r="Q1779" i="7"/>
  <c r="Q1787" i="7"/>
  <c r="Q1795" i="7"/>
  <c r="Q337" i="7"/>
  <c r="Q45" i="7"/>
  <c r="Q195" i="7"/>
  <c r="Q221" i="7"/>
  <c r="Q321" i="7"/>
  <c r="Q391" i="7"/>
  <c r="Q400" i="7"/>
  <c r="Q409" i="7"/>
  <c r="Q418" i="7"/>
  <c r="Q486" i="7"/>
  <c r="Q581" i="7"/>
  <c r="Q624" i="7"/>
  <c r="Q662" i="7"/>
  <c r="Q680" i="7"/>
  <c r="Q743" i="7"/>
  <c r="Q859" i="7"/>
  <c r="Q919" i="7"/>
  <c r="Q937" i="7"/>
  <c r="Q981" i="7"/>
  <c r="Q999" i="7"/>
  <c r="Q1037" i="7"/>
  <c r="Q1064" i="7"/>
  <c r="Q1074" i="7"/>
  <c r="Q1093" i="7"/>
  <c r="Q1120" i="7"/>
  <c r="Q1161" i="7"/>
  <c r="Q1226" i="7"/>
  <c r="Q1285" i="7"/>
  <c r="Q1387" i="7"/>
  <c r="Q1395" i="7"/>
  <c r="Q1437" i="7"/>
  <c r="Q1468" i="7"/>
  <c r="Q1599" i="7"/>
  <c r="Q1764" i="7"/>
  <c r="Q1772" i="7"/>
  <c r="Q1858" i="7"/>
  <c r="Q35" i="7"/>
  <c r="Q117" i="7"/>
  <c r="Q126" i="7"/>
  <c r="Q160" i="7"/>
  <c r="Q248" i="7"/>
  <c r="Q275" i="7"/>
  <c r="Q372" i="7"/>
  <c r="Q461" i="7"/>
  <c r="Q502" i="7"/>
  <c r="Q750" i="7"/>
  <c r="Q972" i="7"/>
  <c r="Q1217" i="7"/>
  <c r="Q1257" i="7"/>
  <c r="Q1332" i="7"/>
  <c r="Q313" i="7"/>
  <c r="Q356" i="7"/>
  <c r="Q373" i="7"/>
  <c r="Q571" i="7"/>
  <c r="Q1851" i="7"/>
  <c r="Q229" i="7"/>
  <c r="Q355" i="7"/>
  <c r="Q477" i="7"/>
  <c r="Q544" i="7"/>
  <c r="Q652" i="7"/>
  <c r="Q1225" i="7"/>
  <c r="Q1537" i="7"/>
  <c r="Q1591" i="7"/>
  <c r="Q1686" i="7"/>
  <c r="Q659" i="7"/>
  <c r="Q9" i="7"/>
  <c r="Q46" i="7"/>
  <c r="Q64" i="7"/>
  <c r="Q73" i="7"/>
  <c r="Q90" i="7"/>
  <c r="Q128" i="7"/>
  <c r="Q196" i="7"/>
  <c r="Q222" i="7"/>
  <c r="Q250" i="7"/>
  <c r="Q259" i="7"/>
  <c r="Q374" i="7"/>
  <c r="Q716" i="7"/>
  <c r="Q726" i="7"/>
  <c r="Q955" i="7"/>
  <c r="Q964" i="7"/>
  <c r="Q1000" i="7"/>
  <c r="Q1102" i="7"/>
  <c r="Q1171" i="7"/>
  <c r="Q1179" i="7"/>
  <c r="Q1187" i="7"/>
  <c r="Q1388" i="7"/>
  <c r="Q1469" i="7"/>
  <c r="Q1477" i="7"/>
  <c r="Q1554" i="7"/>
  <c r="Q1577" i="7"/>
  <c r="Q1600" i="7"/>
  <c r="Q1804" i="7"/>
  <c r="Q612" i="7"/>
  <c r="Q1636" i="7"/>
  <c r="Q1668" i="7"/>
  <c r="Q673" i="7"/>
  <c r="Q690" i="7"/>
  <c r="Q793" i="7"/>
  <c r="Q877" i="7"/>
  <c r="Q895" i="7"/>
  <c r="Q1188" i="7"/>
  <c r="Q1397" i="7"/>
  <c r="Q1578" i="7"/>
  <c r="Q1844" i="7"/>
  <c r="Q1852" i="7"/>
  <c r="Q1045" i="7"/>
  <c r="Q1605" i="7"/>
  <c r="Q6" i="7"/>
  <c r="Q598" i="7"/>
  <c r="Q1622" i="7"/>
  <c r="Q102" i="7"/>
  <c r="Q288" i="7"/>
  <c r="Q297" i="7"/>
  <c r="Q306" i="7"/>
  <c r="Q324" i="7"/>
  <c r="Q350" i="7"/>
  <c r="Q358" i="7"/>
  <c r="Q375" i="7"/>
  <c r="Q421" i="7"/>
  <c r="Q447" i="7"/>
  <c r="Q455" i="7"/>
  <c r="Q481" i="7"/>
  <c r="Q573" i="7"/>
  <c r="Q596" i="7"/>
  <c r="Q617" i="7"/>
  <c r="Q655" i="7"/>
  <c r="Q674" i="7"/>
  <c r="Q785" i="7"/>
  <c r="Q802" i="7"/>
  <c r="Q819" i="7"/>
  <c r="Q878" i="7"/>
  <c r="Q896" i="7"/>
  <c r="Q904" i="7"/>
  <c r="Q975" i="7"/>
  <c r="Q1204" i="7"/>
  <c r="Q1236" i="7"/>
  <c r="Q1244" i="7"/>
  <c r="Q1261" i="7"/>
  <c r="Q1287" i="7"/>
  <c r="Q1296" i="7"/>
  <c r="Q1319" i="7"/>
  <c r="Q1327" i="7"/>
  <c r="Q1335" i="7"/>
  <c r="Q1343" i="7"/>
  <c r="Q1405" i="7"/>
  <c r="Q1413" i="7"/>
  <c r="Q1421" i="7"/>
  <c r="Q1432" i="7"/>
  <c r="Q1563" i="7"/>
  <c r="Q1586" i="7"/>
  <c r="Q1655" i="7"/>
  <c r="Q1663" i="7"/>
  <c r="Q1673" i="7"/>
  <c r="Q1681" i="7"/>
  <c r="Q1705" i="7"/>
  <c r="Q1713" i="7"/>
  <c r="Q1729" i="7"/>
  <c r="Q1751" i="7"/>
  <c r="Q1790" i="7"/>
  <c r="Q1813" i="7"/>
  <c r="Q1837" i="7"/>
  <c r="Q1621" i="7"/>
  <c r="Q1637" i="7"/>
  <c r="Q215" i="7"/>
  <c r="Q599" i="7"/>
  <c r="Q271" i="7"/>
  <c r="Q289" i="7"/>
  <c r="Q618" i="7"/>
  <c r="Q803" i="7"/>
  <c r="Q812" i="7"/>
  <c r="Q1087" i="7"/>
  <c r="Q1156" i="7"/>
  <c r="Q1173" i="7"/>
  <c r="Q1181" i="7"/>
  <c r="Q1205" i="7"/>
  <c r="Q1270" i="7"/>
  <c r="Q1279" i="7"/>
  <c r="Q1304" i="7"/>
  <c r="Q1448" i="7"/>
  <c r="Q1463" i="7"/>
  <c r="Q1496" i="7"/>
  <c r="Q1548" i="7"/>
  <c r="Q1698" i="7"/>
  <c r="Q1714" i="7"/>
  <c r="Q1737" i="7"/>
  <c r="Q1767" i="7"/>
  <c r="Q1806" i="7"/>
  <c r="Q532" i="7"/>
  <c r="Q649" i="7"/>
  <c r="Q666" i="7"/>
  <c r="Q710" i="7"/>
  <c r="Q933" i="7"/>
  <c r="Q1050" i="7"/>
  <c r="Q1141" i="7"/>
  <c r="Q1541" i="7"/>
  <c r="Q1580" i="7"/>
  <c r="Q970" i="7"/>
  <c r="Q986" i="7"/>
  <c r="Q32" i="7"/>
  <c r="Q131" i="7"/>
  <c r="Q218" i="7"/>
  <c r="Q254" i="7"/>
  <c r="Q272" i="7"/>
  <c r="Q281" i="7"/>
  <c r="Q290" i="7"/>
  <c r="Q352" i="7"/>
  <c r="Q377" i="7"/>
  <c r="Q406" i="7"/>
  <c r="Q423" i="7"/>
  <c r="Q483" i="7"/>
  <c r="Q508" i="7"/>
  <c r="Q516" i="7"/>
  <c r="Q550" i="7"/>
  <c r="Q559" i="7"/>
  <c r="Q779" i="7"/>
  <c r="Q838" i="7"/>
  <c r="Q871" i="7"/>
  <c r="Q907" i="7"/>
  <c r="Q1042" i="7"/>
  <c r="Q1206" i="7"/>
  <c r="Q1214" i="7"/>
  <c r="Q1222" i="7"/>
  <c r="Q1306" i="7"/>
  <c r="Q1450" i="7"/>
  <c r="Q1488" i="7"/>
  <c r="Q1588" i="7"/>
  <c r="Q1707" i="7"/>
  <c r="Q1715" i="7"/>
  <c r="Q1753" i="7"/>
  <c r="Q1800" i="7"/>
  <c r="Q1831" i="7"/>
  <c r="Q1847" i="7"/>
  <c r="Q1500" i="7"/>
  <c r="Q33" i="7"/>
  <c r="Q124" i="7"/>
  <c r="Q132" i="7"/>
  <c r="Q158" i="7"/>
  <c r="Q236" i="7"/>
  <c r="Q246" i="7"/>
  <c r="Q264" i="7"/>
  <c r="Q273" i="7"/>
  <c r="Q310" i="7"/>
  <c r="Q353" i="7"/>
  <c r="Q459" i="7"/>
  <c r="Q475" i="7"/>
  <c r="Q509" i="7"/>
  <c r="Q551" i="7"/>
  <c r="Q600" i="7"/>
  <c r="Q611" i="7"/>
  <c r="Q658" i="7"/>
  <c r="Q839" i="7"/>
  <c r="Q856" i="7"/>
  <c r="Q864" i="7"/>
  <c r="Q882" i="7"/>
  <c r="Q890" i="7"/>
  <c r="Q899" i="7"/>
  <c r="Q1207" i="7"/>
  <c r="Q1223" i="7"/>
  <c r="Q1231" i="7"/>
  <c r="Q1281" i="7"/>
  <c r="Q1307" i="7"/>
  <c r="Q1346" i="7"/>
  <c r="Q1408" i="7"/>
  <c r="Q1458" i="7"/>
  <c r="Q1489" i="7"/>
  <c r="Q1517" i="7"/>
  <c r="Q1658" i="7"/>
  <c r="Q1676" i="7"/>
  <c r="Q1700" i="7"/>
  <c r="Q1708" i="7"/>
  <c r="Q1716" i="7"/>
  <c r="Q1754" i="7"/>
  <c r="Q1777" i="7"/>
  <c r="Q1785" i="7"/>
  <c r="Q1793" i="7"/>
  <c r="Q1801" i="7"/>
  <c r="Q1824" i="7"/>
  <c r="Q1840" i="7"/>
  <c r="Q34" i="7"/>
  <c r="Q79" i="7"/>
  <c r="Q116" i="7"/>
  <c r="Q142" i="7"/>
  <c r="Q247" i="7"/>
  <c r="Q256" i="7"/>
  <c r="Q265" i="7"/>
  <c r="Q283" i="7"/>
  <c r="Q292" i="7"/>
  <c r="Q311" i="7"/>
  <c r="Q469" i="7"/>
  <c r="Q476" i="7"/>
  <c r="Q501" i="7"/>
  <c r="Q510" i="7"/>
  <c r="Q535" i="7"/>
  <c r="Q632" i="7"/>
  <c r="Q722" i="7"/>
  <c r="Q741" i="7"/>
  <c r="Q749" i="7"/>
  <c r="Q757" i="7"/>
  <c r="Q773" i="7"/>
  <c r="Q857" i="7"/>
  <c r="Q865" i="7"/>
  <c r="Q883" i="7"/>
  <c r="Q988" i="7"/>
  <c r="Q1109" i="7"/>
  <c r="Q1240" i="7"/>
  <c r="Q1248" i="7"/>
  <c r="Q1256" i="7"/>
  <c r="Q1274" i="7"/>
  <c r="Q1292" i="7"/>
  <c r="Q1308" i="7"/>
  <c r="Q1339" i="7"/>
  <c r="Q1378" i="7"/>
  <c r="Q1386" i="7"/>
  <c r="Q1402" i="7"/>
  <c r="Q1417" i="7"/>
  <c r="Q1490" i="7"/>
  <c r="Q1536" i="7"/>
  <c r="Q1677" i="7"/>
  <c r="Q1693" i="7"/>
  <c r="Q1725" i="7"/>
  <c r="Q1747" i="7"/>
  <c r="Q1825" i="7"/>
  <c r="Q621" i="7"/>
  <c r="Q244" i="7"/>
  <c r="Q450" i="7"/>
  <c r="Q538" i="7"/>
  <c r="Q580" i="7"/>
  <c r="Q167" i="7"/>
  <c r="Q539" i="7"/>
  <c r="Q735" i="7"/>
  <c r="Q790" i="7"/>
  <c r="Q1645" i="7"/>
  <c r="Q83" i="7"/>
  <c r="Q135" i="7"/>
  <c r="Q227" i="7"/>
  <c r="Q791" i="7"/>
  <c r="Q15" i="7"/>
  <c r="Q971" i="7"/>
  <c r="Q1515" i="7"/>
  <c r="Q7" i="7"/>
  <c r="Q308" i="7"/>
  <c r="Q76" i="7"/>
  <c r="Q145" i="7"/>
  <c r="Q325" i="7"/>
  <c r="Q583" i="7"/>
  <c r="Q68" i="7"/>
  <c r="Q187" i="7"/>
  <c r="Q69" i="7"/>
  <c r="Q188" i="7"/>
  <c r="Q257" i="7"/>
  <c r="Q810" i="7"/>
  <c r="Q1090" i="7"/>
  <c r="Q52" i="7"/>
  <c r="Q811" i="7"/>
  <c r="Q214" i="7"/>
  <c r="Q368" i="7"/>
  <c r="Q661" i="7"/>
  <c r="Q607" i="7"/>
  <c r="Q931" i="7"/>
  <c r="Q1429" i="7"/>
  <c r="Q114" i="7"/>
  <c r="Q608" i="7"/>
  <c r="Q628" i="7"/>
  <c r="Q821" i="7"/>
  <c r="Q1624" i="7"/>
  <c r="Q20" i="7"/>
  <c r="Q260" i="7"/>
  <c r="Q854" i="7"/>
  <c r="Q880" i="7"/>
  <c r="Q1609" i="7"/>
  <c r="Q98" i="7"/>
  <c r="Q261" i="7"/>
  <c r="Q647" i="7"/>
  <c r="Q855" i="7"/>
  <c r="Q863" i="7"/>
  <c r="Q881" i="7"/>
  <c r="Q388" i="7"/>
  <c r="Q959" i="7"/>
  <c r="Q1003" i="7"/>
  <c r="Q1611" i="7"/>
  <c r="Q130" i="7"/>
  <c r="Q182" i="7"/>
  <c r="Q205" i="7"/>
  <c r="Q219" i="7"/>
  <c r="Q242" i="7"/>
  <c r="Q263" i="7"/>
  <c r="Q278" i="7"/>
  <c r="Q286" i="7"/>
  <c r="Q300" i="7"/>
  <c r="Q316" i="7"/>
  <c r="Q390" i="7"/>
  <c r="Q398" i="7"/>
  <c r="Q427" i="7"/>
  <c r="Q435" i="7"/>
  <c r="Q472" i="7"/>
  <c r="Q480" i="7"/>
  <c r="Q546" i="7"/>
  <c r="Q562" i="7"/>
  <c r="Q577" i="7"/>
  <c r="Q585" i="7"/>
  <c r="Q593" i="7"/>
  <c r="Q623" i="7"/>
  <c r="Q631" i="7"/>
  <c r="Q646" i="7"/>
  <c r="Q667" i="7"/>
  <c r="Q698" i="7"/>
  <c r="Q706" i="7"/>
  <c r="Q713" i="7"/>
  <c r="Q721" i="7"/>
  <c r="Q729" i="7"/>
  <c r="Q759" i="7"/>
  <c r="Q774" i="7"/>
  <c r="Q782" i="7"/>
  <c r="Q797" i="7"/>
  <c r="Q833" i="7"/>
  <c r="Q840" i="7"/>
  <c r="Q848" i="7"/>
  <c r="Q894" i="7"/>
  <c r="Q916" i="7"/>
  <c r="Q956" i="7"/>
  <c r="Q1048" i="7"/>
  <c r="Q1057" i="7"/>
  <c r="Q1312" i="7"/>
  <c r="Q1518" i="7"/>
  <c r="Q1719" i="7"/>
  <c r="Q1749" i="7"/>
  <c r="Q23" i="7"/>
  <c r="Q53" i="7"/>
  <c r="Q146" i="7"/>
  <c r="Q153" i="7"/>
  <c r="Q161" i="7"/>
  <c r="Q190" i="7"/>
  <c r="Q293" i="7"/>
  <c r="Q518" i="7"/>
  <c r="Q555" i="7"/>
  <c r="Q609" i="7"/>
  <c r="Q660" i="7"/>
  <c r="Q675" i="7"/>
  <c r="Q683" i="7"/>
  <c r="Q691" i="7"/>
  <c r="Q737" i="7"/>
  <c r="Q744" i="7"/>
  <c r="Q752" i="7"/>
  <c r="Q804" i="7"/>
  <c r="Q879" i="7"/>
  <c r="Q886" i="7"/>
  <c r="Q902" i="7"/>
  <c r="Q909" i="7"/>
  <c r="Q996" i="7"/>
  <c r="Q1013" i="7"/>
  <c r="Q1200" i="7"/>
  <c r="Q1208" i="7"/>
  <c r="Q1216" i="7"/>
  <c r="Q1224" i="7"/>
  <c r="Q1446" i="7"/>
  <c r="Q1476" i="7"/>
  <c r="Q1535" i="7"/>
  <c r="Q1735" i="7"/>
  <c r="Q91" i="7"/>
  <c r="Q99" i="7"/>
  <c r="Q115" i="7"/>
  <c r="Q198" i="7"/>
  <c r="Q279" i="7"/>
  <c r="Q301" i="7"/>
  <c r="Q309" i="7"/>
  <c r="Q578" i="7"/>
  <c r="Q594" i="7"/>
  <c r="Q707" i="7"/>
  <c r="Q783" i="7"/>
  <c r="Q798" i="7"/>
  <c r="Q805" i="7"/>
  <c r="Q834" i="7"/>
  <c r="Q849" i="7"/>
  <c r="Q941" i="7"/>
  <c r="Q948" i="7"/>
  <c r="Q1005" i="7"/>
  <c r="Q1193" i="7"/>
  <c r="Q1289" i="7"/>
  <c r="Q1627" i="7"/>
  <c r="Q1638" i="7"/>
  <c r="Q1843" i="7"/>
  <c r="Q16" i="7"/>
  <c r="Q24" i="7"/>
  <c r="Q54" i="7"/>
  <c r="Q139" i="7"/>
  <c r="Q147" i="7"/>
  <c r="Q162" i="7"/>
  <c r="Q168" i="7"/>
  <c r="Q176" i="7"/>
  <c r="Q207" i="7"/>
  <c r="Q258" i="7"/>
  <c r="Q302" i="7"/>
  <c r="Q332" i="7"/>
  <c r="Q339" i="7"/>
  <c r="Q370" i="7"/>
  <c r="Q414" i="7"/>
  <c r="Q444" i="7"/>
  <c r="Q452" i="7"/>
  <c r="Q467" i="7"/>
  <c r="Q504" i="7"/>
  <c r="Q512" i="7"/>
  <c r="Q519" i="7"/>
  <c r="Q556" i="7"/>
  <c r="Q602" i="7"/>
  <c r="Q610" i="7"/>
  <c r="Q654" i="7"/>
  <c r="Q676" i="7"/>
  <c r="Q684" i="7"/>
  <c r="Q692" i="7"/>
  <c r="Q738" i="7"/>
  <c r="Q745" i="7"/>
  <c r="Q753" i="7"/>
  <c r="Q813" i="7"/>
  <c r="Q872" i="7"/>
  <c r="Q887" i="7"/>
  <c r="Q903" i="7"/>
  <c r="Q926" i="7"/>
  <c r="Q1041" i="7"/>
  <c r="Q1170" i="7"/>
  <c r="Q1186" i="7"/>
  <c r="Q1616" i="7"/>
  <c r="Q1697" i="7"/>
  <c r="Q62" i="7"/>
  <c r="Q92" i="7"/>
  <c r="Q199" i="7"/>
  <c r="Q280" i="7"/>
  <c r="Q318" i="7"/>
  <c r="Q429" i="7"/>
  <c r="Q460" i="7"/>
  <c r="Q482" i="7"/>
  <c r="Q489" i="7"/>
  <c r="Q497" i="7"/>
  <c r="Q527" i="7"/>
  <c r="Q564" i="7"/>
  <c r="Q595" i="7"/>
  <c r="Q633" i="7"/>
  <c r="Q640" i="7"/>
  <c r="Q669" i="7"/>
  <c r="Q693" i="7"/>
  <c r="Q700" i="7"/>
  <c r="Q708" i="7"/>
  <c r="Q715" i="7"/>
  <c r="Q723" i="7"/>
  <c r="Q739" i="7"/>
  <c r="Q761" i="7"/>
  <c r="Q768" i="7"/>
  <c r="Q776" i="7"/>
  <c r="Q784" i="7"/>
  <c r="Q799" i="7"/>
  <c r="Q842" i="7"/>
  <c r="Q850" i="7"/>
  <c r="Q918" i="7"/>
  <c r="Q1095" i="7"/>
  <c r="Q1423" i="7"/>
  <c r="Q1836" i="7"/>
  <c r="Q17" i="7"/>
  <c r="Q78" i="7"/>
  <c r="Q140" i="7"/>
  <c r="Q148" i="7"/>
  <c r="Q169" i="7"/>
  <c r="Q177" i="7"/>
  <c r="Q184" i="7"/>
  <c r="Q192" i="7"/>
  <c r="Q252" i="7"/>
  <c r="Q266" i="7"/>
  <c r="Q319" i="7"/>
  <c r="Q333" i="7"/>
  <c r="Q340" i="7"/>
  <c r="Q348" i="7"/>
  <c r="Q378" i="7"/>
  <c r="Q385" i="7"/>
  <c r="Q437" i="7"/>
  <c r="Q445" i="7"/>
  <c r="Q468" i="7"/>
  <c r="Q505" i="7"/>
  <c r="Q534" i="7"/>
  <c r="Q565" i="7"/>
  <c r="Q603" i="7"/>
  <c r="Q762" i="7"/>
  <c r="Q950" i="7"/>
  <c r="Q1202" i="7"/>
  <c r="Q1282" i="7"/>
  <c r="Q1291" i="7"/>
  <c r="Q1407" i="7"/>
  <c r="Q1511" i="7"/>
  <c r="Q1629" i="7"/>
  <c r="Q1667" i="7"/>
  <c r="Q1682" i="7"/>
  <c r="Q1690" i="7"/>
  <c r="Q1805" i="7"/>
  <c r="Q2" i="7"/>
  <c r="Q237" i="7"/>
  <c r="Q528" i="7"/>
  <c r="Q588" i="7"/>
  <c r="Q619" i="7"/>
  <c r="Q634" i="7"/>
  <c r="Q641" i="7"/>
  <c r="Q670" i="7"/>
  <c r="Q769" i="7"/>
  <c r="Q777" i="7"/>
  <c r="Q800" i="7"/>
  <c r="Q828" i="7"/>
  <c r="Q836" i="7"/>
  <c r="Q951" i="7"/>
  <c r="Q1052" i="7"/>
  <c r="Q1070" i="7"/>
  <c r="Q1131" i="7"/>
  <c r="Q1139" i="7"/>
  <c r="Q1147" i="7"/>
  <c r="Q1400" i="7"/>
  <c r="Q1675" i="7"/>
  <c r="Q1821" i="7"/>
  <c r="Q11" i="7"/>
  <c r="Q18" i="7"/>
  <c r="Q48" i="7"/>
  <c r="Q86" i="7"/>
  <c r="Q133" i="7"/>
  <c r="Q141" i="7"/>
  <c r="Q149" i="7"/>
  <c r="Q156" i="7"/>
  <c r="Q178" i="7"/>
  <c r="Q185" i="7"/>
  <c r="Q193" i="7"/>
  <c r="Q245" i="7"/>
  <c r="Q253" i="7"/>
  <c r="Q274" i="7"/>
  <c r="Q282" i="7"/>
  <c r="Q304" i="7"/>
  <c r="Q326" i="7"/>
  <c r="Q334" i="7"/>
  <c r="Q341" i="7"/>
  <c r="Q349" i="7"/>
  <c r="Q364" i="7"/>
  <c r="Q386" i="7"/>
  <c r="Q401" i="7"/>
  <c r="Q408" i="7"/>
  <c r="Q416" i="7"/>
  <c r="Q438" i="7"/>
  <c r="Q446" i="7"/>
  <c r="Q514" i="7"/>
  <c r="Q521" i="7"/>
  <c r="Q566" i="7"/>
  <c r="Q604" i="7"/>
  <c r="Q656" i="7"/>
  <c r="Q686" i="7"/>
  <c r="Q694" i="7"/>
  <c r="Q740" i="7"/>
  <c r="Q755" i="7"/>
  <c r="Q807" i="7"/>
  <c r="Q866" i="7"/>
  <c r="Q983" i="7"/>
  <c r="Q991" i="7"/>
  <c r="Q1035" i="7"/>
  <c r="Q1079" i="7"/>
  <c r="Q1123" i="7"/>
  <c r="Q1163" i="7"/>
  <c r="Q1172" i="7"/>
  <c r="Q1267" i="7"/>
  <c r="Q1283" i="7"/>
  <c r="Q1385" i="7"/>
  <c r="Q1393" i="7"/>
  <c r="Q1416" i="7"/>
  <c r="Q1504" i="7"/>
  <c r="Q1607" i="7"/>
  <c r="Q1659" i="7"/>
  <c r="Q3" i="7"/>
  <c r="Q94" i="7"/>
  <c r="Q238" i="7"/>
  <c r="Q335" i="7"/>
  <c r="Q529" i="7"/>
  <c r="Q589" i="7"/>
  <c r="Q635" i="7"/>
  <c r="Q657" i="7"/>
  <c r="Q717" i="7"/>
  <c r="Q992" i="7"/>
  <c r="Q1071" i="7"/>
  <c r="Q19" i="7"/>
  <c r="Q42" i="7"/>
  <c r="Q49" i="7"/>
  <c r="Q111" i="7"/>
  <c r="Q127" i="7"/>
  <c r="Q134" i="7"/>
  <c r="Q179" i="7"/>
  <c r="Q194" i="7"/>
  <c r="Q202" i="7"/>
  <c r="Q239" i="7"/>
  <c r="Q387" i="7"/>
  <c r="Q402" i="7"/>
  <c r="Q417" i="7"/>
  <c r="Q439" i="7"/>
  <c r="Q463" i="7"/>
  <c r="Q627" i="7"/>
  <c r="Q929" i="7"/>
  <c r="Q976" i="7"/>
  <c r="Q1026" i="7"/>
  <c r="Q1513" i="7"/>
  <c r="Q1631" i="7"/>
  <c r="Q1644" i="7"/>
  <c r="Q1652" i="7"/>
  <c r="Q1684" i="7"/>
  <c r="Q1692" i="7"/>
  <c r="Q1807" i="7"/>
  <c r="Q4" i="7"/>
  <c r="Q27" i="7"/>
  <c r="Q143" i="7"/>
  <c r="Q231" i="7"/>
  <c r="Q255" i="7"/>
  <c r="Q351" i="7"/>
  <c r="Q380" i="7"/>
  <c r="Q395" i="7"/>
  <c r="Q410" i="7"/>
  <c r="Q590" i="7"/>
  <c r="Q636" i="7"/>
  <c r="Q688" i="7"/>
  <c r="Q787" i="7"/>
  <c r="Q823" i="7"/>
  <c r="Q830" i="7"/>
  <c r="Q853" i="7"/>
  <c r="Q961" i="7"/>
  <c r="Q977" i="7"/>
  <c r="Q1027" i="7"/>
  <c r="Q1063" i="7"/>
  <c r="Q1149" i="7"/>
  <c r="Q1252" i="7"/>
  <c r="Q1348" i="7"/>
  <c r="Q1497" i="7"/>
  <c r="Q5" i="7"/>
  <c r="Q13" i="7"/>
  <c r="Q28" i="7"/>
  <c r="Q36" i="7"/>
  <c r="Q66" i="7"/>
  <c r="Q81" i="7"/>
  <c r="Q88" i="7"/>
  <c r="Q96" i="7"/>
  <c r="Q104" i="7"/>
  <c r="Q112" i="7"/>
  <c r="Q120" i="7"/>
  <c r="Q203" i="7"/>
  <c r="Q211" i="7"/>
  <c r="Q217" i="7"/>
  <c r="Q225" i="7"/>
  <c r="Q232" i="7"/>
  <c r="Q240" i="7"/>
  <c r="Q269" i="7"/>
  <c r="Q284" i="7"/>
  <c r="Q381" i="7"/>
  <c r="Q396" i="7"/>
  <c r="Q425" i="7"/>
  <c r="Q433" i="7"/>
  <c r="Q456" i="7"/>
  <c r="Q464" i="7"/>
  <c r="Q478" i="7"/>
  <c r="Q493" i="7"/>
  <c r="Q524" i="7"/>
  <c r="Q552" i="7"/>
  <c r="Q560" i="7"/>
  <c r="Q568" i="7"/>
  <c r="Q591" i="7"/>
  <c r="Q644" i="7"/>
  <c r="Q651" i="7"/>
  <c r="Q696" i="7"/>
  <c r="Q704" i="7"/>
  <c r="Q719" i="7"/>
  <c r="Q727" i="7"/>
  <c r="Q742" i="7"/>
  <c r="Q772" i="7"/>
  <c r="Q780" i="7"/>
  <c r="Q788" i="7"/>
  <c r="Q795" i="7"/>
  <c r="Q824" i="7"/>
  <c r="Q846" i="7"/>
  <c r="Q869" i="7"/>
  <c r="Q884" i="7"/>
  <c r="Q892" i="7"/>
  <c r="Q978" i="7"/>
  <c r="Q1055" i="7"/>
  <c r="Q1091" i="7"/>
  <c r="Q1269" i="7"/>
  <c r="Q1310" i="7"/>
  <c r="Q1364" i="7"/>
  <c r="Q1564" i="7"/>
  <c r="Q1593" i="7"/>
  <c r="Q1646" i="7"/>
  <c r="Q1733" i="7"/>
  <c r="Q14" i="7"/>
  <c r="Q44" i="7"/>
  <c r="Q67" i="7"/>
  <c r="Q75" i="7"/>
  <c r="Q82" i="7"/>
  <c r="Q97" i="7"/>
  <c r="Q113" i="7"/>
  <c r="Q129" i="7"/>
  <c r="Q181" i="7"/>
  <c r="Q204" i="7"/>
  <c r="Q226" i="7"/>
  <c r="Q233" i="7"/>
  <c r="Q241" i="7"/>
  <c r="Q262" i="7"/>
  <c r="Q270" i="7"/>
  <c r="Q285" i="7"/>
  <c r="Q299" i="7"/>
  <c r="Q330" i="7"/>
  <c r="Q382" i="7"/>
  <c r="Q397" i="7"/>
  <c r="Q434" i="7"/>
  <c r="Q442" i="7"/>
  <c r="Q457" i="7"/>
  <c r="Q494" i="7"/>
  <c r="Q553" i="7"/>
  <c r="Q584" i="7"/>
  <c r="Q615" i="7"/>
  <c r="Q705" i="7"/>
  <c r="Q728" i="7"/>
  <c r="Q758" i="7"/>
  <c r="Q765" i="7"/>
  <c r="Q789" i="7"/>
  <c r="Q796" i="7"/>
  <c r="Q832" i="7"/>
  <c r="Q847" i="7"/>
  <c r="Q885" i="7"/>
  <c r="Q901" i="7"/>
  <c r="Q939" i="7"/>
  <c r="Q1238" i="7"/>
  <c r="Q1246" i="7"/>
  <c r="Q1303" i="7"/>
  <c r="Q1452" i="7"/>
  <c r="Q1525" i="7"/>
  <c r="Q1549" i="7"/>
  <c r="Q1726" i="7"/>
  <c r="Q1741" i="7"/>
  <c r="Q1748" i="7"/>
  <c r="Q1841" i="7"/>
  <c r="Q1028" i="7"/>
  <c r="Q1036" i="7"/>
  <c r="Q1065" i="7"/>
  <c r="Q1073" i="7"/>
  <c r="Q1081" i="7"/>
  <c r="Q1157" i="7"/>
  <c r="Q1165" i="7"/>
  <c r="Q1195" i="7"/>
  <c r="Q1218" i="7"/>
  <c r="Q1233" i="7"/>
  <c r="Q1262" i="7"/>
  <c r="Q1298" i="7"/>
  <c r="Q1305" i="7"/>
  <c r="Q1320" i="7"/>
  <c r="Q1328" i="7"/>
  <c r="Q1336" i="7"/>
  <c r="Q1409" i="7"/>
  <c r="Q1424" i="7"/>
  <c r="Q1491" i="7"/>
  <c r="Q1499" i="7"/>
  <c r="Q1521" i="7"/>
  <c r="Q1543" i="7"/>
  <c r="Q1551" i="7"/>
  <c r="Q1566" i="7"/>
  <c r="Q1595" i="7"/>
  <c r="Q1617" i="7"/>
  <c r="Q1639" i="7"/>
  <c r="Q1647" i="7"/>
  <c r="Q1699" i="7"/>
  <c r="Q1721" i="7"/>
  <c r="Q1743" i="7"/>
  <c r="Q1829" i="7"/>
  <c r="Q917" i="7"/>
  <c r="Q962" i="7"/>
  <c r="Q969" i="7"/>
  <c r="Q984" i="7"/>
  <c r="Q1029" i="7"/>
  <c r="Q1089" i="7"/>
  <c r="Q1096" i="7"/>
  <c r="Q1203" i="7"/>
  <c r="Q1241" i="7"/>
  <c r="Q1255" i="7"/>
  <c r="Q1625" i="7"/>
  <c r="Q1632" i="7"/>
  <c r="Q1822" i="7"/>
  <c r="Q1104" i="7"/>
  <c r="Q1111" i="7"/>
  <c r="Q1234" i="7"/>
  <c r="Q1284" i="7"/>
  <c r="Q1321" i="7"/>
  <c r="Q1329" i="7"/>
  <c r="Q1337" i="7"/>
  <c r="Q1351" i="7"/>
  <c r="Q1381" i="7"/>
  <c r="Q1410" i="7"/>
  <c r="Q1425" i="7"/>
  <c r="Q1440" i="7"/>
  <c r="Q1492" i="7"/>
  <c r="Q1559" i="7"/>
  <c r="Q1567" i="7"/>
  <c r="Q1618" i="7"/>
  <c r="Q1640" i="7"/>
  <c r="Q1648" i="7"/>
  <c r="Q1014" i="7"/>
  <c r="Q1044" i="7"/>
  <c r="Q1097" i="7"/>
  <c r="Q1119" i="7"/>
  <c r="Q1278" i="7"/>
  <c r="Q1529" i="7"/>
  <c r="Q1633" i="7"/>
  <c r="Q1823" i="7"/>
  <c r="Q1059" i="7"/>
  <c r="Q1067" i="7"/>
  <c r="Q1075" i="7"/>
  <c r="Q1083" i="7"/>
  <c r="Q1105" i="7"/>
  <c r="Q1112" i="7"/>
  <c r="Q1159" i="7"/>
  <c r="Q1167" i="7"/>
  <c r="Q1174" i="7"/>
  <c r="Q1212" i="7"/>
  <c r="Q1220" i="7"/>
  <c r="Q1235" i="7"/>
  <c r="Q1330" i="7"/>
  <c r="Q1345" i="7"/>
  <c r="Q1352" i="7"/>
  <c r="Q1396" i="7"/>
  <c r="Q1411" i="7"/>
  <c r="Q1426" i="7"/>
  <c r="Q1434" i="7"/>
  <c r="Q1441" i="7"/>
  <c r="Q1456" i="7"/>
  <c r="Q1478" i="7"/>
  <c r="Q1493" i="7"/>
  <c r="Q1508" i="7"/>
  <c r="Q1530" i="7"/>
  <c r="Q1545" i="7"/>
  <c r="Q1553" i="7"/>
  <c r="Q1560" i="7"/>
  <c r="Q1568" i="7"/>
  <c r="Q1619" i="7"/>
  <c r="Q1641" i="7"/>
  <c r="Q1649" i="7"/>
  <c r="Q1671" i="7"/>
  <c r="Q1694" i="7"/>
  <c r="Q1723" i="7"/>
  <c r="Q1765" i="7"/>
  <c r="Q1794" i="7"/>
  <c r="Q911" i="7"/>
  <c r="Q993" i="7"/>
  <c r="Q1008" i="7"/>
  <c r="Q1015" i="7"/>
  <c r="Q1128" i="7"/>
  <c r="Q1136" i="7"/>
  <c r="Q1144" i="7"/>
  <c r="Q1152" i="7"/>
  <c r="Q1604" i="7"/>
  <c r="Q1634" i="7"/>
  <c r="Q1759" i="7"/>
  <c r="Q1773" i="7"/>
  <c r="Q1780" i="7"/>
  <c r="Q1809" i="7"/>
  <c r="Q1816" i="7"/>
  <c r="Q1853" i="7"/>
  <c r="Q949" i="7"/>
  <c r="Q957" i="7"/>
  <c r="Q979" i="7"/>
  <c r="Q1001" i="7"/>
  <c r="Q1023" i="7"/>
  <c r="Q1031" i="7"/>
  <c r="Q1039" i="7"/>
  <c r="Q1060" i="7"/>
  <c r="Q1076" i="7"/>
  <c r="Q1084" i="7"/>
  <c r="Q1106" i="7"/>
  <c r="Q1113" i="7"/>
  <c r="Q1160" i="7"/>
  <c r="Q1168" i="7"/>
  <c r="Q1175" i="7"/>
  <c r="Q1190" i="7"/>
  <c r="Q1213" i="7"/>
  <c r="Q1221" i="7"/>
  <c r="Q1286" i="7"/>
  <c r="Q1293" i="7"/>
  <c r="Q1323" i="7"/>
  <c r="Q1331" i="7"/>
  <c r="Q1353" i="7"/>
  <c r="Q1412" i="7"/>
  <c r="Q1427" i="7"/>
  <c r="Q1442" i="7"/>
  <c r="Q1457" i="7"/>
  <c r="Q1479" i="7"/>
  <c r="Q1486" i="7"/>
  <c r="Q1494" i="7"/>
  <c r="Q1561" i="7"/>
  <c r="Q1569" i="7"/>
  <c r="Q1620" i="7"/>
  <c r="Q1642" i="7"/>
  <c r="Q1672" i="7"/>
  <c r="Q1695" i="7"/>
  <c r="Q1709" i="7"/>
  <c r="Q1731" i="7"/>
  <c r="Q1839" i="7"/>
  <c r="Q1861" i="7"/>
  <c r="Q294" i="7"/>
  <c r="Q338" i="7"/>
  <c r="Q354" i="7"/>
  <c r="Q361" i="7"/>
  <c r="Q369" i="7"/>
  <c r="Q399" i="7"/>
  <c r="Q413" i="7"/>
  <c r="Q443" i="7"/>
  <c r="Q451" i="7"/>
  <c r="Q466" i="7"/>
  <c r="Q503" i="7"/>
  <c r="Q576" i="7"/>
  <c r="Q614" i="7"/>
  <c r="Q643" i="7"/>
  <c r="Q679" i="7"/>
  <c r="Q687" i="7"/>
  <c r="Q703" i="7"/>
  <c r="Q756" i="7"/>
  <c r="Q770" i="7"/>
  <c r="Q778" i="7"/>
  <c r="Q786" i="7"/>
  <c r="Q829" i="7"/>
  <c r="Q844" i="7"/>
  <c r="Q875" i="7"/>
  <c r="Q897" i="7"/>
  <c r="Q912" i="7"/>
  <c r="Q994" i="7"/>
  <c r="Q1009" i="7"/>
  <c r="Q1016" i="7"/>
  <c r="Q1077" i="7"/>
  <c r="Q1121" i="7"/>
  <c r="Q1129" i="7"/>
  <c r="Q1137" i="7"/>
  <c r="Q1145" i="7"/>
  <c r="Q1153" i="7"/>
  <c r="Q1265" i="7"/>
  <c r="Q1272" i="7"/>
  <c r="Q1354" i="7"/>
  <c r="Q1368" i="7"/>
  <c r="Q1376" i="7"/>
  <c r="Q1383" i="7"/>
  <c r="Q1465" i="7"/>
  <c r="Q1472" i="7"/>
  <c r="Q1502" i="7"/>
  <c r="Q1531" i="7"/>
  <c r="Q1539" i="7"/>
  <c r="Q1576" i="7"/>
  <c r="Q1635" i="7"/>
  <c r="Q1657" i="7"/>
  <c r="Q1665" i="7"/>
  <c r="Q1680" i="7"/>
  <c r="Q1688" i="7"/>
  <c r="Q1817" i="7"/>
  <c r="Q1832" i="7"/>
  <c r="Q1854" i="7"/>
  <c r="Q1032" i="7"/>
  <c r="Q1169" i="7"/>
  <c r="Q1428" i="7"/>
  <c r="Q1466" i="7"/>
  <c r="Q1643" i="7"/>
  <c r="Q868" i="7"/>
  <c r="Q898" i="7"/>
  <c r="Q913" i="7"/>
  <c r="Q928" i="7"/>
  <c r="Q1010" i="7"/>
  <c r="Q1017" i="7"/>
  <c r="Q1047" i="7"/>
  <c r="Q1054" i="7"/>
  <c r="Q1092" i="7"/>
  <c r="Q1100" i="7"/>
  <c r="Q1122" i="7"/>
  <c r="Q1138" i="7"/>
  <c r="Q1154" i="7"/>
  <c r="Q1162" i="7"/>
  <c r="Q1230" i="7"/>
  <c r="Q1237" i="7"/>
  <c r="Q1266" i="7"/>
  <c r="Q1273" i="7"/>
  <c r="Q1317" i="7"/>
  <c r="Q1333" i="7"/>
  <c r="Q1340" i="7"/>
  <c r="Q1369" i="7"/>
  <c r="Q1377" i="7"/>
  <c r="Q1384" i="7"/>
  <c r="Q1436" i="7"/>
  <c r="Q1666" i="7"/>
  <c r="Q1689" i="7"/>
  <c r="Q1796" i="7"/>
  <c r="Q1833" i="7"/>
  <c r="Q1855" i="7"/>
  <c r="Q1848" i="7"/>
  <c r="Q900" i="7"/>
  <c r="Q930" i="7"/>
  <c r="Q938" i="7"/>
  <c r="Q945" i="7"/>
  <c r="Q960" i="7"/>
  <c r="Q967" i="7"/>
  <c r="Q982" i="7"/>
  <c r="Q1004" i="7"/>
  <c r="Q1049" i="7"/>
  <c r="Q1056" i="7"/>
  <c r="Q1124" i="7"/>
  <c r="Q1132" i="7"/>
  <c r="Q1140" i="7"/>
  <c r="Q1148" i="7"/>
  <c r="Q1164" i="7"/>
  <c r="Q1194" i="7"/>
  <c r="Q1201" i="7"/>
  <c r="Q1239" i="7"/>
  <c r="Q1253" i="7"/>
  <c r="Q1275" i="7"/>
  <c r="Q1311" i="7"/>
  <c r="Q1349" i="7"/>
  <c r="Q1363" i="7"/>
  <c r="Q1371" i="7"/>
  <c r="Q1415" i="7"/>
  <c r="Q1430" i="7"/>
  <c r="Q1460" i="7"/>
  <c r="Q1475" i="7"/>
  <c r="Q1498" i="7"/>
  <c r="Q1505" i="7"/>
  <c r="Q1512" i="7"/>
  <c r="Q1526" i="7"/>
  <c r="Q1534" i="7"/>
  <c r="Q1579" i="7"/>
  <c r="Q1594" i="7"/>
  <c r="Q1608" i="7"/>
  <c r="Q1623" i="7"/>
  <c r="Q1630" i="7"/>
  <c r="Q1660" i="7"/>
  <c r="Q1683" i="7"/>
  <c r="Q1691" i="7"/>
  <c r="Q1727" i="7"/>
  <c r="Q1734" i="7"/>
  <c r="Q1784" i="7"/>
  <c r="Q1820" i="7"/>
  <c r="Q1835" i="7"/>
  <c r="Q1842" i="7"/>
  <c r="Q1849" i="7"/>
  <c r="Q191" i="7"/>
  <c r="Q1210" i="7"/>
  <c r="Q495" i="7"/>
  <c r="Q58" i="7"/>
  <c r="Q154" i="7"/>
  <c r="Q10" i="7"/>
  <c r="Q144" i="7"/>
  <c r="Q159" i="7"/>
  <c r="Q170" i="7"/>
  <c r="Q223" i="7"/>
  <c r="Q234" i="7"/>
  <c r="Q346" i="7"/>
  <c r="Q533" i="7"/>
  <c r="Q537" i="7"/>
  <c r="Q548" i="7"/>
  <c r="Q747" i="7"/>
  <c r="Q1146" i="7"/>
  <c r="Q1189" i="7"/>
  <c r="Q794" i="7"/>
  <c r="Q843" i="7"/>
  <c r="Q95" i="7"/>
  <c r="Q303" i="7"/>
  <c r="Q415" i="7"/>
  <c r="Q426" i="7"/>
  <c r="Q479" i="7"/>
  <c r="Q490" i="7"/>
  <c r="Q592" i="7"/>
  <c r="Q1066" i="7"/>
  <c r="Q1370" i="7"/>
  <c r="Q922" i="7"/>
  <c r="Q1180" i="7"/>
  <c r="Q1258" i="7"/>
  <c r="Q1532" i="7"/>
  <c r="Q1610" i="7"/>
  <c r="Q1701" i="7"/>
  <c r="Q746" i="7"/>
  <c r="Q874" i="7"/>
  <c r="Q1562" i="7"/>
  <c r="Q1573" i="7"/>
  <c r="Q1818" i="7"/>
  <c r="Q1850" i="7"/>
  <c r="Q30" i="7"/>
  <c r="Q63" i="7"/>
  <c r="Q74" i="7"/>
  <c r="Q314" i="7"/>
  <c r="Q383" i="7"/>
  <c r="Q570" i="7"/>
  <c r="Q625" i="7"/>
  <c r="Q665" i="7"/>
  <c r="Q1018" i="7"/>
  <c r="Q1114" i="7"/>
  <c r="Q1418" i="7"/>
  <c r="Q1482" i="7"/>
  <c r="Q1669" i="7"/>
  <c r="Q1786" i="7"/>
  <c r="Q1717" i="7"/>
  <c r="Q175" i="7"/>
  <c r="Q362" i="7"/>
  <c r="Q431" i="7"/>
  <c r="Q549" i="7"/>
  <c r="Q579" i="7"/>
  <c r="Q605" i="7"/>
  <c r="Q677" i="7"/>
  <c r="Q714" i="7"/>
  <c r="Q997" i="7"/>
  <c r="Q1034" i="7"/>
  <c r="Q1082" i="7"/>
  <c r="Q1130" i="7"/>
  <c r="Q1242" i="7"/>
  <c r="Q1260" i="7"/>
  <c r="Q1338" i="7"/>
  <c r="Q1612" i="7"/>
  <c r="Q1685" i="7"/>
  <c r="Q1834" i="7"/>
  <c r="Q1802" i="7"/>
  <c r="Q21" i="7"/>
  <c r="Q106" i="7"/>
  <c r="Q298" i="7"/>
  <c r="Q367" i="7"/>
  <c r="Q638" i="7"/>
  <c r="Q678" i="7"/>
  <c r="Q858" i="7"/>
  <c r="Q965" i="7"/>
  <c r="Q1002" i="7"/>
  <c r="Q1020" i="7"/>
  <c r="Q1116" i="7"/>
  <c r="Q1301" i="7"/>
  <c r="Q1420" i="7"/>
  <c r="Q1324" i="7"/>
  <c r="Q1372" i="7"/>
  <c r="Q1557" i="7"/>
  <c r="Q1653" i="7"/>
  <c r="Q61" i="7"/>
  <c r="Q110" i="7"/>
  <c r="Q315" i="7"/>
  <c r="Q575" i="7"/>
  <c r="Q601" i="7"/>
  <c r="Q630" i="7"/>
  <c r="Q831" i="7"/>
  <c r="Q157" i="7"/>
  <c r="Q748" i="7"/>
  <c r="Q89" i="7"/>
  <c r="Q93" i="7"/>
  <c r="Q107" i="7"/>
  <c r="Q121" i="7"/>
  <c r="Q125" i="7"/>
  <c r="Q251" i="7"/>
  <c r="Q507" i="7"/>
  <c r="Q41" i="7"/>
  <c r="Q72" i="7"/>
  <c r="Q363" i="7"/>
  <c r="Q59" i="7"/>
  <c r="Q331" i="7"/>
  <c r="Q8" i="7"/>
  <c r="Q77" i="7"/>
  <c r="Q155" i="7"/>
  <c r="Q411" i="7"/>
  <c r="Q29" i="7"/>
  <c r="Q105" i="7"/>
  <c r="Q109" i="7"/>
  <c r="Q123" i="7"/>
  <c r="Q379" i="7"/>
  <c r="Q724" i="7"/>
  <c r="Q43" i="7"/>
  <c r="Q235" i="7"/>
  <c r="Q491" i="7"/>
  <c r="Q841" i="7"/>
  <c r="Q860" i="7"/>
  <c r="Q347" i="7"/>
  <c r="Q845" i="7"/>
  <c r="Q862" i="7"/>
  <c r="Q893" i="7"/>
  <c r="Q921" i="7"/>
  <c r="Q953" i="7"/>
  <c r="Q985" i="7"/>
  <c r="Q1053" i="7"/>
  <c r="Q1078" i="7"/>
  <c r="Q1118" i="7"/>
  <c r="Q1183" i="7"/>
  <c r="Q1309" i="7"/>
  <c r="Q1334" i="7"/>
  <c r="Q1374" i="7"/>
  <c r="Q1439" i="7"/>
  <c r="Q1565" i="7"/>
  <c r="Q1590" i="7"/>
  <c r="Q1670" i="7"/>
  <c r="Q1674" i="7"/>
  <c r="Q989" i="7"/>
  <c r="Q1021" i="7"/>
  <c r="Q1046" i="7"/>
  <c r="Q1086" i="7"/>
  <c r="Q1277" i="7"/>
  <c r="Q1302" i="7"/>
  <c r="Q1342" i="7"/>
  <c r="Q1533" i="7"/>
  <c r="Q1558" i="7"/>
  <c r="Q1598" i="7"/>
  <c r="Q664" i="7"/>
  <c r="Q733" i="7"/>
  <c r="Q792" i="7"/>
  <c r="Q822" i="7"/>
  <c r="Q873" i="7"/>
  <c r="Q1133" i="7"/>
  <c r="Q1158" i="7"/>
  <c r="Q1198" i="7"/>
  <c r="Q1263" i="7"/>
  <c r="Q1389" i="7"/>
  <c r="Q1414" i="7"/>
  <c r="Q1454" i="7"/>
  <c r="Q1519" i="7"/>
  <c r="Q1798" i="7"/>
  <c r="Q1101" i="7"/>
  <c r="Q1126" i="7"/>
  <c r="Q1166" i="7"/>
  <c r="Q1357" i="7"/>
  <c r="Q1382" i="7"/>
  <c r="Q1422" i="7"/>
  <c r="Q1613" i="7"/>
  <c r="Q1766" i="7"/>
  <c r="Q1845" i="7"/>
  <c r="Q616" i="7"/>
  <c r="Q701" i="7"/>
  <c r="Q760" i="7"/>
  <c r="Q806" i="7"/>
  <c r="Q870" i="7"/>
  <c r="Q905" i="7"/>
  <c r="Q1069" i="7"/>
  <c r="Q1094" i="7"/>
  <c r="Q1134" i="7"/>
  <c r="Q1199" i="7"/>
  <c r="Q1325" i="7"/>
  <c r="Q1350" i="7"/>
  <c r="Q1390" i="7"/>
  <c r="Q1455" i="7"/>
  <c r="Q1581" i="7"/>
  <c r="Q1606" i="7"/>
  <c r="Q1614" i="7"/>
  <c r="Q1846" i="7"/>
  <c r="Q536" i="7"/>
  <c r="Q814" i="7"/>
  <c r="Q861" i="7"/>
  <c r="Q934" i="7"/>
  <c r="Q966" i="7"/>
  <c r="Q998" i="7"/>
  <c r="Q1117" i="7"/>
  <c r="Q1142" i="7"/>
  <c r="Q1182" i="7"/>
  <c r="Q1247" i="7"/>
  <c r="Q1373" i="7"/>
  <c r="Q1398" i="7"/>
  <c r="Q1438" i="7"/>
  <c r="Q1503" i="7"/>
  <c r="Q1702" i="7"/>
  <c r="Q1706" i="7"/>
  <c r="Q1782" i="7"/>
  <c r="Q520" i="7"/>
  <c r="Q653" i="7"/>
  <c r="Q712" i="7"/>
  <c r="Q781" i="7"/>
  <c r="Q889" i="7"/>
  <c r="Q1038" i="7"/>
  <c r="Q1103" i="7"/>
  <c r="Q1229" i="7"/>
  <c r="Q1254" i="7"/>
  <c r="Q1294" i="7"/>
  <c r="Q1359" i="7"/>
  <c r="Q1485" i="7"/>
  <c r="Q1510" i="7"/>
  <c r="Q1550" i="7"/>
  <c r="Q1615" i="7"/>
  <c r="Q910" i="7"/>
  <c r="Q942" i="7"/>
  <c r="Q974" i="7"/>
  <c r="Q1006" i="7"/>
  <c r="Q1085" i="7"/>
  <c r="Q1110" i="7"/>
  <c r="Q1150" i="7"/>
  <c r="Q1215" i="7"/>
  <c r="Q1341" i="7"/>
  <c r="Q1366" i="7"/>
  <c r="Q1406" i="7"/>
  <c r="Q1471" i="7"/>
  <c r="Q1597" i="7"/>
  <c r="Q1626" i="7"/>
  <c r="Q1750" i="7"/>
  <c r="L274" i="6" l="1"/>
  <c r="O274" i="6" s="1"/>
  <c r="H233" i="8" s="1"/>
  <c r="L233" i="8" s="1"/>
  <c r="K274" i="6"/>
  <c r="N274" i="6" s="1"/>
  <c r="G233" i="8" s="1"/>
  <c r="K233" i="8" s="1"/>
  <c r="L273" i="6"/>
  <c r="O273" i="6" s="1"/>
  <c r="H232" i="8" s="1"/>
  <c r="L232" i="8" s="1"/>
  <c r="K273" i="6"/>
  <c r="L272" i="6"/>
  <c r="O272" i="6" s="1"/>
  <c r="H231" i="8" s="1"/>
  <c r="L231" i="8" s="1"/>
  <c r="K272" i="6"/>
  <c r="N272" i="6" s="1"/>
  <c r="G231" i="8" s="1"/>
  <c r="K231" i="8" s="1"/>
  <c r="L271" i="6"/>
  <c r="O271" i="6" s="1"/>
  <c r="H230" i="8" s="1"/>
  <c r="L230" i="8" s="1"/>
  <c r="K271" i="6"/>
  <c r="L265" i="6"/>
  <c r="K265" i="6"/>
  <c r="N265" i="6" s="1"/>
  <c r="G223" i="8" s="1"/>
  <c r="K223" i="8" s="1"/>
  <c r="L264" i="6"/>
  <c r="O264" i="6" s="1"/>
  <c r="H222" i="8" s="1"/>
  <c r="K264" i="6"/>
  <c r="N264" i="6" s="1"/>
  <c r="G222" i="8" s="1"/>
  <c r="K222" i="8" s="1"/>
  <c r="L263" i="6"/>
  <c r="O263" i="6" s="1"/>
  <c r="H220" i="8" s="1"/>
  <c r="L220" i="8" s="1"/>
  <c r="K263" i="6"/>
  <c r="N263" i="6" s="1"/>
  <c r="G220" i="8" s="1"/>
  <c r="K220" i="8" s="1"/>
  <c r="L262" i="6"/>
  <c r="O262" i="6" s="1"/>
  <c r="H219" i="8" s="1"/>
  <c r="L219" i="8" s="1"/>
  <c r="K262" i="6"/>
  <c r="N262" i="6" s="1"/>
  <c r="G219" i="8" s="1"/>
  <c r="K219" i="8" s="1"/>
  <c r="L256" i="6"/>
  <c r="O256" i="6" s="1"/>
  <c r="H213" i="8" s="1"/>
  <c r="K256" i="6"/>
  <c r="N256" i="6" s="1"/>
  <c r="G213" i="8" s="1"/>
  <c r="K213" i="8" s="1"/>
  <c r="L255" i="6"/>
  <c r="O255" i="6" s="1"/>
  <c r="H211" i="8" s="1"/>
  <c r="L211" i="8" s="1"/>
  <c r="K255" i="6"/>
  <c r="N255" i="6" s="1"/>
  <c r="G211" i="8" s="1"/>
  <c r="K211" i="8" s="1"/>
  <c r="L254" i="6"/>
  <c r="K254" i="6"/>
  <c r="N254" i="6" s="1"/>
  <c r="G210" i="8" s="1"/>
  <c r="K210" i="8" s="1"/>
  <c r="L248" i="6"/>
  <c r="O248" i="6" s="1"/>
  <c r="H203" i="8" s="1"/>
  <c r="L203" i="8" s="1"/>
  <c r="K248" i="6"/>
  <c r="N248" i="6" s="1"/>
  <c r="G203" i="8" s="1"/>
  <c r="K203" i="8" s="1"/>
  <c r="L247" i="6"/>
  <c r="O247" i="6" s="1"/>
  <c r="H202" i="8" s="1"/>
  <c r="L202" i="8" s="1"/>
  <c r="K247" i="6"/>
  <c r="N247" i="6" s="1"/>
  <c r="G202" i="8" s="1"/>
  <c r="K202" i="8" s="1"/>
  <c r="L246" i="6"/>
  <c r="O246" i="6" s="1"/>
  <c r="H200" i="8" s="1"/>
  <c r="L200" i="8" s="1"/>
  <c r="J246" i="6"/>
  <c r="M246" i="6" s="1"/>
  <c r="F200" i="8" s="1"/>
  <c r="J200" i="8" s="1"/>
  <c r="L228" i="6"/>
  <c r="O228" i="6" s="1"/>
  <c r="H175" i="8" s="1"/>
  <c r="L175" i="8" s="1"/>
  <c r="J228" i="6"/>
  <c r="M228" i="6" s="1"/>
  <c r="F175" i="8" s="1"/>
  <c r="J175" i="8" s="1"/>
  <c r="L227" i="6"/>
  <c r="O227" i="6" s="1"/>
  <c r="H174" i="8" s="1"/>
  <c r="L174" i="8" s="1"/>
  <c r="J227" i="6"/>
  <c r="M227" i="6" s="1"/>
  <c r="L210" i="6"/>
  <c r="O210" i="6" s="1"/>
  <c r="H155" i="8" s="1"/>
  <c r="L155" i="8" s="1"/>
  <c r="J210" i="6"/>
  <c r="M210" i="6" s="1"/>
  <c r="J207" i="6"/>
  <c r="M207" i="6" s="1"/>
  <c r="F152" i="8" s="1"/>
  <c r="J152" i="8" s="1"/>
  <c r="J206" i="6"/>
  <c r="M206" i="6" s="1"/>
  <c r="F151" i="8" s="1"/>
  <c r="J151" i="8" s="1"/>
  <c r="J205" i="6"/>
  <c r="J204" i="6"/>
  <c r="J203" i="6"/>
  <c r="L151" i="6"/>
  <c r="O151" i="6" s="1"/>
  <c r="H89" i="8" s="1"/>
  <c r="L89" i="8" s="1"/>
  <c r="K151" i="6"/>
  <c r="N151" i="6" s="1"/>
  <c r="G89" i="8" s="1"/>
  <c r="K89" i="8" s="1"/>
  <c r="J151" i="6"/>
  <c r="M151" i="6" s="1"/>
  <c r="J131" i="6"/>
  <c r="M131" i="6" s="1"/>
  <c r="F64" i="8" s="1"/>
  <c r="J64" i="8" s="1"/>
  <c r="L128" i="6"/>
  <c r="O128" i="6" s="1"/>
  <c r="H61" i="8" s="1"/>
  <c r="L61" i="8" s="1"/>
  <c r="J128" i="6"/>
  <c r="L110" i="6"/>
  <c r="O110" i="6" s="1"/>
  <c r="H39" i="8" s="1"/>
  <c r="L39" i="8" s="1"/>
  <c r="J110" i="6"/>
  <c r="M110" i="6" s="1"/>
  <c r="F39" i="8" s="1"/>
  <c r="K109" i="6"/>
  <c r="N109" i="6" s="1"/>
  <c r="G38" i="8" s="1"/>
  <c r="K38" i="8" s="1"/>
  <c r="J109" i="6"/>
  <c r="M109" i="6" s="1"/>
  <c r="F38" i="8" s="1"/>
  <c r="J38" i="8" s="1"/>
  <c r="L90" i="6"/>
  <c r="K90" i="6"/>
  <c r="N90" i="6" s="1"/>
  <c r="G18" i="8" s="1"/>
  <c r="K18" i="8" s="1"/>
  <c r="J90" i="6"/>
  <c r="M90" i="6" s="1"/>
  <c r="F18" i="8" s="1"/>
  <c r="J18" i="8" s="1"/>
  <c r="L89" i="6"/>
  <c r="J89" i="6"/>
  <c r="M89" i="6" s="1"/>
  <c r="F17" i="8" s="1"/>
  <c r="J17" i="8" s="1"/>
  <c r="J88" i="6"/>
  <c r="M88" i="6" s="1"/>
  <c r="F16" i="8" s="1"/>
  <c r="J16" i="8" s="1"/>
  <c r="L87" i="6"/>
  <c r="J87" i="6"/>
  <c r="M87" i="6" s="1"/>
  <c r="F15" i="8" s="1"/>
  <c r="L86" i="6"/>
  <c r="O86" i="6" s="1"/>
  <c r="H13" i="8" s="1"/>
  <c r="L13" i="8" s="1"/>
  <c r="J86" i="6"/>
  <c r="M86" i="6" s="1"/>
  <c r="F13" i="8" s="1"/>
  <c r="J13" i="8" s="1"/>
  <c r="L83" i="6"/>
  <c r="O83" i="6" s="1"/>
  <c r="H10" i="8" s="1"/>
  <c r="L10" i="8" s="1"/>
  <c r="J83" i="6"/>
  <c r="M83" i="6" s="1"/>
  <c r="F10" i="8" s="1"/>
  <c r="J10" i="8" s="1"/>
  <c r="L76" i="6"/>
  <c r="O76" i="6" s="1"/>
  <c r="L75" i="6"/>
  <c r="O75" i="6" s="1"/>
  <c r="L74" i="6"/>
  <c r="O74" i="6" s="1"/>
  <c r="L73" i="6"/>
  <c r="L72" i="6"/>
  <c r="L71" i="6"/>
  <c r="O71" i="6" s="1"/>
  <c r="L70" i="6"/>
  <c r="K1865" i="7"/>
  <c r="K1864" i="7"/>
  <c r="K1863" i="7"/>
  <c r="K1862" i="7"/>
  <c r="K1861" i="7"/>
  <c r="K1860" i="7"/>
  <c r="K1859" i="7"/>
  <c r="K1858" i="7"/>
  <c r="K1857" i="7"/>
  <c r="K1856" i="7"/>
  <c r="K1855" i="7"/>
  <c r="K1854" i="7"/>
  <c r="K1853" i="7"/>
  <c r="K1852" i="7"/>
  <c r="K1851" i="7"/>
  <c r="K1850" i="7"/>
  <c r="K1849" i="7"/>
  <c r="K1848" i="7"/>
  <c r="K1847" i="7"/>
  <c r="K1846" i="7"/>
  <c r="K1845" i="7"/>
  <c r="K1844" i="7"/>
  <c r="K1843" i="7"/>
  <c r="K1842" i="7"/>
  <c r="K1841" i="7"/>
  <c r="K1840" i="7"/>
  <c r="K1839" i="7"/>
  <c r="K1838" i="7"/>
  <c r="K1837" i="7"/>
  <c r="K1836" i="7"/>
  <c r="K1835" i="7"/>
  <c r="K1834" i="7"/>
  <c r="K1833" i="7"/>
  <c r="K1832" i="7"/>
  <c r="K1831" i="7"/>
  <c r="K1830" i="7"/>
  <c r="K1829" i="7"/>
  <c r="K1828" i="7"/>
  <c r="K1827" i="7"/>
  <c r="K1826" i="7"/>
  <c r="K1825" i="7"/>
  <c r="K1824" i="7"/>
  <c r="K1823" i="7"/>
  <c r="K1822" i="7"/>
  <c r="K1821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5" i="7"/>
  <c r="K1804" i="7"/>
  <c r="K1803" i="7"/>
  <c r="K1802" i="7"/>
  <c r="K1801" i="7"/>
  <c r="K1800" i="7"/>
  <c r="K1799" i="7"/>
  <c r="K1798" i="7"/>
  <c r="K1797" i="7"/>
  <c r="K1796" i="7"/>
  <c r="K1795" i="7"/>
  <c r="K1794" i="7"/>
  <c r="K1793" i="7"/>
  <c r="K1792" i="7"/>
  <c r="K1791" i="7"/>
  <c r="K1790" i="7"/>
  <c r="K1789" i="7"/>
  <c r="K1788" i="7"/>
  <c r="K1787" i="7"/>
  <c r="K1786" i="7"/>
  <c r="K1785" i="7"/>
  <c r="K1784" i="7"/>
  <c r="K1783" i="7"/>
  <c r="K1782" i="7"/>
  <c r="K1781" i="7"/>
  <c r="K1780" i="7"/>
  <c r="K1779" i="7"/>
  <c r="K1778" i="7"/>
  <c r="K1777" i="7"/>
  <c r="K1776" i="7"/>
  <c r="K1775" i="7"/>
  <c r="K1774" i="7"/>
  <c r="K1773" i="7"/>
  <c r="K1772" i="7"/>
  <c r="K1771" i="7"/>
  <c r="K1770" i="7"/>
  <c r="K1769" i="7"/>
  <c r="K1768" i="7"/>
  <c r="K1767" i="7"/>
  <c r="K1766" i="7"/>
  <c r="K1765" i="7"/>
  <c r="K1764" i="7"/>
  <c r="K1763" i="7"/>
  <c r="K1762" i="7"/>
  <c r="K1761" i="7"/>
  <c r="K1760" i="7"/>
  <c r="K1759" i="7"/>
  <c r="K1758" i="7"/>
  <c r="K1757" i="7"/>
  <c r="K1756" i="7"/>
  <c r="K1755" i="7"/>
  <c r="K1754" i="7"/>
  <c r="K1753" i="7"/>
  <c r="K1752" i="7"/>
  <c r="K1751" i="7"/>
  <c r="K1750" i="7"/>
  <c r="K1749" i="7"/>
  <c r="K1748" i="7"/>
  <c r="K1747" i="7"/>
  <c r="K1746" i="7"/>
  <c r="K1745" i="7"/>
  <c r="K1744" i="7"/>
  <c r="K1743" i="7"/>
  <c r="K1742" i="7"/>
  <c r="K1741" i="7"/>
  <c r="K1740" i="7"/>
  <c r="K1739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3" i="7"/>
  <c r="K1692" i="7"/>
  <c r="K1691" i="7"/>
  <c r="K1690" i="7"/>
  <c r="K1689" i="7"/>
  <c r="K1688" i="7"/>
  <c r="K1678" i="7"/>
  <c r="K1677" i="7"/>
  <c r="K1676" i="7"/>
  <c r="K1675" i="7"/>
  <c r="K166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90" i="7"/>
  <c r="K1572" i="7"/>
  <c r="K1571" i="7"/>
  <c r="K1570" i="7"/>
  <c r="K1569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28" i="7"/>
  <c r="K1524" i="7"/>
  <c r="K1521" i="7"/>
  <c r="K1517" i="7"/>
  <c r="K1511" i="7"/>
  <c r="K1510" i="7"/>
  <c r="K1509" i="7"/>
  <c r="K1498" i="7"/>
  <c r="K1495" i="7"/>
  <c r="K1491" i="7"/>
  <c r="K1490" i="7"/>
  <c r="K1483" i="7"/>
  <c r="K1481" i="7"/>
  <c r="K1479" i="7"/>
  <c r="K1477" i="7"/>
  <c r="K1474" i="7"/>
  <c r="K1472" i="7"/>
  <c r="K1470" i="7"/>
  <c r="K1468" i="7"/>
  <c r="K1466" i="7"/>
  <c r="K1464" i="7"/>
  <c r="K1462" i="7"/>
  <c r="K1460" i="7"/>
  <c r="K1458" i="7"/>
  <c r="K1456" i="7"/>
  <c r="K1454" i="7"/>
  <c r="K1452" i="7"/>
  <c r="K1448" i="7"/>
  <c r="K1441" i="7"/>
  <c r="K1426" i="7"/>
  <c r="K1421" i="7"/>
  <c r="K1419" i="7"/>
  <c r="K1416" i="7"/>
  <c r="K1413" i="7"/>
  <c r="K1410" i="7"/>
  <c r="K1407" i="7"/>
  <c r="K1404" i="7"/>
  <c r="K1399" i="7"/>
  <c r="K1398" i="7"/>
  <c r="K1397" i="7"/>
  <c r="K1396" i="7"/>
  <c r="K1395" i="7"/>
  <c r="K1394" i="7"/>
  <c r="K1393" i="7"/>
  <c r="K1389" i="7"/>
  <c r="K1388" i="7"/>
  <c r="K1387" i="7"/>
  <c r="K1386" i="7"/>
  <c r="K1385" i="7"/>
  <c r="K1384" i="7"/>
  <c r="K1380" i="7"/>
  <c r="K1379" i="7"/>
  <c r="K1378" i="7"/>
  <c r="K1377" i="7"/>
  <c r="K1376" i="7"/>
  <c r="K1375" i="7"/>
  <c r="K1374" i="7"/>
  <c r="K1370" i="7"/>
  <c r="K1369" i="7"/>
  <c r="K1368" i="7"/>
  <c r="K1367" i="7"/>
  <c r="K1366" i="7"/>
  <c r="K1365" i="7"/>
  <c r="K1364" i="7"/>
  <c r="K1360" i="7"/>
  <c r="K1359" i="7"/>
  <c r="K1358" i="7"/>
  <c r="K1357" i="7"/>
  <c r="K1356" i="7"/>
  <c r="K1355" i="7"/>
  <c r="K1354" i="7"/>
  <c r="K1350" i="7"/>
  <c r="K1349" i="7"/>
  <c r="K1348" i="7"/>
  <c r="K1347" i="7"/>
  <c r="K1346" i="7"/>
  <c r="K1345" i="7"/>
  <c r="K1344" i="7"/>
  <c r="K1340" i="7"/>
  <c r="K1339" i="7"/>
  <c r="K1338" i="7"/>
  <c r="K1337" i="7"/>
  <c r="K1336" i="7"/>
  <c r="K1335" i="7"/>
  <c r="K1334" i="7"/>
  <c r="K1333" i="7"/>
  <c r="K1332" i="7"/>
  <c r="K1328" i="7"/>
  <c r="K1327" i="7"/>
  <c r="K1326" i="7"/>
  <c r="K1325" i="7"/>
  <c r="K1324" i="7"/>
  <c r="K1323" i="7"/>
  <c r="K1322" i="7"/>
  <c r="K1321" i="7"/>
  <c r="K1320" i="7"/>
  <c r="K1316" i="7"/>
  <c r="K1315" i="7"/>
  <c r="K1314" i="7"/>
  <c r="K1313" i="7"/>
  <c r="K1312" i="7"/>
  <c r="K1311" i="7"/>
  <c r="K1310" i="7"/>
  <c r="K1309" i="7"/>
  <c r="K1308" i="7"/>
  <c r="K1304" i="7"/>
  <c r="K1303" i="7"/>
  <c r="K1302" i="7"/>
  <c r="K1301" i="7"/>
  <c r="K1300" i="7"/>
  <c r="K1299" i="7"/>
  <c r="K1298" i="7"/>
  <c r="K1297" i="7"/>
  <c r="K1296" i="7"/>
  <c r="K1293" i="7"/>
  <c r="K1288" i="7"/>
  <c r="K1287" i="7"/>
  <c r="K1282" i="7"/>
  <c r="K1281" i="7"/>
  <c r="K1276" i="7"/>
  <c r="K1275" i="7"/>
  <c r="K1272" i="7"/>
  <c r="K1269" i="7"/>
  <c r="K1267" i="7"/>
  <c r="K1262" i="7"/>
  <c r="K1261" i="7"/>
  <c r="K1257" i="7"/>
  <c r="K1256" i="7"/>
  <c r="K1251" i="7"/>
  <c r="K1250" i="7"/>
  <c r="K1249" i="7"/>
  <c r="K1248" i="7"/>
  <c r="K1247" i="7"/>
  <c r="K1246" i="7"/>
  <c r="K1241" i="7"/>
  <c r="K1240" i="7"/>
  <c r="K1239" i="7"/>
  <c r="K1238" i="7"/>
  <c r="K1237" i="7"/>
  <c r="K1236" i="7"/>
  <c r="K1234" i="7"/>
  <c r="K1233" i="7"/>
  <c r="K1232" i="7"/>
  <c r="K1231" i="7"/>
  <c r="K1230" i="7"/>
  <c r="K1229" i="7"/>
  <c r="K1228" i="7"/>
  <c r="K1227" i="7"/>
  <c r="K1225" i="7"/>
  <c r="K1224" i="7"/>
  <c r="K1223" i="7"/>
  <c r="K1222" i="7"/>
  <c r="K1221" i="7"/>
  <c r="K1220" i="7"/>
  <c r="K1219" i="7"/>
  <c r="K1218" i="7"/>
  <c r="K1217" i="7"/>
  <c r="K1216" i="7"/>
  <c r="K1213" i="7"/>
  <c r="K1212" i="7"/>
  <c r="K1211" i="7"/>
  <c r="K1210" i="7"/>
  <c r="K1209" i="7"/>
  <c r="K1208" i="7"/>
  <c r="K1207" i="7"/>
  <c r="K1206" i="7"/>
  <c r="K1205" i="7"/>
  <c r="K1204" i="7"/>
  <c r="K1201" i="7"/>
  <c r="K1200" i="7"/>
  <c r="K1199" i="7"/>
  <c r="K1198" i="7"/>
  <c r="K1197" i="7"/>
  <c r="K1196" i="7"/>
  <c r="K1195" i="7"/>
  <c r="K1194" i="7"/>
  <c r="K1193" i="7"/>
  <c r="K1192" i="7"/>
  <c r="K1190" i="7"/>
  <c r="K1189" i="7"/>
  <c r="K1188" i="7"/>
  <c r="K1187" i="7"/>
  <c r="K1186" i="7"/>
  <c r="K1185" i="7"/>
  <c r="K1184" i="7"/>
  <c r="K1183" i="7"/>
  <c r="K1181" i="7"/>
  <c r="K1180" i="7"/>
  <c r="K1179" i="7"/>
  <c r="K1178" i="7"/>
  <c r="K1177" i="7"/>
  <c r="K1176" i="7"/>
  <c r="K1175" i="7"/>
  <c r="K1174" i="7"/>
  <c r="K1173" i="7"/>
  <c r="K1172" i="7"/>
  <c r="K1168" i="7"/>
  <c r="K1162" i="7"/>
  <c r="K1161" i="7"/>
  <c r="K1158" i="7"/>
  <c r="K1157" i="7"/>
  <c r="K1155" i="7"/>
  <c r="K1154" i="7"/>
  <c r="K1153" i="7"/>
  <c r="K1152" i="7"/>
  <c r="K1151" i="7"/>
  <c r="K1150" i="7"/>
  <c r="K1149" i="7"/>
  <c r="K1148" i="7"/>
  <c r="K1147" i="7"/>
  <c r="K1146" i="7"/>
  <c r="K1144" i="7"/>
  <c r="K1143" i="7"/>
  <c r="K1142" i="7"/>
  <c r="K1141" i="7"/>
  <c r="K1140" i="7"/>
  <c r="K1139" i="7"/>
  <c r="K1138" i="7"/>
  <c r="K1137" i="7"/>
  <c r="K1135" i="7"/>
  <c r="K1134" i="7"/>
  <c r="K1133" i="7"/>
  <c r="K1132" i="7"/>
  <c r="K1131" i="7"/>
  <c r="K1130" i="7"/>
  <c r="K1129" i="7"/>
  <c r="K1128" i="7"/>
  <c r="K1124" i="7"/>
  <c r="K1123" i="7"/>
  <c r="K1122" i="7"/>
  <c r="K1121" i="7"/>
  <c r="K1117" i="7"/>
  <c r="K1116" i="7"/>
  <c r="K1115" i="7"/>
  <c r="K1114" i="7"/>
  <c r="K1110" i="7"/>
  <c r="K1109" i="7"/>
  <c r="K1108" i="7"/>
  <c r="K1107" i="7"/>
  <c r="K1103" i="7"/>
  <c r="K1102" i="7"/>
  <c r="K1101" i="7"/>
  <c r="K1100" i="7"/>
  <c r="K1096" i="7"/>
  <c r="K1095" i="7"/>
  <c r="K1094" i="7"/>
  <c r="K1093" i="7"/>
  <c r="K1089" i="7"/>
  <c r="K1088" i="7"/>
  <c r="K1087" i="7"/>
  <c r="K1086" i="7"/>
  <c r="K1082" i="7"/>
  <c r="K1081" i="7"/>
  <c r="K1077" i="7"/>
  <c r="K1076" i="7"/>
  <c r="K1075" i="7"/>
  <c r="K1074" i="7"/>
  <c r="K1069" i="7"/>
  <c r="K1068" i="7"/>
  <c r="K1064" i="7"/>
  <c r="K1063" i="7"/>
  <c r="K1062" i="7"/>
  <c r="K1061" i="7"/>
  <c r="K1057" i="7"/>
  <c r="K1056" i="7"/>
  <c r="K1055" i="7"/>
  <c r="K1054" i="7"/>
  <c r="K1050" i="7"/>
  <c r="K1049" i="7"/>
  <c r="K1048" i="7"/>
  <c r="K1047" i="7"/>
  <c r="K1043" i="7"/>
  <c r="K1042" i="7"/>
  <c r="K1041" i="7"/>
  <c r="K1040" i="7"/>
  <c r="K1038" i="7"/>
  <c r="K1037" i="7"/>
  <c r="K1036" i="7"/>
  <c r="K1030" i="7"/>
  <c r="K1026" i="7"/>
  <c r="K1019" i="7"/>
  <c r="K1018" i="7"/>
  <c r="K1017" i="7"/>
  <c r="K1013" i="7"/>
  <c r="K1012" i="7"/>
  <c r="K1008" i="7"/>
  <c r="K1007" i="7"/>
  <c r="K1006" i="7"/>
  <c r="K1002" i="7"/>
  <c r="K1001" i="7"/>
  <c r="K996" i="7"/>
  <c r="K995" i="7"/>
  <c r="K990" i="7"/>
  <c r="K989" i="7"/>
  <c r="K984" i="7"/>
  <c r="K983" i="7"/>
  <c r="K982" i="7"/>
  <c r="K981" i="7"/>
  <c r="K976" i="7"/>
  <c r="K975" i="7"/>
  <c r="K974" i="7"/>
  <c r="K973" i="7"/>
  <c r="K968" i="7"/>
  <c r="K967" i="7"/>
  <c r="K966" i="7"/>
  <c r="K965" i="7"/>
  <c r="K964" i="7"/>
  <c r="K963" i="7"/>
  <c r="K958" i="7"/>
  <c r="K957" i="7"/>
  <c r="K956" i="7"/>
  <c r="K955" i="7"/>
  <c r="K949" i="7"/>
  <c r="K948" i="7"/>
  <c r="K947" i="7"/>
  <c r="K946" i="7"/>
  <c r="K943" i="7"/>
  <c r="K938" i="7"/>
  <c r="K937" i="7"/>
  <c r="K936" i="7"/>
  <c r="K930" i="7"/>
  <c r="K929" i="7"/>
  <c r="K928" i="7"/>
  <c r="K920" i="7"/>
  <c r="K919" i="7"/>
  <c r="K918" i="7"/>
  <c r="K917" i="7"/>
  <c r="K911" i="7"/>
  <c r="K910" i="7"/>
  <c r="K909" i="7"/>
  <c r="K908" i="7"/>
  <c r="K904" i="7"/>
  <c r="K903" i="7"/>
  <c r="K902" i="7"/>
  <c r="K900" i="7"/>
  <c r="K899" i="7"/>
  <c r="K896" i="7"/>
  <c r="K895" i="7"/>
  <c r="K894" i="7"/>
  <c r="K890" i="7"/>
  <c r="K889" i="7"/>
  <c r="K888" i="7"/>
  <c r="K887" i="7"/>
  <c r="K886" i="7"/>
  <c r="K885" i="7"/>
  <c r="K879" i="7"/>
  <c r="K878" i="7"/>
  <c r="K877" i="7"/>
  <c r="K871" i="7"/>
  <c r="K870" i="7"/>
  <c r="K869" i="7"/>
  <c r="K867" i="7"/>
  <c r="K866" i="7"/>
  <c r="K863" i="7"/>
  <c r="K862" i="7"/>
  <c r="K861" i="7"/>
  <c r="K859" i="7"/>
  <c r="K858" i="7"/>
  <c r="K857" i="7"/>
  <c r="K856" i="7"/>
  <c r="K853" i="7"/>
  <c r="K852" i="7"/>
  <c r="K851" i="7"/>
  <c r="K850" i="7"/>
  <c r="K846" i="7"/>
  <c r="K845" i="7"/>
  <c r="K844" i="7"/>
  <c r="K843" i="7"/>
  <c r="K842" i="7"/>
  <c r="K841" i="7"/>
  <c r="K840" i="7"/>
  <c r="K839" i="7"/>
  <c r="K838" i="7"/>
  <c r="K837" i="7"/>
  <c r="K831" i="7"/>
  <c r="K830" i="7"/>
  <c r="K829" i="7"/>
  <c r="K828" i="7"/>
  <c r="K827" i="7"/>
  <c r="K826" i="7"/>
  <c r="K820" i="7"/>
  <c r="K819" i="7"/>
  <c r="K818" i="7"/>
  <c r="K817" i="7"/>
  <c r="K816" i="7"/>
  <c r="K815" i="7"/>
  <c r="K809" i="7"/>
  <c r="K808" i="7"/>
  <c r="K807" i="7"/>
  <c r="K806" i="7"/>
  <c r="K805" i="7"/>
  <c r="K804" i="7"/>
  <c r="K798" i="7"/>
  <c r="K797" i="7"/>
  <c r="K796" i="7"/>
  <c r="K795" i="7"/>
  <c r="K794" i="7"/>
  <c r="K793" i="7"/>
  <c r="K789" i="7"/>
  <c r="K788" i="7"/>
  <c r="K787" i="7"/>
  <c r="K783" i="7"/>
  <c r="K780" i="7"/>
  <c r="K777" i="7"/>
  <c r="K774" i="7"/>
  <c r="K771" i="7"/>
  <c r="K768" i="7"/>
  <c r="K765" i="7"/>
  <c r="K762" i="7"/>
  <c r="K759" i="7"/>
  <c r="K756" i="7"/>
  <c r="K753" i="7"/>
  <c r="K750" i="7"/>
  <c r="K747" i="7"/>
  <c r="K744" i="7"/>
  <c r="K741" i="7"/>
  <c r="K738" i="7"/>
  <c r="K732" i="7"/>
  <c r="K731" i="7"/>
  <c r="K730" i="7"/>
  <c r="K729" i="7"/>
  <c r="K722" i="7"/>
  <c r="K721" i="7"/>
  <c r="K720" i="7"/>
  <c r="K705" i="7"/>
  <c r="K704" i="7"/>
  <c r="K703" i="7"/>
  <c r="K702" i="7"/>
  <c r="K701" i="7"/>
  <c r="K700" i="7"/>
  <c r="K699" i="7"/>
  <c r="K698" i="7"/>
  <c r="K695" i="7"/>
  <c r="K694" i="7"/>
  <c r="K693" i="7"/>
  <c r="K692" i="7"/>
  <c r="K689" i="7"/>
  <c r="K683" i="7"/>
  <c r="K682" i="7"/>
  <c r="K681" i="7"/>
  <c r="K680" i="7"/>
  <c r="K679" i="7"/>
  <c r="K677" i="7"/>
  <c r="K676" i="7"/>
  <c r="K675" i="7"/>
  <c r="K674" i="7"/>
  <c r="K670" i="7"/>
  <c r="K668" i="7"/>
  <c r="K667" i="7"/>
  <c r="K666" i="7"/>
  <c r="K665" i="7"/>
  <c r="K664" i="7"/>
  <c r="K663" i="7"/>
  <c r="K658" i="7"/>
  <c r="K657" i="7"/>
  <c r="K656" i="7"/>
  <c r="K655" i="7"/>
  <c r="K654" i="7"/>
  <c r="K653" i="7"/>
  <c r="K652" i="7"/>
  <c r="K651" i="7"/>
  <c r="K650" i="7"/>
  <c r="K648" i="7"/>
  <c r="K642" i="7"/>
  <c r="K641" i="7"/>
  <c r="K640" i="7"/>
  <c r="K639" i="7"/>
  <c r="K638" i="7"/>
  <c r="K634" i="7"/>
  <c r="K633" i="7"/>
  <c r="K632" i="7"/>
  <c r="K631" i="7"/>
  <c r="K630" i="7"/>
  <c r="K626" i="7"/>
  <c r="K625" i="7"/>
  <c r="K624" i="7"/>
  <c r="K623" i="7"/>
  <c r="K622" i="7"/>
  <c r="K618" i="7"/>
  <c r="K617" i="7"/>
  <c r="K616" i="7"/>
  <c r="K615" i="7"/>
  <c r="K614" i="7"/>
  <c r="K611" i="7"/>
  <c r="K610" i="7"/>
  <c r="K606" i="7"/>
  <c r="K605" i="7"/>
  <c r="K601" i="7"/>
  <c r="K600" i="7"/>
  <c r="K597" i="7"/>
  <c r="K596" i="7"/>
  <c r="K592" i="7"/>
  <c r="K591" i="7"/>
  <c r="K587" i="7"/>
  <c r="K586" i="7"/>
  <c r="K582" i="7"/>
  <c r="K581" i="7"/>
  <c r="K577" i="7"/>
  <c r="K576" i="7"/>
  <c r="K570" i="7"/>
  <c r="K569" i="7"/>
  <c r="K568" i="7"/>
  <c r="K567" i="7"/>
  <c r="K566" i="7"/>
  <c r="K565" i="7"/>
  <c r="K561" i="7"/>
  <c r="K560" i="7"/>
  <c r="K559" i="7"/>
  <c r="K558" i="7"/>
  <c r="K557" i="7"/>
  <c r="K556" i="7"/>
  <c r="K555" i="7"/>
  <c r="K548" i="7"/>
  <c r="K547" i="7"/>
  <c r="K542" i="7"/>
  <c r="K541" i="7"/>
  <c r="K540" i="7"/>
  <c r="K536" i="7"/>
  <c r="K535" i="7"/>
  <c r="K534" i="7"/>
  <c r="K533" i="7"/>
  <c r="K532" i="7"/>
  <c r="K531" i="7"/>
  <c r="K530" i="7"/>
  <c r="K524" i="7"/>
  <c r="K523" i="7"/>
  <c r="K522" i="7"/>
  <c r="K521" i="7"/>
  <c r="K520" i="7"/>
  <c r="K515" i="7"/>
  <c r="K514" i="7"/>
  <c r="K513" i="7"/>
  <c r="K512" i="7"/>
  <c r="K511" i="7"/>
  <c r="K510" i="7"/>
  <c r="K509" i="7"/>
  <c r="K508" i="7"/>
  <c r="K507" i="7"/>
  <c r="K502" i="7"/>
  <c r="K501" i="7"/>
  <c r="K500" i="7"/>
  <c r="K499" i="7"/>
  <c r="K498" i="7"/>
  <c r="K497" i="7"/>
  <c r="K496" i="7"/>
  <c r="K495" i="7"/>
  <c r="K490" i="7"/>
  <c r="K489" i="7"/>
  <c r="K488" i="7"/>
  <c r="K487" i="7"/>
  <c r="K486" i="7"/>
  <c r="K485" i="7"/>
  <c r="K484" i="7"/>
  <c r="K483" i="7"/>
  <c r="K482" i="7"/>
  <c r="K481" i="7"/>
  <c r="K476" i="7"/>
  <c r="K475" i="7"/>
  <c r="K474" i="7"/>
  <c r="K473" i="7"/>
  <c r="K472" i="7"/>
  <c r="K471" i="7"/>
  <c r="K470" i="7"/>
  <c r="K469" i="7"/>
  <c r="K468" i="7"/>
  <c r="K463" i="7"/>
  <c r="K462" i="7"/>
  <c r="K461" i="7"/>
  <c r="K460" i="7"/>
  <c r="K459" i="7"/>
  <c r="K455" i="7"/>
  <c r="K454" i="7"/>
  <c r="K453" i="7"/>
  <c r="K452" i="7"/>
  <c r="K451" i="7"/>
  <c r="K446" i="7"/>
  <c r="K445" i="7"/>
  <c r="K444" i="7"/>
  <c r="K443" i="7"/>
  <c r="K442" i="7"/>
  <c r="K441" i="7"/>
  <c r="K440" i="7"/>
  <c r="K439" i="7"/>
  <c r="K435" i="7"/>
  <c r="K434" i="7"/>
  <c r="K433" i="7"/>
  <c r="K432" i="7"/>
  <c r="K431" i="7"/>
  <c r="K430" i="7"/>
  <c r="K429" i="7"/>
  <c r="K428" i="7"/>
  <c r="K424" i="7"/>
  <c r="K423" i="7"/>
  <c r="K422" i="7"/>
  <c r="K421" i="7"/>
  <c r="K420" i="7"/>
  <c r="K419" i="7"/>
  <c r="K418" i="7"/>
  <c r="K417" i="7"/>
  <c r="K412" i="7"/>
  <c r="K411" i="7"/>
  <c r="K410" i="7"/>
  <c r="K409" i="7"/>
  <c r="K408" i="7"/>
  <c r="K407" i="7"/>
  <c r="K406" i="7"/>
  <c r="K405" i="7"/>
  <c r="K404" i="7"/>
  <c r="K403" i="7"/>
  <c r="K399" i="7"/>
  <c r="K398" i="7"/>
  <c r="K397" i="7"/>
  <c r="K396" i="7"/>
  <c r="K392" i="7"/>
  <c r="K391" i="7"/>
  <c r="K390" i="7"/>
  <c r="K389" i="7"/>
  <c r="K385" i="7"/>
  <c r="K384" i="7"/>
  <c r="K383" i="7"/>
  <c r="K382" i="7"/>
  <c r="K374" i="7"/>
  <c r="K373" i="7"/>
  <c r="K372" i="7"/>
  <c r="K371" i="7"/>
  <c r="K370" i="7"/>
  <c r="K369" i="7"/>
  <c r="K365" i="7"/>
  <c r="K364" i="7"/>
  <c r="K363" i="7"/>
  <c r="K362" i="7"/>
  <c r="K361" i="7"/>
  <c r="K360" i="7"/>
  <c r="K354" i="7"/>
  <c r="K353" i="7"/>
  <c r="K352" i="7"/>
  <c r="K351" i="7"/>
  <c r="K350" i="7"/>
  <c r="K349" i="7"/>
  <c r="K348" i="7"/>
  <c r="K347" i="7"/>
  <c r="K343" i="7"/>
  <c r="K342" i="7"/>
  <c r="K341" i="7"/>
  <c r="K340" i="7"/>
  <c r="K339" i="7"/>
  <c r="K334" i="7"/>
  <c r="K333" i="7"/>
  <c r="K332" i="7"/>
  <c r="K331" i="7"/>
  <c r="K330" i="7"/>
  <c r="K329" i="7"/>
  <c r="K328" i="7"/>
  <c r="K327" i="7"/>
  <c r="K323" i="7"/>
  <c r="K322" i="7"/>
  <c r="K321" i="7"/>
  <c r="K320" i="7"/>
  <c r="K319" i="7"/>
  <c r="K318" i="7"/>
  <c r="K317" i="7"/>
  <c r="K316" i="7"/>
  <c r="K311" i="7"/>
  <c r="K310" i="7"/>
  <c r="K305" i="7"/>
  <c r="K304" i="7"/>
  <c r="K303" i="7"/>
  <c r="K298" i="7"/>
  <c r="K297" i="7"/>
  <c r="K296" i="7"/>
  <c r="K295" i="7"/>
  <c r="K290" i="7"/>
  <c r="K289" i="7"/>
  <c r="K284" i="7"/>
  <c r="K283" i="7"/>
  <c r="K282" i="7"/>
  <c r="K281" i="7"/>
  <c r="K274" i="7"/>
  <c r="K273" i="7"/>
  <c r="K272" i="7"/>
  <c r="K271" i="7"/>
  <c r="K265" i="7"/>
  <c r="K264" i="7"/>
  <c r="K263" i="7"/>
  <c r="K262" i="7"/>
  <c r="K256" i="7"/>
  <c r="K255" i="7"/>
  <c r="K254" i="7"/>
  <c r="K248" i="7"/>
  <c r="K247" i="7"/>
  <c r="K246" i="7"/>
  <c r="K241" i="7"/>
  <c r="K240" i="7"/>
  <c r="K239" i="7"/>
  <c r="K234" i="7"/>
  <c r="K233" i="7"/>
  <c r="K228" i="7"/>
  <c r="K227" i="7"/>
  <c r="K221" i="7"/>
  <c r="K220" i="7"/>
  <c r="K219" i="7"/>
  <c r="K218" i="7"/>
  <c r="K217" i="7"/>
  <c r="K216" i="7"/>
  <c r="K210" i="7"/>
  <c r="K209" i="7"/>
  <c r="K208" i="7"/>
  <c r="K207" i="7"/>
  <c r="K206" i="7"/>
  <c r="K205" i="7"/>
  <c r="K204" i="7"/>
  <c r="K203" i="7"/>
  <c r="K202" i="7"/>
  <c r="K201" i="7"/>
  <c r="K200" i="7"/>
  <c r="K194" i="7"/>
  <c r="K193" i="7"/>
  <c r="K192" i="7"/>
  <c r="K191" i="7"/>
  <c r="K190" i="7"/>
  <c r="K189" i="7"/>
  <c r="K183" i="7"/>
  <c r="K182" i="7"/>
  <c r="K181" i="7"/>
  <c r="K180" i="7"/>
  <c r="K179" i="7"/>
  <c r="K173" i="7"/>
  <c r="K172" i="7"/>
  <c r="K171" i="7"/>
  <c r="K170" i="7"/>
  <c r="K169" i="7"/>
  <c r="K168" i="7"/>
  <c r="K162" i="7"/>
  <c r="K161" i="7"/>
  <c r="K160" i="7"/>
  <c r="K159" i="7"/>
  <c r="K158" i="7"/>
  <c r="K157" i="7"/>
  <c r="K154" i="7"/>
  <c r="K153" i="7"/>
  <c r="K152" i="7"/>
  <c r="K151" i="7"/>
  <c r="K150" i="7"/>
  <c r="K149" i="7"/>
  <c r="K148" i="7"/>
  <c r="K147" i="7"/>
  <c r="K146" i="7"/>
  <c r="K143" i="7"/>
  <c r="K142" i="7"/>
  <c r="K141" i="7"/>
  <c r="K140" i="7"/>
  <c r="K139" i="7"/>
  <c r="K138" i="7"/>
  <c r="K137" i="7"/>
  <c r="K136" i="7"/>
  <c r="K132" i="7"/>
  <c r="K131" i="7"/>
  <c r="K130" i="7"/>
  <c r="K129" i="7"/>
  <c r="K128" i="7"/>
  <c r="K127" i="7"/>
  <c r="K126" i="7"/>
  <c r="K125" i="7"/>
  <c r="K124" i="7"/>
  <c r="K123" i="7"/>
  <c r="K118" i="7"/>
  <c r="K117" i="7"/>
  <c r="K116" i="7"/>
  <c r="K110" i="7"/>
  <c r="K109" i="7"/>
  <c r="K108" i="7"/>
  <c r="K102" i="7"/>
  <c r="K101" i="7"/>
  <c r="K100" i="7"/>
  <c r="K97" i="7"/>
  <c r="K96" i="7"/>
  <c r="K93" i="7"/>
  <c r="K90" i="7"/>
  <c r="K89" i="7"/>
  <c r="K88" i="7"/>
  <c r="K87" i="7"/>
  <c r="K86" i="7"/>
  <c r="K85" i="7"/>
  <c r="K84" i="7"/>
  <c r="K83" i="7"/>
  <c r="K82" i="7"/>
  <c r="K76" i="7"/>
  <c r="K75" i="7"/>
  <c r="K74" i="7"/>
  <c r="K73" i="7"/>
  <c r="K72" i="7"/>
  <c r="K71" i="7"/>
  <c r="K70" i="7"/>
  <c r="K64" i="7"/>
  <c r="K58" i="7"/>
  <c r="K57" i="7"/>
  <c r="K56" i="7"/>
  <c r="K55" i="7"/>
  <c r="K54" i="7"/>
  <c r="K48" i="7"/>
  <c r="K47" i="7"/>
  <c r="K46" i="7"/>
  <c r="K45" i="7"/>
  <c r="K44" i="7"/>
  <c r="K40" i="7"/>
  <c r="K39" i="7"/>
  <c r="K34" i="7"/>
  <c r="K33" i="7"/>
  <c r="K32" i="7"/>
  <c r="K31" i="7"/>
  <c r="K30" i="7"/>
  <c r="K29" i="7"/>
  <c r="K28" i="7"/>
  <c r="K24" i="7"/>
  <c r="K23" i="7"/>
  <c r="K22" i="7"/>
  <c r="K18" i="7"/>
  <c r="K17" i="7"/>
  <c r="K13" i="7"/>
  <c r="K12" i="7"/>
  <c r="K11" i="7"/>
  <c r="K10" i="7"/>
  <c r="I1865" i="7"/>
  <c r="J1865" i="7" s="1"/>
  <c r="I1864" i="7"/>
  <c r="J1864" i="7" s="1"/>
  <c r="I1863" i="7"/>
  <c r="J1863" i="7" s="1"/>
  <c r="I1862" i="7"/>
  <c r="J1862" i="7" s="1"/>
  <c r="I1861" i="7"/>
  <c r="J1861" i="7" s="1"/>
  <c r="I1860" i="7"/>
  <c r="J1860" i="7" s="1"/>
  <c r="I1859" i="7"/>
  <c r="J1859" i="7" s="1"/>
  <c r="I1858" i="7"/>
  <c r="J1858" i="7" s="1"/>
  <c r="I1857" i="7"/>
  <c r="J1857" i="7" s="1"/>
  <c r="I1856" i="7"/>
  <c r="J1856" i="7" s="1"/>
  <c r="I1855" i="7"/>
  <c r="J1855" i="7" s="1"/>
  <c r="I1854" i="7"/>
  <c r="J1854" i="7" s="1"/>
  <c r="I1853" i="7"/>
  <c r="J1853" i="7" s="1"/>
  <c r="I1852" i="7"/>
  <c r="J1852" i="7" s="1"/>
  <c r="I1851" i="7"/>
  <c r="J1851" i="7" s="1"/>
  <c r="I1850" i="7"/>
  <c r="J1850" i="7" s="1"/>
  <c r="I1849" i="7"/>
  <c r="J1849" i="7" s="1"/>
  <c r="I1848" i="7"/>
  <c r="J1848" i="7" s="1"/>
  <c r="I1847" i="7"/>
  <c r="J1847" i="7" s="1"/>
  <c r="I1846" i="7"/>
  <c r="J1846" i="7" s="1"/>
  <c r="I1845" i="7"/>
  <c r="J1845" i="7" s="1"/>
  <c r="I1844" i="7"/>
  <c r="J1844" i="7" s="1"/>
  <c r="I1843" i="7"/>
  <c r="J1843" i="7" s="1"/>
  <c r="I1842" i="7"/>
  <c r="J1842" i="7" s="1"/>
  <c r="I1841" i="7"/>
  <c r="J1841" i="7" s="1"/>
  <c r="I1840" i="7"/>
  <c r="J1840" i="7" s="1"/>
  <c r="I1839" i="7"/>
  <c r="J1839" i="7" s="1"/>
  <c r="I1838" i="7"/>
  <c r="J1838" i="7" s="1"/>
  <c r="I1837" i="7"/>
  <c r="J1837" i="7" s="1"/>
  <c r="I1836" i="7"/>
  <c r="J1836" i="7" s="1"/>
  <c r="I1835" i="7"/>
  <c r="J1835" i="7" s="1"/>
  <c r="I1834" i="7"/>
  <c r="J1834" i="7" s="1"/>
  <c r="I1833" i="7"/>
  <c r="J1833" i="7" s="1"/>
  <c r="I1832" i="7"/>
  <c r="J1832" i="7" s="1"/>
  <c r="I1831" i="7"/>
  <c r="J1831" i="7" s="1"/>
  <c r="I1830" i="7"/>
  <c r="J1830" i="7" s="1"/>
  <c r="I1829" i="7"/>
  <c r="J1829" i="7" s="1"/>
  <c r="I1828" i="7"/>
  <c r="J1828" i="7" s="1"/>
  <c r="I1827" i="7"/>
  <c r="J1827" i="7" s="1"/>
  <c r="I1826" i="7"/>
  <c r="J1826" i="7" s="1"/>
  <c r="I1825" i="7"/>
  <c r="J1825" i="7" s="1"/>
  <c r="I1824" i="7"/>
  <c r="J1824" i="7" s="1"/>
  <c r="I1823" i="7"/>
  <c r="J1823" i="7" s="1"/>
  <c r="I1822" i="7"/>
  <c r="J1822" i="7" s="1"/>
  <c r="I1821" i="7"/>
  <c r="J1821" i="7" s="1"/>
  <c r="I1820" i="7"/>
  <c r="J1820" i="7" s="1"/>
  <c r="I1819" i="7"/>
  <c r="J1819" i="7" s="1"/>
  <c r="I1818" i="7"/>
  <c r="J1818" i="7" s="1"/>
  <c r="I1817" i="7"/>
  <c r="J1817" i="7" s="1"/>
  <c r="I1816" i="7"/>
  <c r="J1816" i="7" s="1"/>
  <c r="I1815" i="7"/>
  <c r="J1815" i="7" s="1"/>
  <c r="I1814" i="7"/>
  <c r="J1814" i="7" s="1"/>
  <c r="I1813" i="7"/>
  <c r="J1813" i="7" s="1"/>
  <c r="I1812" i="7"/>
  <c r="J1812" i="7" s="1"/>
  <c r="I1811" i="7"/>
  <c r="J1811" i="7" s="1"/>
  <c r="I1810" i="7"/>
  <c r="J1810" i="7" s="1"/>
  <c r="I1809" i="7"/>
  <c r="J1809" i="7" s="1"/>
  <c r="I1808" i="7"/>
  <c r="J1808" i="7" s="1"/>
  <c r="I1807" i="7"/>
  <c r="J1807" i="7" s="1"/>
  <c r="I1806" i="7"/>
  <c r="J1806" i="7" s="1"/>
  <c r="I1805" i="7"/>
  <c r="J1805" i="7" s="1"/>
  <c r="I1804" i="7"/>
  <c r="J1804" i="7" s="1"/>
  <c r="I1803" i="7"/>
  <c r="J1803" i="7" s="1"/>
  <c r="I1802" i="7"/>
  <c r="J1802" i="7" s="1"/>
  <c r="I1801" i="7"/>
  <c r="J1801" i="7" s="1"/>
  <c r="I1800" i="7"/>
  <c r="J1800" i="7" s="1"/>
  <c r="I1799" i="7"/>
  <c r="J1799" i="7" s="1"/>
  <c r="I1798" i="7"/>
  <c r="J1798" i="7" s="1"/>
  <c r="I1797" i="7"/>
  <c r="J1797" i="7" s="1"/>
  <c r="I1796" i="7"/>
  <c r="J1796" i="7" s="1"/>
  <c r="I1795" i="7"/>
  <c r="J1795" i="7" s="1"/>
  <c r="I1794" i="7"/>
  <c r="J1794" i="7" s="1"/>
  <c r="I1793" i="7"/>
  <c r="J1793" i="7" s="1"/>
  <c r="I1792" i="7"/>
  <c r="J1792" i="7" s="1"/>
  <c r="I1791" i="7"/>
  <c r="J1791" i="7" s="1"/>
  <c r="I1790" i="7"/>
  <c r="J1790" i="7" s="1"/>
  <c r="I1789" i="7"/>
  <c r="J1789" i="7" s="1"/>
  <c r="I1788" i="7"/>
  <c r="J1788" i="7" s="1"/>
  <c r="I1787" i="7"/>
  <c r="J1787" i="7" s="1"/>
  <c r="I1786" i="7"/>
  <c r="J1786" i="7" s="1"/>
  <c r="I1785" i="7"/>
  <c r="J1785" i="7" s="1"/>
  <c r="I1784" i="7"/>
  <c r="J1784" i="7" s="1"/>
  <c r="I1783" i="7"/>
  <c r="J1783" i="7" s="1"/>
  <c r="I1782" i="7"/>
  <c r="J1782" i="7" s="1"/>
  <c r="I1781" i="7"/>
  <c r="J1781" i="7" s="1"/>
  <c r="I1780" i="7"/>
  <c r="J1780" i="7" s="1"/>
  <c r="I1779" i="7"/>
  <c r="J1779" i="7" s="1"/>
  <c r="I1778" i="7"/>
  <c r="J1778" i="7" s="1"/>
  <c r="I1777" i="7"/>
  <c r="J1777" i="7" s="1"/>
  <c r="I1776" i="7"/>
  <c r="J1776" i="7" s="1"/>
  <c r="I1775" i="7"/>
  <c r="J1775" i="7" s="1"/>
  <c r="I1774" i="7"/>
  <c r="J1774" i="7" s="1"/>
  <c r="I1773" i="7"/>
  <c r="J1773" i="7" s="1"/>
  <c r="I1772" i="7"/>
  <c r="J1772" i="7" s="1"/>
  <c r="I1771" i="7"/>
  <c r="J1771" i="7" s="1"/>
  <c r="I1770" i="7"/>
  <c r="J1770" i="7" s="1"/>
  <c r="I1769" i="7"/>
  <c r="J1769" i="7" s="1"/>
  <c r="I1768" i="7"/>
  <c r="J1768" i="7" s="1"/>
  <c r="I1767" i="7"/>
  <c r="J1767" i="7" s="1"/>
  <c r="I1766" i="7"/>
  <c r="J1766" i="7" s="1"/>
  <c r="I1765" i="7"/>
  <c r="J1765" i="7" s="1"/>
  <c r="I1764" i="7"/>
  <c r="J1764" i="7" s="1"/>
  <c r="I1763" i="7"/>
  <c r="J1763" i="7" s="1"/>
  <c r="I1762" i="7"/>
  <c r="J1762" i="7" s="1"/>
  <c r="I1761" i="7"/>
  <c r="J1761" i="7" s="1"/>
  <c r="I1760" i="7"/>
  <c r="J1760" i="7" s="1"/>
  <c r="I1759" i="7"/>
  <c r="J1759" i="7" s="1"/>
  <c r="I1758" i="7"/>
  <c r="J1758" i="7" s="1"/>
  <c r="I1757" i="7"/>
  <c r="J1757" i="7" s="1"/>
  <c r="I1756" i="7"/>
  <c r="J1756" i="7" s="1"/>
  <c r="I1755" i="7"/>
  <c r="J1755" i="7" s="1"/>
  <c r="I1754" i="7"/>
  <c r="J1754" i="7" s="1"/>
  <c r="I1753" i="7"/>
  <c r="J1753" i="7" s="1"/>
  <c r="I1752" i="7"/>
  <c r="J1752" i="7" s="1"/>
  <c r="I1751" i="7"/>
  <c r="J1751" i="7" s="1"/>
  <c r="I1750" i="7"/>
  <c r="J1750" i="7" s="1"/>
  <c r="I1749" i="7"/>
  <c r="J1749" i="7" s="1"/>
  <c r="I1748" i="7"/>
  <c r="J1748" i="7" s="1"/>
  <c r="I1747" i="7"/>
  <c r="J1747" i="7" s="1"/>
  <c r="I1746" i="7"/>
  <c r="J1746" i="7" s="1"/>
  <c r="I1745" i="7"/>
  <c r="J1745" i="7" s="1"/>
  <c r="I1744" i="7"/>
  <c r="J1744" i="7" s="1"/>
  <c r="I1743" i="7"/>
  <c r="J1743" i="7" s="1"/>
  <c r="I1742" i="7"/>
  <c r="J1742" i="7" s="1"/>
  <c r="I1741" i="7"/>
  <c r="J1741" i="7" s="1"/>
  <c r="I1740" i="7"/>
  <c r="J1740" i="7" s="1"/>
  <c r="I1739" i="7"/>
  <c r="J1739" i="7" s="1"/>
  <c r="I1738" i="7"/>
  <c r="J1738" i="7" s="1"/>
  <c r="I1737" i="7"/>
  <c r="J1737" i="7" s="1"/>
  <c r="I1736" i="7"/>
  <c r="J1736" i="7" s="1"/>
  <c r="I1735" i="7"/>
  <c r="J1735" i="7" s="1"/>
  <c r="I1734" i="7"/>
  <c r="J1734" i="7" s="1"/>
  <c r="I1733" i="7"/>
  <c r="J1733" i="7" s="1"/>
  <c r="I1732" i="7"/>
  <c r="J1732" i="7" s="1"/>
  <c r="I1731" i="7"/>
  <c r="J1731" i="7" s="1"/>
  <c r="I1730" i="7"/>
  <c r="J1730" i="7" s="1"/>
  <c r="I1729" i="7"/>
  <c r="J1729" i="7" s="1"/>
  <c r="I1728" i="7"/>
  <c r="J1728" i="7" s="1"/>
  <c r="I1727" i="7"/>
  <c r="J1727" i="7" s="1"/>
  <c r="I1726" i="7"/>
  <c r="J1726" i="7" s="1"/>
  <c r="I1725" i="7"/>
  <c r="J1725" i="7" s="1"/>
  <c r="I1724" i="7"/>
  <c r="J1724" i="7" s="1"/>
  <c r="I1723" i="7"/>
  <c r="J1723" i="7" s="1"/>
  <c r="I1722" i="7"/>
  <c r="J1722" i="7" s="1"/>
  <c r="I1721" i="7"/>
  <c r="J1721" i="7" s="1"/>
  <c r="I1720" i="7"/>
  <c r="J1720" i="7" s="1"/>
  <c r="I1719" i="7"/>
  <c r="J1719" i="7" s="1"/>
  <c r="I1718" i="7"/>
  <c r="J1718" i="7" s="1"/>
  <c r="I1717" i="7"/>
  <c r="J1717" i="7" s="1"/>
  <c r="I1716" i="7"/>
  <c r="J1716" i="7" s="1"/>
  <c r="I1715" i="7"/>
  <c r="J1715" i="7" s="1"/>
  <c r="I1714" i="7"/>
  <c r="J1714" i="7" s="1"/>
  <c r="I1713" i="7"/>
  <c r="J1713" i="7" s="1"/>
  <c r="I1712" i="7"/>
  <c r="J1712" i="7" s="1"/>
  <c r="I1711" i="7"/>
  <c r="J1711" i="7" s="1"/>
  <c r="I1710" i="7"/>
  <c r="J1710" i="7" s="1"/>
  <c r="I1709" i="7"/>
  <c r="J1709" i="7" s="1"/>
  <c r="I1708" i="7"/>
  <c r="J1708" i="7" s="1"/>
  <c r="I1707" i="7"/>
  <c r="J1707" i="7" s="1"/>
  <c r="I1706" i="7"/>
  <c r="J1706" i="7" s="1"/>
  <c r="I1705" i="7"/>
  <c r="J1705" i="7" s="1"/>
  <c r="I1704" i="7"/>
  <c r="J1704" i="7" s="1"/>
  <c r="I1703" i="7"/>
  <c r="J1703" i="7" s="1"/>
  <c r="I1702" i="7"/>
  <c r="J1702" i="7" s="1"/>
  <c r="I1701" i="7"/>
  <c r="J1701" i="7" s="1"/>
  <c r="I1700" i="7"/>
  <c r="J1700" i="7" s="1"/>
  <c r="I1699" i="7"/>
  <c r="J1699" i="7" s="1"/>
  <c r="I1698" i="7"/>
  <c r="J1698" i="7" s="1"/>
  <c r="I1697" i="7"/>
  <c r="J1697" i="7" s="1"/>
  <c r="I1696" i="7"/>
  <c r="J1696" i="7" s="1"/>
  <c r="I1695" i="7"/>
  <c r="J1695" i="7" s="1"/>
  <c r="I1693" i="7"/>
  <c r="J1693" i="7" s="1"/>
  <c r="I1692" i="7"/>
  <c r="J1692" i="7" s="1"/>
  <c r="I1691" i="7"/>
  <c r="J1691" i="7" s="1"/>
  <c r="I1690" i="7"/>
  <c r="J1690" i="7" s="1"/>
  <c r="I1689" i="7"/>
  <c r="J1689" i="7" s="1"/>
  <c r="I1688" i="7"/>
  <c r="J1688" i="7" s="1"/>
  <c r="I1678" i="7"/>
  <c r="J1678" i="7" s="1"/>
  <c r="I1677" i="7"/>
  <c r="J1677" i="7" s="1"/>
  <c r="I1676" i="7"/>
  <c r="J1676" i="7" s="1"/>
  <c r="I1675" i="7"/>
  <c r="J1675" i="7" s="1"/>
  <c r="I1664" i="7"/>
  <c r="J1664" i="7" s="1"/>
  <c r="J229" i="6" s="1"/>
  <c r="M229" i="6" s="1"/>
  <c r="F177" i="8" s="1"/>
  <c r="I1603" i="7"/>
  <c r="J1603" i="7" s="1"/>
  <c r="I1602" i="7"/>
  <c r="J1602" i="7" s="1"/>
  <c r="I1601" i="7"/>
  <c r="J1601" i="7" s="1"/>
  <c r="I1600" i="7"/>
  <c r="J1600" i="7" s="1"/>
  <c r="I1599" i="7"/>
  <c r="J1599" i="7" s="1"/>
  <c r="I1598" i="7"/>
  <c r="J1598" i="7" s="1"/>
  <c r="I1597" i="7"/>
  <c r="J1597" i="7" s="1"/>
  <c r="I1596" i="7"/>
  <c r="J1596" i="7" s="1"/>
  <c r="I1595" i="7"/>
  <c r="J1595" i="7" s="1"/>
  <c r="I1594" i="7"/>
  <c r="J1594" i="7" s="1"/>
  <c r="I1593" i="7"/>
  <c r="J1593" i="7" s="1"/>
  <c r="I1592" i="7"/>
  <c r="J1592" i="7" s="1"/>
  <c r="I1591" i="7"/>
  <c r="J1591" i="7" s="1"/>
  <c r="I1590" i="7"/>
  <c r="J1590" i="7" s="1"/>
  <c r="I1572" i="7"/>
  <c r="J1572" i="7" s="1"/>
  <c r="I1571" i="7"/>
  <c r="J1571" i="7" s="1"/>
  <c r="I1570" i="7"/>
  <c r="J1570" i="7" s="1"/>
  <c r="I1569" i="7"/>
  <c r="J1569" i="7" s="1"/>
  <c r="I1568" i="7"/>
  <c r="J1568" i="7" s="1"/>
  <c r="I1567" i="7"/>
  <c r="J1567" i="7" s="1"/>
  <c r="I1566" i="7"/>
  <c r="J1566" i="7" s="1"/>
  <c r="I1565" i="7"/>
  <c r="J1565" i="7" s="1"/>
  <c r="I1564" i="7"/>
  <c r="J1564" i="7" s="1"/>
  <c r="I1563" i="7"/>
  <c r="J1563" i="7" s="1"/>
  <c r="J277" i="6" s="1"/>
  <c r="M277" i="6" s="1"/>
  <c r="F236" i="8" s="1"/>
  <c r="J236" i="8" s="1"/>
  <c r="I1562" i="7"/>
  <c r="J1562" i="7" s="1"/>
  <c r="J276" i="6" s="1"/>
  <c r="M276" i="6" s="1"/>
  <c r="F235" i="8" s="1"/>
  <c r="I1561" i="7"/>
  <c r="J1561" i="7" s="1"/>
  <c r="I1560" i="7"/>
  <c r="J1560" i="7" s="1"/>
  <c r="J274" i="6" s="1"/>
  <c r="M274" i="6" s="1"/>
  <c r="I1559" i="7"/>
  <c r="J1559" i="7" s="1"/>
  <c r="J273" i="6" s="1"/>
  <c r="M273" i="6" s="1"/>
  <c r="F232" i="8" s="1"/>
  <c r="J232" i="8" s="1"/>
  <c r="I1558" i="7"/>
  <c r="J1558" i="7" s="1"/>
  <c r="J272" i="6" s="1"/>
  <c r="M272" i="6" s="1"/>
  <c r="I1557" i="7"/>
  <c r="J1557" i="7" s="1"/>
  <c r="J271" i="6" s="1"/>
  <c r="M271" i="6" s="1"/>
  <c r="F230" i="8" s="1"/>
  <c r="J230" i="8" s="1"/>
  <c r="I1556" i="7"/>
  <c r="J1556" i="7" s="1"/>
  <c r="J270" i="6" s="1"/>
  <c r="M270" i="6" s="1"/>
  <c r="F228" i="8" s="1"/>
  <c r="J228" i="8" s="1"/>
  <c r="I1555" i="7"/>
  <c r="J1555" i="7" s="1"/>
  <c r="J269" i="6" s="1"/>
  <c r="M269" i="6" s="1"/>
  <c r="F227" i="8" s="1"/>
  <c r="I1554" i="7"/>
  <c r="J1554" i="7" s="1"/>
  <c r="J268" i="6" s="1"/>
  <c r="M268" i="6" s="1"/>
  <c r="F226" i="8" s="1"/>
  <c r="J226" i="8" s="1"/>
  <c r="I1553" i="7"/>
  <c r="J1553" i="7" s="1"/>
  <c r="J267" i="6" s="1"/>
  <c r="M267" i="6" s="1"/>
  <c r="F225" i="8" s="1"/>
  <c r="J225" i="8" s="1"/>
  <c r="I1552" i="7"/>
  <c r="J1552" i="7" s="1"/>
  <c r="J266" i="6" s="1"/>
  <c r="M266" i="6" s="1"/>
  <c r="I1551" i="7"/>
  <c r="J1551" i="7" s="1"/>
  <c r="J265" i="6" s="1"/>
  <c r="M265" i="6" s="1"/>
  <c r="F223" i="8" s="1"/>
  <c r="J223" i="8" s="1"/>
  <c r="I1550" i="7"/>
  <c r="J1550" i="7" s="1"/>
  <c r="J264" i="6" s="1"/>
  <c r="M264" i="6" s="1"/>
  <c r="F222" i="8" s="1"/>
  <c r="J222" i="8" s="1"/>
  <c r="I1549" i="7"/>
  <c r="J1549" i="7" s="1"/>
  <c r="J263" i="6" s="1"/>
  <c r="M263" i="6" s="1"/>
  <c r="F220" i="8" s="1"/>
  <c r="J220" i="8" s="1"/>
  <c r="I1548" i="7"/>
  <c r="J1548" i="7" s="1"/>
  <c r="J262" i="6" s="1"/>
  <c r="M262" i="6" s="1"/>
  <c r="F219" i="8" s="1"/>
  <c r="I1547" i="7"/>
  <c r="J1547" i="7" s="1"/>
  <c r="I1546" i="7"/>
  <c r="J1546" i="7" s="1"/>
  <c r="J260" i="6" s="1"/>
  <c r="M260" i="6" s="1"/>
  <c r="F217" i="8" s="1"/>
  <c r="J217" i="8" s="1"/>
  <c r="I1545" i="7"/>
  <c r="I1544" i="7"/>
  <c r="J1544" i="7" s="1"/>
  <c r="J258" i="6" s="1"/>
  <c r="M258" i="6" s="1"/>
  <c r="I1543" i="7"/>
  <c r="J1543" i="7" s="1"/>
  <c r="J257" i="6" s="1"/>
  <c r="M257" i="6" s="1"/>
  <c r="F214" i="8" s="1"/>
  <c r="I1542" i="7"/>
  <c r="J1542" i="7" s="1"/>
  <c r="J256" i="6" s="1"/>
  <c r="M256" i="6" s="1"/>
  <c r="F213" i="8" s="1"/>
  <c r="J213" i="8" s="1"/>
  <c r="I1541" i="7"/>
  <c r="J1541" i="7" s="1"/>
  <c r="J255" i="6" s="1"/>
  <c r="M255" i="6" s="1"/>
  <c r="F211" i="8" s="1"/>
  <c r="I1540" i="7"/>
  <c r="J1540" i="7" s="1"/>
  <c r="J254" i="6" s="1"/>
  <c r="M254" i="6" s="1"/>
  <c r="F210" i="8" s="1"/>
  <c r="J210" i="8" s="1"/>
  <c r="I1539" i="7"/>
  <c r="J1539" i="7" s="1"/>
  <c r="J253" i="6" s="1"/>
  <c r="M253" i="6" s="1"/>
  <c r="F209" i="8" s="1"/>
  <c r="J209" i="8" s="1"/>
  <c r="I1538" i="7"/>
  <c r="J1538" i="7" s="1"/>
  <c r="J252" i="6" s="1"/>
  <c r="M252" i="6" s="1"/>
  <c r="F208" i="8" s="1"/>
  <c r="J208" i="8" s="1"/>
  <c r="I1537" i="7"/>
  <c r="J1537" i="7" s="1"/>
  <c r="J251" i="6" s="1"/>
  <c r="M251" i="6" s="1"/>
  <c r="I1536" i="7"/>
  <c r="J1536" i="7" s="1"/>
  <c r="J250" i="6" s="1"/>
  <c r="M250" i="6" s="1"/>
  <c r="I1535" i="7"/>
  <c r="J1535" i="7" s="1"/>
  <c r="J249" i="6" s="1"/>
  <c r="M249" i="6" s="1"/>
  <c r="I1534" i="7"/>
  <c r="J1534" i="7" s="1"/>
  <c r="J248" i="6" s="1"/>
  <c r="M248" i="6" s="1"/>
  <c r="I1533" i="7"/>
  <c r="J1533" i="7" s="1"/>
  <c r="J247" i="6" s="1"/>
  <c r="M247" i="6" s="1"/>
  <c r="F202" i="8" s="1"/>
  <c r="J202" i="8" s="1"/>
  <c r="I1528" i="7"/>
  <c r="J1528" i="7" s="1"/>
  <c r="J244" i="6" s="1"/>
  <c r="M244" i="6" s="1"/>
  <c r="F197" i="8" s="1"/>
  <c r="J197" i="8" s="1"/>
  <c r="I1524" i="7"/>
  <c r="J1524" i="7" s="1"/>
  <c r="J242" i="6" s="1"/>
  <c r="M242" i="6" s="1"/>
  <c r="F195" i="8" s="1"/>
  <c r="J195" i="8" s="1"/>
  <c r="I1521" i="7"/>
  <c r="J1521" i="7" s="1"/>
  <c r="J241" i="6" s="1"/>
  <c r="M241" i="6" s="1"/>
  <c r="F194" i="8" s="1"/>
  <c r="I1517" i="7"/>
  <c r="I1511" i="7"/>
  <c r="J1511" i="7" s="1"/>
  <c r="I1510" i="7"/>
  <c r="J1510" i="7" s="1"/>
  <c r="I1509" i="7"/>
  <c r="J1509" i="7" s="1"/>
  <c r="I1498" i="7"/>
  <c r="J1498" i="7" s="1"/>
  <c r="J234" i="6" s="1"/>
  <c r="M234" i="6" s="1"/>
  <c r="F186" i="8" s="1"/>
  <c r="I1495" i="7"/>
  <c r="J1495" i="7" s="1"/>
  <c r="I1491" i="7"/>
  <c r="J1491" i="7" s="1"/>
  <c r="I1490" i="7"/>
  <c r="J1490" i="7" s="1"/>
  <c r="I1483" i="7"/>
  <c r="J1483" i="7" s="1"/>
  <c r="J226" i="6" s="1"/>
  <c r="M226" i="6" s="1"/>
  <c r="F173" i="8" s="1"/>
  <c r="I1481" i="7"/>
  <c r="J1481" i="7" s="1"/>
  <c r="I1479" i="7"/>
  <c r="J1479" i="7" s="1"/>
  <c r="J224" i="6" s="1"/>
  <c r="M224" i="6" s="1"/>
  <c r="F171" i="8" s="1"/>
  <c r="J171" i="8" s="1"/>
  <c r="I1477" i="7"/>
  <c r="J1477" i="7" s="1"/>
  <c r="I1474" i="7"/>
  <c r="J1474" i="7" s="1"/>
  <c r="J222" i="6" s="1"/>
  <c r="M222" i="6" s="1"/>
  <c r="F169" i="8" s="1"/>
  <c r="I1472" i="7"/>
  <c r="J1472" i="7" s="1"/>
  <c r="J221" i="6" s="1"/>
  <c r="M221" i="6" s="1"/>
  <c r="F168" i="8" s="1"/>
  <c r="J168" i="8" s="1"/>
  <c r="I1470" i="7"/>
  <c r="J1470" i="7" s="1"/>
  <c r="J220" i="6" s="1"/>
  <c r="M220" i="6" s="1"/>
  <c r="F166" i="8" s="1"/>
  <c r="J166" i="8" s="1"/>
  <c r="I1468" i="7"/>
  <c r="J1468" i="7" s="1"/>
  <c r="I1466" i="7"/>
  <c r="I1464" i="7"/>
  <c r="J1464" i="7" s="1"/>
  <c r="J217" i="6" s="1"/>
  <c r="M217" i="6" s="1"/>
  <c r="F163" i="8" s="1"/>
  <c r="J163" i="8" s="1"/>
  <c r="I1462" i="7"/>
  <c r="J1462" i="7" s="1"/>
  <c r="J216" i="6" s="1"/>
  <c r="M216" i="6" s="1"/>
  <c r="F162" i="8" s="1"/>
  <c r="J162" i="8" s="1"/>
  <c r="I1460" i="7"/>
  <c r="J1460" i="7" s="1"/>
  <c r="J215" i="6" s="1"/>
  <c r="M215" i="6" s="1"/>
  <c r="F161" i="8" s="1"/>
  <c r="J161" i="8" s="1"/>
  <c r="I1458" i="7"/>
  <c r="J1458" i="7" s="1"/>
  <c r="I1456" i="7"/>
  <c r="J1456" i="7" s="1"/>
  <c r="J213" i="6" s="1"/>
  <c r="M213" i="6" s="1"/>
  <c r="F159" i="8" s="1"/>
  <c r="J159" i="8" s="1"/>
  <c r="I1454" i="7"/>
  <c r="J1454" i="7" s="1"/>
  <c r="I1452" i="7"/>
  <c r="J1452" i="7" s="1"/>
  <c r="I1448" i="7"/>
  <c r="J1448" i="7" s="1"/>
  <c r="J209" i="6" s="1"/>
  <c r="M209" i="6" s="1"/>
  <c r="F154" i="8" s="1"/>
  <c r="J154" i="8" s="1"/>
  <c r="I1441" i="7"/>
  <c r="J1441" i="7" s="1"/>
  <c r="J208" i="6" s="1"/>
  <c r="M208" i="6" s="1"/>
  <c r="F153" i="8" s="1"/>
  <c r="J153" i="8" s="1"/>
  <c r="I1426" i="7"/>
  <c r="J1426" i="7" s="1"/>
  <c r="J202" i="6" s="1"/>
  <c r="M202" i="6" s="1"/>
  <c r="F146" i="8" s="1"/>
  <c r="J146" i="8" s="1"/>
  <c r="I1421" i="7"/>
  <c r="J1421" i="7" s="1"/>
  <c r="J201" i="6" s="1"/>
  <c r="M201" i="6" s="1"/>
  <c r="F145" i="8" s="1"/>
  <c r="I1419" i="7"/>
  <c r="J1419" i="7" s="1"/>
  <c r="I1416" i="7"/>
  <c r="J1416" i="7" s="1"/>
  <c r="I1413" i="7"/>
  <c r="J1413" i="7" s="1"/>
  <c r="I1410" i="7"/>
  <c r="J1410" i="7" s="1"/>
  <c r="I1407" i="7"/>
  <c r="J1407" i="7" s="1"/>
  <c r="I1404" i="7"/>
  <c r="J1404" i="7" s="1"/>
  <c r="I1399" i="7"/>
  <c r="J1399" i="7" s="1"/>
  <c r="I1398" i="7"/>
  <c r="J1398" i="7" s="1"/>
  <c r="I1397" i="7"/>
  <c r="J1397" i="7" s="1"/>
  <c r="I1396" i="7"/>
  <c r="J1396" i="7" s="1"/>
  <c r="I1395" i="7"/>
  <c r="J1395" i="7" s="1"/>
  <c r="I1394" i="7"/>
  <c r="J1394" i="7" s="1"/>
  <c r="I1393" i="7"/>
  <c r="J1393" i="7" s="1"/>
  <c r="I1389" i="7"/>
  <c r="J1389" i="7" s="1"/>
  <c r="I1388" i="7"/>
  <c r="J1388" i="7" s="1"/>
  <c r="I1387" i="7"/>
  <c r="J1387" i="7" s="1"/>
  <c r="I1386" i="7"/>
  <c r="J1386" i="7" s="1"/>
  <c r="I1385" i="7"/>
  <c r="J1385" i="7" s="1"/>
  <c r="I1384" i="7"/>
  <c r="J1384" i="7" s="1"/>
  <c r="I1380" i="7"/>
  <c r="J1380" i="7" s="1"/>
  <c r="I1379" i="7"/>
  <c r="J1379" i="7" s="1"/>
  <c r="I1378" i="7"/>
  <c r="J1378" i="7" s="1"/>
  <c r="I1377" i="7"/>
  <c r="J1377" i="7" s="1"/>
  <c r="I1376" i="7"/>
  <c r="J1376" i="7" s="1"/>
  <c r="I1375" i="7"/>
  <c r="J1375" i="7" s="1"/>
  <c r="I1374" i="7"/>
  <c r="J1374" i="7" s="1"/>
  <c r="I1370" i="7"/>
  <c r="J1370" i="7" s="1"/>
  <c r="I1369" i="7"/>
  <c r="J1369" i="7" s="1"/>
  <c r="I1368" i="7"/>
  <c r="J1368" i="7" s="1"/>
  <c r="I1367" i="7"/>
  <c r="J1367" i="7" s="1"/>
  <c r="I1366" i="7"/>
  <c r="J1366" i="7" s="1"/>
  <c r="I1365" i="7"/>
  <c r="J1365" i="7" s="1"/>
  <c r="I1364" i="7"/>
  <c r="J1364" i="7" s="1"/>
  <c r="I1360" i="7"/>
  <c r="J1360" i="7" s="1"/>
  <c r="I1359" i="7"/>
  <c r="J1359" i="7" s="1"/>
  <c r="I1358" i="7"/>
  <c r="J1358" i="7" s="1"/>
  <c r="I1357" i="7"/>
  <c r="J1357" i="7" s="1"/>
  <c r="I1356" i="7"/>
  <c r="J1356" i="7" s="1"/>
  <c r="I1355" i="7"/>
  <c r="J1355" i="7" s="1"/>
  <c r="I1354" i="7"/>
  <c r="J1354" i="7" s="1"/>
  <c r="I1350" i="7"/>
  <c r="J1350" i="7" s="1"/>
  <c r="I1349" i="7"/>
  <c r="J1349" i="7" s="1"/>
  <c r="I1348" i="7"/>
  <c r="J1348" i="7" s="1"/>
  <c r="I1347" i="7"/>
  <c r="J1347" i="7" s="1"/>
  <c r="I1346" i="7"/>
  <c r="J1346" i="7" s="1"/>
  <c r="I1345" i="7"/>
  <c r="J1345" i="7" s="1"/>
  <c r="I1344" i="7"/>
  <c r="J1344" i="7" s="1"/>
  <c r="I1340" i="7"/>
  <c r="J1340" i="7" s="1"/>
  <c r="I1339" i="7"/>
  <c r="J1339" i="7" s="1"/>
  <c r="I1338" i="7"/>
  <c r="J1338" i="7" s="1"/>
  <c r="I1337" i="7"/>
  <c r="J1337" i="7" s="1"/>
  <c r="I1336" i="7"/>
  <c r="J1336" i="7" s="1"/>
  <c r="I1335" i="7"/>
  <c r="J1335" i="7" s="1"/>
  <c r="I1334" i="7"/>
  <c r="J1334" i="7" s="1"/>
  <c r="I1333" i="7"/>
  <c r="J1333" i="7" s="1"/>
  <c r="I1332" i="7"/>
  <c r="J1332" i="7" s="1"/>
  <c r="I1328" i="7"/>
  <c r="J1328" i="7" s="1"/>
  <c r="I1327" i="7"/>
  <c r="J1327" i="7" s="1"/>
  <c r="I1326" i="7"/>
  <c r="J1326" i="7" s="1"/>
  <c r="I1325" i="7"/>
  <c r="J1325" i="7" s="1"/>
  <c r="I1324" i="7"/>
  <c r="J1324" i="7" s="1"/>
  <c r="I1323" i="7"/>
  <c r="J1323" i="7" s="1"/>
  <c r="I1322" i="7"/>
  <c r="J1322" i="7" s="1"/>
  <c r="I1321" i="7"/>
  <c r="J1321" i="7" s="1"/>
  <c r="I1320" i="7"/>
  <c r="J1320" i="7" s="1"/>
  <c r="I1316" i="7"/>
  <c r="J1316" i="7" s="1"/>
  <c r="I1315" i="7"/>
  <c r="J1315" i="7" s="1"/>
  <c r="I1314" i="7"/>
  <c r="J1314" i="7" s="1"/>
  <c r="I1313" i="7"/>
  <c r="J1313" i="7" s="1"/>
  <c r="I1312" i="7"/>
  <c r="J1312" i="7" s="1"/>
  <c r="I1311" i="7"/>
  <c r="J1311" i="7" s="1"/>
  <c r="I1310" i="7"/>
  <c r="J1310" i="7" s="1"/>
  <c r="I1309" i="7"/>
  <c r="J1309" i="7" s="1"/>
  <c r="I1308" i="7"/>
  <c r="J1308" i="7" s="1"/>
  <c r="I1304" i="7"/>
  <c r="J1304" i="7" s="1"/>
  <c r="I1303" i="7"/>
  <c r="J1303" i="7" s="1"/>
  <c r="I1302" i="7"/>
  <c r="J1302" i="7" s="1"/>
  <c r="I1301" i="7"/>
  <c r="J1301" i="7" s="1"/>
  <c r="I1300" i="7"/>
  <c r="J1300" i="7" s="1"/>
  <c r="I1299" i="7"/>
  <c r="J1299" i="7" s="1"/>
  <c r="I1298" i="7"/>
  <c r="J1298" i="7" s="1"/>
  <c r="I1297" i="7"/>
  <c r="J1297" i="7" s="1"/>
  <c r="I1296" i="7"/>
  <c r="J1296" i="7" s="1"/>
  <c r="I1293" i="7"/>
  <c r="J1293" i="7" s="1"/>
  <c r="J184" i="6" s="1"/>
  <c r="M184" i="6" s="1"/>
  <c r="F127" i="8" s="1"/>
  <c r="J127" i="8" s="1"/>
  <c r="I1288" i="7"/>
  <c r="J1288" i="7" s="1"/>
  <c r="I1287" i="7"/>
  <c r="J1287" i="7" s="1"/>
  <c r="I1282" i="7"/>
  <c r="J1282" i="7" s="1"/>
  <c r="I1281" i="7"/>
  <c r="J1281" i="7" s="1"/>
  <c r="I1276" i="7"/>
  <c r="J1276" i="7" s="1"/>
  <c r="I1275" i="7"/>
  <c r="J1275" i="7" s="1"/>
  <c r="I1272" i="7"/>
  <c r="J1272" i="7" s="1"/>
  <c r="J180" i="6" s="1"/>
  <c r="I1269" i="7"/>
  <c r="J1269" i="7" s="1"/>
  <c r="I1267" i="7"/>
  <c r="J1267" i="7" s="1"/>
  <c r="I1262" i="7"/>
  <c r="J1262" i="7" s="1"/>
  <c r="I1261" i="7"/>
  <c r="J1261" i="7" s="1"/>
  <c r="I1257" i="7"/>
  <c r="J1257" i="7" s="1"/>
  <c r="I1256" i="7"/>
  <c r="J1256" i="7" s="1"/>
  <c r="I1251" i="7"/>
  <c r="J1251" i="7" s="1"/>
  <c r="I1250" i="7"/>
  <c r="J1250" i="7" s="1"/>
  <c r="I1249" i="7"/>
  <c r="J1249" i="7" s="1"/>
  <c r="I1248" i="7"/>
  <c r="J1248" i="7" s="1"/>
  <c r="I1247" i="7"/>
  <c r="J1247" i="7" s="1"/>
  <c r="I1246" i="7"/>
  <c r="J1246" i="7" s="1"/>
  <c r="I1241" i="7"/>
  <c r="J1241" i="7" s="1"/>
  <c r="I1240" i="7"/>
  <c r="J1240" i="7" s="1"/>
  <c r="I1239" i="7"/>
  <c r="J1239" i="7" s="1"/>
  <c r="I1238" i="7"/>
  <c r="J1238" i="7" s="1"/>
  <c r="I1237" i="7"/>
  <c r="J1237" i="7" s="1"/>
  <c r="I1236" i="7"/>
  <c r="J1236" i="7" s="1"/>
  <c r="I1234" i="7"/>
  <c r="J1234" i="7" s="1"/>
  <c r="I1233" i="7"/>
  <c r="J1233" i="7" s="1"/>
  <c r="I1232" i="7"/>
  <c r="J1232" i="7" s="1"/>
  <c r="I1231" i="7"/>
  <c r="J1231" i="7" s="1"/>
  <c r="I1230" i="7"/>
  <c r="J1230" i="7" s="1"/>
  <c r="I1229" i="7"/>
  <c r="J1229" i="7" s="1"/>
  <c r="I1228" i="7"/>
  <c r="J1228" i="7" s="1"/>
  <c r="I1227" i="7"/>
  <c r="J1227" i="7" s="1"/>
  <c r="I1225" i="7"/>
  <c r="J1225" i="7" s="1"/>
  <c r="I1224" i="7"/>
  <c r="J1224" i="7" s="1"/>
  <c r="I1223" i="7"/>
  <c r="J1223" i="7" s="1"/>
  <c r="I1222" i="7"/>
  <c r="J1222" i="7" s="1"/>
  <c r="I1221" i="7"/>
  <c r="J1221" i="7" s="1"/>
  <c r="I1220" i="7"/>
  <c r="J1220" i="7" s="1"/>
  <c r="I1219" i="7"/>
  <c r="J1219" i="7" s="1"/>
  <c r="I1218" i="7"/>
  <c r="J1218" i="7" s="1"/>
  <c r="I1217" i="7"/>
  <c r="J1217" i="7" s="1"/>
  <c r="I1216" i="7"/>
  <c r="J1216" i="7" s="1"/>
  <c r="I1213" i="7"/>
  <c r="J1213" i="7" s="1"/>
  <c r="I1212" i="7"/>
  <c r="J1212" i="7" s="1"/>
  <c r="I1211" i="7"/>
  <c r="J1211" i="7" s="1"/>
  <c r="I1210" i="7"/>
  <c r="J1210" i="7" s="1"/>
  <c r="I1209" i="7"/>
  <c r="J1209" i="7" s="1"/>
  <c r="I1208" i="7"/>
  <c r="J1208" i="7" s="1"/>
  <c r="I1207" i="7"/>
  <c r="J1207" i="7" s="1"/>
  <c r="I1206" i="7"/>
  <c r="J1206" i="7" s="1"/>
  <c r="I1205" i="7"/>
  <c r="J1205" i="7" s="1"/>
  <c r="I1204" i="7"/>
  <c r="J1204" i="7" s="1"/>
  <c r="I1201" i="7"/>
  <c r="J1201" i="7" s="1"/>
  <c r="I1200" i="7"/>
  <c r="J1200" i="7" s="1"/>
  <c r="I1199" i="7"/>
  <c r="J1199" i="7" s="1"/>
  <c r="I1198" i="7"/>
  <c r="J1198" i="7" s="1"/>
  <c r="I1197" i="7"/>
  <c r="J1197" i="7" s="1"/>
  <c r="I1196" i="7"/>
  <c r="J1196" i="7" s="1"/>
  <c r="I1195" i="7"/>
  <c r="J1195" i="7" s="1"/>
  <c r="I1194" i="7"/>
  <c r="J1194" i="7" s="1"/>
  <c r="I1193" i="7"/>
  <c r="J1193" i="7" s="1"/>
  <c r="I1192" i="7"/>
  <c r="J1192" i="7" s="1"/>
  <c r="I1190" i="7"/>
  <c r="J1190" i="7" s="1"/>
  <c r="I1189" i="7"/>
  <c r="J1189" i="7" s="1"/>
  <c r="I1188" i="7"/>
  <c r="J1188" i="7" s="1"/>
  <c r="I1187" i="7"/>
  <c r="J1187" i="7" s="1"/>
  <c r="I1186" i="7"/>
  <c r="J1186" i="7" s="1"/>
  <c r="I1185" i="7"/>
  <c r="J1185" i="7" s="1"/>
  <c r="I1184" i="7"/>
  <c r="J1184" i="7" s="1"/>
  <c r="I1183" i="7"/>
  <c r="J1183" i="7" s="1"/>
  <c r="I1181" i="7"/>
  <c r="J1181" i="7" s="1"/>
  <c r="I1180" i="7"/>
  <c r="J1180" i="7" s="1"/>
  <c r="I1179" i="7"/>
  <c r="J1179" i="7" s="1"/>
  <c r="I1178" i="7"/>
  <c r="J1178" i="7" s="1"/>
  <c r="I1177" i="7"/>
  <c r="J1177" i="7" s="1"/>
  <c r="I1176" i="7"/>
  <c r="J1176" i="7" s="1"/>
  <c r="I1175" i="7"/>
  <c r="J1175" i="7" s="1"/>
  <c r="I1174" i="7"/>
  <c r="J1174" i="7" s="1"/>
  <c r="I1173" i="7"/>
  <c r="J1173" i="7" s="1"/>
  <c r="I1172" i="7"/>
  <c r="J1172" i="7" s="1"/>
  <c r="I1168" i="7"/>
  <c r="J1168" i="7" s="1"/>
  <c r="J168" i="6" s="1"/>
  <c r="M168" i="6" s="1"/>
  <c r="F109" i="8" s="1"/>
  <c r="J109" i="8" s="1"/>
  <c r="I1162" i="7"/>
  <c r="J1162" i="7" s="1"/>
  <c r="I1161" i="7"/>
  <c r="J1161" i="7" s="1"/>
  <c r="I1158" i="7"/>
  <c r="J1158" i="7" s="1"/>
  <c r="I1157" i="7"/>
  <c r="J1157" i="7" s="1"/>
  <c r="I1155" i="7"/>
  <c r="J1155" i="7" s="1"/>
  <c r="I1154" i="7"/>
  <c r="J1154" i="7" s="1"/>
  <c r="I1153" i="7"/>
  <c r="J1153" i="7" s="1"/>
  <c r="I1152" i="7"/>
  <c r="J1152" i="7" s="1"/>
  <c r="I1151" i="7"/>
  <c r="J1151" i="7" s="1"/>
  <c r="I1150" i="7"/>
  <c r="J1150" i="7" s="1"/>
  <c r="I1149" i="7"/>
  <c r="J1149" i="7" s="1"/>
  <c r="I1148" i="7"/>
  <c r="J1148" i="7" s="1"/>
  <c r="I1147" i="7"/>
  <c r="J1147" i="7" s="1"/>
  <c r="I1146" i="7"/>
  <c r="J1146" i="7" s="1"/>
  <c r="I1144" i="7"/>
  <c r="J1144" i="7" s="1"/>
  <c r="I1143" i="7"/>
  <c r="J1143" i="7" s="1"/>
  <c r="I1142" i="7"/>
  <c r="J1142" i="7" s="1"/>
  <c r="I1141" i="7"/>
  <c r="J1141" i="7" s="1"/>
  <c r="I1140" i="7"/>
  <c r="J1140" i="7" s="1"/>
  <c r="I1139" i="7"/>
  <c r="J1139" i="7" s="1"/>
  <c r="I1138" i="7"/>
  <c r="J1138" i="7" s="1"/>
  <c r="I1137" i="7"/>
  <c r="J1137" i="7" s="1"/>
  <c r="I1135" i="7"/>
  <c r="J1135" i="7" s="1"/>
  <c r="I1134" i="7"/>
  <c r="J1134" i="7" s="1"/>
  <c r="I1133" i="7"/>
  <c r="J1133" i="7" s="1"/>
  <c r="I1132" i="7"/>
  <c r="J1132" i="7" s="1"/>
  <c r="I1131" i="7"/>
  <c r="J1131" i="7" s="1"/>
  <c r="I1130" i="7"/>
  <c r="J1130" i="7" s="1"/>
  <c r="I1129" i="7"/>
  <c r="J1129" i="7" s="1"/>
  <c r="I1128" i="7"/>
  <c r="J1128" i="7" s="1"/>
  <c r="I1124" i="7"/>
  <c r="J1124" i="7" s="1"/>
  <c r="I1123" i="7"/>
  <c r="J1123" i="7" s="1"/>
  <c r="I1122" i="7"/>
  <c r="J1122" i="7" s="1"/>
  <c r="I1121" i="7"/>
  <c r="J1121" i="7" s="1"/>
  <c r="I1117" i="7"/>
  <c r="J1117" i="7" s="1"/>
  <c r="I1116" i="7"/>
  <c r="J1116" i="7" s="1"/>
  <c r="I1115" i="7"/>
  <c r="J1115" i="7" s="1"/>
  <c r="I1114" i="7"/>
  <c r="J1114" i="7" s="1"/>
  <c r="I1110" i="7"/>
  <c r="J1110" i="7" s="1"/>
  <c r="I1109" i="7"/>
  <c r="J1109" i="7" s="1"/>
  <c r="I1108" i="7"/>
  <c r="J1108" i="7" s="1"/>
  <c r="I1107" i="7"/>
  <c r="J1107" i="7" s="1"/>
  <c r="I1103" i="7"/>
  <c r="J1103" i="7" s="1"/>
  <c r="I1102" i="7"/>
  <c r="J1102" i="7" s="1"/>
  <c r="I1101" i="7"/>
  <c r="J1101" i="7" s="1"/>
  <c r="I1100" i="7"/>
  <c r="J1100" i="7" s="1"/>
  <c r="I1096" i="7"/>
  <c r="J1096" i="7" s="1"/>
  <c r="I1095" i="7"/>
  <c r="J1095" i="7" s="1"/>
  <c r="I1094" i="7"/>
  <c r="J1094" i="7" s="1"/>
  <c r="I1093" i="7"/>
  <c r="J1093" i="7" s="1"/>
  <c r="I1089" i="7"/>
  <c r="J1089" i="7" s="1"/>
  <c r="I1088" i="7"/>
  <c r="J1088" i="7" s="1"/>
  <c r="I1087" i="7"/>
  <c r="J1087" i="7" s="1"/>
  <c r="I1086" i="7"/>
  <c r="J1086" i="7" s="1"/>
  <c r="I1082" i="7"/>
  <c r="J1082" i="7" s="1"/>
  <c r="I1081" i="7"/>
  <c r="J1081" i="7" s="1"/>
  <c r="I1077" i="7"/>
  <c r="J1077" i="7" s="1"/>
  <c r="I1076" i="7"/>
  <c r="J1076" i="7" s="1"/>
  <c r="I1075" i="7"/>
  <c r="J1075" i="7" s="1"/>
  <c r="I1074" i="7"/>
  <c r="J1074" i="7" s="1"/>
  <c r="I1069" i="7"/>
  <c r="J1069" i="7" s="1"/>
  <c r="I1068" i="7"/>
  <c r="J1068" i="7" s="1"/>
  <c r="I1064" i="7"/>
  <c r="J1064" i="7" s="1"/>
  <c r="I1063" i="7"/>
  <c r="J1063" i="7" s="1"/>
  <c r="I1062" i="7"/>
  <c r="J1062" i="7" s="1"/>
  <c r="I1061" i="7"/>
  <c r="J1061" i="7" s="1"/>
  <c r="I1057" i="7"/>
  <c r="J1057" i="7" s="1"/>
  <c r="I1056" i="7"/>
  <c r="J1056" i="7" s="1"/>
  <c r="I1055" i="7"/>
  <c r="J1055" i="7" s="1"/>
  <c r="I1054" i="7"/>
  <c r="J1054" i="7" s="1"/>
  <c r="I1050" i="7"/>
  <c r="J1050" i="7" s="1"/>
  <c r="I1049" i="7"/>
  <c r="J1049" i="7" s="1"/>
  <c r="I1048" i="7"/>
  <c r="J1048" i="7" s="1"/>
  <c r="I1047" i="7"/>
  <c r="J1047" i="7" s="1"/>
  <c r="I1043" i="7"/>
  <c r="J1043" i="7" s="1"/>
  <c r="I1042" i="7"/>
  <c r="J1042" i="7" s="1"/>
  <c r="I1041" i="7"/>
  <c r="J1041" i="7" s="1"/>
  <c r="I1040" i="7"/>
  <c r="J1040" i="7" s="1"/>
  <c r="I1038" i="7"/>
  <c r="J1038" i="7" s="1"/>
  <c r="I1037" i="7"/>
  <c r="J1037" i="7" s="1"/>
  <c r="I1036" i="7"/>
  <c r="J1036" i="7" s="1"/>
  <c r="I1030" i="7"/>
  <c r="J1030" i="7" s="1"/>
  <c r="J145" i="6" s="1"/>
  <c r="M145" i="6" s="1"/>
  <c r="F82" i="8" s="1"/>
  <c r="J82" i="8" s="1"/>
  <c r="I1026" i="7"/>
  <c r="J1026" i="7" s="1"/>
  <c r="J144" i="6" s="1"/>
  <c r="M144" i="6" s="1"/>
  <c r="F81" i="8" s="1"/>
  <c r="I1019" i="7"/>
  <c r="J1019" i="7" s="1"/>
  <c r="I1018" i="7"/>
  <c r="J1018" i="7" s="1"/>
  <c r="I1017" i="7"/>
  <c r="J1017" i="7" s="1"/>
  <c r="I1013" i="7"/>
  <c r="J1013" i="7" s="1"/>
  <c r="I1012" i="7"/>
  <c r="J1012" i="7" s="1"/>
  <c r="I1008" i="7"/>
  <c r="J1008" i="7" s="1"/>
  <c r="I1007" i="7"/>
  <c r="J1007" i="7" s="1"/>
  <c r="I1006" i="7"/>
  <c r="J1006" i="7" s="1"/>
  <c r="I1002" i="7"/>
  <c r="J1002" i="7" s="1"/>
  <c r="I1001" i="7"/>
  <c r="J1001" i="7" s="1"/>
  <c r="I996" i="7"/>
  <c r="J996" i="7" s="1"/>
  <c r="I995" i="7"/>
  <c r="J995" i="7" s="1"/>
  <c r="I990" i="7"/>
  <c r="J990" i="7" s="1"/>
  <c r="I989" i="7"/>
  <c r="J989" i="7" s="1"/>
  <c r="I984" i="7"/>
  <c r="J984" i="7" s="1"/>
  <c r="I983" i="7"/>
  <c r="J983" i="7" s="1"/>
  <c r="I982" i="7"/>
  <c r="J982" i="7" s="1"/>
  <c r="I981" i="7"/>
  <c r="J981" i="7" s="1"/>
  <c r="I976" i="7"/>
  <c r="J976" i="7" s="1"/>
  <c r="I975" i="7"/>
  <c r="J975" i="7" s="1"/>
  <c r="I974" i="7"/>
  <c r="J974" i="7" s="1"/>
  <c r="I973" i="7"/>
  <c r="J973" i="7" s="1"/>
  <c r="I968" i="7"/>
  <c r="J968" i="7" s="1"/>
  <c r="I967" i="7"/>
  <c r="J967" i="7" s="1"/>
  <c r="I966" i="7"/>
  <c r="J966" i="7" s="1"/>
  <c r="I965" i="7"/>
  <c r="J965" i="7" s="1"/>
  <c r="I964" i="7"/>
  <c r="J964" i="7" s="1"/>
  <c r="I963" i="7"/>
  <c r="J963" i="7" s="1"/>
  <c r="I958" i="7"/>
  <c r="J958" i="7" s="1"/>
  <c r="I957" i="7"/>
  <c r="J957" i="7" s="1"/>
  <c r="I956" i="7"/>
  <c r="J956" i="7" s="1"/>
  <c r="I955" i="7"/>
  <c r="J955" i="7" s="1"/>
  <c r="I949" i="7"/>
  <c r="J949" i="7" s="1"/>
  <c r="I948" i="7"/>
  <c r="J948" i="7" s="1"/>
  <c r="I947" i="7"/>
  <c r="J947" i="7" s="1"/>
  <c r="I946" i="7"/>
  <c r="J946" i="7" s="1"/>
  <c r="I943" i="7"/>
  <c r="J943" i="7" s="1"/>
  <c r="J132" i="6" s="1"/>
  <c r="M132" i="6" s="1"/>
  <c r="F65" i="8" s="1"/>
  <c r="J65" i="8" s="1"/>
  <c r="I938" i="7"/>
  <c r="J938" i="7" s="1"/>
  <c r="I937" i="7"/>
  <c r="J937" i="7" s="1"/>
  <c r="I936" i="7"/>
  <c r="J936" i="7" s="1"/>
  <c r="I930" i="7"/>
  <c r="J930" i="7" s="1"/>
  <c r="I929" i="7"/>
  <c r="J929" i="7" s="1"/>
  <c r="I928" i="7"/>
  <c r="J928" i="7" s="1"/>
  <c r="I920" i="7"/>
  <c r="J920" i="7" s="1"/>
  <c r="I919" i="7"/>
  <c r="J919" i="7" s="1"/>
  <c r="I918" i="7"/>
  <c r="J918" i="7" s="1"/>
  <c r="I917" i="7"/>
  <c r="J917" i="7" s="1"/>
  <c r="I911" i="7"/>
  <c r="J911" i="7" s="1"/>
  <c r="I910" i="7"/>
  <c r="J910" i="7" s="1"/>
  <c r="I909" i="7"/>
  <c r="J909" i="7" s="1"/>
  <c r="I908" i="7"/>
  <c r="J908" i="7" s="1"/>
  <c r="I904" i="7"/>
  <c r="J904" i="7" s="1"/>
  <c r="I903" i="7"/>
  <c r="J903" i="7" s="1"/>
  <c r="I902" i="7"/>
  <c r="J902" i="7" s="1"/>
  <c r="I900" i="7"/>
  <c r="J900" i="7" s="1"/>
  <c r="I899" i="7"/>
  <c r="J899" i="7" s="1"/>
  <c r="I896" i="7"/>
  <c r="J896" i="7" s="1"/>
  <c r="I895" i="7"/>
  <c r="J895" i="7" s="1"/>
  <c r="I894" i="7"/>
  <c r="J894" i="7" s="1"/>
  <c r="I890" i="7"/>
  <c r="J890" i="7" s="1"/>
  <c r="I889" i="7"/>
  <c r="J889" i="7" s="1"/>
  <c r="I888" i="7"/>
  <c r="J888" i="7" s="1"/>
  <c r="I887" i="7"/>
  <c r="J887" i="7" s="1"/>
  <c r="I886" i="7"/>
  <c r="J886" i="7" s="1"/>
  <c r="I885" i="7"/>
  <c r="J885" i="7" s="1"/>
  <c r="J122" i="6" s="1"/>
  <c r="M122" i="6" s="1"/>
  <c r="F53" i="8" s="1"/>
  <c r="J53" i="8" s="1"/>
  <c r="I879" i="7"/>
  <c r="J879" i="7" s="1"/>
  <c r="I878" i="7"/>
  <c r="J878" i="7" s="1"/>
  <c r="I877" i="7"/>
  <c r="J877" i="7" s="1"/>
  <c r="I871" i="7"/>
  <c r="J871" i="7" s="1"/>
  <c r="I870" i="7"/>
  <c r="J870" i="7" s="1"/>
  <c r="I869" i="7"/>
  <c r="J869" i="7" s="1"/>
  <c r="I867" i="7"/>
  <c r="J867" i="7" s="1"/>
  <c r="I866" i="7"/>
  <c r="J866" i="7" s="1"/>
  <c r="I863" i="7"/>
  <c r="J863" i="7" s="1"/>
  <c r="I862" i="7"/>
  <c r="J862" i="7" s="1"/>
  <c r="I861" i="7"/>
  <c r="J861" i="7" s="1"/>
  <c r="I859" i="7"/>
  <c r="J859" i="7" s="1"/>
  <c r="I858" i="7"/>
  <c r="J858" i="7" s="1"/>
  <c r="I857" i="7"/>
  <c r="J857" i="7" s="1"/>
  <c r="I856" i="7"/>
  <c r="J856" i="7" s="1"/>
  <c r="I853" i="7"/>
  <c r="J853" i="7" s="1"/>
  <c r="I852" i="7"/>
  <c r="J852" i="7" s="1"/>
  <c r="I851" i="7"/>
  <c r="J851" i="7" s="1"/>
  <c r="I850" i="7"/>
  <c r="J850" i="7" s="1"/>
  <c r="I846" i="7"/>
  <c r="J846" i="7" s="1"/>
  <c r="I845" i="7"/>
  <c r="J845" i="7" s="1"/>
  <c r="I844" i="7"/>
  <c r="J844" i="7" s="1"/>
  <c r="I843" i="7"/>
  <c r="J843" i="7" s="1"/>
  <c r="I842" i="7"/>
  <c r="J842" i="7" s="1"/>
  <c r="I841" i="7"/>
  <c r="J841" i="7" s="1"/>
  <c r="I840" i="7"/>
  <c r="J840" i="7" s="1"/>
  <c r="I839" i="7"/>
  <c r="J839" i="7" s="1"/>
  <c r="I838" i="7"/>
  <c r="J838" i="7" s="1"/>
  <c r="I837" i="7"/>
  <c r="J837" i="7" s="1"/>
  <c r="I831" i="7"/>
  <c r="J831" i="7" s="1"/>
  <c r="I830" i="7"/>
  <c r="J830" i="7" s="1"/>
  <c r="I829" i="7"/>
  <c r="J829" i="7" s="1"/>
  <c r="I828" i="7"/>
  <c r="J828" i="7" s="1"/>
  <c r="I827" i="7"/>
  <c r="J827" i="7" s="1"/>
  <c r="I826" i="7"/>
  <c r="J826" i="7" s="1"/>
  <c r="I820" i="7"/>
  <c r="J820" i="7" s="1"/>
  <c r="I819" i="7"/>
  <c r="J819" i="7" s="1"/>
  <c r="I818" i="7"/>
  <c r="J818" i="7" s="1"/>
  <c r="I817" i="7"/>
  <c r="J817" i="7" s="1"/>
  <c r="I816" i="7"/>
  <c r="J816" i="7" s="1"/>
  <c r="I815" i="7"/>
  <c r="J815" i="7" s="1"/>
  <c r="I809" i="7"/>
  <c r="J809" i="7" s="1"/>
  <c r="I808" i="7"/>
  <c r="J808" i="7" s="1"/>
  <c r="I807" i="7"/>
  <c r="J807" i="7" s="1"/>
  <c r="I806" i="7"/>
  <c r="J806" i="7" s="1"/>
  <c r="I805" i="7"/>
  <c r="J805" i="7" s="1"/>
  <c r="I804" i="7"/>
  <c r="J804" i="7" s="1"/>
  <c r="I798" i="7"/>
  <c r="J798" i="7" s="1"/>
  <c r="I797" i="7"/>
  <c r="J797" i="7" s="1"/>
  <c r="I796" i="7"/>
  <c r="J796" i="7" s="1"/>
  <c r="I795" i="7"/>
  <c r="J795" i="7" s="1"/>
  <c r="I794" i="7"/>
  <c r="J794" i="7" s="1"/>
  <c r="I793" i="7"/>
  <c r="J793" i="7" s="1"/>
  <c r="I789" i="7"/>
  <c r="J789" i="7" s="1"/>
  <c r="I788" i="7"/>
  <c r="J788" i="7" s="1"/>
  <c r="I787" i="7"/>
  <c r="J787" i="7" s="1"/>
  <c r="J111" i="6" s="1"/>
  <c r="M111" i="6" s="1"/>
  <c r="F40" i="8" s="1"/>
  <c r="J40" i="8" s="1"/>
  <c r="I783" i="7"/>
  <c r="J783" i="7" s="1"/>
  <c r="I780" i="7"/>
  <c r="J780" i="7" s="1"/>
  <c r="I777" i="7"/>
  <c r="J777" i="7" s="1"/>
  <c r="I774" i="7"/>
  <c r="J774" i="7" s="1"/>
  <c r="I771" i="7"/>
  <c r="J771" i="7" s="1"/>
  <c r="I768" i="7"/>
  <c r="J768" i="7" s="1"/>
  <c r="I765" i="7"/>
  <c r="J765" i="7" s="1"/>
  <c r="I762" i="7"/>
  <c r="J762" i="7" s="1"/>
  <c r="I759" i="7"/>
  <c r="J759" i="7" s="1"/>
  <c r="I756" i="7"/>
  <c r="J756" i="7" s="1"/>
  <c r="J99" i="6" s="1"/>
  <c r="M99" i="6" s="1"/>
  <c r="F28" i="8" s="1"/>
  <c r="J28" i="8" s="1"/>
  <c r="I753" i="7"/>
  <c r="J753" i="7" s="1"/>
  <c r="I750" i="7"/>
  <c r="J750" i="7" s="1"/>
  <c r="I747" i="7"/>
  <c r="J747" i="7" s="1"/>
  <c r="I744" i="7"/>
  <c r="J744" i="7" s="1"/>
  <c r="J95" i="6" s="1"/>
  <c r="M95" i="6" s="1"/>
  <c r="F24" i="8" s="1"/>
  <c r="J24" i="8" s="1"/>
  <c r="I741" i="7"/>
  <c r="J741" i="7" s="1"/>
  <c r="I738" i="7"/>
  <c r="J738" i="7" s="1"/>
  <c r="I732" i="7"/>
  <c r="J732" i="7" s="1"/>
  <c r="I731" i="7"/>
  <c r="J731" i="7" s="1"/>
  <c r="I730" i="7"/>
  <c r="J730" i="7" s="1"/>
  <c r="I729" i="7"/>
  <c r="J729" i="7" s="1"/>
  <c r="I722" i="7"/>
  <c r="J722" i="7" s="1"/>
  <c r="I721" i="7"/>
  <c r="J721" i="7" s="1"/>
  <c r="I720" i="7"/>
  <c r="J720" i="7" s="1"/>
  <c r="I705" i="7"/>
  <c r="J705" i="7" s="1"/>
  <c r="I704" i="7"/>
  <c r="J704" i="7" s="1"/>
  <c r="I703" i="7"/>
  <c r="J703" i="7" s="1"/>
  <c r="I702" i="7"/>
  <c r="J702" i="7" s="1"/>
  <c r="I701" i="7"/>
  <c r="J701" i="7" s="1"/>
  <c r="I700" i="7"/>
  <c r="J700" i="7" s="1"/>
  <c r="I699" i="7"/>
  <c r="J699" i="7" s="1"/>
  <c r="I698" i="7"/>
  <c r="J698" i="7" s="1"/>
  <c r="I695" i="7"/>
  <c r="J695" i="7" s="1"/>
  <c r="I694" i="7"/>
  <c r="J694" i="7" s="1"/>
  <c r="I693" i="7"/>
  <c r="J693" i="7" s="1"/>
  <c r="I692" i="7"/>
  <c r="J692" i="7" s="1"/>
  <c r="I689" i="7"/>
  <c r="J689" i="7" s="1"/>
  <c r="I683" i="7"/>
  <c r="J683" i="7" s="1"/>
  <c r="I682" i="7"/>
  <c r="J682" i="7" s="1"/>
  <c r="I681" i="7"/>
  <c r="J681" i="7" s="1"/>
  <c r="I680" i="7"/>
  <c r="J680" i="7" s="1"/>
  <c r="I679" i="7"/>
  <c r="J679" i="7" s="1"/>
  <c r="I677" i="7"/>
  <c r="J677" i="7" s="1"/>
  <c r="I676" i="7"/>
  <c r="J676" i="7" s="1"/>
  <c r="I675" i="7"/>
  <c r="J675" i="7" s="1"/>
  <c r="I674" i="7"/>
  <c r="J674" i="7" s="1"/>
  <c r="I670" i="7"/>
  <c r="J670" i="7" s="1"/>
  <c r="I668" i="7"/>
  <c r="J668" i="7" s="1"/>
  <c r="I667" i="7"/>
  <c r="J667" i="7" s="1"/>
  <c r="I666" i="7"/>
  <c r="J666" i="7" s="1"/>
  <c r="I665" i="7"/>
  <c r="J665" i="7" s="1"/>
  <c r="I664" i="7"/>
  <c r="J664" i="7" s="1"/>
  <c r="I663" i="7"/>
  <c r="J663" i="7" s="1"/>
  <c r="I658" i="7"/>
  <c r="J658" i="7" s="1"/>
  <c r="I657" i="7"/>
  <c r="J657" i="7" s="1"/>
  <c r="I656" i="7"/>
  <c r="J656" i="7" s="1"/>
  <c r="I655" i="7"/>
  <c r="J655" i="7" s="1"/>
  <c r="I654" i="7"/>
  <c r="J654" i="7" s="1"/>
  <c r="I653" i="7"/>
  <c r="J653" i="7" s="1"/>
  <c r="I652" i="7"/>
  <c r="J652" i="7" s="1"/>
  <c r="I651" i="7"/>
  <c r="J651" i="7" s="1"/>
  <c r="I650" i="7"/>
  <c r="J650" i="7" s="1"/>
  <c r="I648" i="7"/>
  <c r="J648" i="7" s="1"/>
  <c r="J79" i="6" s="1"/>
  <c r="M79" i="6" s="1"/>
  <c r="F6" i="8" s="1"/>
  <c r="I642" i="7"/>
  <c r="J642" i="7" s="1"/>
  <c r="I641" i="7"/>
  <c r="J641" i="7" s="1"/>
  <c r="I640" i="7"/>
  <c r="J640" i="7" s="1"/>
  <c r="I639" i="7"/>
  <c r="J639" i="7" s="1"/>
  <c r="I638" i="7"/>
  <c r="J638" i="7" s="1"/>
  <c r="I634" i="7"/>
  <c r="J634" i="7" s="1"/>
  <c r="I633" i="7"/>
  <c r="J633" i="7" s="1"/>
  <c r="I632" i="7"/>
  <c r="J632" i="7" s="1"/>
  <c r="I631" i="7"/>
  <c r="J631" i="7" s="1"/>
  <c r="I630" i="7"/>
  <c r="J630" i="7" s="1"/>
  <c r="I626" i="7"/>
  <c r="J626" i="7" s="1"/>
  <c r="I625" i="7"/>
  <c r="J625" i="7" s="1"/>
  <c r="I624" i="7"/>
  <c r="J624" i="7" s="1"/>
  <c r="I623" i="7"/>
  <c r="J623" i="7" s="1"/>
  <c r="I622" i="7"/>
  <c r="J622" i="7" s="1"/>
  <c r="I618" i="7"/>
  <c r="J618" i="7" s="1"/>
  <c r="I617" i="7"/>
  <c r="J617" i="7" s="1"/>
  <c r="I616" i="7"/>
  <c r="J616" i="7" s="1"/>
  <c r="I615" i="7"/>
  <c r="J615" i="7" s="1"/>
  <c r="I614" i="7"/>
  <c r="J614" i="7" s="1"/>
  <c r="I611" i="7"/>
  <c r="J611" i="7" s="1"/>
  <c r="I610" i="7"/>
  <c r="J610" i="7" s="1"/>
  <c r="I606" i="7"/>
  <c r="J606" i="7" s="1"/>
  <c r="I605" i="7"/>
  <c r="J605" i="7" s="1"/>
  <c r="I601" i="7"/>
  <c r="J601" i="7" s="1"/>
  <c r="I600" i="7"/>
  <c r="J600" i="7" s="1"/>
  <c r="I597" i="7"/>
  <c r="J597" i="7" s="1"/>
  <c r="I596" i="7"/>
  <c r="J596" i="7" s="1"/>
  <c r="I592" i="7"/>
  <c r="J592" i="7" s="1"/>
  <c r="I591" i="7"/>
  <c r="J591" i="7" s="1"/>
  <c r="I587" i="7"/>
  <c r="J587" i="7" s="1"/>
  <c r="I586" i="7"/>
  <c r="J586" i="7" s="1"/>
  <c r="I582" i="7"/>
  <c r="J582" i="7" s="1"/>
  <c r="I581" i="7"/>
  <c r="J581" i="7" s="1"/>
  <c r="I577" i="7"/>
  <c r="J577" i="7" s="1"/>
  <c r="I576" i="7"/>
  <c r="J576" i="7" s="1"/>
  <c r="I570" i="7"/>
  <c r="J570" i="7" s="1"/>
  <c r="I569" i="7"/>
  <c r="J569" i="7" s="1"/>
  <c r="I568" i="7"/>
  <c r="J568" i="7" s="1"/>
  <c r="I567" i="7"/>
  <c r="J567" i="7" s="1"/>
  <c r="I566" i="7"/>
  <c r="J566" i="7" s="1"/>
  <c r="I565" i="7"/>
  <c r="J565" i="7" s="1"/>
  <c r="I561" i="7"/>
  <c r="J561" i="7" s="1"/>
  <c r="I560" i="7"/>
  <c r="J560" i="7" s="1"/>
  <c r="I559" i="7"/>
  <c r="J559" i="7" s="1"/>
  <c r="I558" i="7"/>
  <c r="J558" i="7" s="1"/>
  <c r="I557" i="7"/>
  <c r="J557" i="7" s="1"/>
  <c r="I556" i="7"/>
  <c r="J556" i="7" s="1"/>
  <c r="I555" i="7"/>
  <c r="J555" i="7" s="1"/>
  <c r="I548" i="7"/>
  <c r="J548" i="7" s="1"/>
  <c r="I547" i="7"/>
  <c r="J547" i="7" s="1"/>
  <c r="I542" i="7"/>
  <c r="J542" i="7" s="1"/>
  <c r="I541" i="7"/>
  <c r="J541" i="7" s="1"/>
  <c r="I540" i="7"/>
  <c r="J540" i="7" s="1"/>
  <c r="I536" i="7"/>
  <c r="J536" i="7" s="1"/>
  <c r="I535" i="7"/>
  <c r="J535" i="7" s="1"/>
  <c r="I534" i="7"/>
  <c r="J534" i="7" s="1"/>
  <c r="I533" i="7"/>
  <c r="J533" i="7" s="1"/>
  <c r="I532" i="7"/>
  <c r="J532" i="7" s="1"/>
  <c r="I531" i="7"/>
  <c r="J531" i="7" s="1"/>
  <c r="I530" i="7"/>
  <c r="J530" i="7" s="1"/>
  <c r="I524" i="7"/>
  <c r="J524" i="7" s="1"/>
  <c r="I523" i="7"/>
  <c r="J523" i="7" s="1"/>
  <c r="I522" i="7"/>
  <c r="J522" i="7" s="1"/>
  <c r="I521" i="7"/>
  <c r="J521" i="7" s="1"/>
  <c r="I520" i="7"/>
  <c r="J520" i="7" s="1"/>
  <c r="I515" i="7"/>
  <c r="J515" i="7" s="1"/>
  <c r="I514" i="7"/>
  <c r="J514" i="7" s="1"/>
  <c r="I513" i="7"/>
  <c r="J513" i="7" s="1"/>
  <c r="I512" i="7"/>
  <c r="J512" i="7" s="1"/>
  <c r="I511" i="7"/>
  <c r="J511" i="7" s="1"/>
  <c r="I510" i="7"/>
  <c r="J510" i="7" s="1"/>
  <c r="I509" i="7"/>
  <c r="J509" i="7" s="1"/>
  <c r="I508" i="7"/>
  <c r="J508" i="7" s="1"/>
  <c r="I507" i="7"/>
  <c r="J507" i="7" s="1"/>
  <c r="I502" i="7"/>
  <c r="J502" i="7" s="1"/>
  <c r="I501" i="7"/>
  <c r="J501" i="7" s="1"/>
  <c r="I500" i="7"/>
  <c r="J500" i="7" s="1"/>
  <c r="I499" i="7"/>
  <c r="J499" i="7" s="1"/>
  <c r="I498" i="7"/>
  <c r="J498" i="7" s="1"/>
  <c r="I497" i="7"/>
  <c r="J497" i="7" s="1"/>
  <c r="I496" i="7"/>
  <c r="J496" i="7" s="1"/>
  <c r="I495" i="7"/>
  <c r="J495" i="7" s="1"/>
  <c r="I490" i="7"/>
  <c r="J490" i="7" s="1"/>
  <c r="I489" i="7"/>
  <c r="J489" i="7" s="1"/>
  <c r="I488" i="7"/>
  <c r="J488" i="7" s="1"/>
  <c r="I487" i="7"/>
  <c r="J487" i="7" s="1"/>
  <c r="I486" i="7"/>
  <c r="J486" i="7" s="1"/>
  <c r="I485" i="7"/>
  <c r="J485" i="7" s="1"/>
  <c r="I484" i="7"/>
  <c r="J484" i="7" s="1"/>
  <c r="I483" i="7"/>
  <c r="J483" i="7" s="1"/>
  <c r="I482" i="7"/>
  <c r="J482" i="7" s="1"/>
  <c r="I481" i="7"/>
  <c r="J481" i="7" s="1"/>
  <c r="I476" i="7"/>
  <c r="J476" i="7" s="1"/>
  <c r="I475" i="7"/>
  <c r="J475" i="7" s="1"/>
  <c r="I474" i="7"/>
  <c r="J474" i="7" s="1"/>
  <c r="I473" i="7"/>
  <c r="J473" i="7" s="1"/>
  <c r="I472" i="7"/>
  <c r="J472" i="7" s="1"/>
  <c r="I471" i="7"/>
  <c r="J471" i="7" s="1"/>
  <c r="I470" i="7"/>
  <c r="J470" i="7" s="1"/>
  <c r="I469" i="7"/>
  <c r="J469" i="7" s="1"/>
  <c r="I468" i="7"/>
  <c r="J468" i="7" s="1"/>
  <c r="I463" i="7"/>
  <c r="J463" i="7" s="1"/>
  <c r="I462" i="7"/>
  <c r="J462" i="7" s="1"/>
  <c r="I461" i="7"/>
  <c r="J461" i="7" s="1"/>
  <c r="I460" i="7"/>
  <c r="J460" i="7" s="1"/>
  <c r="I459" i="7"/>
  <c r="J459" i="7" s="1"/>
  <c r="I455" i="7"/>
  <c r="J455" i="7" s="1"/>
  <c r="I454" i="7"/>
  <c r="J454" i="7" s="1"/>
  <c r="I453" i="7"/>
  <c r="J453" i="7" s="1"/>
  <c r="I452" i="7"/>
  <c r="J452" i="7" s="1"/>
  <c r="I451" i="7"/>
  <c r="J451" i="7" s="1"/>
  <c r="I446" i="7"/>
  <c r="J446" i="7" s="1"/>
  <c r="I445" i="7"/>
  <c r="J445" i="7" s="1"/>
  <c r="I444" i="7"/>
  <c r="J444" i="7" s="1"/>
  <c r="I443" i="7"/>
  <c r="J443" i="7" s="1"/>
  <c r="I442" i="7"/>
  <c r="J442" i="7" s="1"/>
  <c r="I441" i="7"/>
  <c r="J441" i="7" s="1"/>
  <c r="I440" i="7"/>
  <c r="J440" i="7" s="1"/>
  <c r="I439" i="7"/>
  <c r="J439" i="7" s="1"/>
  <c r="I435" i="7"/>
  <c r="J435" i="7" s="1"/>
  <c r="I434" i="7"/>
  <c r="J434" i="7" s="1"/>
  <c r="I433" i="7"/>
  <c r="J433" i="7" s="1"/>
  <c r="I432" i="7"/>
  <c r="J432" i="7" s="1"/>
  <c r="I431" i="7"/>
  <c r="J431" i="7" s="1"/>
  <c r="I430" i="7"/>
  <c r="J430" i="7" s="1"/>
  <c r="I429" i="7"/>
  <c r="J429" i="7" s="1"/>
  <c r="I428" i="7"/>
  <c r="J428" i="7" s="1"/>
  <c r="I424" i="7"/>
  <c r="J424" i="7" s="1"/>
  <c r="I423" i="7"/>
  <c r="J423" i="7" s="1"/>
  <c r="I422" i="7"/>
  <c r="J422" i="7" s="1"/>
  <c r="I421" i="7"/>
  <c r="J421" i="7" s="1"/>
  <c r="I420" i="7"/>
  <c r="J420" i="7" s="1"/>
  <c r="I419" i="7"/>
  <c r="J419" i="7" s="1"/>
  <c r="I418" i="7"/>
  <c r="J418" i="7" s="1"/>
  <c r="I417" i="7"/>
  <c r="J417" i="7" s="1"/>
  <c r="I412" i="7"/>
  <c r="J412" i="7" s="1"/>
  <c r="I411" i="7"/>
  <c r="J411" i="7" s="1"/>
  <c r="I410" i="7"/>
  <c r="J410" i="7" s="1"/>
  <c r="I409" i="7"/>
  <c r="J409" i="7" s="1"/>
  <c r="I408" i="7"/>
  <c r="J408" i="7" s="1"/>
  <c r="I407" i="7"/>
  <c r="J407" i="7" s="1"/>
  <c r="I406" i="7"/>
  <c r="J406" i="7" s="1"/>
  <c r="I405" i="7"/>
  <c r="J405" i="7" s="1"/>
  <c r="I404" i="7"/>
  <c r="J404" i="7" s="1"/>
  <c r="I403" i="7"/>
  <c r="J403" i="7" s="1"/>
  <c r="I399" i="7"/>
  <c r="J399" i="7" s="1"/>
  <c r="I398" i="7"/>
  <c r="J398" i="7" s="1"/>
  <c r="I397" i="7"/>
  <c r="J397" i="7" s="1"/>
  <c r="I396" i="7"/>
  <c r="J396" i="7" s="1"/>
  <c r="I392" i="7"/>
  <c r="J392" i="7" s="1"/>
  <c r="I391" i="7"/>
  <c r="J391" i="7" s="1"/>
  <c r="I390" i="7"/>
  <c r="J390" i="7" s="1"/>
  <c r="I389" i="7"/>
  <c r="J389" i="7" s="1"/>
  <c r="I385" i="7"/>
  <c r="J385" i="7" s="1"/>
  <c r="I384" i="7"/>
  <c r="J384" i="7" s="1"/>
  <c r="I383" i="7"/>
  <c r="J383" i="7" s="1"/>
  <c r="I382" i="7"/>
  <c r="J382" i="7" s="1"/>
  <c r="I374" i="7"/>
  <c r="J374" i="7" s="1"/>
  <c r="I373" i="7"/>
  <c r="J373" i="7" s="1"/>
  <c r="I372" i="7"/>
  <c r="J372" i="7" s="1"/>
  <c r="I371" i="7"/>
  <c r="J371" i="7" s="1"/>
  <c r="I370" i="7"/>
  <c r="J370" i="7" s="1"/>
  <c r="I369" i="7"/>
  <c r="J369" i="7" s="1"/>
  <c r="I365" i="7"/>
  <c r="J365" i="7" s="1"/>
  <c r="I364" i="7"/>
  <c r="J364" i="7" s="1"/>
  <c r="I363" i="7"/>
  <c r="J363" i="7" s="1"/>
  <c r="I362" i="7"/>
  <c r="J362" i="7" s="1"/>
  <c r="I361" i="7"/>
  <c r="J361" i="7" s="1"/>
  <c r="I360" i="7"/>
  <c r="J360" i="7" s="1"/>
  <c r="I354" i="7"/>
  <c r="J354" i="7" s="1"/>
  <c r="I353" i="7"/>
  <c r="J353" i="7" s="1"/>
  <c r="I352" i="7"/>
  <c r="J352" i="7" s="1"/>
  <c r="I351" i="7"/>
  <c r="J351" i="7" s="1"/>
  <c r="I350" i="7"/>
  <c r="J350" i="7" s="1"/>
  <c r="I349" i="7"/>
  <c r="J349" i="7" s="1"/>
  <c r="I348" i="7"/>
  <c r="J348" i="7" s="1"/>
  <c r="I347" i="7"/>
  <c r="J347" i="7" s="1"/>
  <c r="I343" i="7"/>
  <c r="J343" i="7" s="1"/>
  <c r="I342" i="7"/>
  <c r="J342" i="7" s="1"/>
  <c r="I341" i="7"/>
  <c r="J341" i="7" s="1"/>
  <c r="I340" i="7"/>
  <c r="J340" i="7" s="1"/>
  <c r="I339" i="7"/>
  <c r="J339" i="7" s="1"/>
  <c r="I334" i="7"/>
  <c r="J334" i="7" s="1"/>
  <c r="I333" i="7"/>
  <c r="J333" i="7" s="1"/>
  <c r="I332" i="7"/>
  <c r="J332" i="7" s="1"/>
  <c r="I331" i="7"/>
  <c r="J331" i="7" s="1"/>
  <c r="I330" i="7"/>
  <c r="J330" i="7" s="1"/>
  <c r="I329" i="7"/>
  <c r="J329" i="7" s="1"/>
  <c r="I328" i="7"/>
  <c r="J328" i="7" s="1"/>
  <c r="I327" i="7"/>
  <c r="J327" i="7" s="1"/>
  <c r="I323" i="7"/>
  <c r="J323" i="7" s="1"/>
  <c r="I322" i="7"/>
  <c r="J322" i="7" s="1"/>
  <c r="I321" i="7"/>
  <c r="J321" i="7" s="1"/>
  <c r="I320" i="7"/>
  <c r="J320" i="7" s="1"/>
  <c r="I319" i="7"/>
  <c r="J319" i="7" s="1"/>
  <c r="I318" i="7"/>
  <c r="J318" i="7" s="1"/>
  <c r="I317" i="7"/>
  <c r="J317" i="7" s="1"/>
  <c r="I316" i="7"/>
  <c r="J316" i="7" s="1"/>
  <c r="I311" i="7"/>
  <c r="J311" i="7" s="1"/>
  <c r="I310" i="7"/>
  <c r="J310" i="7" s="1"/>
  <c r="I305" i="7"/>
  <c r="J305" i="7" s="1"/>
  <c r="I304" i="7"/>
  <c r="J304" i="7" s="1"/>
  <c r="I303" i="7"/>
  <c r="J303" i="7" s="1"/>
  <c r="I298" i="7"/>
  <c r="J298" i="7" s="1"/>
  <c r="I297" i="7"/>
  <c r="J297" i="7" s="1"/>
  <c r="I296" i="7"/>
  <c r="J296" i="7" s="1"/>
  <c r="I295" i="7"/>
  <c r="J295" i="7" s="1"/>
  <c r="I290" i="7"/>
  <c r="J290" i="7" s="1"/>
  <c r="I289" i="7"/>
  <c r="J289" i="7" s="1"/>
  <c r="I284" i="7"/>
  <c r="J284" i="7" s="1"/>
  <c r="I283" i="7"/>
  <c r="J283" i="7" s="1"/>
  <c r="I282" i="7"/>
  <c r="J282" i="7" s="1"/>
  <c r="I281" i="7"/>
  <c r="J281" i="7" s="1"/>
  <c r="I274" i="7"/>
  <c r="J274" i="7" s="1"/>
  <c r="I273" i="7"/>
  <c r="J273" i="7" s="1"/>
  <c r="I272" i="7"/>
  <c r="J272" i="7" s="1"/>
  <c r="I271" i="7"/>
  <c r="J271" i="7" s="1"/>
  <c r="I265" i="7"/>
  <c r="J265" i="7" s="1"/>
  <c r="I264" i="7"/>
  <c r="J264" i="7" s="1"/>
  <c r="I263" i="7"/>
  <c r="J263" i="7" s="1"/>
  <c r="I262" i="7"/>
  <c r="J262" i="7" s="1"/>
  <c r="I256" i="7"/>
  <c r="J256" i="7" s="1"/>
  <c r="I255" i="7"/>
  <c r="J255" i="7" s="1"/>
  <c r="I254" i="7"/>
  <c r="J254" i="7" s="1"/>
  <c r="I248" i="7"/>
  <c r="J248" i="7" s="1"/>
  <c r="I247" i="7"/>
  <c r="J247" i="7" s="1"/>
  <c r="I246" i="7"/>
  <c r="J246" i="7" s="1"/>
  <c r="I241" i="7"/>
  <c r="J241" i="7" s="1"/>
  <c r="I240" i="7"/>
  <c r="J240" i="7" s="1"/>
  <c r="I239" i="7"/>
  <c r="J239" i="7" s="1"/>
  <c r="I234" i="7"/>
  <c r="J234" i="7" s="1"/>
  <c r="I233" i="7"/>
  <c r="J233" i="7" s="1"/>
  <c r="I228" i="7"/>
  <c r="J228" i="7" s="1"/>
  <c r="I227" i="7"/>
  <c r="J227" i="7" s="1"/>
  <c r="I221" i="7"/>
  <c r="J221" i="7" s="1"/>
  <c r="I220" i="7"/>
  <c r="J220" i="7" s="1"/>
  <c r="I219" i="7"/>
  <c r="J219" i="7" s="1"/>
  <c r="I218" i="7"/>
  <c r="J218" i="7" s="1"/>
  <c r="I217" i="7"/>
  <c r="J217" i="7" s="1"/>
  <c r="I216" i="7"/>
  <c r="J216" i="7" s="1"/>
  <c r="I210" i="7"/>
  <c r="J210" i="7" s="1"/>
  <c r="I209" i="7"/>
  <c r="J209" i="7" s="1"/>
  <c r="I208" i="7"/>
  <c r="J208" i="7" s="1"/>
  <c r="I207" i="7"/>
  <c r="J207" i="7" s="1"/>
  <c r="I206" i="7"/>
  <c r="J206" i="7" s="1"/>
  <c r="I205" i="7"/>
  <c r="J205" i="7" s="1"/>
  <c r="I204" i="7"/>
  <c r="J204" i="7" s="1"/>
  <c r="I203" i="7"/>
  <c r="J203" i="7" s="1"/>
  <c r="I202" i="7"/>
  <c r="J202" i="7" s="1"/>
  <c r="I201" i="7"/>
  <c r="J201" i="7" s="1"/>
  <c r="I200" i="7"/>
  <c r="J200" i="7" s="1"/>
  <c r="I194" i="7"/>
  <c r="J194" i="7" s="1"/>
  <c r="I193" i="7"/>
  <c r="J193" i="7" s="1"/>
  <c r="I192" i="7"/>
  <c r="J192" i="7" s="1"/>
  <c r="I191" i="7"/>
  <c r="J191" i="7" s="1"/>
  <c r="I190" i="7"/>
  <c r="J190" i="7" s="1"/>
  <c r="I189" i="7"/>
  <c r="J189" i="7" s="1"/>
  <c r="I183" i="7"/>
  <c r="J183" i="7" s="1"/>
  <c r="I182" i="7"/>
  <c r="J182" i="7" s="1"/>
  <c r="I181" i="7"/>
  <c r="J181" i="7" s="1"/>
  <c r="I180" i="7"/>
  <c r="J180" i="7" s="1"/>
  <c r="I179" i="7"/>
  <c r="J179" i="7" s="1"/>
  <c r="I173" i="7"/>
  <c r="J173" i="7" s="1"/>
  <c r="I172" i="7"/>
  <c r="J172" i="7" s="1"/>
  <c r="I171" i="7"/>
  <c r="J171" i="7" s="1"/>
  <c r="I170" i="7"/>
  <c r="J170" i="7" s="1"/>
  <c r="I169" i="7"/>
  <c r="J169" i="7" s="1"/>
  <c r="I168" i="7"/>
  <c r="J168" i="7" s="1"/>
  <c r="I162" i="7"/>
  <c r="J162" i="7" s="1"/>
  <c r="I161" i="7"/>
  <c r="J161" i="7" s="1"/>
  <c r="I160" i="7"/>
  <c r="J160" i="7" s="1"/>
  <c r="I159" i="7"/>
  <c r="J159" i="7" s="1"/>
  <c r="I158" i="7"/>
  <c r="J158" i="7" s="1"/>
  <c r="I157" i="7"/>
  <c r="J157" i="7" s="1"/>
  <c r="I154" i="7"/>
  <c r="J154" i="7" s="1"/>
  <c r="I153" i="7"/>
  <c r="J153" i="7" s="1"/>
  <c r="I152" i="7"/>
  <c r="J152" i="7" s="1"/>
  <c r="I151" i="7"/>
  <c r="J151" i="7" s="1"/>
  <c r="I150" i="7"/>
  <c r="J150" i="7" s="1"/>
  <c r="I149" i="7"/>
  <c r="J149" i="7" s="1"/>
  <c r="I148" i="7"/>
  <c r="J148" i="7" s="1"/>
  <c r="I147" i="7"/>
  <c r="J147" i="7" s="1"/>
  <c r="I146" i="7"/>
  <c r="J146" i="7" s="1"/>
  <c r="I143" i="7"/>
  <c r="J143" i="7" s="1"/>
  <c r="I142" i="7"/>
  <c r="J142" i="7" s="1"/>
  <c r="I141" i="7"/>
  <c r="J141" i="7" s="1"/>
  <c r="I140" i="7"/>
  <c r="J140" i="7" s="1"/>
  <c r="I139" i="7"/>
  <c r="J139" i="7" s="1"/>
  <c r="I138" i="7"/>
  <c r="J138" i="7" s="1"/>
  <c r="I137" i="7"/>
  <c r="J137" i="7" s="1"/>
  <c r="I136" i="7"/>
  <c r="J136" i="7" s="1"/>
  <c r="I132" i="7"/>
  <c r="J132" i="7" s="1"/>
  <c r="I131" i="7"/>
  <c r="J131" i="7" s="1"/>
  <c r="I130" i="7"/>
  <c r="J130" i="7" s="1"/>
  <c r="I129" i="7"/>
  <c r="J129" i="7" s="1"/>
  <c r="I128" i="7"/>
  <c r="J128" i="7" s="1"/>
  <c r="I127" i="7"/>
  <c r="J127" i="7" s="1"/>
  <c r="I126" i="7"/>
  <c r="J126" i="7" s="1"/>
  <c r="I125" i="7"/>
  <c r="J125" i="7" s="1"/>
  <c r="I124" i="7"/>
  <c r="J124" i="7" s="1"/>
  <c r="I123" i="7"/>
  <c r="J123" i="7" s="1"/>
  <c r="I118" i="7"/>
  <c r="J118" i="7" s="1"/>
  <c r="I117" i="7"/>
  <c r="J117" i="7" s="1"/>
  <c r="I116" i="7"/>
  <c r="J116" i="7" s="1"/>
  <c r="I110" i="7"/>
  <c r="J110" i="7" s="1"/>
  <c r="I109" i="7"/>
  <c r="J109" i="7" s="1"/>
  <c r="I108" i="7"/>
  <c r="J108" i="7" s="1"/>
  <c r="I102" i="7"/>
  <c r="J102" i="7" s="1"/>
  <c r="I101" i="7"/>
  <c r="J101" i="7" s="1"/>
  <c r="I100" i="7"/>
  <c r="J100" i="7" s="1"/>
  <c r="I97" i="7"/>
  <c r="J97" i="7" s="1"/>
  <c r="I96" i="7"/>
  <c r="J96" i="7" s="1"/>
  <c r="I93" i="7"/>
  <c r="J93" i="7" s="1"/>
  <c r="J15" i="6" s="1"/>
  <c r="M15" i="6" s="1"/>
  <c r="I90" i="7"/>
  <c r="J90" i="7" s="1"/>
  <c r="I89" i="7"/>
  <c r="J89" i="7" s="1"/>
  <c r="I88" i="7"/>
  <c r="J88" i="7" s="1"/>
  <c r="I87" i="7"/>
  <c r="J87" i="7" s="1"/>
  <c r="I86" i="7"/>
  <c r="J86" i="7" s="1"/>
  <c r="I85" i="7"/>
  <c r="J85" i="7" s="1"/>
  <c r="I84" i="7"/>
  <c r="J84" i="7" s="1"/>
  <c r="I83" i="7"/>
  <c r="J83" i="7" s="1"/>
  <c r="I82" i="7"/>
  <c r="J82" i="7" s="1"/>
  <c r="I76" i="7"/>
  <c r="J76" i="7" s="1"/>
  <c r="I75" i="7"/>
  <c r="J75" i="7" s="1"/>
  <c r="I74" i="7"/>
  <c r="J74" i="7" s="1"/>
  <c r="I73" i="7"/>
  <c r="J73" i="7" s="1"/>
  <c r="I72" i="7"/>
  <c r="J72" i="7" s="1"/>
  <c r="I71" i="7"/>
  <c r="J71" i="7" s="1"/>
  <c r="I70" i="7"/>
  <c r="J70" i="7" s="1"/>
  <c r="I64" i="7"/>
  <c r="J64" i="7" s="1"/>
  <c r="I58" i="7"/>
  <c r="J58" i="7" s="1"/>
  <c r="I57" i="7"/>
  <c r="J57" i="7" s="1"/>
  <c r="I56" i="7"/>
  <c r="J56" i="7" s="1"/>
  <c r="I55" i="7"/>
  <c r="J55" i="7" s="1"/>
  <c r="I54" i="7"/>
  <c r="J54" i="7" s="1"/>
  <c r="I48" i="7"/>
  <c r="J48" i="7" s="1"/>
  <c r="I47" i="7"/>
  <c r="J47" i="7" s="1"/>
  <c r="I46" i="7"/>
  <c r="J46" i="7" s="1"/>
  <c r="I45" i="7"/>
  <c r="J45" i="7" s="1"/>
  <c r="I44" i="7"/>
  <c r="J44" i="7" s="1"/>
  <c r="I40" i="7"/>
  <c r="J40" i="7" s="1"/>
  <c r="I39" i="7"/>
  <c r="J39" i="7" s="1"/>
  <c r="I34" i="7"/>
  <c r="J34" i="7" s="1"/>
  <c r="I33" i="7"/>
  <c r="J33" i="7" s="1"/>
  <c r="I32" i="7"/>
  <c r="J32" i="7" s="1"/>
  <c r="I31" i="7"/>
  <c r="J31" i="7" s="1"/>
  <c r="I30" i="7"/>
  <c r="J30" i="7" s="1"/>
  <c r="I29" i="7"/>
  <c r="J29" i="7" s="1"/>
  <c r="I28" i="7"/>
  <c r="J28" i="7" s="1"/>
  <c r="I24" i="7"/>
  <c r="J24" i="7" s="1"/>
  <c r="I23" i="7"/>
  <c r="J23" i="7" s="1"/>
  <c r="I22" i="7"/>
  <c r="J22" i="7" s="1"/>
  <c r="I18" i="7"/>
  <c r="J18" i="7" s="1"/>
  <c r="I17" i="7"/>
  <c r="J17" i="7" s="1"/>
  <c r="I13" i="7"/>
  <c r="J13" i="7" s="1"/>
  <c r="I12" i="7"/>
  <c r="J12" i="7" s="1"/>
  <c r="I11" i="7"/>
  <c r="J11" i="7" s="1"/>
  <c r="I10" i="7"/>
  <c r="J10" i="7" s="1"/>
  <c r="E1865" i="7"/>
  <c r="E1864" i="7"/>
  <c r="E1863" i="7"/>
  <c r="E1862" i="7"/>
  <c r="E1861" i="7"/>
  <c r="E1860" i="7"/>
  <c r="E1859" i="7"/>
  <c r="E1858" i="7"/>
  <c r="E1857" i="7"/>
  <c r="E1856" i="7"/>
  <c r="E1855" i="7"/>
  <c r="E1854" i="7"/>
  <c r="E1853" i="7"/>
  <c r="E1852" i="7"/>
  <c r="E1851" i="7"/>
  <c r="E1850" i="7"/>
  <c r="E1849" i="7"/>
  <c r="E1848" i="7"/>
  <c r="E1847" i="7"/>
  <c r="E1846" i="7"/>
  <c r="E1845" i="7"/>
  <c r="E1844" i="7"/>
  <c r="E1843" i="7"/>
  <c r="E1842" i="7"/>
  <c r="E1841" i="7"/>
  <c r="E1840" i="7"/>
  <c r="E1839" i="7"/>
  <c r="E1838" i="7"/>
  <c r="E1837" i="7"/>
  <c r="E1836" i="7"/>
  <c r="E1835" i="7"/>
  <c r="E1834" i="7"/>
  <c r="E1833" i="7"/>
  <c r="E1832" i="7"/>
  <c r="E1831" i="7"/>
  <c r="E1830" i="7"/>
  <c r="E1829" i="7"/>
  <c r="E1828" i="7"/>
  <c r="E1827" i="7"/>
  <c r="E1826" i="7"/>
  <c r="E1825" i="7"/>
  <c r="E1824" i="7"/>
  <c r="E1823" i="7"/>
  <c r="E1822" i="7"/>
  <c r="E1821" i="7"/>
  <c r="E1820" i="7"/>
  <c r="E1819" i="7"/>
  <c r="E1818" i="7"/>
  <c r="E1817" i="7"/>
  <c r="E1816" i="7"/>
  <c r="E1815" i="7"/>
  <c r="E1814" i="7"/>
  <c r="E1813" i="7"/>
  <c r="E1812" i="7"/>
  <c r="E1811" i="7"/>
  <c r="E1810" i="7"/>
  <c r="E1809" i="7"/>
  <c r="E1808" i="7"/>
  <c r="E1807" i="7"/>
  <c r="E1806" i="7"/>
  <c r="E1805" i="7"/>
  <c r="E1804" i="7"/>
  <c r="E1803" i="7"/>
  <c r="E1802" i="7"/>
  <c r="E1801" i="7"/>
  <c r="E1800" i="7"/>
  <c r="E1799" i="7"/>
  <c r="E1798" i="7"/>
  <c r="E1797" i="7"/>
  <c r="E1796" i="7"/>
  <c r="E1795" i="7"/>
  <c r="E1794" i="7"/>
  <c r="E1793" i="7"/>
  <c r="E1792" i="7"/>
  <c r="E1791" i="7"/>
  <c r="E1790" i="7"/>
  <c r="E1789" i="7"/>
  <c r="E1788" i="7"/>
  <c r="E1787" i="7"/>
  <c r="E1786" i="7"/>
  <c r="E1785" i="7"/>
  <c r="E1784" i="7"/>
  <c r="E1783" i="7"/>
  <c r="E1782" i="7"/>
  <c r="E1781" i="7"/>
  <c r="E1780" i="7"/>
  <c r="E1779" i="7"/>
  <c r="E1778" i="7"/>
  <c r="E1777" i="7"/>
  <c r="E1776" i="7"/>
  <c r="E1775" i="7"/>
  <c r="E1774" i="7"/>
  <c r="E1773" i="7"/>
  <c r="E1772" i="7"/>
  <c r="E1771" i="7"/>
  <c r="E1770" i="7"/>
  <c r="E1769" i="7"/>
  <c r="E1768" i="7"/>
  <c r="E1767" i="7"/>
  <c r="E1766" i="7"/>
  <c r="E1765" i="7"/>
  <c r="E1764" i="7"/>
  <c r="E1763" i="7"/>
  <c r="E1762" i="7"/>
  <c r="E1761" i="7"/>
  <c r="E1760" i="7"/>
  <c r="E1759" i="7"/>
  <c r="E1758" i="7"/>
  <c r="E1757" i="7"/>
  <c r="E1756" i="7"/>
  <c r="E1755" i="7"/>
  <c r="E1754" i="7"/>
  <c r="E1753" i="7"/>
  <c r="E1752" i="7"/>
  <c r="E1751" i="7"/>
  <c r="E1750" i="7"/>
  <c r="E1749" i="7"/>
  <c r="E1748" i="7"/>
  <c r="E1747" i="7"/>
  <c r="E1746" i="7"/>
  <c r="E1745" i="7"/>
  <c r="E1744" i="7"/>
  <c r="E1743" i="7"/>
  <c r="E1742" i="7"/>
  <c r="E1741" i="7"/>
  <c r="E1740" i="7"/>
  <c r="E1739" i="7"/>
  <c r="E1738" i="7"/>
  <c r="E1737" i="7"/>
  <c r="E1736" i="7"/>
  <c r="E1735" i="7"/>
  <c r="E1734" i="7"/>
  <c r="E1733" i="7"/>
  <c r="E1732" i="7"/>
  <c r="E1731" i="7"/>
  <c r="E1730" i="7"/>
  <c r="E1729" i="7"/>
  <c r="E1728" i="7"/>
  <c r="E1727" i="7"/>
  <c r="E1726" i="7"/>
  <c r="E1725" i="7"/>
  <c r="E1724" i="7"/>
  <c r="E1723" i="7"/>
  <c r="E1722" i="7"/>
  <c r="E1721" i="7"/>
  <c r="E1720" i="7"/>
  <c r="E1719" i="7"/>
  <c r="E1718" i="7"/>
  <c r="E1717" i="7"/>
  <c r="E1716" i="7"/>
  <c r="E1715" i="7"/>
  <c r="E1714" i="7"/>
  <c r="E1713" i="7"/>
  <c r="E1712" i="7"/>
  <c r="E1711" i="7"/>
  <c r="E1710" i="7"/>
  <c r="E1709" i="7"/>
  <c r="E1708" i="7"/>
  <c r="E1707" i="7"/>
  <c r="E1706" i="7"/>
  <c r="E1705" i="7"/>
  <c r="E1704" i="7"/>
  <c r="E1703" i="7"/>
  <c r="E1702" i="7"/>
  <c r="E1701" i="7"/>
  <c r="E1700" i="7"/>
  <c r="E1699" i="7"/>
  <c r="E1698" i="7"/>
  <c r="E1697" i="7"/>
  <c r="E1696" i="7"/>
  <c r="E1695" i="7"/>
  <c r="E1693" i="7"/>
  <c r="E1692" i="7"/>
  <c r="E1691" i="7"/>
  <c r="E1690" i="7"/>
  <c r="E1689" i="7"/>
  <c r="E1688" i="7"/>
  <c r="E1678" i="7"/>
  <c r="E1677" i="7"/>
  <c r="E1676" i="7"/>
  <c r="E1675" i="7"/>
  <c r="E1664" i="7"/>
  <c r="E1603" i="7"/>
  <c r="E1602" i="7"/>
  <c r="E1601" i="7"/>
  <c r="E1600" i="7"/>
  <c r="E1599" i="7"/>
  <c r="E1598" i="7"/>
  <c r="E1597" i="7"/>
  <c r="E1596" i="7"/>
  <c r="E1595" i="7"/>
  <c r="E1594" i="7"/>
  <c r="E1593" i="7"/>
  <c r="E1592" i="7"/>
  <c r="E1591" i="7"/>
  <c r="E1590" i="7"/>
  <c r="E1572" i="7"/>
  <c r="E1571" i="7"/>
  <c r="E1570" i="7"/>
  <c r="E1569" i="7"/>
  <c r="E1568" i="7"/>
  <c r="E1567" i="7"/>
  <c r="E1566" i="7"/>
  <c r="E1565" i="7"/>
  <c r="E1564" i="7"/>
  <c r="E1563" i="7"/>
  <c r="E1562" i="7"/>
  <c r="E1561" i="7"/>
  <c r="E1560" i="7"/>
  <c r="E1559" i="7"/>
  <c r="E1558" i="7"/>
  <c r="E1557" i="7"/>
  <c r="E1556" i="7"/>
  <c r="E1555" i="7"/>
  <c r="E1554" i="7"/>
  <c r="E1553" i="7"/>
  <c r="E1552" i="7"/>
  <c r="E1551" i="7"/>
  <c r="E1550" i="7"/>
  <c r="E1549" i="7"/>
  <c r="E1548" i="7"/>
  <c r="E1547" i="7"/>
  <c r="E1546" i="7"/>
  <c r="E1545" i="7"/>
  <c r="E1544" i="7"/>
  <c r="E1543" i="7"/>
  <c r="E1542" i="7"/>
  <c r="E1541" i="7"/>
  <c r="E1540" i="7"/>
  <c r="E1539" i="7"/>
  <c r="E1538" i="7"/>
  <c r="E1537" i="7"/>
  <c r="E1536" i="7"/>
  <c r="E1535" i="7"/>
  <c r="E1534" i="7"/>
  <c r="E1533" i="7"/>
  <c r="E1528" i="7"/>
  <c r="E1524" i="7"/>
  <c r="E1521" i="7"/>
  <c r="E1517" i="7"/>
  <c r="E1511" i="7"/>
  <c r="E1510" i="7"/>
  <c r="E1509" i="7"/>
  <c r="E1498" i="7"/>
  <c r="E1495" i="7"/>
  <c r="E1491" i="7"/>
  <c r="E1490" i="7"/>
  <c r="E1483" i="7"/>
  <c r="E1481" i="7"/>
  <c r="E1479" i="7"/>
  <c r="E1477" i="7"/>
  <c r="E1474" i="7"/>
  <c r="E1472" i="7"/>
  <c r="E1470" i="7"/>
  <c r="E1468" i="7"/>
  <c r="E1466" i="7"/>
  <c r="E1464" i="7"/>
  <c r="E1462" i="7"/>
  <c r="E1460" i="7"/>
  <c r="E1458" i="7"/>
  <c r="E1456" i="7"/>
  <c r="E1454" i="7"/>
  <c r="E1452" i="7"/>
  <c r="E1448" i="7"/>
  <c r="E1441" i="7"/>
  <c r="E1426" i="7"/>
  <c r="E1421" i="7"/>
  <c r="E1419" i="7"/>
  <c r="E1416" i="7"/>
  <c r="E1413" i="7"/>
  <c r="E1410" i="7"/>
  <c r="E1407" i="7"/>
  <c r="E1404" i="7"/>
  <c r="E1399" i="7"/>
  <c r="E1398" i="7"/>
  <c r="E1397" i="7"/>
  <c r="E1396" i="7"/>
  <c r="E1395" i="7"/>
  <c r="E1394" i="7"/>
  <c r="E1393" i="7"/>
  <c r="E1389" i="7"/>
  <c r="E1388" i="7"/>
  <c r="E1387" i="7"/>
  <c r="E1386" i="7"/>
  <c r="E1385" i="7"/>
  <c r="E1384" i="7"/>
  <c r="E1380" i="7"/>
  <c r="E1379" i="7"/>
  <c r="E1378" i="7"/>
  <c r="E1377" i="7"/>
  <c r="E1376" i="7"/>
  <c r="E1375" i="7"/>
  <c r="E1374" i="7"/>
  <c r="E1370" i="7"/>
  <c r="E1369" i="7"/>
  <c r="E1368" i="7"/>
  <c r="E1367" i="7"/>
  <c r="E1366" i="7"/>
  <c r="E1365" i="7"/>
  <c r="E1364" i="7"/>
  <c r="E1360" i="7"/>
  <c r="E1359" i="7"/>
  <c r="E1358" i="7"/>
  <c r="E1357" i="7"/>
  <c r="E1356" i="7"/>
  <c r="E1355" i="7"/>
  <c r="E1354" i="7"/>
  <c r="E1350" i="7"/>
  <c r="E1349" i="7"/>
  <c r="E1348" i="7"/>
  <c r="E1347" i="7"/>
  <c r="E1346" i="7"/>
  <c r="E1345" i="7"/>
  <c r="E1344" i="7"/>
  <c r="E1340" i="7"/>
  <c r="E1339" i="7"/>
  <c r="E1338" i="7"/>
  <c r="E1337" i="7"/>
  <c r="E1336" i="7"/>
  <c r="E1335" i="7"/>
  <c r="E1334" i="7"/>
  <c r="E1333" i="7"/>
  <c r="E1332" i="7"/>
  <c r="E1328" i="7"/>
  <c r="E1327" i="7"/>
  <c r="E1326" i="7"/>
  <c r="E1325" i="7"/>
  <c r="E1324" i="7"/>
  <c r="E1323" i="7"/>
  <c r="E1322" i="7"/>
  <c r="E1321" i="7"/>
  <c r="E1320" i="7"/>
  <c r="E1316" i="7"/>
  <c r="E1315" i="7"/>
  <c r="E1314" i="7"/>
  <c r="E1313" i="7"/>
  <c r="E1312" i="7"/>
  <c r="E1311" i="7"/>
  <c r="E1310" i="7"/>
  <c r="E1309" i="7"/>
  <c r="E1308" i="7"/>
  <c r="E1304" i="7"/>
  <c r="E1303" i="7"/>
  <c r="E1302" i="7"/>
  <c r="E1301" i="7"/>
  <c r="E1300" i="7"/>
  <c r="E1299" i="7"/>
  <c r="E1298" i="7"/>
  <c r="E1297" i="7"/>
  <c r="E1296" i="7"/>
  <c r="E1293" i="7"/>
  <c r="E1288" i="7"/>
  <c r="E1287" i="7"/>
  <c r="E1282" i="7"/>
  <c r="E1281" i="7"/>
  <c r="E1276" i="7"/>
  <c r="E1275" i="7"/>
  <c r="E1272" i="7"/>
  <c r="E1269" i="7"/>
  <c r="E1267" i="7"/>
  <c r="E1262" i="7"/>
  <c r="E1261" i="7"/>
  <c r="E1257" i="7"/>
  <c r="E1256" i="7"/>
  <c r="E1251" i="7"/>
  <c r="E1250" i="7"/>
  <c r="E1249" i="7"/>
  <c r="E1248" i="7"/>
  <c r="E1247" i="7"/>
  <c r="E1246" i="7"/>
  <c r="E1241" i="7"/>
  <c r="E1240" i="7"/>
  <c r="E1239" i="7"/>
  <c r="E1238" i="7"/>
  <c r="E1237" i="7"/>
  <c r="E1236" i="7"/>
  <c r="E1234" i="7"/>
  <c r="E1233" i="7"/>
  <c r="E1232" i="7"/>
  <c r="E1231" i="7"/>
  <c r="E1230" i="7"/>
  <c r="E1229" i="7"/>
  <c r="E1228" i="7"/>
  <c r="E1227" i="7"/>
  <c r="E1225" i="7"/>
  <c r="E1224" i="7"/>
  <c r="E1223" i="7"/>
  <c r="E1222" i="7"/>
  <c r="E1221" i="7"/>
  <c r="E1220" i="7"/>
  <c r="E1219" i="7"/>
  <c r="E1218" i="7"/>
  <c r="E1217" i="7"/>
  <c r="E1216" i="7"/>
  <c r="E1213" i="7"/>
  <c r="E1212" i="7"/>
  <c r="E1211" i="7"/>
  <c r="E1210" i="7"/>
  <c r="E1209" i="7"/>
  <c r="E1208" i="7"/>
  <c r="E1207" i="7"/>
  <c r="E1206" i="7"/>
  <c r="E1205" i="7"/>
  <c r="E1204" i="7"/>
  <c r="E1201" i="7"/>
  <c r="E1200" i="7"/>
  <c r="E1199" i="7"/>
  <c r="E1198" i="7"/>
  <c r="E1197" i="7"/>
  <c r="E1196" i="7"/>
  <c r="E1195" i="7"/>
  <c r="E1194" i="7"/>
  <c r="E1193" i="7"/>
  <c r="E1192" i="7"/>
  <c r="E1190" i="7"/>
  <c r="E1189" i="7"/>
  <c r="E1188" i="7"/>
  <c r="E1187" i="7"/>
  <c r="E1186" i="7"/>
  <c r="E1185" i="7"/>
  <c r="E1184" i="7"/>
  <c r="E1183" i="7"/>
  <c r="E1181" i="7"/>
  <c r="E1180" i="7"/>
  <c r="E1179" i="7"/>
  <c r="E1178" i="7"/>
  <c r="E1177" i="7"/>
  <c r="E1176" i="7"/>
  <c r="E1175" i="7"/>
  <c r="E1174" i="7"/>
  <c r="E1173" i="7"/>
  <c r="E1172" i="7"/>
  <c r="E1168" i="7"/>
  <c r="E1162" i="7"/>
  <c r="E1161" i="7"/>
  <c r="E1158" i="7"/>
  <c r="E1157" i="7"/>
  <c r="E1155" i="7"/>
  <c r="E1154" i="7"/>
  <c r="E1153" i="7"/>
  <c r="E1152" i="7"/>
  <c r="E1151" i="7"/>
  <c r="E1150" i="7"/>
  <c r="E1149" i="7"/>
  <c r="E1148" i="7"/>
  <c r="E1147" i="7"/>
  <c r="E1146" i="7"/>
  <c r="E1144" i="7"/>
  <c r="E1143" i="7"/>
  <c r="E1142" i="7"/>
  <c r="E1141" i="7"/>
  <c r="E1140" i="7"/>
  <c r="E1139" i="7"/>
  <c r="E1138" i="7"/>
  <c r="E1137" i="7"/>
  <c r="E1135" i="7"/>
  <c r="E1134" i="7"/>
  <c r="E1133" i="7"/>
  <c r="E1132" i="7"/>
  <c r="E1131" i="7"/>
  <c r="E1130" i="7"/>
  <c r="E1129" i="7"/>
  <c r="E1128" i="7"/>
  <c r="E1124" i="7"/>
  <c r="E1123" i="7"/>
  <c r="E1122" i="7"/>
  <c r="E1121" i="7"/>
  <c r="E1117" i="7"/>
  <c r="E1116" i="7"/>
  <c r="E1115" i="7"/>
  <c r="E1114" i="7"/>
  <c r="E1110" i="7"/>
  <c r="E1109" i="7"/>
  <c r="E1108" i="7"/>
  <c r="E1107" i="7"/>
  <c r="E1103" i="7"/>
  <c r="E1102" i="7"/>
  <c r="E1101" i="7"/>
  <c r="E1100" i="7"/>
  <c r="E1096" i="7"/>
  <c r="E1095" i="7"/>
  <c r="E1094" i="7"/>
  <c r="E1093" i="7"/>
  <c r="E1089" i="7"/>
  <c r="E1088" i="7"/>
  <c r="E1087" i="7"/>
  <c r="E1086" i="7"/>
  <c r="E1082" i="7"/>
  <c r="E1081" i="7"/>
  <c r="E1077" i="7"/>
  <c r="E1076" i="7"/>
  <c r="E1075" i="7"/>
  <c r="E1074" i="7"/>
  <c r="E1069" i="7"/>
  <c r="E1068" i="7"/>
  <c r="E1064" i="7"/>
  <c r="E1063" i="7"/>
  <c r="E1062" i="7"/>
  <c r="E1061" i="7"/>
  <c r="E1057" i="7"/>
  <c r="E1056" i="7"/>
  <c r="E1055" i="7"/>
  <c r="E1054" i="7"/>
  <c r="E1050" i="7"/>
  <c r="E1049" i="7"/>
  <c r="E1048" i="7"/>
  <c r="E1047" i="7"/>
  <c r="E1043" i="7"/>
  <c r="E1042" i="7"/>
  <c r="E1041" i="7"/>
  <c r="E1040" i="7"/>
  <c r="E1038" i="7"/>
  <c r="E1037" i="7"/>
  <c r="E1036" i="7"/>
  <c r="E1030" i="7"/>
  <c r="E1026" i="7"/>
  <c r="E1019" i="7"/>
  <c r="E1018" i="7"/>
  <c r="E1017" i="7"/>
  <c r="E1013" i="7"/>
  <c r="E1012" i="7"/>
  <c r="E1008" i="7"/>
  <c r="E1007" i="7"/>
  <c r="E1006" i="7"/>
  <c r="E1002" i="7"/>
  <c r="E1001" i="7"/>
  <c r="E996" i="7"/>
  <c r="E995" i="7"/>
  <c r="E990" i="7"/>
  <c r="E989" i="7"/>
  <c r="E984" i="7"/>
  <c r="E983" i="7"/>
  <c r="E982" i="7"/>
  <c r="E981" i="7"/>
  <c r="E976" i="7"/>
  <c r="E975" i="7"/>
  <c r="E974" i="7"/>
  <c r="E973" i="7"/>
  <c r="E968" i="7"/>
  <c r="E967" i="7"/>
  <c r="E966" i="7"/>
  <c r="E965" i="7"/>
  <c r="E964" i="7"/>
  <c r="E963" i="7"/>
  <c r="E958" i="7"/>
  <c r="E957" i="7"/>
  <c r="E956" i="7"/>
  <c r="E955" i="7"/>
  <c r="E949" i="7"/>
  <c r="E948" i="7"/>
  <c r="E947" i="7"/>
  <c r="E946" i="7"/>
  <c r="E943" i="7"/>
  <c r="E938" i="7"/>
  <c r="E937" i="7"/>
  <c r="E936" i="7"/>
  <c r="E930" i="7"/>
  <c r="E929" i="7"/>
  <c r="E928" i="7"/>
  <c r="E920" i="7"/>
  <c r="E919" i="7"/>
  <c r="E918" i="7"/>
  <c r="E917" i="7"/>
  <c r="E911" i="7"/>
  <c r="E910" i="7"/>
  <c r="E909" i="7"/>
  <c r="E908" i="7"/>
  <c r="E904" i="7"/>
  <c r="E903" i="7"/>
  <c r="E902" i="7"/>
  <c r="E900" i="7"/>
  <c r="E899" i="7"/>
  <c r="E896" i="7"/>
  <c r="E895" i="7"/>
  <c r="E894" i="7"/>
  <c r="E890" i="7"/>
  <c r="E889" i="7"/>
  <c r="E888" i="7"/>
  <c r="E887" i="7"/>
  <c r="E886" i="7"/>
  <c r="E885" i="7"/>
  <c r="E879" i="7"/>
  <c r="E878" i="7"/>
  <c r="E877" i="7"/>
  <c r="E871" i="7"/>
  <c r="E870" i="7"/>
  <c r="E869" i="7"/>
  <c r="E867" i="7"/>
  <c r="E866" i="7"/>
  <c r="E863" i="7"/>
  <c r="E862" i="7"/>
  <c r="E861" i="7"/>
  <c r="E859" i="7"/>
  <c r="E858" i="7"/>
  <c r="E857" i="7"/>
  <c r="E856" i="7"/>
  <c r="E853" i="7"/>
  <c r="E852" i="7"/>
  <c r="E851" i="7"/>
  <c r="E850" i="7"/>
  <c r="E846" i="7"/>
  <c r="E845" i="7"/>
  <c r="E844" i="7"/>
  <c r="E843" i="7"/>
  <c r="E842" i="7"/>
  <c r="E841" i="7"/>
  <c r="E840" i="7"/>
  <c r="E839" i="7"/>
  <c r="E838" i="7"/>
  <c r="E837" i="7"/>
  <c r="E831" i="7"/>
  <c r="E830" i="7"/>
  <c r="E829" i="7"/>
  <c r="E828" i="7"/>
  <c r="E827" i="7"/>
  <c r="E826" i="7"/>
  <c r="E820" i="7"/>
  <c r="E819" i="7"/>
  <c r="E818" i="7"/>
  <c r="E817" i="7"/>
  <c r="E816" i="7"/>
  <c r="E815" i="7"/>
  <c r="E809" i="7"/>
  <c r="E808" i="7"/>
  <c r="E807" i="7"/>
  <c r="E806" i="7"/>
  <c r="E805" i="7"/>
  <c r="E804" i="7"/>
  <c r="E798" i="7"/>
  <c r="E797" i="7"/>
  <c r="E796" i="7"/>
  <c r="E795" i="7"/>
  <c r="E794" i="7"/>
  <c r="E793" i="7"/>
  <c r="E789" i="7"/>
  <c r="E788" i="7"/>
  <c r="E787" i="7"/>
  <c r="E783" i="7"/>
  <c r="E780" i="7"/>
  <c r="E777" i="7"/>
  <c r="E774" i="7"/>
  <c r="E771" i="7"/>
  <c r="E768" i="7"/>
  <c r="E765" i="7"/>
  <c r="E762" i="7"/>
  <c r="E759" i="7"/>
  <c r="E756" i="7"/>
  <c r="E753" i="7"/>
  <c r="E750" i="7"/>
  <c r="E747" i="7"/>
  <c r="E744" i="7"/>
  <c r="E741" i="7"/>
  <c r="E738" i="7"/>
  <c r="E732" i="7"/>
  <c r="E731" i="7"/>
  <c r="E730" i="7"/>
  <c r="E729" i="7"/>
  <c r="E722" i="7"/>
  <c r="E721" i="7"/>
  <c r="E720" i="7"/>
  <c r="E705" i="7"/>
  <c r="E704" i="7"/>
  <c r="E703" i="7"/>
  <c r="E702" i="7"/>
  <c r="E701" i="7"/>
  <c r="E700" i="7"/>
  <c r="E699" i="7"/>
  <c r="E698" i="7"/>
  <c r="E695" i="7"/>
  <c r="E694" i="7"/>
  <c r="E693" i="7"/>
  <c r="E692" i="7"/>
  <c r="E689" i="7"/>
  <c r="E683" i="7"/>
  <c r="E682" i="7"/>
  <c r="E681" i="7"/>
  <c r="E680" i="7"/>
  <c r="E679" i="7"/>
  <c r="E677" i="7"/>
  <c r="E676" i="7"/>
  <c r="E675" i="7"/>
  <c r="E674" i="7"/>
  <c r="E670" i="7"/>
  <c r="E668" i="7"/>
  <c r="E667" i="7"/>
  <c r="E666" i="7"/>
  <c r="E665" i="7"/>
  <c r="E664" i="7"/>
  <c r="E663" i="7"/>
  <c r="E658" i="7"/>
  <c r="E657" i="7"/>
  <c r="E656" i="7"/>
  <c r="E655" i="7"/>
  <c r="E654" i="7"/>
  <c r="E653" i="7"/>
  <c r="E652" i="7"/>
  <c r="E651" i="7"/>
  <c r="E650" i="7"/>
  <c r="E648" i="7"/>
  <c r="E642" i="7"/>
  <c r="E641" i="7"/>
  <c r="E640" i="7"/>
  <c r="E639" i="7"/>
  <c r="E638" i="7"/>
  <c r="E634" i="7"/>
  <c r="E633" i="7"/>
  <c r="E632" i="7"/>
  <c r="E631" i="7"/>
  <c r="E630" i="7"/>
  <c r="E626" i="7"/>
  <c r="E625" i="7"/>
  <c r="E624" i="7"/>
  <c r="E623" i="7"/>
  <c r="E622" i="7"/>
  <c r="E618" i="7"/>
  <c r="E617" i="7"/>
  <c r="E616" i="7"/>
  <c r="E615" i="7"/>
  <c r="E614" i="7"/>
  <c r="E611" i="7"/>
  <c r="E610" i="7"/>
  <c r="E606" i="7"/>
  <c r="E605" i="7"/>
  <c r="E601" i="7"/>
  <c r="E600" i="7"/>
  <c r="E597" i="7"/>
  <c r="E596" i="7"/>
  <c r="E592" i="7"/>
  <c r="E591" i="7"/>
  <c r="E587" i="7"/>
  <c r="E586" i="7"/>
  <c r="E582" i="7"/>
  <c r="E581" i="7"/>
  <c r="E577" i="7"/>
  <c r="E576" i="7"/>
  <c r="E570" i="7"/>
  <c r="E569" i="7"/>
  <c r="E568" i="7"/>
  <c r="E567" i="7"/>
  <c r="E566" i="7"/>
  <c r="E565" i="7"/>
  <c r="E561" i="7"/>
  <c r="E560" i="7"/>
  <c r="E559" i="7"/>
  <c r="E558" i="7"/>
  <c r="E557" i="7"/>
  <c r="E556" i="7"/>
  <c r="E555" i="7"/>
  <c r="E548" i="7"/>
  <c r="E547" i="7"/>
  <c r="E542" i="7"/>
  <c r="E541" i="7"/>
  <c r="E540" i="7"/>
  <c r="E536" i="7"/>
  <c r="E535" i="7"/>
  <c r="E534" i="7"/>
  <c r="E533" i="7"/>
  <c r="E532" i="7"/>
  <c r="E531" i="7"/>
  <c r="E530" i="7"/>
  <c r="E524" i="7"/>
  <c r="E523" i="7"/>
  <c r="E522" i="7"/>
  <c r="E521" i="7"/>
  <c r="E520" i="7"/>
  <c r="E515" i="7"/>
  <c r="E514" i="7"/>
  <c r="E513" i="7"/>
  <c r="E512" i="7"/>
  <c r="E511" i="7"/>
  <c r="E510" i="7"/>
  <c r="E509" i="7"/>
  <c r="E508" i="7"/>
  <c r="E507" i="7"/>
  <c r="E502" i="7"/>
  <c r="E501" i="7"/>
  <c r="E500" i="7"/>
  <c r="E499" i="7"/>
  <c r="E498" i="7"/>
  <c r="E497" i="7"/>
  <c r="E496" i="7"/>
  <c r="E495" i="7"/>
  <c r="E490" i="7"/>
  <c r="E489" i="7"/>
  <c r="E488" i="7"/>
  <c r="E487" i="7"/>
  <c r="E486" i="7"/>
  <c r="E485" i="7"/>
  <c r="E484" i="7"/>
  <c r="E483" i="7"/>
  <c r="E482" i="7"/>
  <c r="E481" i="7"/>
  <c r="E476" i="7"/>
  <c r="E475" i="7"/>
  <c r="E474" i="7"/>
  <c r="E473" i="7"/>
  <c r="E472" i="7"/>
  <c r="E471" i="7"/>
  <c r="E470" i="7"/>
  <c r="E469" i="7"/>
  <c r="E468" i="7"/>
  <c r="E463" i="7"/>
  <c r="E462" i="7"/>
  <c r="E461" i="7"/>
  <c r="E460" i="7"/>
  <c r="E459" i="7"/>
  <c r="E455" i="7"/>
  <c r="E454" i="7"/>
  <c r="E453" i="7"/>
  <c r="E452" i="7"/>
  <c r="E451" i="7"/>
  <c r="E446" i="7"/>
  <c r="E445" i="7"/>
  <c r="E444" i="7"/>
  <c r="E443" i="7"/>
  <c r="E442" i="7"/>
  <c r="E441" i="7"/>
  <c r="E440" i="7"/>
  <c r="E439" i="7"/>
  <c r="E435" i="7"/>
  <c r="E434" i="7"/>
  <c r="E433" i="7"/>
  <c r="E432" i="7"/>
  <c r="E431" i="7"/>
  <c r="E430" i="7"/>
  <c r="E429" i="7"/>
  <c r="E428" i="7"/>
  <c r="E424" i="7"/>
  <c r="E423" i="7"/>
  <c r="E422" i="7"/>
  <c r="E421" i="7"/>
  <c r="E420" i="7"/>
  <c r="E419" i="7"/>
  <c r="E418" i="7"/>
  <c r="E417" i="7"/>
  <c r="E412" i="7"/>
  <c r="E411" i="7"/>
  <c r="E410" i="7"/>
  <c r="E409" i="7"/>
  <c r="E408" i="7"/>
  <c r="E407" i="7"/>
  <c r="E406" i="7"/>
  <c r="E405" i="7"/>
  <c r="E404" i="7"/>
  <c r="E403" i="7"/>
  <c r="E399" i="7"/>
  <c r="E398" i="7"/>
  <c r="E397" i="7"/>
  <c r="E396" i="7"/>
  <c r="E392" i="7"/>
  <c r="E391" i="7"/>
  <c r="E390" i="7"/>
  <c r="E389" i="7"/>
  <c r="E385" i="7"/>
  <c r="E384" i="7"/>
  <c r="E383" i="7"/>
  <c r="E382" i="7"/>
  <c r="E374" i="7"/>
  <c r="E373" i="7"/>
  <c r="E372" i="7"/>
  <c r="E371" i="7"/>
  <c r="E370" i="7"/>
  <c r="E369" i="7"/>
  <c r="E365" i="7"/>
  <c r="E364" i="7"/>
  <c r="E363" i="7"/>
  <c r="E362" i="7"/>
  <c r="E361" i="7"/>
  <c r="E360" i="7"/>
  <c r="E354" i="7"/>
  <c r="E353" i="7"/>
  <c r="E352" i="7"/>
  <c r="E351" i="7"/>
  <c r="E350" i="7"/>
  <c r="E349" i="7"/>
  <c r="E348" i="7"/>
  <c r="E347" i="7"/>
  <c r="E343" i="7"/>
  <c r="E342" i="7"/>
  <c r="E341" i="7"/>
  <c r="E340" i="7"/>
  <c r="E339" i="7"/>
  <c r="E334" i="7"/>
  <c r="E333" i="7"/>
  <c r="E332" i="7"/>
  <c r="E331" i="7"/>
  <c r="E330" i="7"/>
  <c r="E329" i="7"/>
  <c r="E328" i="7"/>
  <c r="E327" i="7"/>
  <c r="E323" i="7"/>
  <c r="E322" i="7"/>
  <c r="E321" i="7"/>
  <c r="E320" i="7"/>
  <c r="E319" i="7"/>
  <c r="E318" i="7"/>
  <c r="E317" i="7"/>
  <c r="E316" i="7"/>
  <c r="E311" i="7"/>
  <c r="E310" i="7"/>
  <c r="E305" i="7"/>
  <c r="E304" i="7"/>
  <c r="E303" i="7"/>
  <c r="E298" i="7"/>
  <c r="E297" i="7"/>
  <c r="E296" i="7"/>
  <c r="E295" i="7"/>
  <c r="E290" i="7"/>
  <c r="E289" i="7"/>
  <c r="E284" i="7"/>
  <c r="E283" i="7"/>
  <c r="E282" i="7"/>
  <c r="E281" i="7"/>
  <c r="E274" i="7"/>
  <c r="E273" i="7"/>
  <c r="E272" i="7"/>
  <c r="E271" i="7"/>
  <c r="E265" i="7"/>
  <c r="E264" i="7"/>
  <c r="E263" i="7"/>
  <c r="E262" i="7"/>
  <c r="E256" i="7"/>
  <c r="E255" i="7"/>
  <c r="E254" i="7"/>
  <c r="E248" i="7"/>
  <c r="E247" i="7"/>
  <c r="E246" i="7"/>
  <c r="E241" i="7"/>
  <c r="E240" i="7"/>
  <c r="E239" i="7"/>
  <c r="E234" i="7"/>
  <c r="E233" i="7"/>
  <c r="E228" i="7"/>
  <c r="E227" i="7"/>
  <c r="E221" i="7"/>
  <c r="E220" i="7"/>
  <c r="E219" i="7"/>
  <c r="E218" i="7"/>
  <c r="E217" i="7"/>
  <c r="E216" i="7"/>
  <c r="E210" i="7"/>
  <c r="E209" i="7"/>
  <c r="E208" i="7"/>
  <c r="E207" i="7"/>
  <c r="E206" i="7"/>
  <c r="E205" i="7"/>
  <c r="E204" i="7"/>
  <c r="E203" i="7"/>
  <c r="E202" i="7"/>
  <c r="E201" i="7"/>
  <c r="E200" i="7"/>
  <c r="E194" i="7"/>
  <c r="E193" i="7"/>
  <c r="E192" i="7"/>
  <c r="E191" i="7"/>
  <c r="E190" i="7"/>
  <c r="E189" i="7"/>
  <c r="E183" i="7"/>
  <c r="E182" i="7"/>
  <c r="E181" i="7"/>
  <c r="E180" i="7"/>
  <c r="E179" i="7"/>
  <c r="E173" i="7"/>
  <c r="E172" i="7"/>
  <c r="E171" i="7"/>
  <c r="E170" i="7"/>
  <c r="E169" i="7"/>
  <c r="E168" i="7"/>
  <c r="E162" i="7"/>
  <c r="E161" i="7"/>
  <c r="E160" i="7"/>
  <c r="E159" i="7"/>
  <c r="E158" i="7"/>
  <c r="E157" i="7"/>
  <c r="E154" i="7"/>
  <c r="E153" i="7"/>
  <c r="E152" i="7"/>
  <c r="E151" i="7"/>
  <c r="E150" i="7"/>
  <c r="E149" i="7"/>
  <c r="E148" i="7"/>
  <c r="E147" i="7"/>
  <c r="E146" i="7"/>
  <c r="E143" i="7"/>
  <c r="E142" i="7"/>
  <c r="E141" i="7"/>
  <c r="E140" i="7"/>
  <c r="E139" i="7"/>
  <c r="E138" i="7"/>
  <c r="E137" i="7"/>
  <c r="E136" i="7"/>
  <c r="E132" i="7"/>
  <c r="E131" i="7"/>
  <c r="E130" i="7"/>
  <c r="E129" i="7"/>
  <c r="E128" i="7"/>
  <c r="E127" i="7"/>
  <c r="E126" i="7"/>
  <c r="E125" i="7"/>
  <c r="E124" i="7"/>
  <c r="E123" i="7"/>
  <c r="E118" i="7"/>
  <c r="E117" i="7"/>
  <c r="E116" i="7"/>
  <c r="E110" i="7"/>
  <c r="E109" i="7"/>
  <c r="E108" i="7"/>
  <c r="E102" i="7"/>
  <c r="E101" i="7"/>
  <c r="E100" i="7"/>
  <c r="E97" i="7"/>
  <c r="E96" i="7"/>
  <c r="E93" i="7"/>
  <c r="E90" i="7"/>
  <c r="E89" i="7"/>
  <c r="E88" i="7"/>
  <c r="E87" i="7"/>
  <c r="E86" i="7"/>
  <c r="E85" i="7"/>
  <c r="E84" i="7"/>
  <c r="E83" i="7"/>
  <c r="E82" i="7"/>
  <c r="E76" i="7"/>
  <c r="E75" i="7"/>
  <c r="E74" i="7"/>
  <c r="E73" i="7"/>
  <c r="E72" i="7"/>
  <c r="E71" i="7"/>
  <c r="E70" i="7"/>
  <c r="E64" i="7"/>
  <c r="E58" i="7"/>
  <c r="E57" i="7"/>
  <c r="E56" i="7"/>
  <c r="E55" i="7"/>
  <c r="E54" i="7"/>
  <c r="E48" i="7"/>
  <c r="E47" i="7"/>
  <c r="E46" i="7"/>
  <c r="E45" i="7"/>
  <c r="E44" i="7"/>
  <c r="E40" i="7"/>
  <c r="E39" i="7"/>
  <c r="E34" i="7"/>
  <c r="E33" i="7"/>
  <c r="E32" i="7"/>
  <c r="E31" i="7"/>
  <c r="E30" i="7"/>
  <c r="E29" i="7"/>
  <c r="E28" i="7"/>
  <c r="E24" i="7"/>
  <c r="E23" i="7"/>
  <c r="E22" i="7"/>
  <c r="E18" i="7"/>
  <c r="E17" i="7"/>
  <c r="E13" i="7"/>
  <c r="E12" i="7"/>
  <c r="E11" i="7"/>
  <c r="E10" i="7"/>
  <c r="K1687" i="7"/>
  <c r="K1686" i="7"/>
  <c r="K1685" i="7"/>
  <c r="K1684" i="7"/>
  <c r="K1683" i="7"/>
  <c r="K1682" i="7"/>
  <c r="K1679" i="7"/>
  <c r="K1674" i="7"/>
  <c r="K1673" i="7"/>
  <c r="K1672" i="7"/>
  <c r="K1671" i="7"/>
  <c r="K1670" i="7"/>
  <c r="K1669" i="7"/>
  <c r="K1663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76" i="7"/>
  <c r="K1575" i="7"/>
  <c r="K1574" i="7"/>
  <c r="K1573" i="7"/>
  <c r="K1530" i="7"/>
  <c r="K1526" i="7"/>
  <c r="K1523" i="7"/>
  <c r="K1520" i="7"/>
  <c r="K1516" i="7"/>
  <c r="K1505" i="7"/>
  <c r="K1501" i="7"/>
  <c r="K1497" i="7"/>
  <c r="K1484" i="7"/>
  <c r="K1482" i="7"/>
  <c r="K1480" i="7"/>
  <c r="K1478" i="7"/>
  <c r="K1476" i="7"/>
  <c r="K1473" i="7"/>
  <c r="K1471" i="7"/>
  <c r="K1469" i="7"/>
  <c r="K1467" i="7"/>
  <c r="K1465" i="7"/>
  <c r="K1463" i="7"/>
  <c r="K1461" i="7"/>
  <c r="K1459" i="7"/>
  <c r="K1457" i="7"/>
  <c r="K1455" i="7"/>
  <c r="K1453" i="7"/>
  <c r="K1450" i="7"/>
  <c r="K1447" i="7"/>
  <c r="K1440" i="7"/>
  <c r="K1438" i="7"/>
  <c r="K1436" i="7"/>
  <c r="K1434" i="7"/>
  <c r="K1432" i="7"/>
  <c r="K1430" i="7"/>
  <c r="K1425" i="7"/>
  <c r="K1420" i="7"/>
  <c r="K1417" i="7"/>
  <c r="K1414" i="7"/>
  <c r="K1411" i="7"/>
  <c r="K1408" i="7"/>
  <c r="K1405" i="7"/>
  <c r="K1402" i="7"/>
  <c r="K1401" i="7"/>
  <c r="K1400" i="7"/>
  <c r="K1392" i="7"/>
  <c r="K1391" i="7"/>
  <c r="K1390" i="7"/>
  <c r="K1383" i="7"/>
  <c r="K1382" i="7"/>
  <c r="K1381" i="7"/>
  <c r="K1373" i="7"/>
  <c r="K1372" i="7"/>
  <c r="K1371" i="7"/>
  <c r="K1363" i="7"/>
  <c r="K1362" i="7"/>
  <c r="K1361" i="7"/>
  <c r="K1353" i="7"/>
  <c r="K1352" i="7"/>
  <c r="K1351" i="7"/>
  <c r="K1343" i="7"/>
  <c r="K1342" i="7"/>
  <c r="K1341" i="7"/>
  <c r="K1331" i="7"/>
  <c r="K1330" i="7"/>
  <c r="K1329" i="7"/>
  <c r="K1319" i="7"/>
  <c r="K1318" i="7"/>
  <c r="K1317" i="7"/>
  <c r="K1307" i="7"/>
  <c r="K1306" i="7"/>
  <c r="K1305" i="7"/>
  <c r="K1295" i="7"/>
  <c r="K1292" i="7"/>
  <c r="K1291" i="7"/>
  <c r="K1286" i="7"/>
  <c r="K1285" i="7"/>
  <c r="K1280" i="7"/>
  <c r="K1279" i="7"/>
  <c r="K1274" i="7"/>
  <c r="K1271" i="7"/>
  <c r="K1266" i="7"/>
  <c r="K1260" i="7"/>
  <c r="K1255" i="7"/>
  <c r="K1254" i="7"/>
  <c r="K1253" i="7"/>
  <c r="K1252" i="7"/>
  <c r="K1245" i="7"/>
  <c r="K1244" i="7"/>
  <c r="K1243" i="7"/>
  <c r="K1242" i="7"/>
  <c r="K1235" i="7"/>
  <c r="K1226" i="7"/>
  <c r="K1215" i="7"/>
  <c r="K1214" i="7"/>
  <c r="K1203" i="7"/>
  <c r="K1202" i="7"/>
  <c r="K1191" i="7"/>
  <c r="K1182" i="7"/>
  <c r="K1171" i="7"/>
  <c r="K1166" i="7"/>
  <c r="K1164" i="7"/>
  <c r="K1160" i="7"/>
  <c r="K1159" i="7"/>
  <c r="K1156" i="7"/>
  <c r="K1145" i="7"/>
  <c r="K1136" i="7"/>
  <c r="K1127" i="7"/>
  <c r="K1120" i="7"/>
  <c r="K1113" i="7"/>
  <c r="K1106" i="7"/>
  <c r="K1099" i="7"/>
  <c r="K1092" i="7"/>
  <c r="K1085" i="7"/>
  <c r="K1080" i="7"/>
  <c r="K1073" i="7"/>
  <c r="K1072" i="7"/>
  <c r="K1067" i="7"/>
  <c r="K1060" i="7"/>
  <c r="K1053" i="7"/>
  <c r="K1046" i="7"/>
  <c r="K1039" i="7"/>
  <c r="K1033" i="7"/>
  <c r="K1029" i="7"/>
  <c r="K1025" i="7"/>
  <c r="K1024" i="7"/>
  <c r="K1023" i="7"/>
  <c r="K1016" i="7"/>
  <c r="K1011" i="7"/>
  <c r="K1005" i="7"/>
  <c r="K1000" i="7"/>
  <c r="K999" i="7"/>
  <c r="K994" i="7"/>
  <c r="K993" i="7"/>
  <c r="K988" i="7"/>
  <c r="K987" i="7"/>
  <c r="K980" i="7"/>
  <c r="K979" i="7"/>
  <c r="K972" i="7"/>
  <c r="K962" i="7"/>
  <c r="K961" i="7"/>
  <c r="K954" i="7"/>
  <c r="K953" i="7"/>
  <c r="K952" i="7"/>
  <c r="K945" i="7"/>
  <c r="K942" i="7"/>
  <c r="K940" i="7"/>
  <c r="K935" i="7"/>
  <c r="K934" i="7"/>
  <c r="K933" i="7"/>
  <c r="K926" i="7"/>
  <c r="K925" i="7"/>
  <c r="K924" i="7"/>
  <c r="K923" i="7"/>
  <c r="K916" i="7"/>
  <c r="K915" i="7"/>
  <c r="K914" i="7"/>
  <c r="K907" i="7"/>
  <c r="K901" i="7"/>
  <c r="K893" i="7"/>
  <c r="K884" i="7"/>
  <c r="K883" i="7"/>
  <c r="K882" i="7"/>
  <c r="K876" i="7"/>
  <c r="K875" i="7"/>
  <c r="K874" i="7"/>
  <c r="K868" i="7"/>
  <c r="K860" i="7"/>
  <c r="K848" i="7"/>
  <c r="K847" i="7"/>
  <c r="K836" i="7"/>
  <c r="K835" i="7"/>
  <c r="K834" i="7"/>
  <c r="K825" i="7"/>
  <c r="K824" i="7"/>
  <c r="K823" i="7"/>
  <c r="K814" i="7"/>
  <c r="K813" i="7"/>
  <c r="K812" i="7"/>
  <c r="K803" i="7"/>
  <c r="K802" i="7"/>
  <c r="K801" i="7"/>
  <c r="K792" i="7"/>
  <c r="K785" i="7"/>
  <c r="K784" i="7"/>
  <c r="K781" i="7"/>
  <c r="K778" i="7"/>
  <c r="K775" i="7"/>
  <c r="K772" i="7"/>
  <c r="K769" i="7"/>
  <c r="K766" i="7"/>
  <c r="K763" i="7"/>
  <c r="K760" i="7"/>
  <c r="K757" i="7"/>
  <c r="K754" i="7"/>
  <c r="K751" i="7"/>
  <c r="K748" i="7"/>
  <c r="K745" i="7"/>
  <c r="K742" i="7"/>
  <c r="K739" i="7"/>
  <c r="K736" i="7"/>
  <c r="K726" i="7"/>
  <c r="K718" i="7"/>
  <c r="K708" i="7"/>
  <c r="K697" i="7"/>
  <c r="K684" i="7"/>
  <c r="K662" i="7"/>
  <c r="K649" i="7"/>
  <c r="K573" i="7"/>
  <c r="K572" i="7"/>
  <c r="K571" i="7"/>
  <c r="K563" i="7"/>
  <c r="K562" i="7"/>
  <c r="K551" i="7"/>
  <c r="K550" i="7"/>
  <c r="K549" i="7"/>
  <c r="K544" i="7"/>
  <c r="K543" i="7"/>
  <c r="K537" i="7"/>
  <c r="K527" i="7"/>
  <c r="K526" i="7"/>
  <c r="K525" i="7"/>
  <c r="K517" i="7"/>
  <c r="K516" i="7"/>
  <c r="K504" i="7"/>
  <c r="K503" i="7"/>
  <c r="K492" i="7"/>
  <c r="K491" i="7"/>
  <c r="K478" i="7"/>
  <c r="K477" i="7"/>
  <c r="K465" i="7"/>
  <c r="K464" i="7"/>
  <c r="K456" i="7"/>
  <c r="K448" i="7"/>
  <c r="K447" i="7"/>
  <c r="K436" i="7"/>
  <c r="K425" i="7"/>
  <c r="K414" i="7"/>
  <c r="K413" i="7"/>
  <c r="K400" i="7"/>
  <c r="K393" i="7"/>
  <c r="K386" i="7"/>
  <c r="K378" i="7"/>
  <c r="K377" i="7"/>
  <c r="K376" i="7"/>
  <c r="K375" i="7"/>
  <c r="K367" i="7"/>
  <c r="K366" i="7"/>
  <c r="K358" i="7"/>
  <c r="K357" i="7"/>
  <c r="K356" i="7"/>
  <c r="K355" i="7"/>
  <c r="K345" i="7"/>
  <c r="K344" i="7"/>
  <c r="K336" i="7"/>
  <c r="K335" i="7"/>
  <c r="K324" i="7"/>
  <c r="K313" i="7"/>
  <c r="K312" i="7"/>
  <c r="K307" i="7"/>
  <c r="K306" i="7"/>
  <c r="K300" i="7"/>
  <c r="K299" i="7"/>
  <c r="K292" i="7"/>
  <c r="K291" i="7"/>
  <c r="K286" i="7"/>
  <c r="K285" i="7"/>
  <c r="K278" i="7"/>
  <c r="K277" i="7"/>
  <c r="K276" i="7"/>
  <c r="K275" i="7"/>
  <c r="K268" i="7"/>
  <c r="K267" i="7"/>
  <c r="K266" i="7"/>
  <c r="K259" i="7"/>
  <c r="K258" i="7"/>
  <c r="K257" i="7"/>
  <c r="K251" i="7"/>
  <c r="K250" i="7"/>
  <c r="K249" i="7"/>
  <c r="K243" i="7"/>
  <c r="K242" i="7"/>
  <c r="K236" i="7"/>
  <c r="K235" i="7"/>
  <c r="K230" i="7"/>
  <c r="K229" i="7"/>
  <c r="K224" i="7"/>
  <c r="K223" i="7"/>
  <c r="K222" i="7"/>
  <c r="K213" i="7"/>
  <c r="K212" i="7"/>
  <c r="K211" i="7"/>
  <c r="K197" i="7"/>
  <c r="K196" i="7"/>
  <c r="K195" i="7"/>
  <c r="K186" i="7"/>
  <c r="K185" i="7"/>
  <c r="K184" i="7"/>
  <c r="K176" i="7"/>
  <c r="K175" i="7"/>
  <c r="K174" i="7"/>
  <c r="K165" i="7"/>
  <c r="K164" i="7"/>
  <c r="K163" i="7"/>
  <c r="K144" i="7"/>
  <c r="K133" i="7"/>
  <c r="K120" i="7"/>
  <c r="K119" i="7"/>
  <c r="K113" i="7"/>
  <c r="K112" i="7"/>
  <c r="K111" i="7"/>
  <c r="K105" i="7"/>
  <c r="K104" i="7"/>
  <c r="K103" i="7"/>
  <c r="K79" i="7"/>
  <c r="K78" i="7"/>
  <c r="K77" i="7"/>
  <c r="K67" i="7"/>
  <c r="K66" i="7"/>
  <c r="K65" i="7"/>
  <c r="K61" i="7"/>
  <c r="K60" i="7"/>
  <c r="K59" i="7"/>
  <c r="K51" i="7"/>
  <c r="K50" i="7"/>
  <c r="K49" i="7"/>
  <c r="K42" i="7"/>
  <c r="K41" i="7"/>
  <c r="K36" i="7"/>
  <c r="K35" i="7"/>
  <c r="K19" i="7"/>
  <c r="I1687" i="7"/>
  <c r="J1687" i="7" s="1"/>
  <c r="I1686" i="7"/>
  <c r="J1686" i="7" s="1"/>
  <c r="I1685" i="7"/>
  <c r="J1685" i="7" s="1"/>
  <c r="I1684" i="7"/>
  <c r="J1684" i="7" s="1"/>
  <c r="I1683" i="7"/>
  <c r="J1683" i="7" s="1"/>
  <c r="I1682" i="7"/>
  <c r="J1682" i="7" s="1"/>
  <c r="I1679" i="7"/>
  <c r="J1679" i="7" s="1"/>
  <c r="I1674" i="7"/>
  <c r="J1674" i="7" s="1"/>
  <c r="I1673" i="7"/>
  <c r="J1673" i="7" s="1"/>
  <c r="I1672" i="7"/>
  <c r="J1672" i="7" s="1"/>
  <c r="I1671" i="7"/>
  <c r="J1671" i="7" s="1"/>
  <c r="I1670" i="7"/>
  <c r="J1670" i="7" s="1"/>
  <c r="I1669" i="7"/>
  <c r="J1669" i="7" s="1"/>
  <c r="I1663" i="7"/>
  <c r="J1663" i="7" s="1"/>
  <c r="L22" i="6" s="1"/>
  <c r="I1589" i="7"/>
  <c r="J1589" i="7" s="1"/>
  <c r="I1588" i="7"/>
  <c r="J1588" i="7" s="1"/>
  <c r="I1587" i="7"/>
  <c r="J1587" i="7" s="1"/>
  <c r="I1586" i="7"/>
  <c r="J1586" i="7" s="1"/>
  <c r="I1585" i="7"/>
  <c r="J1585" i="7" s="1"/>
  <c r="I1584" i="7"/>
  <c r="J1584" i="7" s="1"/>
  <c r="I1583" i="7"/>
  <c r="J1583" i="7" s="1"/>
  <c r="I1582" i="7"/>
  <c r="J1582" i="7" s="1"/>
  <c r="I1581" i="7"/>
  <c r="J1581" i="7" s="1"/>
  <c r="I1580" i="7"/>
  <c r="J1580" i="7" s="1"/>
  <c r="I1579" i="7"/>
  <c r="J1579" i="7" s="1"/>
  <c r="I1578" i="7"/>
  <c r="J1578" i="7" s="1"/>
  <c r="I1577" i="7"/>
  <c r="J1577" i="7" s="1"/>
  <c r="I1576" i="7"/>
  <c r="J1576" i="7" s="1"/>
  <c r="I1575" i="7"/>
  <c r="J1575" i="7" s="1"/>
  <c r="I1574" i="7"/>
  <c r="J1574" i="7" s="1"/>
  <c r="I1573" i="7"/>
  <c r="J1573" i="7" s="1"/>
  <c r="I1530" i="7"/>
  <c r="J1530" i="7" s="1"/>
  <c r="I1526" i="7"/>
  <c r="J1526" i="7" s="1"/>
  <c r="I1523" i="7"/>
  <c r="J1523" i="7" s="1"/>
  <c r="L241" i="6" s="1"/>
  <c r="I1520" i="7"/>
  <c r="J1520" i="7" s="1"/>
  <c r="L240" i="6" s="1"/>
  <c r="I1516" i="7"/>
  <c r="J1516" i="7" s="1"/>
  <c r="L239" i="6" s="1"/>
  <c r="I1505" i="7"/>
  <c r="J1505" i="7" s="1"/>
  <c r="I1501" i="7"/>
  <c r="J1501" i="7" s="1"/>
  <c r="L234" i="6" s="1"/>
  <c r="I1497" i="7"/>
  <c r="J1497" i="7" s="1"/>
  <c r="L233" i="6" s="1"/>
  <c r="I1484" i="7"/>
  <c r="J1484" i="7" s="1"/>
  <c r="I1482" i="7"/>
  <c r="J1482" i="7" s="1"/>
  <c r="I1480" i="7"/>
  <c r="J1480" i="7" s="1"/>
  <c r="I1478" i="7"/>
  <c r="J1478" i="7" s="1"/>
  <c r="I1476" i="7"/>
  <c r="J1476" i="7" s="1"/>
  <c r="I1473" i="7"/>
  <c r="J1473" i="7" s="1"/>
  <c r="L221" i="6" s="1"/>
  <c r="I1471" i="7"/>
  <c r="J1471" i="7" s="1"/>
  <c r="L220" i="6" s="1"/>
  <c r="I1469" i="7"/>
  <c r="J1469" i="7" s="1"/>
  <c r="L219" i="6" s="1"/>
  <c r="I1467" i="7"/>
  <c r="J1467" i="7" s="1"/>
  <c r="L218" i="6" s="1"/>
  <c r="I1465" i="7"/>
  <c r="J1465" i="7" s="1"/>
  <c r="L217" i="6" s="1"/>
  <c r="I1463" i="7"/>
  <c r="J1463" i="7" s="1"/>
  <c r="L216" i="6" s="1"/>
  <c r="I1461" i="7"/>
  <c r="J1461" i="7" s="1"/>
  <c r="I1459" i="7"/>
  <c r="J1459" i="7" s="1"/>
  <c r="I1457" i="7"/>
  <c r="J1457" i="7" s="1"/>
  <c r="I1455" i="7"/>
  <c r="J1455" i="7" s="1"/>
  <c r="I1453" i="7"/>
  <c r="J1453" i="7" s="1"/>
  <c r="I1450" i="7"/>
  <c r="J1450" i="7" s="1"/>
  <c r="L209" i="6" s="1"/>
  <c r="I1447" i="7"/>
  <c r="J1447" i="7" s="1"/>
  <c r="L208" i="6" s="1"/>
  <c r="I1440" i="7"/>
  <c r="J1440" i="7" s="1"/>
  <c r="L207" i="6" s="1"/>
  <c r="I1438" i="7"/>
  <c r="J1438" i="7" s="1"/>
  <c r="L206" i="6" s="1"/>
  <c r="I1436" i="7"/>
  <c r="J1436" i="7" s="1"/>
  <c r="L205" i="6" s="1"/>
  <c r="I1434" i="7"/>
  <c r="J1434" i="7" s="1"/>
  <c r="L204" i="6" s="1"/>
  <c r="I1432" i="7"/>
  <c r="J1432" i="7" s="1"/>
  <c r="L203" i="6" s="1"/>
  <c r="I1430" i="7"/>
  <c r="J1430" i="7" s="1"/>
  <c r="L202" i="6" s="1"/>
  <c r="I1425" i="7"/>
  <c r="J1425" i="7" s="1"/>
  <c r="L201" i="6" s="1"/>
  <c r="I1420" i="7"/>
  <c r="J1420" i="7" s="1"/>
  <c r="L200" i="6" s="1"/>
  <c r="I1417" i="7"/>
  <c r="J1417" i="7" s="1"/>
  <c r="I1414" i="7"/>
  <c r="J1414" i="7" s="1"/>
  <c r="I1411" i="7"/>
  <c r="J1411" i="7" s="1"/>
  <c r="I1408" i="7"/>
  <c r="J1408" i="7" s="1"/>
  <c r="I1405" i="7"/>
  <c r="J1405" i="7" s="1"/>
  <c r="I1402" i="7"/>
  <c r="J1402" i="7" s="1"/>
  <c r="I1401" i="7"/>
  <c r="J1401" i="7" s="1"/>
  <c r="I1400" i="7"/>
  <c r="J1400" i="7" s="1"/>
  <c r="I1392" i="7"/>
  <c r="J1392" i="7" s="1"/>
  <c r="I1391" i="7"/>
  <c r="J1391" i="7" s="1"/>
  <c r="I1390" i="7"/>
  <c r="J1390" i="7" s="1"/>
  <c r="I1383" i="7"/>
  <c r="J1383" i="7" s="1"/>
  <c r="I1382" i="7"/>
  <c r="J1382" i="7" s="1"/>
  <c r="I1381" i="7"/>
  <c r="J1381" i="7" s="1"/>
  <c r="I1373" i="7"/>
  <c r="J1373" i="7" s="1"/>
  <c r="I1372" i="7"/>
  <c r="J1372" i="7" s="1"/>
  <c r="I1371" i="7"/>
  <c r="J1371" i="7" s="1"/>
  <c r="I1363" i="7"/>
  <c r="J1363" i="7" s="1"/>
  <c r="I1362" i="7"/>
  <c r="J1362" i="7" s="1"/>
  <c r="I1361" i="7"/>
  <c r="J1361" i="7" s="1"/>
  <c r="I1353" i="7"/>
  <c r="J1353" i="7" s="1"/>
  <c r="I1352" i="7"/>
  <c r="J1352" i="7" s="1"/>
  <c r="I1351" i="7"/>
  <c r="J1351" i="7" s="1"/>
  <c r="I1343" i="7"/>
  <c r="J1343" i="7" s="1"/>
  <c r="I1342" i="7"/>
  <c r="J1342" i="7" s="1"/>
  <c r="I1341" i="7"/>
  <c r="J1341" i="7" s="1"/>
  <c r="I1331" i="7"/>
  <c r="J1331" i="7" s="1"/>
  <c r="I1330" i="7"/>
  <c r="J1330" i="7" s="1"/>
  <c r="I1329" i="7"/>
  <c r="J1329" i="7" s="1"/>
  <c r="I1319" i="7"/>
  <c r="J1319" i="7" s="1"/>
  <c r="I1318" i="7"/>
  <c r="J1318" i="7" s="1"/>
  <c r="I1317" i="7"/>
  <c r="J1317" i="7" s="1"/>
  <c r="I1307" i="7"/>
  <c r="J1307" i="7" s="1"/>
  <c r="I1306" i="7"/>
  <c r="J1306" i="7" s="1"/>
  <c r="I1305" i="7"/>
  <c r="J1305" i="7" s="1"/>
  <c r="I1295" i="7"/>
  <c r="J1295" i="7" s="1"/>
  <c r="I1292" i="7"/>
  <c r="J1292" i="7" s="1"/>
  <c r="I1291" i="7"/>
  <c r="J1291" i="7" s="1"/>
  <c r="I1286" i="7"/>
  <c r="J1286" i="7" s="1"/>
  <c r="I1285" i="7"/>
  <c r="J1285" i="7" s="1"/>
  <c r="I1280" i="7"/>
  <c r="J1280" i="7" s="1"/>
  <c r="I1279" i="7"/>
  <c r="J1279" i="7" s="1"/>
  <c r="I1274" i="7"/>
  <c r="J1274" i="7" s="1"/>
  <c r="L180" i="6" s="1"/>
  <c r="I1271" i="7"/>
  <c r="J1271" i="7" s="1"/>
  <c r="L179" i="6" s="1"/>
  <c r="I1266" i="7"/>
  <c r="J1266" i="7" s="1"/>
  <c r="I1260" i="7"/>
  <c r="J1260" i="7" s="1"/>
  <c r="I1255" i="7"/>
  <c r="J1255" i="7" s="1"/>
  <c r="I1254" i="7"/>
  <c r="J1254" i="7" s="1"/>
  <c r="I1253" i="7"/>
  <c r="J1253" i="7" s="1"/>
  <c r="I1252" i="7"/>
  <c r="J1252" i="7" s="1"/>
  <c r="I1245" i="7"/>
  <c r="J1245" i="7" s="1"/>
  <c r="I1244" i="7"/>
  <c r="J1244" i="7" s="1"/>
  <c r="I1243" i="7"/>
  <c r="J1243" i="7" s="1"/>
  <c r="I1242" i="7"/>
  <c r="J1242" i="7" s="1"/>
  <c r="I1235" i="7"/>
  <c r="J1235" i="7" s="1"/>
  <c r="I1226" i="7"/>
  <c r="J1226" i="7" s="1"/>
  <c r="I1215" i="7"/>
  <c r="J1215" i="7" s="1"/>
  <c r="I1214" i="7"/>
  <c r="J1214" i="7" s="1"/>
  <c r="I1203" i="7"/>
  <c r="J1203" i="7" s="1"/>
  <c r="I1202" i="7"/>
  <c r="J1202" i="7" s="1"/>
  <c r="I1191" i="7"/>
  <c r="J1191" i="7" s="1"/>
  <c r="I1182" i="7"/>
  <c r="J1182" i="7" s="1"/>
  <c r="I1171" i="7"/>
  <c r="J1171" i="7" s="1"/>
  <c r="L168" i="6" s="1"/>
  <c r="I1166" i="7"/>
  <c r="J1166" i="7" s="1"/>
  <c r="I1164" i="7"/>
  <c r="J1164" i="7" s="1"/>
  <c r="I1160" i="7"/>
  <c r="J1160" i="7" s="1"/>
  <c r="I1159" i="7"/>
  <c r="J1159" i="7" s="1"/>
  <c r="I1156" i="7"/>
  <c r="J1156" i="7" s="1"/>
  <c r="I1145" i="7"/>
  <c r="J1145" i="7" s="1"/>
  <c r="I1136" i="7"/>
  <c r="J1136" i="7" s="1"/>
  <c r="I1127" i="7"/>
  <c r="J1127" i="7" s="1"/>
  <c r="I1120" i="7"/>
  <c r="J1120" i="7" s="1"/>
  <c r="I1113" i="7"/>
  <c r="J1113" i="7" s="1"/>
  <c r="I1106" i="7"/>
  <c r="J1106" i="7" s="1"/>
  <c r="I1099" i="7"/>
  <c r="J1099" i="7" s="1"/>
  <c r="I1092" i="7"/>
  <c r="J1092" i="7" s="1"/>
  <c r="I1085" i="7"/>
  <c r="J1085" i="7" s="1"/>
  <c r="L154" i="6" s="1"/>
  <c r="I1080" i="7"/>
  <c r="J1080" i="7" s="1"/>
  <c r="I1073" i="7"/>
  <c r="J1073" i="7" s="1"/>
  <c r="I1072" i="7"/>
  <c r="J1072" i="7" s="1"/>
  <c r="I1067" i="7"/>
  <c r="J1067" i="7" s="1"/>
  <c r="I1060" i="7"/>
  <c r="J1060" i="7" s="1"/>
  <c r="I1053" i="7"/>
  <c r="J1053" i="7" s="1"/>
  <c r="I1046" i="7"/>
  <c r="J1046" i="7" s="1"/>
  <c r="I1039" i="7"/>
  <c r="J1039" i="7" s="1"/>
  <c r="L146" i="6" s="1"/>
  <c r="I1033" i="7"/>
  <c r="J1033" i="7" s="1"/>
  <c r="I1029" i="7"/>
  <c r="J1029" i="7" s="1"/>
  <c r="I1025" i="7"/>
  <c r="J1025" i="7" s="1"/>
  <c r="I1024" i="7"/>
  <c r="J1024" i="7" s="1"/>
  <c r="I1023" i="7"/>
  <c r="J1023" i="7" s="1"/>
  <c r="I1016" i="7"/>
  <c r="J1016" i="7" s="1"/>
  <c r="L142" i="6" s="1"/>
  <c r="I1011" i="7"/>
  <c r="J1011" i="7" s="1"/>
  <c r="L141" i="6" s="1"/>
  <c r="I1005" i="7"/>
  <c r="J1005" i="7" s="1"/>
  <c r="L140" i="6" s="1"/>
  <c r="I1000" i="7"/>
  <c r="J1000" i="7" s="1"/>
  <c r="I999" i="7"/>
  <c r="J999" i="7" s="1"/>
  <c r="I994" i="7"/>
  <c r="J994" i="7" s="1"/>
  <c r="I993" i="7"/>
  <c r="J993" i="7" s="1"/>
  <c r="I988" i="7"/>
  <c r="J988" i="7" s="1"/>
  <c r="I987" i="7"/>
  <c r="J987" i="7" s="1"/>
  <c r="I980" i="7"/>
  <c r="J980" i="7" s="1"/>
  <c r="I979" i="7"/>
  <c r="J979" i="7" s="1"/>
  <c r="I972" i="7"/>
  <c r="J972" i="7" s="1"/>
  <c r="I962" i="7"/>
  <c r="J962" i="7" s="1"/>
  <c r="I961" i="7"/>
  <c r="J961" i="7" s="1"/>
  <c r="I954" i="7"/>
  <c r="J954" i="7" s="1"/>
  <c r="I953" i="7"/>
  <c r="J953" i="7" s="1"/>
  <c r="I952" i="7"/>
  <c r="J952" i="7" s="1"/>
  <c r="I945" i="7"/>
  <c r="J945" i="7" s="1"/>
  <c r="L132" i="6" s="1"/>
  <c r="I942" i="7"/>
  <c r="J942" i="7" s="1"/>
  <c r="L131" i="6" s="1"/>
  <c r="I940" i="7"/>
  <c r="J940" i="7" s="1"/>
  <c r="L130" i="6" s="1"/>
  <c r="I935" i="7"/>
  <c r="J935" i="7" s="1"/>
  <c r="I934" i="7"/>
  <c r="J934" i="7" s="1"/>
  <c r="I933" i="7"/>
  <c r="J933" i="7" s="1"/>
  <c r="I926" i="7"/>
  <c r="J926" i="7" s="1"/>
  <c r="I925" i="7"/>
  <c r="J925" i="7" s="1"/>
  <c r="I924" i="7"/>
  <c r="J924" i="7" s="1"/>
  <c r="I923" i="7"/>
  <c r="J923" i="7" s="1"/>
  <c r="I916" i="7"/>
  <c r="J916" i="7" s="1"/>
  <c r="I915" i="7"/>
  <c r="J915" i="7" s="1"/>
  <c r="I914" i="7"/>
  <c r="J914" i="7" s="1"/>
  <c r="I907" i="7"/>
  <c r="J907" i="7" s="1"/>
  <c r="L125" i="6" s="1"/>
  <c r="I901" i="7"/>
  <c r="J901" i="7" s="1"/>
  <c r="L124" i="6" s="1"/>
  <c r="I893" i="7"/>
  <c r="J893" i="7" s="1"/>
  <c r="L123" i="6" s="1"/>
  <c r="I884" i="7"/>
  <c r="J884" i="7" s="1"/>
  <c r="I883" i="7"/>
  <c r="J883" i="7" s="1"/>
  <c r="I882" i="7"/>
  <c r="J882" i="7" s="1"/>
  <c r="I876" i="7"/>
  <c r="J876" i="7" s="1"/>
  <c r="I875" i="7"/>
  <c r="J875" i="7" s="1"/>
  <c r="I874" i="7"/>
  <c r="J874" i="7" s="1"/>
  <c r="I868" i="7"/>
  <c r="J868" i="7" s="1"/>
  <c r="I860" i="7"/>
  <c r="J860" i="7" s="1"/>
  <c r="L118" i="6" s="1"/>
  <c r="I848" i="7"/>
  <c r="J848" i="7" s="1"/>
  <c r="I847" i="7"/>
  <c r="J847" i="7" s="1"/>
  <c r="I836" i="7"/>
  <c r="J836" i="7" s="1"/>
  <c r="I835" i="7"/>
  <c r="J835" i="7" s="1"/>
  <c r="I834" i="7"/>
  <c r="J834" i="7" s="1"/>
  <c r="I825" i="7"/>
  <c r="J825" i="7" s="1"/>
  <c r="I824" i="7"/>
  <c r="J824" i="7" s="1"/>
  <c r="I823" i="7"/>
  <c r="J823" i="7" s="1"/>
  <c r="I814" i="7"/>
  <c r="J814" i="7" s="1"/>
  <c r="I813" i="7"/>
  <c r="J813" i="7" s="1"/>
  <c r="I812" i="7"/>
  <c r="J812" i="7" s="1"/>
  <c r="I803" i="7"/>
  <c r="J803" i="7" s="1"/>
  <c r="I802" i="7"/>
  <c r="J802" i="7" s="1"/>
  <c r="I801" i="7"/>
  <c r="J801" i="7" s="1"/>
  <c r="I792" i="7"/>
  <c r="J792" i="7" s="1"/>
  <c r="I785" i="7"/>
  <c r="J785" i="7" s="1"/>
  <c r="L109" i="6" s="1"/>
  <c r="I784" i="7"/>
  <c r="J784" i="7" s="1"/>
  <c r="L108" i="6" s="1"/>
  <c r="I781" i="7"/>
  <c r="J781" i="7" s="1"/>
  <c r="I778" i="7"/>
  <c r="J778" i="7" s="1"/>
  <c r="I775" i="7"/>
  <c r="J775" i="7" s="1"/>
  <c r="I772" i="7"/>
  <c r="J772" i="7" s="1"/>
  <c r="I769" i="7"/>
  <c r="J769" i="7" s="1"/>
  <c r="I766" i="7"/>
  <c r="J766" i="7" s="1"/>
  <c r="L102" i="6" s="1"/>
  <c r="I763" i="7"/>
  <c r="J763" i="7" s="1"/>
  <c r="L101" i="6" s="1"/>
  <c r="I760" i="7"/>
  <c r="J760" i="7" s="1"/>
  <c r="L100" i="6" s="1"/>
  <c r="I757" i="7"/>
  <c r="J757" i="7" s="1"/>
  <c r="I754" i="7"/>
  <c r="J754" i="7" s="1"/>
  <c r="I751" i="7"/>
  <c r="J751" i="7" s="1"/>
  <c r="L97" i="6" s="1"/>
  <c r="I748" i="7"/>
  <c r="J748" i="7" s="1"/>
  <c r="L96" i="6" s="1"/>
  <c r="I745" i="7"/>
  <c r="J745" i="7" s="1"/>
  <c r="I742" i="7"/>
  <c r="J742" i="7" s="1"/>
  <c r="I739" i="7"/>
  <c r="J739" i="7" s="1"/>
  <c r="L93" i="6" s="1"/>
  <c r="I736" i="7"/>
  <c r="J736" i="7" s="1"/>
  <c r="I726" i="7"/>
  <c r="J726" i="7" s="1"/>
  <c r="I718" i="7"/>
  <c r="J718" i="7" s="1"/>
  <c r="L88" i="6" s="1"/>
  <c r="I708" i="7"/>
  <c r="J708" i="7" s="1"/>
  <c r="L85" i="6" s="1"/>
  <c r="I697" i="7"/>
  <c r="J697" i="7" s="1"/>
  <c r="L84" i="6" s="1"/>
  <c r="I684" i="7"/>
  <c r="J684" i="7" s="1"/>
  <c r="L82" i="6" s="1"/>
  <c r="I662" i="7"/>
  <c r="J662" i="7" s="1"/>
  <c r="I649" i="7"/>
  <c r="J649" i="7" s="1"/>
  <c r="I573" i="7"/>
  <c r="J573" i="7" s="1"/>
  <c r="I572" i="7"/>
  <c r="J572" i="7" s="1"/>
  <c r="I571" i="7"/>
  <c r="J571" i="7" s="1"/>
  <c r="I563" i="7"/>
  <c r="J563" i="7" s="1"/>
  <c r="I562" i="7"/>
  <c r="J562" i="7" s="1"/>
  <c r="I551" i="7"/>
  <c r="J551" i="7" s="1"/>
  <c r="I550" i="7"/>
  <c r="J550" i="7" s="1"/>
  <c r="I549" i="7"/>
  <c r="J549" i="7" s="1"/>
  <c r="I544" i="7"/>
  <c r="J544" i="7" s="1"/>
  <c r="I543" i="7"/>
  <c r="J543" i="7" s="1"/>
  <c r="I537" i="7"/>
  <c r="J537" i="7" s="1"/>
  <c r="I527" i="7"/>
  <c r="J527" i="7" s="1"/>
  <c r="I526" i="7"/>
  <c r="J526" i="7" s="1"/>
  <c r="I525" i="7"/>
  <c r="J525" i="7" s="1"/>
  <c r="I517" i="7"/>
  <c r="J517" i="7" s="1"/>
  <c r="I516" i="7"/>
  <c r="J516" i="7" s="1"/>
  <c r="I504" i="7"/>
  <c r="J504" i="7" s="1"/>
  <c r="I503" i="7"/>
  <c r="J503" i="7" s="1"/>
  <c r="I492" i="7"/>
  <c r="J492" i="7" s="1"/>
  <c r="I491" i="7"/>
  <c r="J491" i="7" s="1"/>
  <c r="I478" i="7"/>
  <c r="J478" i="7" s="1"/>
  <c r="I477" i="7"/>
  <c r="J477" i="7" s="1"/>
  <c r="I465" i="7"/>
  <c r="J465" i="7" s="1"/>
  <c r="I464" i="7"/>
  <c r="J464" i="7" s="1"/>
  <c r="I456" i="7"/>
  <c r="J456" i="7" s="1"/>
  <c r="I448" i="7"/>
  <c r="J448" i="7" s="1"/>
  <c r="I447" i="7"/>
  <c r="J447" i="7" s="1"/>
  <c r="I436" i="7"/>
  <c r="J436" i="7" s="1"/>
  <c r="I425" i="7"/>
  <c r="J425" i="7" s="1"/>
  <c r="I414" i="7"/>
  <c r="J414" i="7" s="1"/>
  <c r="I413" i="7"/>
  <c r="J413" i="7" s="1"/>
  <c r="I400" i="7"/>
  <c r="J400" i="7" s="1"/>
  <c r="I393" i="7"/>
  <c r="J393" i="7" s="1"/>
  <c r="I386" i="7"/>
  <c r="J386" i="7" s="1"/>
  <c r="I378" i="7"/>
  <c r="J378" i="7" s="1"/>
  <c r="I377" i="7"/>
  <c r="J377" i="7" s="1"/>
  <c r="I376" i="7"/>
  <c r="J376" i="7" s="1"/>
  <c r="I375" i="7"/>
  <c r="J375" i="7" s="1"/>
  <c r="I367" i="7"/>
  <c r="J367" i="7" s="1"/>
  <c r="I366" i="7"/>
  <c r="J366" i="7" s="1"/>
  <c r="I358" i="7"/>
  <c r="J358" i="7" s="1"/>
  <c r="I357" i="7"/>
  <c r="J357" i="7" s="1"/>
  <c r="I356" i="7"/>
  <c r="J356" i="7" s="1"/>
  <c r="I355" i="7"/>
  <c r="J355" i="7" s="1"/>
  <c r="I345" i="7"/>
  <c r="J345" i="7" s="1"/>
  <c r="I344" i="7"/>
  <c r="J344" i="7" s="1"/>
  <c r="I336" i="7"/>
  <c r="J336" i="7" s="1"/>
  <c r="I335" i="7"/>
  <c r="J335" i="7" s="1"/>
  <c r="I324" i="7"/>
  <c r="J324" i="7" s="1"/>
  <c r="I313" i="7"/>
  <c r="J313" i="7" s="1"/>
  <c r="I312" i="7"/>
  <c r="J312" i="7" s="1"/>
  <c r="I307" i="7"/>
  <c r="J307" i="7" s="1"/>
  <c r="I306" i="7"/>
  <c r="J306" i="7" s="1"/>
  <c r="I300" i="7"/>
  <c r="J300" i="7" s="1"/>
  <c r="I299" i="7"/>
  <c r="J299" i="7" s="1"/>
  <c r="I292" i="7"/>
  <c r="J292" i="7" s="1"/>
  <c r="I291" i="7"/>
  <c r="J291" i="7" s="1"/>
  <c r="I286" i="7"/>
  <c r="J286" i="7" s="1"/>
  <c r="I285" i="7"/>
  <c r="J285" i="7" s="1"/>
  <c r="I278" i="7"/>
  <c r="J278" i="7" s="1"/>
  <c r="I277" i="7"/>
  <c r="J277" i="7" s="1"/>
  <c r="I276" i="7"/>
  <c r="J276" i="7" s="1"/>
  <c r="I275" i="7"/>
  <c r="J275" i="7" s="1"/>
  <c r="I268" i="7"/>
  <c r="J268" i="7" s="1"/>
  <c r="I267" i="7"/>
  <c r="J267" i="7" s="1"/>
  <c r="I266" i="7"/>
  <c r="J266" i="7" s="1"/>
  <c r="I259" i="7"/>
  <c r="J259" i="7" s="1"/>
  <c r="I258" i="7"/>
  <c r="J258" i="7" s="1"/>
  <c r="I257" i="7"/>
  <c r="J257" i="7" s="1"/>
  <c r="I251" i="7"/>
  <c r="J251" i="7" s="1"/>
  <c r="I250" i="7"/>
  <c r="J250" i="7" s="1"/>
  <c r="I249" i="7"/>
  <c r="J249" i="7" s="1"/>
  <c r="I243" i="7"/>
  <c r="J243" i="7" s="1"/>
  <c r="I242" i="7"/>
  <c r="J242" i="7" s="1"/>
  <c r="I236" i="7"/>
  <c r="J236" i="7" s="1"/>
  <c r="I235" i="7"/>
  <c r="J235" i="7" s="1"/>
  <c r="I230" i="7"/>
  <c r="J230" i="7" s="1"/>
  <c r="I229" i="7"/>
  <c r="J229" i="7" s="1"/>
  <c r="I224" i="7"/>
  <c r="J224" i="7" s="1"/>
  <c r="I223" i="7"/>
  <c r="J223" i="7" s="1"/>
  <c r="I222" i="7"/>
  <c r="J222" i="7" s="1"/>
  <c r="I213" i="7"/>
  <c r="J213" i="7" s="1"/>
  <c r="I212" i="7"/>
  <c r="J212" i="7" s="1"/>
  <c r="I211" i="7"/>
  <c r="J211" i="7" s="1"/>
  <c r="I197" i="7"/>
  <c r="J197" i="7" s="1"/>
  <c r="I196" i="7"/>
  <c r="J196" i="7" s="1"/>
  <c r="I195" i="7"/>
  <c r="J195" i="7" s="1"/>
  <c r="I186" i="7"/>
  <c r="J186" i="7" s="1"/>
  <c r="I185" i="7"/>
  <c r="J185" i="7" s="1"/>
  <c r="I184" i="7"/>
  <c r="J184" i="7" s="1"/>
  <c r="I176" i="7"/>
  <c r="J176" i="7" s="1"/>
  <c r="I175" i="7"/>
  <c r="J175" i="7" s="1"/>
  <c r="I174" i="7"/>
  <c r="J174" i="7" s="1"/>
  <c r="I165" i="7"/>
  <c r="J165" i="7" s="1"/>
  <c r="I164" i="7"/>
  <c r="J164" i="7" s="1"/>
  <c r="I163" i="7"/>
  <c r="J163" i="7" s="1"/>
  <c r="I144" i="7"/>
  <c r="J144" i="7" s="1"/>
  <c r="I133" i="7"/>
  <c r="J133" i="7" s="1"/>
  <c r="I120" i="7"/>
  <c r="J120" i="7" s="1"/>
  <c r="I119" i="7"/>
  <c r="J119" i="7" s="1"/>
  <c r="I113" i="7"/>
  <c r="J113" i="7" s="1"/>
  <c r="I112" i="7"/>
  <c r="J112" i="7" s="1"/>
  <c r="I111" i="7"/>
  <c r="J111" i="7" s="1"/>
  <c r="I105" i="7"/>
  <c r="J105" i="7" s="1"/>
  <c r="I104" i="7"/>
  <c r="J104" i="7" s="1"/>
  <c r="I103" i="7"/>
  <c r="J103" i="7" s="1"/>
  <c r="I79" i="7"/>
  <c r="J79" i="7" s="1"/>
  <c r="I78" i="7"/>
  <c r="J78" i="7" s="1"/>
  <c r="I77" i="7"/>
  <c r="J77" i="7" s="1"/>
  <c r="I67" i="7"/>
  <c r="J67" i="7" s="1"/>
  <c r="I66" i="7"/>
  <c r="J66" i="7" s="1"/>
  <c r="I65" i="7"/>
  <c r="J65" i="7" s="1"/>
  <c r="I61" i="7"/>
  <c r="J61" i="7" s="1"/>
  <c r="I60" i="7"/>
  <c r="J60" i="7" s="1"/>
  <c r="I59" i="7"/>
  <c r="J59" i="7" s="1"/>
  <c r="I51" i="7"/>
  <c r="J51" i="7" s="1"/>
  <c r="I50" i="7"/>
  <c r="J50" i="7" s="1"/>
  <c r="I49" i="7"/>
  <c r="J49" i="7" s="1"/>
  <c r="I42" i="7"/>
  <c r="J42" i="7" s="1"/>
  <c r="I41" i="7"/>
  <c r="J41" i="7" s="1"/>
  <c r="I36" i="7"/>
  <c r="J36" i="7" s="1"/>
  <c r="I35" i="7"/>
  <c r="J35" i="7" s="1"/>
  <c r="I19" i="7"/>
  <c r="J19" i="7" s="1"/>
  <c r="E1687" i="7"/>
  <c r="E1686" i="7"/>
  <c r="E1685" i="7"/>
  <c r="E1684" i="7"/>
  <c r="E1683" i="7"/>
  <c r="E1682" i="7"/>
  <c r="E1679" i="7"/>
  <c r="E1674" i="7"/>
  <c r="E1673" i="7"/>
  <c r="E1672" i="7"/>
  <c r="E1671" i="7"/>
  <c r="E1670" i="7"/>
  <c r="E1669" i="7"/>
  <c r="E1663" i="7"/>
  <c r="E1589" i="7"/>
  <c r="E1588" i="7"/>
  <c r="E1587" i="7"/>
  <c r="E1586" i="7"/>
  <c r="E1585" i="7"/>
  <c r="E1584" i="7"/>
  <c r="E1583" i="7"/>
  <c r="E1582" i="7"/>
  <c r="E1581" i="7"/>
  <c r="E1580" i="7"/>
  <c r="E1579" i="7"/>
  <c r="E1578" i="7"/>
  <c r="E1577" i="7"/>
  <c r="E1576" i="7"/>
  <c r="E1575" i="7"/>
  <c r="E1574" i="7"/>
  <c r="E1573" i="7"/>
  <c r="E1530" i="7"/>
  <c r="E1526" i="7"/>
  <c r="E1523" i="7"/>
  <c r="E1520" i="7"/>
  <c r="E1516" i="7"/>
  <c r="E1505" i="7"/>
  <c r="E1501" i="7"/>
  <c r="E1497" i="7"/>
  <c r="E1484" i="7"/>
  <c r="E1482" i="7"/>
  <c r="E1480" i="7"/>
  <c r="E1478" i="7"/>
  <c r="E1476" i="7"/>
  <c r="E1473" i="7"/>
  <c r="E1471" i="7"/>
  <c r="E1469" i="7"/>
  <c r="E1467" i="7"/>
  <c r="E1465" i="7"/>
  <c r="E1463" i="7"/>
  <c r="E1461" i="7"/>
  <c r="E1459" i="7"/>
  <c r="E1457" i="7"/>
  <c r="E1455" i="7"/>
  <c r="E1453" i="7"/>
  <c r="E1450" i="7"/>
  <c r="E1447" i="7"/>
  <c r="E1440" i="7"/>
  <c r="E1438" i="7"/>
  <c r="E1436" i="7"/>
  <c r="E1434" i="7"/>
  <c r="E1432" i="7"/>
  <c r="E1430" i="7"/>
  <c r="E1425" i="7"/>
  <c r="E1420" i="7"/>
  <c r="E1417" i="7"/>
  <c r="E1414" i="7"/>
  <c r="E1411" i="7"/>
  <c r="E1408" i="7"/>
  <c r="E1405" i="7"/>
  <c r="E1402" i="7"/>
  <c r="E1401" i="7"/>
  <c r="E1400" i="7"/>
  <c r="E1392" i="7"/>
  <c r="E1391" i="7"/>
  <c r="E1390" i="7"/>
  <c r="E1383" i="7"/>
  <c r="E1382" i="7"/>
  <c r="E1381" i="7"/>
  <c r="E1373" i="7"/>
  <c r="E1372" i="7"/>
  <c r="E1371" i="7"/>
  <c r="E1363" i="7"/>
  <c r="E1362" i="7"/>
  <c r="E1361" i="7"/>
  <c r="E1353" i="7"/>
  <c r="E1352" i="7"/>
  <c r="E1351" i="7"/>
  <c r="E1343" i="7"/>
  <c r="E1342" i="7"/>
  <c r="E1341" i="7"/>
  <c r="E1331" i="7"/>
  <c r="E1330" i="7"/>
  <c r="E1329" i="7"/>
  <c r="E1319" i="7"/>
  <c r="E1318" i="7"/>
  <c r="E1317" i="7"/>
  <c r="E1307" i="7"/>
  <c r="E1306" i="7"/>
  <c r="E1305" i="7"/>
  <c r="E1295" i="7"/>
  <c r="E1292" i="7"/>
  <c r="E1291" i="7"/>
  <c r="E1286" i="7"/>
  <c r="E1285" i="7"/>
  <c r="E1280" i="7"/>
  <c r="E1279" i="7"/>
  <c r="E1274" i="7"/>
  <c r="E1271" i="7"/>
  <c r="E1266" i="7"/>
  <c r="E1260" i="7"/>
  <c r="E1255" i="7"/>
  <c r="E1254" i="7"/>
  <c r="E1253" i="7"/>
  <c r="E1252" i="7"/>
  <c r="E1245" i="7"/>
  <c r="E1244" i="7"/>
  <c r="E1243" i="7"/>
  <c r="E1242" i="7"/>
  <c r="E1235" i="7"/>
  <c r="E1226" i="7"/>
  <c r="E1215" i="7"/>
  <c r="E1214" i="7"/>
  <c r="E1203" i="7"/>
  <c r="E1202" i="7"/>
  <c r="E1191" i="7"/>
  <c r="E1182" i="7"/>
  <c r="E1171" i="7"/>
  <c r="E1166" i="7"/>
  <c r="E1164" i="7"/>
  <c r="E1160" i="7"/>
  <c r="E1159" i="7"/>
  <c r="E1156" i="7"/>
  <c r="E1145" i="7"/>
  <c r="E1136" i="7"/>
  <c r="E1127" i="7"/>
  <c r="E1120" i="7"/>
  <c r="E1113" i="7"/>
  <c r="E1106" i="7"/>
  <c r="E1099" i="7"/>
  <c r="E1092" i="7"/>
  <c r="E1085" i="7"/>
  <c r="E1080" i="7"/>
  <c r="E1073" i="7"/>
  <c r="E1072" i="7"/>
  <c r="E1067" i="7"/>
  <c r="E1060" i="7"/>
  <c r="E1053" i="7"/>
  <c r="E1046" i="7"/>
  <c r="E1039" i="7"/>
  <c r="E1033" i="7"/>
  <c r="E1029" i="7"/>
  <c r="E1025" i="7"/>
  <c r="E1024" i="7"/>
  <c r="E1023" i="7"/>
  <c r="E1016" i="7"/>
  <c r="E1011" i="7"/>
  <c r="E1005" i="7"/>
  <c r="E1000" i="7"/>
  <c r="E999" i="7"/>
  <c r="E994" i="7"/>
  <c r="E993" i="7"/>
  <c r="E988" i="7"/>
  <c r="E987" i="7"/>
  <c r="E980" i="7"/>
  <c r="E979" i="7"/>
  <c r="E972" i="7"/>
  <c r="E962" i="7"/>
  <c r="E961" i="7"/>
  <c r="E954" i="7"/>
  <c r="E953" i="7"/>
  <c r="E952" i="7"/>
  <c r="E945" i="7"/>
  <c r="E942" i="7"/>
  <c r="E940" i="7"/>
  <c r="E935" i="7"/>
  <c r="E934" i="7"/>
  <c r="E933" i="7"/>
  <c r="E926" i="7"/>
  <c r="E925" i="7"/>
  <c r="E924" i="7"/>
  <c r="E923" i="7"/>
  <c r="E916" i="7"/>
  <c r="E915" i="7"/>
  <c r="E914" i="7"/>
  <c r="E907" i="7"/>
  <c r="E901" i="7"/>
  <c r="E893" i="7"/>
  <c r="E884" i="7"/>
  <c r="E883" i="7"/>
  <c r="E882" i="7"/>
  <c r="E876" i="7"/>
  <c r="E875" i="7"/>
  <c r="E874" i="7"/>
  <c r="E868" i="7"/>
  <c r="E860" i="7"/>
  <c r="E848" i="7"/>
  <c r="E847" i="7"/>
  <c r="E836" i="7"/>
  <c r="E835" i="7"/>
  <c r="E834" i="7"/>
  <c r="E825" i="7"/>
  <c r="E824" i="7"/>
  <c r="E823" i="7"/>
  <c r="E814" i="7"/>
  <c r="E813" i="7"/>
  <c r="E812" i="7"/>
  <c r="E803" i="7"/>
  <c r="E802" i="7"/>
  <c r="E801" i="7"/>
  <c r="E792" i="7"/>
  <c r="E785" i="7"/>
  <c r="E784" i="7"/>
  <c r="E781" i="7"/>
  <c r="E778" i="7"/>
  <c r="E775" i="7"/>
  <c r="E772" i="7"/>
  <c r="E769" i="7"/>
  <c r="E766" i="7"/>
  <c r="E763" i="7"/>
  <c r="E760" i="7"/>
  <c r="E757" i="7"/>
  <c r="E754" i="7"/>
  <c r="E751" i="7"/>
  <c r="E748" i="7"/>
  <c r="E745" i="7"/>
  <c r="E742" i="7"/>
  <c r="E739" i="7"/>
  <c r="E736" i="7"/>
  <c r="E726" i="7"/>
  <c r="E718" i="7"/>
  <c r="E708" i="7"/>
  <c r="E697" i="7"/>
  <c r="E684" i="7"/>
  <c r="E662" i="7"/>
  <c r="E649" i="7"/>
  <c r="E573" i="7"/>
  <c r="E572" i="7"/>
  <c r="E571" i="7"/>
  <c r="E563" i="7"/>
  <c r="E562" i="7"/>
  <c r="E551" i="7"/>
  <c r="E550" i="7"/>
  <c r="E549" i="7"/>
  <c r="E544" i="7"/>
  <c r="E543" i="7"/>
  <c r="E537" i="7"/>
  <c r="E527" i="7"/>
  <c r="E526" i="7"/>
  <c r="E525" i="7"/>
  <c r="E517" i="7"/>
  <c r="E516" i="7"/>
  <c r="E504" i="7"/>
  <c r="E503" i="7"/>
  <c r="E492" i="7"/>
  <c r="E491" i="7"/>
  <c r="E478" i="7"/>
  <c r="E477" i="7"/>
  <c r="E465" i="7"/>
  <c r="E464" i="7"/>
  <c r="E456" i="7"/>
  <c r="E448" i="7"/>
  <c r="E447" i="7"/>
  <c r="E436" i="7"/>
  <c r="E425" i="7"/>
  <c r="E414" i="7"/>
  <c r="E413" i="7"/>
  <c r="E400" i="7"/>
  <c r="E393" i="7"/>
  <c r="E386" i="7"/>
  <c r="E378" i="7"/>
  <c r="E377" i="7"/>
  <c r="E376" i="7"/>
  <c r="E375" i="7"/>
  <c r="E367" i="7"/>
  <c r="E366" i="7"/>
  <c r="E358" i="7"/>
  <c r="E357" i="7"/>
  <c r="E356" i="7"/>
  <c r="E355" i="7"/>
  <c r="E345" i="7"/>
  <c r="E344" i="7"/>
  <c r="E336" i="7"/>
  <c r="E335" i="7"/>
  <c r="E324" i="7"/>
  <c r="E313" i="7"/>
  <c r="E312" i="7"/>
  <c r="E307" i="7"/>
  <c r="E306" i="7"/>
  <c r="E300" i="7"/>
  <c r="E299" i="7"/>
  <c r="E292" i="7"/>
  <c r="E291" i="7"/>
  <c r="E286" i="7"/>
  <c r="E285" i="7"/>
  <c r="E278" i="7"/>
  <c r="E277" i="7"/>
  <c r="E276" i="7"/>
  <c r="E275" i="7"/>
  <c r="E268" i="7"/>
  <c r="E267" i="7"/>
  <c r="E266" i="7"/>
  <c r="E259" i="7"/>
  <c r="E258" i="7"/>
  <c r="E257" i="7"/>
  <c r="E251" i="7"/>
  <c r="E250" i="7"/>
  <c r="E249" i="7"/>
  <c r="E243" i="7"/>
  <c r="E242" i="7"/>
  <c r="E236" i="7"/>
  <c r="E235" i="7"/>
  <c r="E230" i="7"/>
  <c r="E229" i="7"/>
  <c r="E224" i="7"/>
  <c r="E223" i="7"/>
  <c r="E222" i="7"/>
  <c r="E213" i="7"/>
  <c r="E212" i="7"/>
  <c r="E211" i="7"/>
  <c r="E197" i="7"/>
  <c r="E196" i="7"/>
  <c r="E195" i="7"/>
  <c r="E186" i="7"/>
  <c r="E185" i="7"/>
  <c r="E184" i="7"/>
  <c r="E176" i="7"/>
  <c r="E175" i="7"/>
  <c r="E174" i="7"/>
  <c r="E165" i="7"/>
  <c r="E164" i="7"/>
  <c r="E163" i="7"/>
  <c r="E144" i="7"/>
  <c r="E133" i="7"/>
  <c r="E120" i="7"/>
  <c r="E119" i="7"/>
  <c r="E113" i="7"/>
  <c r="E112" i="7"/>
  <c r="E111" i="7"/>
  <c r="E105" i="7"/>
  <c r="E104" i="7"/>
  <c r="E103" i="7"/>
  <c r="E79" i="7"/>
  <c r="E78" i="7"/>
  <c r="E77" i="7"/>
  <c r="E67" i="7"/>
  <c r="E66" i="7"/>
  <c r="E65" i="7"/>
  <c r="E61" i="7"/>
  <c r="E60" i="7"/>
  <c r="E59" i="7"/>
  <c r="E51" i="7"/>
  <c r="E50" i="7"/>
  <c r="E49" i="7"/>
  <c r="E42" i="7"/>
  <c r="E41" i="7"/>
  <c r="E36" i="7"/>
  <c r="E35" i="7"/>
  <c r="E19" i="7"/>
  <c r="K1694" i="7"/>
  <c r="K1681" i="7"/>
  <c r="K1680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532" i="7"/>
  <c r="K1531" i="7"/>
  <c r="K1527" i="7"/>
  <c r="K1512" i="7"/>
  <c r="K1508" i="7"/>
  <c r="K1507" i="7"/>
  <c r="K1506" i="7"/>
  <c r="K1504" i="7"/>
  <c r="K1503" i="7"/>
  <c r="K1502" i="7"/>
  <c r="K1496" i="7"/>
  <c r="K1489" i="7"/>
  <c r="K1488" i="7"/>
  <c r="K1487" i="7"/>
  <c r="K1486" i="7"/>
  <c r="K1485" i="7"/>
  <c r="K1475" i="7"/>
  <c r="K1451" i="7"/>
  <c r="K1449" i="7"/>
  <c r="K1446" i="7"/>
  <c r="K1445" i="7"/>
  <c r="K1444" i="7"/>
  <c r="K1443" i="7"/>
  <c r="K1442" i="7"/>
  <c r="K1439" i="7"/>
  <c r="K1437" i="7"/>
  <c r="K1435" i="7"/>
  <c r="K1433" i="7"/>
  <c r="K1431" i="7"/>
  <c r="K1418" i="7"/>
  <c r="K1415" i="7"/>
  <c r="K1412" i="7"/>
  <c r="K1409" i="7"/>
  <c r="K1406" i="7"/>
  <c r="K1403" i="7"/>
  <c r="K1294" i="7"/>
  <c r="K1273" i="7"/>
  <c r="K1270" i="7"/>
  <c r="K1265" i="7"/>
  <c r="K1264" i="7"/>
  <c r="K1263" i="7"/>
  <c r="K1167" i="7"/>
  <c r="K1165" i="7"/>
  <c r="K1163" i="7"/>
  <c r="K1022" i="7"/>
  <c r="K944" i="7"/>
  <c r="K941" i="7"/>
  <c r="K939" i="7"/>
  <c r="K927" i="7"/>
  <c r="K898" i="7"/>
  <c r="K897" i="7"/>
  <c r="K865" i="7"/>
  <c r="K864" i="7"/>
  <c r="K786" i="7"/>
  <c r="K782" i="7"/>
  <c r="K779" i="7"/>
  <c r="K776" i="7"/>
  <c r="K773" i="7"/>
  <c r="K770" i="7"/>
  <c r="K767" i="7"/>
  <c r="K764" i="7"/>
  <c r="K761" i="7"/>
  <c r="K758" i="7"/>
  <c r="K755" i="7"/>
  <c r="K752" i="7"/>
  <c r="K749" i="7"/>
  <c r="K746" i="7"/>
  <c r="K743" i="7"/>
  <c r="K740" i="7"/>
  <c r="K737" i="7"/>
  <c r="K728" i="7"/>
  <c r="K727" i="7"/>
  <c r="K716" i="7"/>
  <c r="K715" i="7"/>
  <c r="K714" i="7"/>
  <c r="K712" i="7"/>
  <c r="K711" i="7"/>
  <c r="K710" i="7"/>
  <c r="K709" i="7"/>
  <c r="K688" i="7"/>
  <c r="K687" i="7"/>
  <c r="K686" i="7"/>
  <c r="K685" i="7"/>
  <c r="K669" i="7"/>
  <c r="I1694" i="7"/>
  <c r="J1694" i="7" s="1"/>
  <c r="I1681" i="7"/>
  <c r="J1681" i="7" s="1"/>
  <c r="I1680" i="7"/>
  <c r="J1680" i="7" s="1"/>
  <c r="I1662" i="7"/>
  <c r="J1662" i="7" s="1"/>
  <c r="K226" i="6" s="1"/>
  <c r="N226" i="6" s="1"/>
  <c r="G173" i="8" s="1"/>
  <c r="K173" i="8" s="1"/>
  <c r="I1661" i="7"/>
  <c r="J1661" i="7" s="1"/>
  <c r="K225" i="6" s="1"/>
  <c r="N225" i="6" s="1"/>
  <c r="G172" i="8" s="1"/>
  <c r="K172" i="8" s="1"/>
  <c r="I1660" i="7"/>
  <c r="J1660" i="7" s="1"/>
  <c r="K224" i="6" s="1"/>
  <c r="N224" i="6" s="1"/>
  <c r="G171" i="8" s="1"/>
  <c r="K171" i="8" s="1"/>
  <c r="I1659" i="7"/>
  <c r="J1659" i="7" s="1"/>
  <c r="K223" i="6" s="1"/>
  <c r="N223" i="6" s="1"/>
  <c r="G170" i="8" s="1"/>
  <c r="K170" i="8" s="1"/>
  <c r="I1658" i="7"/>
  <c r="J1658" i="7" s="1"/>
  <c r="I1657" i="7"/>
  <c r="J1657" i="7" s="1"/>
  <c r="K220" i="6" s="1"/>
  <c r="I1656" i="7"/>
  <c r="J1656" i="7" s="1"/>
  <c r="I1655" i="7"/>
  <c r="J1655" i="7" s="1"/>
  <c r="I1654" i="7"/>
  <c r="J1654" i="7" s="1"/>
  <c r="K217" i="6" s="1"/>
  <c r="I1653" i="7"/>
  <c r="J1653" i="7" s="1"/>
  <c r="I1652" i="7"/>
  <c r="J1652" i="7" s="1"/>
  <c r="K215" i="6" s="1"/>
  <c r="N215" i="6" s="1"/>
  <c r="G161" i="8" s="1"/>
  <c r="K161" i="8" s="1"/>
  <c r="I1651" i="7"/>
  <c r="I1650" i="7"/>
  <c r="J1650" i="7" s="1"/>
  <c r="K213" i="6" s="1"/>
  <c r="N213" i="6" s="1"/>
  <c r="G159" i="8" s="1"/>
  <c r="K159" i="8" s="1"/>
  <c r="I1649" i="7"/>
  <c r="J1649" i="7" s="1"/>
  <c r="K212" i="6" s="1"/>
  <c r="N212" i="6" s="1"/>
  <c r="G158" i="8" s="1"/>
  <c r="K158" i="8" s="1"/>
  <c r="I1648" i="7"/>
  <c r="J1648" i="7" s="1"/>
  <c r="K211" i="6" s="1"/>
  <c r="N211" i="6" s="1"/>
  <c r="G157" i="8" s="1"/>
  <c r="K157" i="8" s="1"/>
  <c r="I1532" i="7"/>
  <c r="J1532" i="7" s="1"/>
  <c r="K246" i="6" s="1"/>
  <c r="I1531" i="7"/>
  <c r="J1531" i="7" s="1"/>
  <c r="K245" i="6" s="1"/>
  <c r="N245" i="6" s="1"/>
  <c r="G199" i="8" s="1"/>
  <c r="K199" i="8" s="1"/>
  <c r="I1527" i="7"/>
  <c r="J1527" i="7" s="1"/>
  <c r="K243" i="6" s="1"/>
  <c r="N243" i="6" s="1"/>
  <c r="G196" i="8" s="1"/>
  <c r="K196" i="8" s="1"/>
  <c r="I1512" i="7"/>
  <c r="J1512" i="7" s="1"/>
  <c r="I1508" i="7"/>
  <c r="J1508" i="7" s="1"/>
  <c r="K238" i="6" s="1"/>
  <c r="N238" i="6" s="1"/>
  <c r="G191" i="8" s="1"/>
  <c r="K191" i="8" s="1"/>
  <c r="I1507" i="7"/>
  <c r="J1507" i="7" s="1"/>
  <c r="K237" i="6" s="1"/>
  <c r="N237" i="6" s="1"/>
  <c r="G190" i="8" s="1"/>
  <c r="K190" i="8" s="1"/>
  <c r="I1506" i="7"/>
  <c r="J1506" i="7" s="1"/>
  <c r="K236" i="6" s="1"/>
  <c r="N236" i="6" s="1"/>
  <c r="G189" i="8" s="1"/>
  <c r="K189" i="8" s="1"/>
  <c r="I1504" i="7"/>
  <c r="J1504" i="7" s="1"/>
  <c r="I1503" i="7"/>
  <c r="J1503" i="7" s="1"/>
  <c r="I1502" i="7"/>
  <c r="J1502" i="7" s="1"/>
  <c r="I1496" i="7"/>
  <c r="J1496" i="7" s="1"/>
  <c r="I1489" i="7"/>
  <c r="J1489" i="7" s="1"/>
  <c r="K231" i="6" s="1"/>
  <c r="N231" i="6" s="1"/>
  <c r="G182" i="8" s="1"/>
  <c r="K182" i="8" s="1"/>
  <c r="I1488" i="7"/>
  <c r="I1487" i="7"/>
  <c r="J1487" i="7" s="1"/>
  <c r="K229" i="6" s="1"/>
  <c r="N229" i="6" s="1"/>
  <c r="G177" i="8" s="1"/>
  <c r="K177" i="8" s="1"/>
  <c r="I1486" i="7"/>
  <c r="J1486" i="7" s="1"/>
  <c r="I1485" i="7"/>
  <c r="J1485" i="7" s="1"/>
  <c r="I1475" i="7"/>
  <c r="J1475" i="7" s="1"/>
  <c r="K222" i="6" s="1"/>
  <c r="N222" i="6" s="1"/>
  <c r="G169" i="8" s="1"/>
  <c r="K169" i="8" s="1"/>
  <c r="I1451" i="7"/>
  <c r="J1451" i="7" s="1"/>
  <c r="K210" i="6" s="1"/>
  <c r="I1449" i="7"/>
  <c r="J1449" i="7" s="1"/>
  <c r="K209" i="6" s="1"/>
  <c r="I1446" i="7"/>
  <c r="J1446" i="7" s="1"/>
  <c r="I1445" i="7"/>
  <c r="J1445" i="7" s="1"/>
  <c r="I1444" i="7"/>
  <c r="J1444" i="7" s="1"/>
  <c r="I1443" i="7"/>
  <c r="J1443" i="7" s="1"/>
  <c r="I1442" i="7"/>
  <c r="J1442" i="7" s="1"/>
  <c r="I1439" i="7"/>
  <c r="I1437" i="7"/>
  <c r="I1435" i="7"/>
  <c r="J1435" i="7" s="1"/>
  <c r="I1433" i="7"/>
  <c r="J1433" i="7" s="1"/>
  <c r="I1431" i="7"/>
  <c r="I1418" i="7"/>
  <c r="J1418" i="7" s="1"/>
  <c r="K200" i="6" s="1"/>
  <c r="I1415" i="7"/>
  <c r="J1415" i="7" s="1"/>
  <c r="K199" i="6" s="1"/>
  <c r="N199" i="6" s="1"/>
  <c r="G143" i="8" s="1"/>
  <c r="K143" i="8" s="1"/>
  <c r="I1412" i="7"/>
  <c r="J1412" i="7" s="1"/>
  <c r="K198" i="6" s="1"/>
  <c r="N198" i="6" s="1"/>
  <c r="G142" i="8" s="1"/>
  <c r="K142" i="8" s="1"/>
  <c r="I1409" i="7"/>
  <c r="J1409" i="7" s="1"/>
  <c r="I1406" i="7"/>
  <c r="J1406" i="7" s="1"/>
  <c r="I1403" i="7"/>
  <c r="J1403" i="7" s="1"/>
  <c r="K195" i="6" s="1"/>
  <c r="N195" i="6" s="1"/>
  <c r="G139" i="8" s="1"/>
  <c r="K139" i="8" s="1"/>
  <c r="I1294" i="7"/>
  <c r="J1294" i="7" s="1"/>
  <c r="K184" i="6" s="1"/>
  <c r="N184" i="6" s="1"/>
  <c r="G127" i="8" s="1"/>
  <c r="K127" i="8" s="1"/>
  <c r="I1273" i="7"/>
  <c r="J1273" i="7" s="1"/>
  <c r="I1270" i="7"/>
  <c r="J1270" i="7" s="1"/>
  <c r="I1265" i="7"/>
  <c r="J1265" i="7" s="1"/>
  <c r="I1264" i="7"/>
  <c r="J1264" i="7" s="1"/>
  <c r="I1263" i="7"/>
  <c r="J1263" i="7" s="1"/>
  <c r="I1167" i="7"/>
  <c r="I1165" i="7"/>
  <c r="I1163" i="7"/>
  <c r="J1163" i="7" s="1"/>
  <c r="K165" i="6" s="1"/>
  <c r="N165" i="6" s="1"/>
  <c r="G106" i="8" s="1"/>
  <c r="K106" i="8" s="1"/>
  <c r="I1022" i="7"/>
  <c r="J1022" i="7" s="1"/>
  <c r="I944" i="7"/>
  <c r="J944" i="7" s="1"/>
  <c r="K132" i="6" s="1"/>
  <c r="I941" i="7"/>
  <c r="J941" i="7" s="1"/>
  <c r="K131" i="6" s="1"/>
  <c r="I939" i="7"/>
  <c r="J939" i="7" s="1"/>
  <c r="I927" i="7"/>
  <c r="J927" i="7" s="1"/>
  <c r="K128" i="6" s="1"/>
  <c r="I898" i="7"/>
  <c r="J898" i="7" s="1"/>
  <c r="I897" i="7"/>
  <c r="J897" i="7" s="1"/>
  <c r="I865" i="7"/>
  <c r="J865" i="7" s="1"/>
  <c r="I864" i="7"/>
  <c r="J864" i="7" s="1"/>
  <c r="I786" i="7"/>
  <c r="J786" i="7" s="1"/>
  <c r="I782" i="7"/>
  <c r="J782" i="7" s="1"/>
  <c r="I779" i="7"/>
  <c r="I776" i="7"/>
  <c r="J776" i="7" s="1"/>
  <c r="I773" i="7"/>
  <c r="I770" i="7"/>
  <c r="I767" i="7"/>
  <c r="J767" i="7" s="1"/>
  <c r="I764" i="7"/>
  <c r="J764" i="7" s="1"/>
  <c r="I761" i="7"/>
  <c r="J761" i="7" s="1"/>
  <c r="K101" i="6" s="1"/>
  <c r="I758" i="7"/>
  <c r="J758" i="7" s="1"/>
  <c r="I755" i="7"/>
  <c r="J755" i="7" s="1"/>
  <c r="I752" i="7"/>
  <c r="J752" i="7" s="1"/>
  <c r="I749" i="7"/>
  <c r="J749" i="7" s="1"/>
  <c r="K97" i="6" s="1"/>
  <c r="I746" i="7"/>
  <c r="I743" i="7"/>
  <c r="I740" i="7"/>
  <c r="J740" i="7" s="1"/>
  <c r="K94" i="6" s="1"/>
  <c r="N94" i="6" s="1"/>
  <c r="G23" i="8" s="1"/>
  <c r="K23" i="8" s="1"/>
  <c r="I737" i="7"/>
  <c r="J737" i="7" s="1"/>
  <c r="I728" i="7"/>
  <c r="J728" i="7" s="1"/>
  <c r="I727" i="7"/>
  <c r="J727" i="7" s="1"/>
  <c r="I716" i="7"/>
  <c r="J716" i="7" s="1"/>
  <c r="I715" i="7"/>
  <c r="J715" i="7" s="1"/>
  <c r="I714" i="7"/>
  <c r="J714" i="7" s="1"/>
  <c r="I712" i="7"/>
  <c r="J712" i="7" s="1"/>
  <c r="I711" i="7"/>
  <c r="J711" i="7" s="1"/>
  <c r="I710" i="7"/>
  <c r="J710" i="7" s="1"/>
  <c r="I709" i="7"/>
  <c r="J709" i="7" s="1"/>
  <c r="I688" i="7"/>
  <c r="J688" i="7" s="1"/>
  <c r="I687" i="7"/>
  <c r="J687" i="7" s="1"/>
  <c r="I686" i="7"/>
  <c r="J686" i="7" s="1"/>
  <c r="I685" i="7"/>
  <c r="J685" i="7" s="1"/>
  <c r="I669" i="7"/>
  <c r="J669" i="7" s="1"/>
  <c r="E1694" i="7"/>
  <c r="E1681" i="7"/>
  <c r="E1680" i="7"/>
  <c r="E1662" i="7"/>
  <c r="E1661" i="7"/>
  <c r="E1660" i="7"/>
  <c r="E1659" i="7"/>
  <c r="E1658" i="7"/>
  <c r="E1657" i="7"/>
  <c r="E1656" i="7"/>
  <c r="E1655" i="7"/>
  <c r="E1654" i="7"/>
  <c r="E1653" i="7"/>
  <c r="E1652" i="7"/>
  <c r="E1651" i="7"/>
  <c r="E1650" i="7"/>
  <c r="E1649" i="7"/>
  <c r="E1648" i="7"/>
  <c r="E1532" i="7"/>
  <c r="E1531" i="7"/>
  <c r="E1527" i="7"/>
  <c r="E1512" i="7"/>
  <c r="E1508" i="7"/>
  <c r="E1507" i="7"/>
  <c r="E1506" i="7"/>
  <c r="E1504" i="7"/>
  <c r="E1503" i="7"/>
  <c r="E1502" i="7"/>
  <c r="E1496" i="7"/>
  <c r="E1489" i="7"/>
  <c r="E1488" i="7"/>
  <c r="E1487" i="7"/>
  <c r="E1486" i="7"/>
  <c r="E1485" i="7"/>
  <c r="E1475" i="7"/>
  <c r="E1451" i="7"/>
  <c r="E1449" i="7"/>
  <c r="E1446" i="7"/>
  <c r="E1445" i="7"/>
  <c r="E1444" i="7"/>
  <c r="E1443" i="7"/>
  <c r="E1442" i="7"/>
  <c r="E1439" i="7"/>
  <c r="E1437" i="7"/>
  <c r="E1435" i="7"/>
  <c r="E1433" i="7"/>
  <c r="E1431" i="7"/>
  <c r="E1418" i="7"/>
  <c r="E1415" i="7"/>
  <c r="E1412" i="7"/>
  <c r="E1409" i="7"/>
  <c r="E1406" i="7"/>
  <c r="E1403" i="7"/>
  <c r="E1294" i="7"/>
  <c r="E1273" i="7"/>
  <c r="E1270" i="7"/>
  <c r="E1265" i="7"/>
  <c r="E1264" i="7"/>
  <c r="E1263" i="7"/>
  <c r="E1167" i="7"/>
  <c r="E1165" i="7"/>
  <c r="E1163" i="7"/>
  <c r="E1022" i="7"/>
  <c r="E944" i="7"/>
  <c r="E941" i="7"/>
  <c r="E939" i="7"/>
  <c r="E927" i="7"/>
  <c r="E898" i="7"/>
  <c r="E897" i="7"/>
  <c r="E865" i="7"/>
  <c r="E864" i="7"/>
  <c r="E786" i="7"/>
  <c r="E782" i="7"/>
  <c r="E779" i="7"/>
  <c r="E776" i="7"/>
  <c r="E773" i="7"/>
  <c r="E770" i="7"/>
  <c r="E767" i="7"/>
  <c r="E764" i="7"/>
  <c r="E761" i="7"/>
  <c r="E758" i="7"/>
  <c r="E755" i="7"/>
  <c r="E752" i="7"/>
  <c r="E749" i="7"/>
  <c r="E746" i="7"/>
  <c r="E743" i="7"/>
  <c r="E740" i="7"/>
  <c r="E737" i="7"/>
  <c r="E728" i="7"/>
  <c r="E727" i="7"/>
  <c r="E716" i="7"/>
  <c r="E715" i="7"/>
  <c r="E714" i="7"/>
  <c r="E712" i="7"/>
  <c r="E711" i="7"/>
  <c r="E710" i="7"/>
  <c r="E709" i="7"/>
  <c r="E688" i="7"/>
  <c r="E687" i="7"/>
  <c r="E686" i="7"/>
  <c r="E685" i="7"/>
  <c r="E669" i="7"/>
  <c r="E1668" i="7"/>
  <c r="E1667" i="7"/>
  <c r="E1666" i="7"/>
  <c r="E1665" i="7"/>
  <c r="E1647" i="7"/>
  <c r="E1646" i="7"/>
  <c r="E1645" i="7"/>
  <c r="E1644" i="7"/>
  <c r="E1643" i="7"/>
  <c r="E1642" i="7"/>
  <c r="E1641" i="7"/>
  <c r="E1640" i="7"/>
  <c r="E1639" i="7"/>
  <c r="E1638" i="7"/>
  <c r="E1637" i="7"/>
  <c r="E1636" i="7"/>
  <c r="E1635" i="7"/>
  <c r="E1634" i="7"/>
  <c r="E1633" i="7"/>
  <c r="E1632" i="7"/>
  <c r="E1631" i="7"/>
  <c r="E1630" i="7"/>
  <c r="E1629" i="7"/>
  <c r="E1628" i="7"/>
  <c r="E1627" i="7"/>
  <c r="E1626" i="7"/>
  <c r="E1625" i="7"/>
  <c r="E1624" i="7"/>
  <c r="E1623" i="7"/>
  <c r="E1622" i="7"/>
  <c r="E1621" i="7"/>
  <c r="E1620" i="7"/>
  <c r="E1619" i="7"/>
  <c r="E1618" i="7"/>
  <c r="E1617" i="7"/>
  <c r="E1616" i="7"/>
  <c r="E1615" i="7"/>
  <c r="E1614" i="7"/>
  <c r="E1613" i="7"/>
  <c r="E1612" i="7"/>
  <c r="E1611" i="7"/>
  <c r="E1610" i="7"/>
  <c r="E1609" i="7"/>
  <c r="E1608" i="7"/>
  <c r="E1607" i="7"/>
  <c r="E1606" i="7"/>
  <c r="E1605" i="7"/>
  <c r="E1604" i="7"/>
  <c r="E1529" i="7"/>
  <c r="E1525" i="7"/>
  <c r="E1522" i="7"/>
  <c r="E1519" i="7"/>
  <c r="E1518" i="7"/>
  <c r="E1515" i="7"/>
  <c r="E1514" i="7"/>
  <c r="E1513" i="7"/>
  <c r="E1500" i="7"/>
  <c r="E1499" i="7"/>
  <c r="E1494" i="7"/>
  <c r="E1493" i="7"/>
  <c r="E1492" i="7"/>
  <c r="E1429" i="7"/>
  <c r="E1428" i="7"/>
  <c r="E1427" i="7"/>
  <c r="E1424" i="7"/>
  <c r="E1423" i="7"/>
  <c r="E1422" i="7"/>
  <c r="E1290" i="7"/>
  <c r="E1289" i="7"/>
  <c r="E1284" i="7"/>
  <c r="E1283" i="7"/>
  <c r="E1278" i="7"/>
  <c r="E1277" i="7"/>
  <c r="E1268" i="7"/>
  <c r="E1259" i="7"/>
  <c r="E1258" i="7"/>
  <c r="E1170" i="7"/>
  <c r="E1169" i="7"/>
  <c r="E1126" i="7"/>
  <c r="E1125" i="7"/>
  <c r="E1119" i="7"/>
  <c r="E1118" i="7"/>
  <c r="E1112" i="7"/>
  <c r="E1111" i="7"/>
  <c r="E1105" i="7"/>
  <c r="E1104" i="7"/>
  <c r="E1098" i="7"/>
  <c r="E1097" i="7"/>
  <c r="E1091" i="7"/>
  <c r="E1090" i="7"/>
  <c r="E1084" i="7"/>
  <c r="E1083" i="7"/>
  <c r="E1079" i="7"/>
  <c r="E1078" i="7"/>
  <c r="E1071" i="7"/>
  <c r="E1070" i="7"/>
  <c r="E1066" i="7"/>
  <c r="E1065" i="7"/>
  <c r="E1059" i="7"/>
  <c r="E1058" i="7"/>
  <c r="E1052" i="7"/>
  <c r="E1051" i="7"/>
  <c r="E1045" i="7"/>
  <c r="E1044" i="7"/>
  <c r="E1035" i="7"/>
  <c r="E1034" i="7"/>
  <c r="E1032" i="7"/>
  <c r="E1031" i="7"/>
  <c r="E1028" i="7"/>
  <c r="E1027" i="7"/>
  <c r="E1021" i="7"/>
  <c r="E1020" i="7"/>
  <c r="E1015" i="7"/>
  <c r="E1014" i="7"/>
  <c r="E1010" i="7"/>
  <c r="E1009" i="7"/>
  <c r="E1004" i="7"/>
  <c r="E1003" i="7"/>
  <c r="E998" i="7"/>
  <c r="E997" i="7"/>
  <c r="E992" i="7"/>
  <c r="E991" i="7"/>
  <c r="E986" i="7"/>
  <c r="E985" i="7"/>
  <c r="E978" i="7"/>
  <c r="E977" i="7"/>
  <c r="E971" i="7"/>
  <c r="E970" i="7"/>
  <c r="E969" i="7"/>
  <c r="E960" i="7"/>
  <c r="E959" i="7"/>
  <c r="E951" i="7"/>
  <c r="E950" i="7"/>
  <c r="E932" i="7"/>
  <c r="E931" i="7"/>
  <c r="E922" i="7"/>
  <c r="E921" i="7"/>
  <c r="E913" i="7"/>
  <c r="E912" i="7"/>
  <c r="E906" i="7"/>
  <c r="E905" i="7"/>
  <c r="E892" i="7"/>
  <c r="E891" i="7"/>
  <c r="E881" i="7"/>
  <c r="E880" i="7"/>
  <c r="E873" i="7"/>
  <c r="E872" i="7"/>
  <c r="E855" i="7"/>
  <c r="E854" i="7"/>
  <c r="E849" i="7"/>
  <c r="E833" i="7"/>
  <c r="E832" i="7"/>
  <c r="E822" i="7"/>
  <c r="E821" i="7"/>
  <c r="E811" i="7"/>
  <c r="E810" i="7"/>
  <c r="E800" i="7"/>
  <c r="E799" i="7"/>
  <c r="E791" i="7"/>
  <c r="E790" i="7"/>
  <c r="E735" i="7"/>
  <c r="E734" i="7"/>
  <c r="E733" i="7"/>
  <c r="E725" i="7"/>
  <c r="E724" i="7"/>
  <c r="E723" i="7"/>
  <c r="E719" i="7"/>
  <c r="E717" i="7"/>
  <c r="E713" i="7"/>
  <c r="E707" i="7"/>
  <c r="E706" i="7"/>
  <c r="E696" i="7"/>
  <c r="E691" i="7"/>
  <c r="E690" i="7"/>
  <c r="E678" i="7"/>
  <c r="E673" i="7"/>
  <c r="E672" i="7"/>
  <c r="E671" i="7"/>
  <c r="E661" i="7"/>
  <c r="E660" i="7"/>
  <c r="E659" i="7"/>
  <c r="E647" i="7"/>
  <c r="E645" i="7"/>
  <c r="E644" i="7"/>
  <c r="E643" i="7"/>
  <c r="E637" i="7"/>
  <c r="E636" i="7"/>
  <c r="E635" i="7"/>
  <c r="E629" i="7"/>
  <c r="E628" i="7"/>
  <c r="E627" i="7"/>
  <c r="E621" i="7"/>
  <c r="E620" i="7"/>
  <c r="E619" i="7"/>
  <c r="E613" i="7"/>
  <c r="E612" i="7"/>
  <c r="E609" i="7"/>
  <c r="E608" i="7"/>
  <c r="E607" i="7"/>
  <c r="E604" i="7"/>
  <c r="E603" i="7"/>
  <c r="E602" i="7"/>
  <c r="E599" i="7"/>
  <c r="E598" i="7"/>
  <c r="E595" i="7"/>
  <c r="E594" i="7"/>
  <c r="E593" i="7"/>
  <c r="E590" i="7"/>
  <c r="E589" i="7"/>
  <c r="E588" i="7"/>
  <c r="E585" i="7"/>
  <c r="E584" i="7"/>
  <c r="E583" i="7"/>
  <c r="E580" i="7"/>
  <c r="E579" i="7"/>
  <c r="E578" i="7"/>
  <c r="E575" i="7"/>
  <c r="E574" i="7"/>
  <c r="E564" i="7"/>
  <c r="E554" i="7"/>
  <c r="E553" i="7"/>
  <c r="E552" i="7"/>
  <c r="E546" i="7"/>
  <c r="E545" i="7"/>
  <c r="E539" i="7"/>
  <c r="E538" i="7"/>
  <c r="E529" i="7"/>
  <c r="E528" i="7"/>
  <c r="E519" i="7"/>
  <c r="E518" i="7"/>
  <c r="E506" i="7"/>
  <c r="E505" i="7"/>
  <c r="E494" i="7"/>
  <c r="E493" i="7"/>
  <c r="E480" i="7"/>
  <c r="E479" i="7"/>
  <c r="E467" i="7"/>
  <c r="E466" i="7"/>
  <c r="E458" i="7"/>
  <c r="E457" i="7"/>
  <c r="E450" i="7"/>
  <c r="E449" i="7"/>
  <c r="E438" i="7"/>
  <c r="E437" i="7"/>
  <c r="E427" i="7"/>
  <c r="E426" i="7"/>
  <c r="E416" i="7"/>
  <c r="E415" i="7"/>
  <c r="E402" i="7"/>
  <c r="E401" i="7"/>
  <c r="E395" i="7"/>
  <c r="E394" i="7"/>
  <c r="E388" i="7"/>
  <c r="E387" i="7"/>
  <c r="E381" i="7"/>
  <c r="E380" i="7"/>
  <c r="E379" i="7"/>
  <c r="E368" i="7"/>
  <c r="E359" i="7"/>
  <c r="E346" i="7"/>
  <c r="E338" i="7"/>
  <c r="E337" i="7"/>
  <c r="E326" i="7"/>
  <c r="E325" i="7"/>
  <c r="E315" i="7"/>
  <c r="E314" i="7"/>
  <c r="E309" i="7"/>
  <c r="E308" i="7"/>
  <c r="E302" i="7"/>
  <c r="E301" i="7"/>
  <c r="E294" i="7"/>
  <c r="E293" i="7"/>
  <c r="E288" i="7"/>
  <c r="E287" i="7"/>
  <c r="E280" i="7"/>
  <c r="E279" i="7"/>
  <c r="E270" i="7"/>
  <c r="E269" i="7"/>
  <c r="E261" i="7"/>
  <c r="E260" i="7"/>
  <c r="E253" i="7"/>
  <c r="E252" i="7"/>
  <c r="E245" i="7"/>
  <c r="E244" i="7"/>
  <c r="E238" i="7"/>
  <c r="E237" i="7"/>
  <c r="E232" i="7"/>
  <c r="E231" i="7"/>
  <c r="E226" i="7"/>
  <c r="E225" i="7"/>
  <c r="E215" i="7"/>
  <c r="E214" i="7"/>
  <c r="E199" i="7"/>
  <c r="E198" i="7"/>
  <c r="E188" i="7"/>
  <c r="E187" i="7"/>
  <c r="E178" i="7"/>
  <c r="E177" i="7"/>
  <c r="E167" i="7"/>
  <c r="E166" i="7"/>
  <c r="E156" i="7"/>
  <c r="E155" i="7"/>
  <c r="E145" i="7"/>
  <c r="E135" i="7"/>
  <c r="E134" i="7"/>
  <c r="E122" i="7"/>
  <c r="E121" i="7"/>
  <c r="E115" i="7"/>
  <c r="E114" i="7"/>
  <c r="E107" i="7"/>
  <c r="E106" i="7"/>
  <c r="E99" i="7"/>
  <c r="E98" i="7"/>
  <c r="E95" i="7"/>
  <c r="E94" i="7"/>
  <c r="E92" i="7"/>
  <c r="E91" i="7"/>
  <c r="E81" i="7"/>
  <c r="E80" i="7"/>
  <c r="E69" i="7"/>
  <c r="E68" i="7"/>
  <c r="E63" i="7"/>
  <c r="E62" i="7"/>
  <c r="E53" i="7"/>
  <c r="E52" i="7"/>
  <c r="E43" i="7"/>
  <c r="E38" i="7"/>
  <c r="E37" i="7"/>
  <c r="E27" i="7"/>
  <c r="E26" i="7"/>
  <c r="E25" i="7"/>
  <c r="E21" i="7"/>
  <c r="E20" i="7"/>
  <c r="E16" i="7"/>
  <c r="E15" i="7"/>
  <c r="E8" i="7"/>
  <c r="E7" i="7"/>
  <c r="E6" i="7"/>
  <c r="E5" i="7"/>
  <c r="E4" i="7"/>
  <c r="E3" i="7"/>
  <c r="K1668" i="7"/>
  <c r="K1667" i="7"/>
  <c r="K1666" i="7"/>
  <c r="K1665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529" i="7"/>
  <c r="K1525" i="7"/>
  <c r="K1522" i="7"/>
  <c r="K1519" i="7"/>
  <c r="K1518" i="7"/>
  <c r="K1515" i="7"/>
  <c r="K1514" i="7"/>
  <c r="K1513" i="7"/>
  <c r="K1500" i="7"/>
  <c r="K1499" i="7"/>
  <c r="K1494" i="7"/>
  <c r="K1493" i="7"/>
  <c r="K1492" i="7"/>
  <c r="K1429" i="7"/>
  <c r="K1428" i="7"/>
  <c r="K1427" i="7"/>
  <c r="K1424" i="7"/>
  <c r="K1423" i="7"/>
  <c r="K1422" i="7"/>
  <c r="K1290" i="7"/>
  <c r="K1289" i="7"/>
  <c r="K1284" i="7"/>
  <c r="K1283" i="7"/>
  <c r="K1278" i="7"/>
  <c r="K1277" i="7"/>
  <c r="K1268" i="7"/>
  <c r="K1259" i="7"/>
  <c r="K1258" i="7"/>
  <c r="K1170" i="7"/>
  <c r="K1169" i="7"/>
  <c r="K1126" i="7"/>
  <c r="K1125" i="7"/>
  <c r="K1119" i="7"/>
  <c r="K1118" i="7"/>
  <c r="K1112" i="7"/>
  <c r="K1111" i="7"/>
  <c r="K1105" i="7"/>
  <c r="K1104" i="7"/>
  <c r="K1098" i="7"/>
  <c r="K1097" i="7"/>
  <c r="K1091" i="7"/>
  <c r="K1090" i="7"/>
  <c r="K1084" i="7"/>
  <c r="K1083" i="7"/>
  <c r="K1079" i="7"/>
  <c r="K1078" i="7"/>
  <c r="K1071" i="7"/>
  <c r="K1070" i="7"/>
  <c r="K1066" i="7"/>
  <c r="K1065" i="7"/>
  <c r="K1059" i="7"/>
  <c r="K1058" i="7"/>
  <c r="K1052" i="7"/>
  <c r="K1051" i="7"/>
  <c r="K1045" i="7"/>
  <c r="K1044" i="7"/>
  <c r="K1035" i="7"/>
  <c r="K1034" i="7"/>
  <c r="K1032" i="7"/>
  <c r="K1031" i="7"/>
  <c r="K1028" i="7"/>
  <c r="K1027" i="7"/>
  <c r="K1021" i="7"/>
  <c r="K1020" i="7"/>
  <c r="K1015" i="7"/>
  <c r="K1014" i="7"/>
  <c r="K1010" i="7"/>
  <c r="K1009" i="7"/>
  <c r="K1004" i="7"/>
  <c r="K1003" i="7"/>
  <c r="K998" i="7"/>
  <c r="K997" i="7"/>
  <c r="K992" i="7"/>
  <c r="K991" i="7"/>
  <c r="K986" i="7"/>
  <c r="K985" i="7"/>
  <c r="K978" i="7"/>
  <c r="K977" i="7"/>
  <c r="K971" i="7"/>
  <c r="K970" i="7"/>
  <c r="K969" i="7"/>
  <c r="K960" i="7"/>
  <c r="K959" i="7"/>
  <c r="K951" i="7"/>
  <c r="K950" i="7"/>
  <c r="K932" i="7"/>
  <c r="K931" i="7"/>
  <c r="K922" i="7"/>
  <c r="K921" i="7"/>
  <c r="K913" i="7"/>
  <c r="K912" i="7"/>
  <c r="K906" i="7"/>
  <c r="K905" i="7"/>
  <c r="K892" i="7"/>
  <c r="K891" i="7"/>
  <c r="K881" i="7"/>
  <c r="K880" i="7"/>
  <c r="K873" i="7"/>
  <c r="K872" i="7"/>
  <c r="K855" i="7"/>
  <c r="K854" i="7"/>
  <c r="K849" i="7"/>
  <c r="K833" i="7"/>
  <c r="K832" i="7"/>
  <c r="K822" i="7"/>
  <c r="K821" i="7"/>
  <c r="K811" i="7"/>
  <c r="K810" i="7"/>
  <c r="K800" i="7"/>
  <c r="K799" i="7"/>
  <c r="K791" i="7"/>
  <c r="K790" i="7"/>
  <c r="K735" i="7"/>
  <c r="K734" i="7"/>
  <c r="K733" i="7"/>
  <c r="K725" i="7"/>
  <c r="K724" i="7"/>
  <c r="K723" i="7"/>
  <c r="K719" i="7"/>
  <c r="K717" i="7"/>
  <c r="K713" i="7"/>
  <c r="K707" i="7"/>
  <c r="K706" i="7"/>
  <c r="K696" i="7"/>
  <c r="K691" i="7"/>
  <c r="K690" i="7"/>
  <c r="K678" i="7"/>
  <c r="K673" i="7"/>
  <c r="K672" i="7"/>
  <c r="K671" i="7"/>
  <c r="K661" i="7"/>
  <c r="K660" i="7"/>
  <c r="K659" i="7"/>
  <c r="K647" i="7"/>
  <c r="K645" i="7"/>
  <c r="K644" i="7"/>
  <c r="K643" i="7"/>
  <c r="K637" i="7"/>
  <c r="K636" i="7"/>
  <c r="K635" i="7"/>
  <c r="K629" i="7"/>
  <c r="K628" i="7"/>
  <c r="K627" i="7"/>
  <c r="K621" i="7"/>
  <c r="K620" i="7"/>
  <c r="K619" i="7"/>
  <c r="K613" i="7"/>
  <c r="K612" i="7"/>
  <c r="K609" i="7"/>
  <c r="K608" i="7"/>
  <c r="K607" i="7"/>
  <c r="K604" i="7"/>
  <c r="K603" i="7"/>
  <c r="K602" i="7"/>
  <c r="K599" i="7"/>
  <c r="K598" i="7"/>
  <c r="K595" i="7"/>
  <c r="K594" i="7"/>
  <c r="K593" i="7"/>
  <c r="K590" i="7"/>
  <c r="K589" i="7"/>
  <c r="K588" i="7"/>
  <c r="K585" i="7"/>
  <c r="K584" i="7"/>
  <c r="K583" i="7"/>
  <c r="K580" i="7"/>
  <c r="K579" i="7"/>
  <c r="K578" i="7"/>
  <c r="K575" i="7"/>
  <c r="K574" i="7"/>
  <c r="K564" i="7"/>
  <c r="K554" i="7"/>
  <c r="K553" i="7"/>
  <c r="K552" i="7"/>
  <c r="K546" i="7"/>
  <c r="K545" i="7"/>
  <c r="K539" i="7"/>
  <c r="K538" i="7"/>
  <c r="K529" i="7"/>
  <c r="K528" i="7"/>
  <c r="K519" i="7"/>
  <c r="K518" i="7"/>
  <c r="K506" i="7"/>
  <c r="K505" i="7"/>
  <c r="K494" i="7"/>
  <c r="K493" i="7"/>
  <c r="K480" i="7"/>
  <c r="K479" i="7"/>
  <c r="K467" i="7"/>
  <c r="K466" i="7"/>
  <c r="K458" i="7"/>
  <c r="K457" i="7"/>
  <c r="K450" i="7"/>
  <c r="K449" i="7"/>
  <c r="K438" i="7"/>
  <c r="K437" i="7"/>
  <c r="K427" i="7"/>
  <c r="K426" i="7"/>
  <c r="K416" i="7"/>
  <c r="K415" i="7"/>
  <c r="K402" i="7"/>
  <c r="K401" i="7"/>
  <c r="K395" i="7"/>
  <c r="K394" i="7"/>
  <c r="K388" i="7"/>
  <c r="K387" i="7"/>
  <c r="K381" i="7"/>
  <c r="K380" i="7"/>
  <c r="K379" i="7"/>
  <c r="K368" i="7"/>
  <c r="K359" i="7"/>
  <c r="K346" i="7"/>
  <c r="K338" i="7"/>
  <c r="K337" i="7"/>
  <c r="K326" i="7"/>
  <c r="K325" i="7"/>
  <c r="K315" i="7"/>
  <c r="K314" i="7"/>
  <c r="K309" i="7"/>
  <c r="K308" i="7"/>
  <c r="K302" i="7"/>
  <c r="K301" i="7"/>
  <c r="K294" i="7"/>
  <c r="K293" i="7"/>
  <c r="K288" i="7"/>
  <c r="K287" i="7"/>
  <c r="K280" i="7"/>
  <c r="K279" i="7"/>
  <c r="K270" i="7"/>
  <c r="K269" i="7"/>
  <c r="K261" i="7"/>
  <c r="K260" i="7"/>
  <c r="K253" i="7"/>
  <c r="K252" i="7"/>
  <c r="K245" i="7"/>
  <c r="K244" i="7"/>
  <c r="K238" i="7"/>
  <c r="K237" i="7"/>
  <c r="K232" i="7"/>
  <c r="K231" i="7"/>
  <c r="K226" i="7"/>
  <c r="K225" i="7"/>
  <c r="K215" i="7"/>
  <c r="K214" i="7"/>
  <c r="K199" i="7"/>
  <c r="K198" i="7"/>
  <c r="K188" i="7"/>
  <c r="K187" i="7"/>
  <c r="K178" i="7"/>
  <c r="K177" i="7"/>
  <c r="K167" i="7"/>
  <c r="K166" i="7"/>
  <c r="K156" i="7"/>
  <c r="K155" i="7"/>
  <c r="K145" i="7"/>
  <c r="K135" i="7"/>
  <c r="K134" i="7"/>
  <c r="K122" i="7"/>
  <c r="K121" i="7"/>
  <c r="K115" i="7"/>
  <c r="K114" i="7"/>
  <c r="K107" i="7"/>
  <c r="K106" i="7"/>
  <c r="K99" i="7"/>
  <c r="K98" i="7"/>
  <c r="K95" i="7"/>
  <c r="K94" i="7"/>
  <c r="K92" i="7"/>
  <c r="K91" i="7"/>
  <c r="K81" i="7"/>
  <c r="K80" i="7"/>
  <c r="K69" i="7"/>
  <c r="K68" i="7"/>
  <c r="K63" i="7"/>
  <c r="K62" i="7"/>
  <c r="K53" i="7"/>
  <c r="K52" i="7"/>
  <c r="K43" i="7"/>
  <c r="K38" i="7"/>
  <c r="K37" i="7"/>
  <c r="K27" i="7"/>
  <c r="K26" i="7"/>
  <c r="K25" i="7"/>
  <c r="K21" i="7"/>
  <c r="K20" i="7"/>
  <c r="K16" i="7"/>
  <c r="K15" i="7"/>
  <c r="K8" i="7"/>
  <c r="K7" i="7"/>
  <c r="K6" i="7"/>
  <c r="K5" i="7"/>
  <c r="K4" i="7"/>
  <c r="K3" i="7"/>
  <c r="I1668" i="7"/>
  <c r="J1668" i="7" s="1"/>
  <c r="I1667" i="7"/>
  <c r="J1667" i="7" s="1"/>
  <c r="I1666" i="7"/>
  <c r="J1666" i="7" s="1"/>
  <c r="I1665" i="7"/>
  <c r="J1665" i="7" s="1"/>
  <c r="I1647" i="7"/>
  <c r="J1647" i="7" s="1"/>
  <c r="I1646" i="7"/>
  <c r="J1646" i="7" s="1"/>
  <c r="I1645" i="7"/>
  <c r="J1645" i="7" s="1"/>
  <c r="I1644" i="7"/>
  <c r="J1644" i="7" s="1"/>
  <c r="I1643" i="7"/>
  <c r="J1643" i="7" s="1"/>
  <c r="I1642" i="7"/>
  <c r="J1642" i="7" s="1"/>
  <c r="I1641" i="7"/>
  <c r="J1641" i="7" s="1"/>
  <c r="I1640" i="7"/>
  <c r="J1640" i="7" s="1"/>
  <c r="I1639" i="7"/>
  <c r="J1639" i="7" s="1"/>
  <c r="I1638" i="7"/>
  <c r="J1638" i="7" s="1"/>
  <c r="I1637" i="7"/>
  <c r="J1637" i="7" s="1"/>
  <c r="I1636" i="7"/>
  <c r="J1636" i="7" s="1"/>
  <c r="I1635" i="7"/>
  <c r="J1635" i="7" s="1"/>
  <c r="I1634" i="7"/>
  <c r="J1634" i="7" s="1"/>
  <c r="I1633" i="7"/>
  <c r="J1633" i="7" s="1"/>
  <c r="I1632" i="7"/>
  <c r="J1632" i="7" s="1"/>
  <c r="I1631" i="7"/>
  <c r="J1631" i="7" s="1"/>
  <c r="I1630" i="7"/>
  <c r="J1630" i="7" s="1"/>
  <c r="I1629" i="7"/>
  <c r="J1629" i="7" s="1"/>
  <c r="I1628" i="7"/>
  <c r="J1628" i="7" s="1"/>
  <c r="I1627" i="7"/>
  <c r="J1627" i="7" s="1"/>
  <c r="I1626" i="7"/>
  <c r="J1626" i="7" s="1"/>
  <c r="I1625" i="7"/>
  <c r="J1625" i="7" s="1"/>
  <c r="I1624" i="7"/>
  <c r="J1624" i="7" s="1"/>
  <c r="I1623" i="7"/>
  <c r="J1623" i="7" s="1"/>
  <c r="I1622" i="7"/>
  <c r="J1622" i="7" s="1"/>
  <c r="I1621" i="7"/>
  <c r="I1620" i="7"/>
  <c r="J1620" i="7" s="1"/>
  <c r="I1619" i="7"/>
  <c r="J1619" i="7" s="1"/>
  <c r="I1618" i="7"/>
  <c r="J1618" i="7" s="1"/>
  <c r="I1617" i="7"/>
  <c r="J1617" i="7" s="1"/>
  <c r="I1616" i="7"/>
  <c r="J1616" i="7" s="1"/>
  <c r="I1615" i="7"/>
  <c r="J1615" i="7" s="1"/>
  <c r="I1614" i="7"/>
  <c r="J1614" i="7" s="1"/>
  <c r="I1613" i="7"/>
  <c r="J1613" i="7" s="1"/>
  <c r="K164" i="6" s="1"/>
  <c r="N164" i="6" s="1"/>
  <c r="G105" i="8" s="1"/>
  <c r="K105" i="8" s="1"/>
  <c r="I1612" i="7"/>
  <c r="J1612" i="7" s="1"/>
  <c r="I1611" i="7"/>
  <c r="J1611" i="7" s="1"/>
  <c r="I1610" i="7"/>
  <c r="J1610" i="7" s="1"/>
  <c r="I1609" i="7"/>
  <c r="J1609" i="7" s="1"/>
  <c r="I1608" i="7"/>
  <c r="J1608" i="7" s="1"/>
  <c r="I1607" i="7"/>
  <c r="J1607" i="7" s="1"/>
  <c r="I1606" i="7"/>
  <c r="J1606" i="7" s="1"/>
  <c r="I1605" i="7"/>
  <c r="J1605" i="7" s="1"/>
  <c r="I1604" i="7"/>
  <c r="J1604" i="7" s="1"/>
  <c r="I1529" i="7"/>
  <c r="J1529" i="7" s="1"/>
  <c r="K244" i="6" s="1"/>
  <c r="N244" i="6" s="1"/>
  <c r="G197" i="8" s="1"/>
  <c r="K197" i="8" s="1"/>
  <c r="I1525" i="7"/>
  <c r="J1525" i="7" s="1"/>
  <c r="K242" i="6" s="1"/>
  <c r="N242" i="6" s="1"/>
  <c r="G195" i="8" s="1"/>
  <c r="K195" i="8" s="1"/>
  <c r="I1522" i="7"/>
  <c r="J1522" i="7" s="1"/>
  <c r="K241" i="6" s="1"/>
  <c r="I1519" i="7"/>
  <c r="J1519" i="7" s="1"/>
  <c r="I1518" i="7"/>
  <c r="J1518" i="7" s="1"/>
  <c r="I1515" i="7"/>
  <c r="J1515" i="7" s="1"/>
  <c r="I1514" i="7"/>
  <c r="J1514" i="7" s="1"/>
  <c r="I1513" i="7"/>
  <c r="J1513" i="7" s="1"/>
  <c r="I1500" i="7"/>
  <c r="J1500" i="7" s="1"/>
  <c r="I1499" i="7"/>
  <c r="J1499" i="7" s="1"/>
  <c r="I1494" i="7"/>
  <c r="J1494" i="7" s="1"/>
  <c r="I1493" i="7"/>
  <c r="J1493" i="7" s="1"/>
  <c r="I1492" i="7"/>
  <c r="J1492" i="7" s="1"/>
  <c r="I1429" i="7"/>
  <c r="J1429" i="7" s="1"/>
  <c r="I1428" i="7"/>
  <c r="J1428" i="7" s="1"/>
  <c r="I1427" i="7"/>
  <c r="J1427" i="7" s="1"/>
  <c r="I1424" i="7"/>
  <c r="J1424" i="7" s="1"/>
  <c r="I1423" i="7"/>
  <c r="J1423" i="7" s="1"/>
  <c r="I1422" i="7"/>
  <c r="J1422" i="7" s="1"/>
  <c r="I1290" i="7"/>
  <c r="J1290" i="7" s="1"/>
  <c r="I1289" i="7"/>
  <c r="J1289" i="7" s="1"/>
  <c r="I1284" i="7"/>
  <c r="J1284" i="7" s="1"/>
  <c r="I1283" i="7"/>
  <c r="J1283" i="7" s="1"/>
  <c r="I1278" i="7"/>
  <c r="J1278" i="7" s="1"/>
  <c r="I1277" i="7"/>
  <c r="J1277" i="7" s="1"/>
  <c r="I1268" i="7"/>
  <c r="J1268" i="7" s="1"/>
  <c r="I1259" i="7"/>
  <c r="J1259" i="7" s="1"/>
  <c r="I1258" i="7"/>
  <c r="J1258" i="7" s="1"/>
  <c r="I1170" i="7"/>
  <c r="J1170" i="7" s="1"/>
  <c r="I1169" i="7"/>
  <c r="J1169" i="7" s="1"/>
  <c r="I1126" i="7"/>
  <c r="J1126" i="7" s="1"/>
  <c r="I1125" i="7"/>
  <c r="J1125" i="7" s="1"/>
  <c r="I1119" i="7"/>
  <c r="J1119" i="7" s="1"/>
  <c r="I1118" i="7"/>
  <c r="J1118" i="7" s="1"/>
  <c r="I1112" i="7"/>
  <c r="J1112" i="7" s="1"/>
  <c r="I1111" i="7"/>
  <c r="J1111" i="7" s="1"/>
  <c r="I1105" i="7"/>
  <c r="J1105" i="7" s="1"/>
  <c r="I1104" i="7"/>
  <c r="J1104" i="7" s="1"/>
  <c r="I1098" i="7"/>
  <c r="J1098" i="7" s="1"/>
  <c r="I1097" i="7"/>
  <c r="J1097" i="7" s="1"/>
  <c r="I1091" i="7"/>
  <c r="J1091" i="7" s="1"/>
  <c r="I1090" i="7"/>
  <c r="J1090" i="7" s="1"/>
  <c r="I1084" i="7"/>
  <c r="J1084" i="7" s="1"/>
  <c r="I1083" i="7"/>
  <c r="J1083" i="7" s="1"/>
  <c r="I1079" i="7"/>
  <c r="J1079" i="7" s="1"/>
  <c r="I1078" i="7"/>
  <c r="J1078" i="7" s="1"/>
  <c r="I1071" i="7"/>
  <c r="J1071" i="7" s="1"/>
  <c r="I1070" i="7"/>
  <c r="J1070" i="7" s="1"/>
  <c r="I1066" i="7"/>
  <c r="J1066" i="7" s="1"/>
  <c r="I1065" i="7"/>
  <c r="J1065" i="7" s="1"/>
  <c r="I1059" i="7"/>
  <c r="J1059" i="7" s="1"/>
  <c r="I1058" i="7"/>
  <c r="J1058" i="7" s="1"/>
  <c r="I1052" i="7"/>
  <c r="J1052" i="7" s="1"/>
  <c r="I1051" i="7"/>
  <c r="J1051" i="7" s="1"/>
  <c r="I1045" i="7"/>
  <c r="J1045" i="7" s="1"/>
  <c r="I1044" i="7"/>
  <c r="J1044" i="7" s="1"/>
  <c r="I1035" i="7"/>
  <c r="J1035" i="7" s="1"/>
  <c r="I1034" i="7"/>
  <c r="J1034" i="7" s="1"/>
  <c r="I1032" i="7"/>
  <c r="J1032" i="7" s="1"/>
  <c r="I1031" i="7"/>
  <c r="J1031" i="7" s="1"/>
  <c r="I1028" i="7"/>
  <c r="J1028" i="7" s="1"/>
  <c r="I1027" i="7"/>
  <c r="J1027" i="7" s="1"/>
  <c r="I1021" i="7"/>
  <c r="J1021" i="7" s="1"/>
  <c r="I1020" i="7"/>
  <c r="J1020" i="7" s="1"/>
  <c r="I1015" i="7"/>
  <c r="J1015" i="7" s="1"/>
  <c r="I1014" i="7"/>
  <c r="J1014" i="7" s="1"/>
  <c r="I1010" i="7"/>
  <c r="J1010" i="7" s="1"/>
  <c r="I1009" i="7"/>
  <c r="J1009" i="7" s="1"/>
  <c r="I1004" i="7"/>
  <c r="J1004" i="7" s="1"/>
  <c r="I1003" i="7"/>
  <c r="J1003" i="7" s="1"/>
  <c r="I998" i="7"/>
  <c r="J998" i="7" s="1"/>
  <c r="I997" i="7"/>
  <c r="J997" i="7" s="1"/>
  <c r="I992" i="7"/>
  <c r="J992" i="7" s="1"/>
  <c r="I991" i="7"/>
  <c r="J991" i="7" s="1"/>
  <c r="I986" i="7"/>
  <c r="J986" i="7" s="1"/>
  <c r="I985" i="7"/>
  <c r="J985" i="7" s="1"/>
  <c r="I978" i="7"/>
  <c r="J978" i="7" s="1"/>
  <c r="I977" i="7"/>
  <c r="J977" i="7" s="1"/>
  <c r="I971" i="7"/>
  <c r="J971" i="7" s="1"/>
  <c r="I970" i="7"/>
  <c r="J970" i="7" s="1"/>
  <c r="I969" i="7"/>
  <c r="J969" i="7" s="1"/>
  <c r="I960" i="7"/>
  <c r="J960" i="7" s="1"/>
  <c r="I959" i="7"/>
  <c r="J959" i="7" s="1"/>
  <c r="I951" i="7"/>
  <c r="J951" i="7" s="1"/>
  <c r="I950" i="7"/>
  <c r="J950" i="7" s="1"/>
  <c r="I932" i="7"/>
  <c r="J932" i="7" s="1"/>
  <c r="I931" i="7"/>
  <c r="J931" i="7" s="1"/>
  <c r="I922" i="7"/>
  <c r="J922" i="7" s="1"/>
  <c r="I921" i="7"/>
  <c r="J921" i="7" s="1"/>
  <c r="I913" i="7"/>
  <c r="J913" i="7" s="1"/>
  <c r="I912" i="7"/>
  <c r="J912" i="7" s="1"/>
  <c r="I906" i="7"/>
  <c r="J906" i="7" s="1"/>
  <c r="I905" i="7"/>
  <c r="J905" i="7" s="1"/>
  <c r="I892" i="7"/>
  <c r="J892" i="7" s="1"/>
  <c r="I891" i="7"/>
  <c r="J891" i="7" s="1"/>
  <c r="I881" i="7"/>
  <c r="J881" i="7" s="1"/>
  <c r="I880" i="7"/>
  <c r="J880" i="7" s="1"/>
  <c r="I873" i="7"/>
  <c r="J873" i="7" s="1"/>
  <c r="I872" i="7"/>
  <c r="J872" i="7" s="1"/>
  <c r="I855" i="7"/>
  <c r="J855" i="7" s="1"/>
  <c r="I854" i="7"/>
  <c r="J854" i="7" s="1"/>
  <c r="I849" i="7"/>
  <c r="J849" i="7" s="1"/>
  <c r="I833" i="7"/>
  <c r="J833" i="7" s="1"/>
  <c r="I832" i="7"/>
  <c r="J832" i="7" s="1"/>
  <c r="I822" i="7"/>
  <c r="J822" i="7" s="1"/>
  <c r="I821" i="7"/>
  <c r="J821" i="7" s="1"/>
  <c r="I811" i="7"/>
  <c r="J811" i="7" s="1"/>
  <c r="I810" i="7"/>
  <c r="J810" i="7" s="1"/>
  <c r="I800" i="7"/>
  <c r="J800" i="7" s="1"/>
  <c r="I799" i="7"/>
  <c r="J799" i="7" s="1"/>
  <c r="I791" i="7"/>
  <c r="J791" i="7" s="1"/>
  <c r="I790" i="7"/>
  <c r="J790" i="7" s="1"/>
  <c r="I735" i="7"/>
  <c r="J735" i="7" s="1"/>
  <c r="I734" i="7"/>
  <c r="J734" i="7" s="1"/>
  <c r="I733" i="7"/>
  <c r="J733" i="7" s="1"/>
  <c r="I725" i="7"/>
  <c r="J725" i="7" s="1"/>
  <c r="I724" i="7"/>
  <c r="J724" i="7" s="1"/>
  <c r="I723" i="7"/>
  <c r="J723" i="7" s="1"/>
  <c r="I719" i="7"/>
  <c r="J719" i="7" s="1"/>
  <c r="K89" i="6" s="1"/>
  <c r="I717" i="7"/>
  <c r="J717" i="7" s="1"/>
  <c r="I713" i="7"/>
  <c r="J713" i="7" s="1"/>
  <c r="I707" i="7"/>
  <c r="J707" i="7" s="1"/>
  <c r="I706" i="7"/>
  <c r="J706" i="7" s="1"/>
  <c r="I696" i="7"/>
  <c r="J696" i="7" s="1"/>
  <c r="I691" i="7"/>
  <c r="J691" i="7" s="1"/>
  <c r="I690" i="7"/>
  <c r="J690" i="7" s="1"/>
  <c r="I678" i="7"/>
  <c r="J678" i="7" s="1"/>
  <c r="I673" i="7"/>
  <c r="J673" i="7" s="1"/>
  <c r="I672" i="7"/>
  <c r="J672" i="7" s="1"/>
  <c r="I671" i="7"/>
  <c r="J671" i="7" s="1"/>
  <c r="I661" i="7"/>
  <c r="J661" i="7" s="1"/>
  <c r="I660" i="7"/>
  <c r="J660" i="7" s="1"/>
  <c r="I659" i="7"/>
  <c r="J659" i="7" s="1"/>
  <c r="I647" i="7"/>
  <c r="J647" i="7" s="1"/>
  <c r="I645" i="7"/>
  <c r="J645" i="7" s="1"/>
  <c r="I644" i="7"/>
  <c r="J644" i="7" s="1"/>
  <c r="I643" i="7"/>
  <c r="J643" i="7" s="1"/>
  <c r="I637" i="7"/>
  <c r="J637" i="7" s="1"/>
  <c r="I636" i="7"/>
  <c r="J636" i="7" s="1"/>
  <c r="I635" i="7"/>
  <c r="J635" i="7" s="1"/>
  <c r="I629" i="7"/>
  <c r="J629" i="7" s="1"/>
  <c r="I628" i="7"/>
  <c r="J628" i="7" s="1"/>
  <c r="I627" i="7"/>
  <c r="J627" i="7" s="1"/>
  <c r="I621" i="7"/>
  <c r="J621" i="7" s="1"/>
  <c r="I620" i="7"/>
  <c r="J620" i="7" s="1"/>
  <c r="I619" i="7"/>
  <c r="J619" i="7" s="1"/>
  <c r="I613" i="7"/>
  <c r="J613" i="7" s="1"/>
  <c r="I612" i="7"/>
  <c r="J612" i="7" s="1"/>
  <c r="I609" i="7"/>
  <c r="J609" i="7" s="1"/>
  <c r="I608" i="7"/>
  <c r="J608" i="7" s="1"/>
  <c r="I607" i="7"/>
  <c r="J607" i="7" s="1"/>
  <c r="I604" i="7"/>
  <c r="J604" i="7" s="1"/>
  <c r="I603" i="7"/>
  <c r="J603" i="7" s="1"/>
  <c r="I602" i="7"/>
  <c r="J602" i="7" s="1"/>
  <c r="I599" i="7"/>
  <c r="J599" i="7" s="1"/>
  <c r="I598" i="7"/>
  <c r="J598" i="7" s="1"/>
  <c r="I595" i="7"/>
  <c r="J595" i="7" s="1"/>
  <c r="I594" i="7"/>
  <c r="J594" i="7" s="1"/>
  <c r="I593" i="7"/>
  <c r="J593" i="7" s="1"/>
  <c r="I590" i="7"/>
  <c r="J590" i="7" s="1"/>
  <c r="I589" i="7"/>
  <c r="J589" i="7" s="1"/>
  <c r="I588" i="7"/>
  <c r="J588" i="7" s="1"/>
  <c r="I585" i="7"/>
  <c r="J585" i="7" s="1"/>
  <c r="I584" i="7"/>
  <c r="J584" i="7" s="1"/>
  <c r="I583" i="7"/>
  <c r="J583" i="7" s="1"/>
  <c r="I580" i="7"/>
  <c r="J580" i="7" s="1"/>
  <c r="I579" i="7"/>
  <c r="J579" i="7" s="1"/>
  <c r="I578" i="7"/>
  <c r="J578" i="7" s="1"/>
  <c r="I575" i="7"/>
  <c r="J575" i="7" s="1"/>
  <c r="I574" i="7"/>
  <c r="J574" i="7" s="1"/>
  <c r="I564" i="7"/>
  <c r="J564" i="7" s="1"/>
  <c r="K64" i="6" s="1"/>
  <c r="I554" i="7"/>
  <c r="J554" i="7" s="1"/>
  <c r="I553" i="7"/>
  <c r="J553" i="7" s="1"/>
  <c r="I552" i="7"/>
  <c r="J552" i="7" s="1"/>
  <c r="I546" i="7"/>
  <c r="J546" i="7" s="1"/>
  <c r="I545" i="7"/>
  <c r="J545" i="7" s="1"/>
  <c r="I539" i="7"/>
  <c r="J539" i="7" s="1"/>
  <c r="I538" i="7"/>
  <c r="J538" i="7" s="1"/>
  <c r="I529" i="7"/>
  <c r="J529" i="7" s="1"/>
  <c r="I528" i="7"/>
  <c r="J528" i="7" s="1"/>
  <c r="I519" i="7"/>
  <c r="J519" i="7" s="1"/>
  <c r="I518" i="7"/>
  <c r="J518" i="7" s="1"/>
  <c r="I506" i="7"/>
  <c r="J506" i="7" s="1"/>
  <c r="I505" i="7"/>
  <c r="J505" i="7" s="1"/>
  <c r="I494" i="7"/>
  <c r="J494" i="7" s="1"/>
  <c r="I493" i="7"/>
  <c r="J493" i="7" s="1"/>
  <c r="I480" i="7"/>
  <c r="J480" i="7" s="1"/>
  <c r="I479" i="7"/>
  <c r="J479" i="7" s="1"/>
  <c r="I467" i="7"/>
  <c r="J467" i="7" s="1"/>
  <c r="I466" i="7"/>
  <c r="J466" i="7" s="1"/>
  <c r="I458" i="7"/>
  <c r="J458" i="7" s="1"/>
  <c r="I457" i="7"/>
  <c r="J457" i="7" s="1"/>
  <c r="I450" i="7"/>
  <c r="J450" i="7" s="1"/>
  <c r="I449" i="7"/>
  <c r="J449" i="7" s="1"/>
  <c r="I438" i="7"/>
  <c r="J438" i="7" s="1"/>
  <c r="I437" i="7"/>
  <c r="J437" i="7" s="1"/>
  <c r="I427" i="7"/>
  <c r="J427" i="7" s="1"/>
  <c r="I426" i="7"/>
  <c r="J426" i="7" s="1"/>
  <c r="I416" i="7"/>
  <c r="J416" i="7" s="1"/>
  <c r="I415" i="7"/>
  <c r="J415" i="7" s="1"/>
  <c r="I402" i="7"/>
  <c r="J402" i="7" s="1"/>
  <c r="I401" i="7"/>
  <c r="J401" i="7" s="1"/>
  <c r="I395" i="7"/>
  <c r="J395" i="7" s="1"/>
  <c r="I394" i="7"/>
  <c r="J394" i="7" s="1"/>
  <c r="I388" i="7"/>
  <c r="J388" i="7" s="1"/>
  <c r="I387" i="7"/>
  <c r="J387" i="7" s="1"/>
  <c r="I381" i="7"/>
  <c r="J381" i="7" s="1"/>
  <c r="I380" i="7"/>
  <c r="J380" i="7" s="1"/>
  <c r="I379" i="7"/>
  <c r="J379" i="7" s="1"/>
  <c r="I368" i="7"/>
  <c r="J368" i="7" s="1"/>
  <c r="I359" i="7"/>
  <c r="J359" i="7" s="1"/>
  <c r="I346" i="7"/>
  <c r="J346" i="7" s="1"/>
  <c r="K43" i="6" s="1"/>
  <c r="N43" i="6" s="1"/>
  <c r="I338" i="7"/>
  <c r="J338" i="7" s="1"/>
  <c r="I337" i="7"/>
  <c r="J337" i="7" s="1"/>
  <c r="I326" i="7"/>
  <c r="J326" i="7" s="1"/>
  <c r="I325" i="7"/>
  <c r="J325" i="7" s="1"/>
  <c r="I315" i="7"/>
  <c r="J315" i="7" s="1"/>
  <c r="I314" i="7"/>
  <c r="J314" i="7" s="1"/>
  <c r="I309" i="7"/>
  <c r="J309" i="7" s="1"/>
  <c r="I308" i="7"/>
  <c r="J308" i="7" s="1"/>
  <c r="I302" i="7"/>
  <c r="J302" i="7" s="1"/>
  <c r="I301" i="7"/>
  <c r="J301" i="7" s="1"/>
  <c r="I294" i="7"/>
  <c r="J294" i="7" s="1"/>
  <c r="I293" i="7"/>
  <c r="J293" i="7" s="1"/>
  <c r="I288" i="7"/>
  <c r="J288" i="7" s="1"/>
  <c r="I287" i="7"/>
  <c r="J287" i="7" s="1"/>
  <c r="I280" i="7"/>
  <c r="J280" i="7" s="1"/>
  <c r="I279" i="7"/>
  <c r="J279" i="7" s="1"/>
  <c r="I270" i="7"/>
  <c r="J270" i="7" s="1"/>
  <c r="I269" i="7"/>
  <c r="J269" i="7" s="1"/>
  <c r="I261" i="7"/>
  <c r="J261" i="7" s="1"/>
  <c r="I260" i="7"/>
  <c r="J260" i="7" s="1"/>
  <c r="I253" i="7"/>
  <c r="J253" i="7" s="1"/>
  <c r="I252" i="7"/>
  <c r="J252" i="7" s="1"/>
  <c r="I245" i="7"/>
  <c r="J245" i="7" s="1"/>
  <c r="I244" i="7"/>
  <c r="J244" i="7" s="1"/>
  <c r="I238" i="7"/>
  <c r="J238" i="7" s="1"/>
  <c r="I237" i="7"/>
  <c r="J237" i="7" s="1"/>
  <c r="I232" i="7"/>
  <c r="J232" i="7" s="1"/>
  <c r="I231" i="7"/>
  <c r="J231" i="7" s="1"/>
  <c r="I226" i="7"/>
  <c r="J226" i="7" s="1"/>
  <c r="I225" i="7"/>
  <c r="J225" i="7" s="1"/>
  <c r="I215" i="7"/>
  <c r="J215" i="7" s="1"/>
  <c r="I214" i="7"/>
  <c r="J214" i="7" s="1"/>
  <c r="I199" i="7"/>
  <c r="J199" i="7" s="1"/>
  <c r="I198" i="7"/>
  <c r="J198" i="7" s="1"/>
  <c r="I188" i="7"/>
  <c r="J188" i="7" s="1"/>
  <c r="I187" i="7"/>
  <c r="J187" i="7" s="1"/>
  <c r="I178" i="7"/>
  <c r="J178" i="7" s="1"/>
  <c r="I177" i="7"/>
  <c r="J177" i="7" s="1"/>
  <c r="I167" i="7"/>
  <c r="J167" i="7" s="1"/>
  <c r="I166" i="7"/>
  <c r="J166" i="7" s="1"/>
  <c r="I156" i="7"/>
  <c r="J156" i="7" s="1"/>
  <c r="I155" i="7"/>
  <c r="J155" i="7" s="1"/>
  <c r="I145" i="7"/>
  <c r="I135" i="7"/>
  <c r="J135" i="7" s="1"/>
  <c r="I134" i="7"/>
  <c r="J134" i="7" s="1"/>
  <c r="I122" i="7"/>
  <c r="J122" i="7" s="1"/>
  <c r="I121" i="7"/>
  <c r="J121" i="7" s="1"/>
  <c r="I115" i="7"/>
  <c r="J115" i="7" s="1"/>
  <c r="I114" i="7"/>
  <c r="J114" i="7" s="1"/>
  <c r="I107" i="7"/>
  <c r="J107" i="7" s="1"/>
  <c r="I106" i="7"/>
  <c r="J106" i="7" s="1"/>
  <c r="I99" i="7"/>
  <c r="J99" i="7" s="1"/>
  <c r="I98" i="7"/>
  <c r="J98" i="7" s="1"/>
  <c r="I95" i="7"/>
  <c r="J95" i="7" s="1"/>
  <c r="I94" i="7"/>
  <c r="J94" i="7" s="1"/>
  <c r="I92" i="7"/>
  <c r="J92" i="7" s="1"/>
  <c r="I91" i="7"/>
  <c r="J91" i="7" s="1"/>
  <c r="I81" i="7"/>
  <c r="J81" i="7" s="1"/>
  <c r="I80" i="7"/>
  <c r="J80" i="7" s="1"/>
  <c r="I69" i="7"/>
  <c r="J69" i="7" s="1"/>
  <c r="I68" i="7"/>
  <c r="J68" i="7" s="1"/>
  <c r="I63" i="7"/>
  <c r="J63" i="7" s="1"/>
  <c r="I62" i="7"/>
  <c r="J62" i="7" s="1"/>
  <c r="I53" i="7"/>
  <c r="J53" i="7" s="1"/>
  <c r="I52" i="7"/>
  <c r="J52" i="7" s="1"/>
  <c r="I43" i="7"/>
  <c r="J43" i="7" s="1"/>
  <c r="K9" i="6" s="1"/>
  <c r="N9" i="6" s="1"/>
  <c r="I38" i="7"/>
  <c r="J38" i="7" s="1"/>
  <c r="I37" i="7"/>
  <c r="J37" i="7" s="1"/>
  <c r="I27" i="7"/>
  <c r="J27" i="7" s="1"/>
  <c r="I26" i="7"/>
  <c r="J26" i="7" s="1"/>
  <c r="I25" i="7"/>
  <c r="J25" i="7" s="1"/>
  <c r="I21" i="7"/>
  <c r="J21" i="7" s="1"/>
  <c r="I20" i="7"/>
  <c r="J20" i="7" s="1"/>
  <c r="I16" i="7"/>
  <c r="J16" i="7" s="1"/>
  <c r="I15" i="7"/>
  <c r="J15" i="7" s="1"/>
  <c r="I8" i="7"/>
  <c r="J8" i="7" s="1"/>
  <c r="I7" i="7"/>
  <c r="J7" i="7" s="1"/>
  <c r="I6" i="7"/>
  <c r="J6" i="7" s="1"/>
  <c r="I5" i="7"/>
  <c r="J5" i="7" s="1"/>
  <c r="I4" i="7"/>
  <c r="J4" i="7" s="1"/>
  <c r="I3" i="7"/>
  <c r="J3" i="7" s="1"/>
  <c r="J261" i="6"/>
  <c r="M261" i="6" s="1"/>
  <c r="F218" i="8" s="1"/>
  <c r="J218" i="8" s="1"/>
  <c r="K646" i="7"/>
  <c r="I646" i="7"/>
  <c r="J646" i="7" s="1"/>
  <c r="E646" i="7"/>
  <c r="K14" i="7"/>
  <c r="E14" i="7"/>
  <c r="K9" i="7"/>
  <c r="I9" i="7"/>
  <c r="J9" i="7" s="1"/>
  <c r="E9" i="7"/>
  <c r="K2" i="7"/>
  <c r="I2" i="7"/>
  <c r="J2" i="7" s="1"/>
  <c r="E2" i="7"/>
  <c r="Q277" i="6"/>
  <c r="L277" i="6"/>
  <c r="O277" i="6" s="1"/>
  <c r="H236" i="8" s="1"/>
  <c r="L236" i="8" s="1"/>
  <c r="K277" i="6"/>
  <c r="N277" i="6" s="1"/>
  <c r="G236" i="8" s="1"/>
  <c r="K236" i="8" s="1"/>
  <c r="Q276" i="6"/>
  <c r="L276" i="6"/>
  <c r="O276" i="6" s="1"/>
  <c r="H235" i="8" s="1"/>
  <c r="L235" i="8" s="1"/>
  <c r="K276" i="6"/>
  <c r="N276" i="6" s="1"/>
  <c r="G235" i="8" s="1"/>
  <c r="K235" i="8" s="1"/>
  <c r="Q275" i="6"/>
  <c r="L275" i="6"/>
  <c r="O275" i="6" s="1"/>
  <c r="H234" i="8" s="1"/>
  <c r="L234" i="8" s="1"/>
  <c r="K275" i="6"/>
  <c r="N275" i="6" s="1"/>
  <c r="G234" i="8" s="1"/>
  <c r="K234" i="8" s="1"/>
  <c r="Q274" i="6"/>
  <c r="Q273" i="6"/>
  <c r="N273" i="6"/>
  <c r="G232" i="8" s="1"/>
  <c r="Q272" i="6"/>
  <c r="Q271" i="6"/>
  <c r="N271" i="6"/>
  <c r="G230" i="8" s="1"/>
  <c r="K230" i="8" s="1"/>
  <c r="Q270" i="6"/>
  <c r="L270" i="6"/>
  <c r="O270" i="6" s="1"/>
  <c r="H228" i="8" s="1"/>
  <c r="L228" i="8" s="1"/>
  <c r="K270" i="6"/>
  <c r="N270" i="6" s="1"/>
  <c r="G228" i="8" s="1"/>
  <c r="K228" i="8" s="1"/>
  <c r="Q269" i="6"/>
  <c r="L269" i="6"/>
  <c r="O269" i="6" s="1"/>
  <c r="H227" i="8" s="1"/>
  <c r="L227" i="8" s="1"/>
  <c r="K269" i="6"/>
  <c r="N269" i="6" s="1"/>
  <c r="G227" i="8" s="1"/>
  <c r="K227" i="8" s="1"/>
  <c r="Q268" i="6"/>
  <c r="L268" i="6"/>
  <c r="O268" i="6" s="1"/>
  <c r="H226" i="8" s="1"/>
  <c r="L226" i="8" s="1"/>
  <c r="K268" i="6"/>
  <c r="N268" i="6" s="1"/>
  <c r="G226" i="8" s="1"/>
  <c r="K226" i="8" s="1"/>
  <c r="Q267" i="6"/>
  <c r="L267" i="6"/>
  <c r="O267" i="6" s="1"/>
  <c r="H225" i="8" s="1"/>
  <c r="L225" i="8" s="1"/>
  <c r="K267" i="6"/>
  <c r="N267" i="6" s="1"/>
  <c r="G225" i="8" s="1"/>
  <c r="K225" i="8" s="1"/>
  <c r="Q266" i="6"/>
  <c r="L266" i="6"/>
  <c r="O266" i="6" s="1"/>
  <c r="H224" i="8" s="1"/>
  <c r="L224" i="8" s="1"/>
  <c r="K266" i="6"/>
  <c r="N266" i="6" s="1"/>
  <c r="G224" i="8" s="1"/>
  <c r="Q265" i="6"/>
  <c r="O265" i="6"/>
  <c r="H223" i="8" s="1"/>
  <c r="L223" i="8" s="1"/>
  <c r="Q264" i="6"/>
  <c r="Q263" i="6"/>
  <c r="Q262" i="6"/>
  <c r="Q261" i="6"/>
  <c r="L261" i="6"/>
  <c r="O261" i="6" s="1"/>
  <c r="H218" i="8" s="1"/>
  <c r="L218" i="8" s="1"/>
  <c r="K261" i="6"/>
  <c r="N261" i="6" s="1"/>
  <c r="G218" i="8" s="1"/>
  <c r="K218" i="8" s="1"/>
  <c r="Q260" i="6"/>
  <c r="L260" i="6"/>
  <c r="O260" i="6" s="1"/>
  <c r="H217" i="8" s="1"/>
  <c r="L217" i="8" s="1"/>
  <c r="K260" i="6"/>
  <c r="N260" i="6" s="1"/>
  <c r="G217" i="8" s="1"/>
  <c r="K217" i="8" s="1"/>
  <c r="Q259" i="6"/>
  <c r="L259" i="6"/>
  <c r="O259" i="6" s="1"/>
  <c r="H216" i="8" s="1"/>
  <c r="L216" i="8" s="1"/>
  <c r="K259" i="6"/>
  <c r="N259" i="6" s="1"/>
  <c r="G216" i="8" s="1"/>
  <c r="Q258" i="6"/>
  <c r="L258" i="6"/>
  <c r="O258" i="6" s="1"/>
  <c r="H215" i="8" s="1"/>
  <c r="L215" i="8" s="1"/>
  <c r="K258" i="6"/>
  <c r="N258" i="6" s="1"/>
  <c r="G215" i="8" s="1"/>
  <c r="K215" i="8" s="1"/>
  <c r="Q257" i="6"/>
  <c r="L257" i="6"/>
  <c r="O257" i="6" s="1"/>
  <c r="H214" i="8" s="1"/>
  <c r="L214" i="8" s="1"/>
  <c r="K257" i="6"/>
  <c r="N257" i="6" s="1"/>
  <c r="G214" i="8" s="1"/>
  <c r="K214" i="8" s="1"/>
  <c r="Q256" i="6"/>
  <c r="Q255" i="6"/>
  <c r="Q254" i="6"/>
  <c r="O254" i="6"/>
  <c r="H210" i="8" s="1"/>
  <c r="L210" i="8" s="1"/>
  <c r="Q253" i="6"/>
  <c r="L253" i="6"/>
  <c r="O253" i="6" s="1"/>
  <c r="H209" i="8" s="1"/>
  <c r="L209" i="8" s="1"/>
  <c r="K253" i="6"/>
  <c r="N253" i="6" s="1"/>
  <c r="G209" i="8" s="1"/>
  <c r="K209" i="8" s="1"/>
  <c r="Q252" i="6"/>
  <c r="L252" i="6"/>
  <c r="O252" i="6" s="1"/>
  <c r="H208" i="8" s="1"/>
  <c r="L208" i="8" s="1"/>
  <c r="K252" i="6"/>
  <c r="N252" i="6" s="1"/>
  <c r="G208" i="8" s="1"/>
  <c r="Q251" i="6"/>
  <c r="L251" i="6"/>
  <c r="O251" i="6" s="1"/>
  <c r="H207" i="8" s="1"/>
  <c r="L207" i="8" s="1"/>
  <c r="K251" i="6"/>
  <c r="N251" i="6" s="1"/>
  <c r="G207" i="8" s="1"/>
  <c r="K207" i="8" s="1"/>
  <c r="Q250" i="6"/>
  <c r="L250" i="6"/>
  <c r="O250" i="6" s="1"/>
  <c r="H206" i="8" s="1"/>
  <c r="L206" i="8" s="1"/>
  <c r="K250" i="6"/>
  <c r="N250" i="6" s="1"/>
  <c r="G206" i="8" s="1"/>
  <c r="K206" i="8" s="1"/>
  <c r="Q249" i="6"/>
  <c r="L249" i="6"/>
  <c r="O249" i="6" s="1"/>
  <c r="H205" i="8" s="1"/>
  <c r="K249" i="6"/>
  <c r="N249" i="6" s="1"/>
  <c r="G205" i="8" s="1"/>
  <c r="K205" i="8" s="1"/>
  <c r="Q248" i="6"/>
  <c r="Q247" i="6"/>
  <c r="Q246" i="6"/>
  <c r="Q245" i="6"/>
  <c r="L245" i="6"/>
  <c r="O245" i="6" s="1"/>
  <c r="H199" i="8" s="1"/>
  <c r="L199" i="8" s="1"/>
  <c r="J245" i="6"/>
  <c r="M245" i="6" s="1"/>
  <c r="F199" i="8" s="1"/>
  <c r="J199" i="8" s="1"/>
  <c r="Q244" i="6"/>
  <c r="Q243" i="6"/>
  <c r="L243" i="6"/>
  <c r="O243" i="6" s="1"/>
  <c r="H196" i="8" s="1"/>
  <c r="L196" i="8" s="1"/>
  <c r="J243" i="6"/>
  <c r="M243" i="6" s="1"/>
  <c r="Q242" i="6"/>
  <c r="Q241" i="6"/>
  <c r="Q240" i="6"/>
  <c r="Q239" i="6"/>
  <c r="Q238" i="6"/>
  <c r="L238" i="6"/>
  <c r="O238" i="6" s="1"/>
  <c r="H191" i="8" s="1"/>
  <c r="L191" i="8" s="1"/>
  <c r="J238" i="6"/>
  <c r="M238" i="6" s="1"/>
  <c r="F191" i="8" s="1"/>
  <c r="J191" i="8" s="1"/>
  <c r="Q237" i="6"/>
  <c r="L237" i="6"/>
  <c r="O237" i="6" s="1"/>
  <c r="H190" i="8" s="1"/>
  <c r="L190" i="8" s="1"/>
  <c r="J237" i="6"/>
  <c r="M237" i="6" s="1"/>
  <c r="F190" i="8" s="1"/>
  <c r="J190" i="8" s="1"/>
  <c r="Q236" i="6"/>
  <c r="L236" i="6"/>
  <c r="O236" i="6" s="1"/>
  <c r="H189" i="8" s="1"/>
  <c r="L189" i="8" s="1"/>
  <c r="J236" i="6"/>
  <c r="M236" i="6" s="1"/>
  <c r="F189" i="8" s="1"/>
  <c r="Q235" i="6"/>
  <c r="J235" i="6"/>
  <c r="M235" i="6" s="1"/>
  <c r="F187" i="8" s="1"/>
  <c r="J187" i="8" s="1"/>
  <c r="Q234" i="6"/>
  <c r="Q233" i="6"/>
  <c r="Q232" i="6"/>
  <c r="L232" i="6"/>
  <c r="O232" i="6" s="1"/>
  <c r="H183" i="8" s="1"/>
  <c r="L183" i="8" s="1"/>
  <c r="K232" i="6"/>
  <c r="N232" i="6" s="1"/>
  <c r="G183" i="8" s="1"/>
  <c r="K183" i="8" s="1"/>
  <c r="J232" i="6"/>
  <c r="M232" i="6" s="1"/>
  <c r="F183" i="8" s="1"/>
  <c r="J183" i="8" s="1"/>
  <c r="Q231" i="6"/>
  <c r="L231" i="6"/>
  <c r="O231" i="6" s="1"/>
  <c r="H182" i="8" s="1"/>
  <c r="L182" i="8" s="1"/>
  <c r="J231" i="6"/>
  <c r="M231" i="6" s="1"/>
  <c r="F182" i="8" s="1"/>
  <c r="J182" i="8" s="1"/>
  <c r="Q230" i="6"/>
  <c r="L230" i="6"/>
  <c r="O230" i="6" s="1"/>
  <c r="H178" i="8" s="1"/>
  <c r="L178" i="8" s="1"/>
  <c r="J230" i="6"/>
  <c r="M230" i="6" s="1"/>
  <c r="F178" i="8" s="1"/>
  <c r="J178" i="8" s="1"/>
  <c r="Q229" i="6"/>
  <c r="L229" i="6"/>
  <c r="O229" i="6" s="1"/>
  <c r="H177" i="8" s="1"/>
  <c r="L177" i="8" s="1"/>
  <c r="Q228" i="6"/>
  <c r="Q227" i="6"/>
  <c r="Q226" i="6"/>
  <c r="Q225" i="6"/>
  <c r="Q224" i="6"/>
  <c r="Q223" i="6"/>
  <c r="Q222" i="6"/>
  <c r="Q221" i="6"/>
  <c r="Q220" i="6"/>
  <c r="Q219" i="6"/>
  <c r="Q218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M205" i="6"/>
  <c r="F150" i="8" s="1"/>
  <c r="J150" i="8" s="1"/>
  <c r="Q204" i="6"/>
  <c r="M204" i="6"/>
  <c r="F149" i="8" s="1"/>
  <c r="J149" i="8" s="1"/>
  <c r="Q203" i="6"/>
  <c r="M203" i="6"/>
  <c r="F148" i="8" s="1"/>
  <c r="J148" i="8" s="1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L167" i="6"/>
  <c r="O167" i="6" s="1"/>
  <c r="H108" i="8" s="1"/>
  <c r="L108" i="8" s="1"/>
  <c r="J167" i="6"/>
  <c r="M167" i="6" s="1"/>
  <c r="F108" i="8" s="1"/>
  <c r="J108" i="8" s="1"/>
  <c r="Q166" i="6"/>
  <c r="J166" i="6"/>
  <c r="M166" i="6" s="1"/>
  <c r="F107" i="8" s="1"/>
  <c r="J107" i="8" s="1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M128" i="6"/>
  <c r="F61" i="8" s="1"/>
  <c r="J61" i="8" s="1"/>
  <c r="Q127" i="6"/>
  <c r="Q126" i="6"/>
  <c r="Q125" i="6"/>
  <c r="Q124" i="6"/>
  <c r="Q123" i="6"/>
  <c r="Q122" i="6"/>
  <c r="L122" i="6"/>
  <c r="O122" i="6" s="1"/>
  <c r="H53" i="8" s="1"/>
  <c r="L53" i="8" s="1"/>
  <c r="K122" i="6"/>
  <c r="N122" i="6" s="1"/>
  <c r="G53" i="8" s="1"/>
  <c r="K53" i="8" s="1"/>
  <c r="Q121" i="6"/>
  <c r="Q120" i="6"/>
  <c r="Q119" i="6"/>
  <c r="Q118" i="6"/>
  <c r="Q117" i="6"/>
  <c r="Q116" i="6"/>
  <c r="Q115" i="6"/>
  <c r="Q114" i="6"/>
  <c r="Q113" i="6"/>
  <c r="Q112" i="6"/>
  <c r="Q111" i="6"/>
  <c r="L111" i="6"/>
  <c r="O111" i="6" s="1"/>
  <c r="H40" i="8" s="1"/>
  <c r="L40" i="8" s="1"/>
  <c r="K111" i="6"/>
  <c r="N111" i="6" s="1"/>
  <c r="G40" i="8" s="1"/>
  <c r="K40" i="8" s="1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O90" i="6"/>
  <c r="H18" i="8" s="1"/>
  <c r="L18" i="8" s="1"/>
  <c r="Q89" i="6"/>
  <c r="O89" i="6"/>
  <c r="H17" i="8" s="1"/>
  <c r="L17" i="8" s="1"/>
  <c r="Q88" i="6"/>
  <c r="Q87" i="6"/>
  <c r="O87" i="6"/>
  <c r="H15" i="8" s="1"/>
  <c r="L15" i="8" s="1"/>
  <c r="Q86" i="6"/>
  <c r="Q85" i="6"/>
  <c r="Q84" i="6"/>
  <c r="Q83" i="6"/>
  <c r="Q82" i="6"/>
  <c r="Q81" i="6"/>
  <c r="Q80" i="6"/>
  <c r="L80" i="6"/>
  <c r="O80" i="6" s="1"/>
  <c r="H7" i="8" s="1"/>
  <c r="L7" i="8" s="1"/>
  <c r="K80" i="6"/>
  <c r="N80" i="6" s="1"/>
  <c r="G7" i="8" s="1"/>
  <c r="K7" i="8" s="1"/>
  <c r="J80" i="6"/>
  <c r="M80" i="6" s="1"/>
  <c r="F7" i="8" s="1"/>
  <c r="Q79" i="6"/>
  <c r="Q78" i="6"/>
  <c r="L78" i="6"/>
  <c r="O78" i="6" s="1"/>
  <c r="H5" i="8" s="1"/>
  <c r="L5" i="8" s="1"/>
  <c r="K78" i="6"/>
  <c r="N78" i="6" s="1"/>
  <c r="G5" i="8" s="1"/>
  <c r="K5" i="8" s="1"/>
  <c r="J78" i="6"/>
  <c r="M78" i="6" s="1"/>
  <c r="F5" i="8" s="1"/>
  <c r="J5" i="8" s="1"/>
  <c r="Q77" i="6"/>
  <c r="L77" i="6"/>
  <c r="O77" i="6" s="1"/>
  <c r="Q76" i="6"/>
  <c r="Q75" i="6"/>
  <c r="Q74" i="6"/>
  <c r="Q73" i="6"/>
  <c r="O73" i="6"/>
  <c r="Q72" i="6"/>
  <c r="O72" i="6"/>
  <c r="Q71" i="6"/>
  <c r="Q70" i="6"/>
  <c r="O70" i="6"/>
  <c r="Q69" i="6"/>
  <c r="L69" i="6"/>
  <c r="O69" i="6" s="1"/>
  <c r="Q68" i="6"/>
  <c r="L68" i="6"/>
  <c r="O68" i="6" s="1"/>
  <c r="Q67" i="6"/>
  <c r="L67" i="6"/>
  <c r="O67" i="6" s="1"/>
  <c r="Q66" i="6"/>
  <c r="L66" i="6"/>
  <c r="O66" i="6" s="1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L16" i="6"/>
  <c r="O16" i="6" s="1"/>
  <c r="Q15" i="6"/>
  <c r="L15" i="6"/>
  <c r="O15" i="6" s="1"/>
  <c r="Q14" i="6"/>
  <c r="L14" i="6"/>
  <c r="O14" i="6" s="1"/>
  <c r="Q13" i="6"/>
  <c r="Q12" i="6"/>
  <c r="Q11" i="6"/>
  <c r="Q10" i="6"/>
  <c r="Q9" i="6"/>
  <c r="Q8" i="6"/>
  <c r="Q7" i="6"/>
  <c r="L7" i="6"/>
  <c r="O7" i="6" s="1"/>
  <c r="Q6" i="6"/>
  <c r="Q5" i="6"/>
  <c r="Q4" i="6"/>
  <c r="L4" i="6"/>
  <c r="O4" i="6" s="1"/>
  <c r="J4" i="6"/>
  <c r="M4" i="6" s="1"/>
  <c r="Q3" i="6"/>
  <c r="L3" i="6"/>
  <c r="O3" i="6" s="1"/>
  <c r="J3" i="6"/>
  <c r="M3" i="6" s="1"/>
  <c r="Q2" i="6"/>
  <c r="L2" i="6"/>
  <c r="O2" i="6" s="1"/>
  <c r="J2" i="6"/>
  <c r="M2" i="6" s="1"/>
  <c r="D94" i="5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E11" i="4"/>
  <c r="F11" i="4" s="1"/>
  <c r="E10" i="4"/>
  <c r="F10" i="4" s="1"/>
  <c r="E9" i="4"/>
  <c r="F9" i="4" s="1"/>
  <c r="E8" i="4"/>
  <c r="F8" i="4" s="1"/>
  <c r="F7" i="4"/>
  <c r="E7" i="4"/>
  <c r="E6" i="4"/>
  <c r="F6" i="4" s="1"/>
  <c r="E5" i="4"/>
  <c r="F5" i="4" s="1"/>
  <c r="E4" i="4"/>
  <c r="F4" i="4" s="1"/>
  <c r="E3" i="4"/>
  <c r="F3" i="4" s="1"/>
  <c r="E2" i="4"/>
  <c r="F2" i="4" s="1"/>
  <c r="D9" i="3"/>
  <c r="E9" i="3" s="1"/>
  <c r="D8" i="3"/>
  <c r="E8" i="3" s="1"/>
  <c r="D7" i="3"/>
  <c r="E7" i="3" s="1"/>
  <c r="D3" i="3"/>
  <c r="E3" i="3" s="1"/>
  <c r="C22" i="1"/>
  <c r="D11" i="3" s="1"/>
  <c r="E11" i="3" s="1"/>
  <c r="V237" i="8"/>
  <c r="X229" i="8"/>
  <c r="X221" i="8"/>
  <c r="X212" i="8"/>
  <c r="X204" i="8"/>
  <c r="X201" i="8"/>
  <c r="X198" i="8"/>
  <c r="X188" i="8"/>
  <c r="X184" i="8"/>
  <c r="X181" i="8"/>
  <c r="H180" i="8"/>
  <c r="L180" i="8" s="1"/>
  <c r="G180" i="8"/>
  <c r="K180" i="8" s="1"/>
  <c r="F180" i="8"/>
  <c r="X179" i="8"/>
  <c r="X176" i="8"/>
  <c r="H167" i="8"/>
  <c r="L167" i="8" s="1"/>
  <c r="G167" i="8"/>
  <c r="K167" i="8" s="1"/>
  <c r="F167" i="8"/>
  <c r="X156" i="8"/>
  <c r="H147" i="8"/>
  <c r="L147" i="8" s="1"/>
  <c r="G147" i="8"/>
  <c r="K147" i="8" s="1"/>
  <c r="F147" i="8"/>
  <c r="J147" i="8" s="1"/>
  <c r="X128" i="8"/>
  <c r="X123" i="8"/>
  <c r="X110" i="8"/>
  <c r="X101" i="8"/>
  <c r="X97" i="8"/>
  <c r="X92" i="8"/>
  <c r="X84" i="8"/>
  <c r="X80" i="8"/>
  <c r="X76" i="8"/>
  <c r="H74" i="8"/>
  <c r="L74" i="8" s="1"/>
  <c r="G74" i="8"/>
  <c r="K74" i="8" s="1"/>
  <c r="F74" i="8"/>
  <c r="J74" i="8" s="1"/>
  <c r="X67" i="8"/>
  <c r="X58" i="8"/>
  <c r="X56" i="8"/>
  <c r="X49" i="8"/>
  <c r="X42" i="8"/>
  <c r="X19" i="8"/>
  <c r="X14" i="8"/>
  <c r="H2" i="8"/>
  <c r="B2" i="8"/>
  <c r="K13" i="6" l="1"/>
  <c r="L182" i="6"/>
  <c r="J152" i="6"/>
  <c r="J157" i="6"/>
  <c r="K33" i="6"/>
  <c r="K58" i="6"/>
  <c r="K116" i="6"/>
  <c r="K139" i="6"/>
  <c r="K147" i="6"/>
  <c r="N147" i="6" s="1"/>
  <c r="G85" i="8" s="1"/>
  <c r="K85" i="8" s="1"/>
  <c r="K185" i="6"/>
  <c r="N185" i="6" s="1"/>
  <c r="G129" i="8" s="1"/>
  <c r="K129" i="8" s="1"/>
  <c r="L138" i="6"/>
  <c r="K17" i="6"/>
  <c r="K129" i="6"/>
  <c r="K182" i="6"/>
  <c r="N182" i="6" s="1"/>
  <c r="G125" i="8" s="1"/>
  <c r="K125" i="8" s="1"/>
  <c r="L147" i="6"/>
  <c r="J71" i="6"/>
  <c r="M71" i="6" s="1"/>
  <c r="J181" i="6"/>
  <c r="L24" i="6"/>
  <c r="K56" i="6"/>
  <c r="K137" i="6"/>
  <c r="K162" i="6"/>
  <c r="L17" i="6"/>
  <c r="L31" i="6"/>
  <c r="L136" i="6"/>
  <c r="J183" i="6"/>
  <c r="M183" i="6" s="1"/>
  <c r="F126" i="8" s="1"/>
  <c r="J126" i="8" s="1"/>
  <c r="K28" i="6"/>
  <c r="N28" i="6" s="1"/>
  <c r="K142" i="6"/>
  <c r="K150" i="6"/>
  <c r="N150" i="6" s="1"/>
  <c r="G88" i="8" s="1"/>
  <c r="K88" i="8" s="1"/>
  <c r="K159" i="6"/>
  <c r="K172" i="6"/>
  <c r="K83" i="6"/>
  <c r="K30" i="6"/>
  <c r="N30" i="6" s="1"/>
  <c r="K47" i="6"/>
  <c r="K55" i="6"/>
  <c r="K125" i="6"/>
  <c r="K161" i="6"/>
  <c r="L183" i="6"/>
  <c r="L54" i="6"/>
  <c r="K86" i="6"/>
  <c r="L45" i="6"/>
  <c r="L11" i="6"/>
  <c r="L153" i="6"/>
  <c r="L169" i="6"/>
  <c r="K73" i="6"/>
  <c r="K141" i="6"/>
  <c r="K149" i="6"/>
  <c r="K158" i="6"/>
  <c r="N158" i="6" s="1"/>
  <c r="G98" i="8" s="1"/>
  <c r="K98" i="8" s="1"/>
  <c r="K171" i="6"/>
  <c r="N171" i="6" s="1"/>
  <c r="G113" i="8" s="1"/>
  <c r="K113" i="8" s="1"/>
  <c r="L58" i="6"/>
  <c r="K84" i="6"/>
  <c r="J30" i="6"/>
  <c r="J40" i="6"/>
  <c r="L162" i="6"/>
  <c r="J123" i="6"/>
  <c r="L10" i="6"/>
  <c r="L56" i="6"/>
  <c r="L34" i="6"/>
  <c r="J96" i="6"/>
  <c r="M96" i="6" s="1"/>
  <c r="F25" i="8" s="1"/>
  <c r="J25" i="8" s="1"/>
  <c r="K74" i="6"/>
  <c r="L12" i="6"/>
  <c r="L23" i="6"/>
  <c r="L193" i="6"/>
  <c r="L46" i="6"/>
  <c r="K118" i="6"/>
  <c r="N118" i="6" s="1"/>
  <c r="G48" i="8" s="1"/>
  <c r="K48" i="8" s="1"/>
  <c r="K148" i="6"/>
  <c r="K194" i="6"/>
  <c r="L139" i="6"/>
  <c r="K208" i="6"/>
  <c r="L170" i="6"/>
  <c r="J84" i="6"/>
  <c r="K108" i="6"/>
  <c r="J124" i="6"/>
  <c r="K12" i="6"/>
  <c r="N12" i="6" s="1"/>
  <c r="L157" i="6"/>
  <c r="L181" i="6"/>
  <c r="J153" i="6"/>
  <c r="J171" i="6"/>
  <c r="J108" i="6"/>
  <c r="M108" i="6" s="1"/>
  <c r="F37" i="8" s="1"/>
  <c r="J37" i="8" s="1"/>
  <c r="K123" i="6"/>
  <c r="N123" i="6" s="1"/>
  <c r="G54" i="8" s="1"/>
  <c r="K54" i="8" s="1"/>
  <c r="K124" i="6"/>
  <c r="N124" i="6" s="1"/>
  <c r="G55" i="8" s="1"/>
  <c r="K55" i="8" s="1"/>
  <c r="L13" i="6"/>
  <c r="L126" i="6"/>
  <c r="L159" i="6"/>
  <c r="J141" i="6"/>
  <c r="K168" i="6"/>
  <c r="J130" i="6"/>
  <c r="J142" i="6"/>
  <c r="J18" i="6"/>
  <c r="J129" i="6"/>
  <c r="J139" i="6"/>
  <c r="M139" i="6" s="1"/>
  <c r="F73" i="8" s="1"/>
  <c r="J73" i="8" s="1"/>
  <c r="J75" i="6"/>
  <c r="J17" i="6"/>
  <c r="L33" i="6"/>
  <c r="K10" i="6"/>
  <c r="K18" i="6"/>
  <c r="N18" i="6" s="1"/>
  <c r="K34" i="6"/>
  <c r="N34" i="6" s="1"/>
  <c r="K72" i="6"/>
  <c r="N72" i="6" s="1"/>
  <c r="K140" i="6"/>
  <c r="K157" i="6"/>
  <c r="K183" i="6"/>
  <c r="K240" i="6"/>
  <c r="N240" i="6" s="1"/>
  <c r="G193" i="8" s="1"/>
  <c r="K193" i="8" s="1"/>
  <c r="L40" i="6"/>
  <c r="L192" i="6"/>
  <c r="K11" i="6"/>
  <c r="K201" i="6"/>
  <c r="L28" i="6"/>
  <c r="L48" i="6"/>
  <c r="L171" i="6"/>
  <c r="K46" i="6"/>
  <c r="L143" i="6"/>
  <c r="L172" i="6"/>
  <c r="J33" i="6"/>
  <c r="M33" i="6" s="1"/>
  <c r="K29" i="6"/>
  <c r="N29" i="6" s="1"/>
  <c r="K54" i="6"/>
  <c r="K152" i="6"/>
  <c r="K160" i="6"/>
  <c r="K202" i="6"/>
  <c r="N202" i="6" s="1"/>
  <c r="G146" i="8" s="1"/>
  <c r="K146" i="8" s="1"/>
  <c r="K117" i="6"/>
  <c r="K189" i="6"/>
  <c r="N189" i="6" s="1"/>
  <c r="G133" i="8" s="1"/>
  <c r="K133" i="8" s="1"/>
  <c r="L29" i="6"/>
  <c r="L158" i="6"/>
  <c r="J34" i="6"/>
  <c r="M34" i="6" s="1"/>
  <c r="J97" i="6"/>
  <c r="J154" i="6"/>
  <c r="M154" i="6" s="1"/>
  <c r="F93" i="8" s="1"/>
  <c r="J93" i="8" s="1"/>
  <c r="J189" i="6"/>
  <c r="J127" i="6"/>
  <c r="M127" i="6" s="1"/>
  <c r="F60" i="8" s="1"/>
  <c r="J60" i="8" s="1"/>
  <c r="J32" i="6"/>
  <c r="M32" i="6" s="1"/>
  <c r="K22" i="6"/>
  <c r="N22" i="6" s="1"/>
  <c r="K153" i="6"/>
  <c r="N153" i="6" s="1"/>
  <c r="G91" i="8" s="1"/>
  <c r="K91" i="8" s="1"/>
  <c r="K190" i="6"/>
  <c r="L160" i="6"/>
  <c r="J24" i="6"/>
  <c r="J39" i="6"/>
  <c r="J57" i="6"/>
  <c r="J70" i="6"/>
  <c r="M70" i="6" s="1"/>
  <c r="J126" i="6"/>
  <c r="J143" i="6"/>
  <c r="M143" i="6" s="1"/>
  <c r="F79" i="8" s="1"/>
  <c r="J79" i="8" s="1"/>
  <c r="J159" i="6"/>
  <c r="M159" i="6" s="1"/>
  <c r="F99" i="8" s="1"/>
  <c r="J99" i="8" s="1"/>
  <c r="J162" i="6"/>
  <c r="J73" i="6"/>
  <c r="L173" i="6"/>
  <c r="K227" i="6"/>
  <c r="N227" i="6" s="1"/>
  <c r="G174" i="8" s="1"/>
  <c r="K174" i="8" s="1"/>
  <c r="L116" i="6"/>
  <c r="L161" i="6"/>
  <c r="J12" i="6"/>
  <c r="J55" i="6"/>
  <c r="J100" i="6"/>
  <c r="J137" i="6"/>
  <c r="J192" i="6"/>
  <c r="J150" i="6"/>
  <c r="K23" i="6"/>
  <c r="N23" i="6" s="1"/>
  <c r="K31" i="6"/>
  <c r="K70" i="6"/>
  <c r="N70" i="6" s="1"/>
  <c r="K154" i="6"/>
  <c r="N154" i="6" s="1"/>
  <c r="G93" i="8" s="1"/>
  <c r="K93" i="8" s="1"/>
  <c r="L44" i="6"/>
  <c r="L117" i="6"/>
  <c r="J102" i="6"/>
  <c r="K24" i="6"/>
  <c r="N24" i="6" s="1"/>
  <c r="K32" i="6"/>
  <c r="N32" i="6" s="1"/>
  <c r="K40" i="6"/>
  <c r="N40" i="6" s="1"/>
  <c r="K57" i="6"/>
  <c r="N57" i="6" s="1"/>
  <c r="K71" i="6"/>
  <c r="K138" i="6"/>
  <c r="K146" i="6"/>
  <c r="K155" i="6"/>
  <c r="N155" i="6" s="1"/>
  <c r="G94" i="8" s="1"/>
  <c r="K94" i="8" s="1"/>
  <c r="K179" i="6"/>
  <c r="K234" i="6"/>
  <c r="N234" i="6" s="1"/>
  <c r="G186" i="8" s="1"/>
  <c r="K186" i="8" s="1"/>
  <c r="K192" i="6"/>
  <c r="L32" i="6"/>
  <c r="L55" i="6"/>
  <c r="L137" i="6"/>
  <c r="L148" i="6"/>
  <c r="J72" i="6"/>
  <c r="O168" i="6"/>
  <c r="H109" i="8" s="1"/>
  <c r="L109" i="8" s="1"/>
  <c r="J101" i="6"/>
  <c r="M101" i="6" s="1"/>
  <c r="F30" i="8" s="1"/>
  <c r="J23" i="6"/>
  <c r="M23" i="6" s="1"/>
  <c r="K127" i="6"/>
  <c r="K181" i="6"/>
  <c r="K102" i="6"/>
  <c r="L18" i="6"/>
  <c r="J47" i="6"/>
  <c r="M47" i="6" s="1"/>
  <c r="J148" i="6"/>
  <c r="J149" i="6"/>
  <c r="M149" i="6" s="1"/>
  <c r="F87" i="8" s="1"/>
  <c r="J87" i="8" s="1"/>
  <c r="J13" i="6"/>
  <c r="J44" i="6"/>
  <c r="L668" i="7"/>
  <c r="M668" i="7" s="1"/>
  <c r="L129" i="6"/>
  <c r="L150" i="6"/>
  <c r="L191" i="6"/>
  <c r="J11" i="6"/>
  <c r="J54" i="6"/>
  <c r="M54" i="6" s="1"/>
  <c r="J136" i="6"/>
  <c r="M136" i="6" s="1"/>
  <c r="F70" i="8" s="1"/>
  <c r="J70" i="8" s="1"/>
  <c r="L497" i="7"/>
  <c r="M497" i="7" s="1"/>
  <c r="O202" i="6"/>
  <c r="H146" i="8" s="1"/>
  <c r="L146" i="8" s="1"/>
  <c r="O219" i="6"/>
  <c r="H165" i="8" s="1"/>
  <c r="L165" i="8" s="1"/>
  <c r="K87" i="6"/>
  <c r="N87" i="6" s="1"/>
  <c r="G15" i="8" s="1"/>
  <c r="K15" i="8" s="1"/>
  <c r="K204" i="6"/>
  <c r="N204" i="6" s="1"/>
  <c r="K88" i="6"/>
  <c r="L152" i="6"/>
  <c r="J28" i="6"/>
  <c r="J125" i="6"/>
  <c r="J173" i="6"/>
  <c r="M173" i="6" s="1"/>
  <c r="F115" i="8" s="1"/>
  <c r="J115" i="8" s="1"/>
  <c r="J194" i="6"/>
  <c r="L741" i="7"/>
  <c r="M741" i="7" s="1"/>
  <c r="J74" i="6"/>
  <c r="J172" i="6"/>
  <c r="M172" i="6" s="1"/>
  <c r="F114" i="8" s="1"/>
  <c r="J114" i="8" s="1"/>
  <c r="J116" i="6"/>
  <c r="M116" i="6" s="1"/>
  <c r="F46" i="8" s="1"/>
  <c r="J46" i="8" s="1"/>
  <c r="K218" i="6"/>
  <c r="N218" i="6" s="1"/>
  <c r="G164" i="8" s="1"/>
  <c r="K164" i="8" s="1"/>
  <c r="K219" i="6"/>
  <c r="N219" i="6" s="1"/>
  <c r="G165" i="8" s="1"/>
  <c r="K165" i="8" s="1"/>
  <c r="J10" i="6"/>
  <c r="J45" i="6"/>
  <c r="M45" i="6" s="1"/>
  <c r="J76" i="6"/>
  <c r="L57" i="6"/>
  <c r="K143" i="6"/>
  <c r="K82" i="6"/>
  <c r="J160" i="6"/>
  <c r="J182" i="6"/>
  <c r="M182" i="6" s="1"/>
  <c r="F125" i="8" s="1"/>
  <c r="J125" i="8" s="1"/>
  <c r="J190" i="6"/>
  <c r="M190" i="6" s="1"/>
  <c r="F134" i="8" s="1"/>
  <c r="J134" i="8" s="1"/>
  <c r="K170" i="6"/>
  <c r="N170" i="6" s="1"/>
  <c r="G112" i="8" s="1"/>
  <c r="K112" i="8" s="1"/>
  <c r="J233" i="6"/>
  <c r="K44" i="6"/>
  <c r="N44" i="6" s="1"/>
  <c r="N220" i="6"/>
  <c r="G166" i="8" s="1"/>
  <c r="K166" i="8" s="1"/>
  <c r="K110" i="6"/>
  <c r="N110" i="6" s="1"/>
  <c r="K221" i="6"/>
  <c r="N221" i="6" s="1"/>
  <c r="J48" i="6"/>
  <c r="J31" i="6"/>
  <c r="J117" i="6"/>
  <c r="M117" i="6" s="1"/>
  <c r="F47" i="8" s="1"/>
  <c r="J47" i="8" s="1"/>
  <c r="J138" i="6"/>
  <c r="J146" i="6"/>
  <c r="J191" i="6"/>
  <c r="L101" i="7"/>
  <c r="M101" i="7" s="1"/>
  <c r="L340" i="7"/>
  <c r="M340" i="7" s="1"/>
  <c r="K45" i="6"/>
  <c r="N45" i="6" s="1"/>
  <c r="K193" i="6"/>
  <c r="N193" i="6" s="1"/>
  <c r="G137" i="8" s="1"/>
  <c r="K137" i="8" s="1"/>
  <c r="L47" i="6"/>
  <c r="N241" i="6"/>
  <c r="G194" i="8" s="1"/>
  <c r="K194" i="8" s="1"/>
  <c r="J29" i="6"/>
  <c r="J170" i="6"/>
  <c r="M170" i="6" s="1"/>
  <c r="F112" i="8" s="1"/>
  <c r="J112" i="8" s="1"/>
  <c r="J82" i="6"/>
  <c r="M82" i="6" s="1"/>
  <c r="F9" i="8" s="1"/>
  <c r="J9" i="8" s="1"/>
  <c r="L149" i="6"/>
  <c r="K93" i="6"/>
  <c r="N93" i="6" s="1"/>
  <c r="J1466" i="7"/>
  <c r="J218" i="6" s="1"/>
  <c r="M218" i="6" s="1"/>
  <c r="L521" i="7"/>
  <c r="M521" i="7" s="1"/>
  <c r="J56" i="6"/>
  <c r="M56" i="6" s="1"/>
  <c r="J1517" i="7"/>
  <c r="J240" i="6" s="1"/>
  <c r="M240" i="6" s="1"/>
  <c r="F193" i="8" s="1"/>
  <c r="J193" i="8" s="1"/>
  <c r="J22" i="6"/>
  <c r="M22" i="6" s="1"/>
  <c r="J46" i="6"/>
  <c r="M46" i="6" s="1"/>
  <c r="J147" i="6"/>
  <c r="J161" i="6"/>
  <c r="M161" i="6" s="1"/>
  <c r="F102" i="8" s="1"/>
  <c r="J102" i="8" s="1"/>
  <c r="J219" i="6"/>
  <c r="M219" i="6" s="1"/>
  <c r="J169" i="6"/>
  <c r="J1545" i="7"/>
  <c r="J259" i="6" s="1"/>
  <c r="M259" i="6" s="1"/>
  <c r="J275" i="6"/>
  <c r="M275" i="6" s="1"/>
  <c r="F234" i="8" s="1"/>
  <c r="J234" i="8" s="1"/>
  <c r="N64" i="6"/>
  <c r="K76" i="6"/>
  <c r="N76" i="6" s="1"/>
  <c r="K85" i="6"/>
  <c r="N85" i="6" s="1"/>
  <c r="G12" i="8" s="1"/>
  <c r="K12" i="8" s="1"/>
  <c r="K126" i="6"/>
  <c r="K100" i="6"/>
  <c r="N100" i="6" s="1"/>
  <c r="G29" i="8" s="1"/>
  <c r="K29" i="8" s="1"/>
  <c r="N131" i="6"/>
  <c r="G64" i="8" s="1"/>
  <c r="K64" i="8" s="1"/>
  <c r="K228" i="6"/>
  <c r="N228" i="6" s="1"/>
  <c r="L190" i="6"/>
  <c r="J58" i="6"/>
  <c r="J140" i="6"/>
  <c r="J193" i="6"/>
  <c r="N89" i="6"/>
  <c r="G17" i="8" s="1"/>
  <c r="K17" i="8" s="1"/>
  <c r="K205" i="6"/>
  <c r="N205" i="6" s="1"/>
  <c r="G150" i="8" s="1"/>
  <c r="K150" i="8" s="1"/>
  <c r="L39" i="6"/>
  <c r="L64" i="6"/>
  <c r="J118" i="6"/>
  <c r="K169" i="6"/>
  <c r="N169" i="6" s="1"/>
  <c r="G111" i="8" s="1"/>
  <c r="K111" i="8" s="1"/>
  <c r="N217" i="6"/>
  <c r="G163" i="8" s="1"/>
  <c r="K163" i="8" s="1"/>
  <c r="L46" i="7"/>
  <c r="M46" i="7" s="1"/>
  <c r="L137" i="7"/>
  <c r="M137" i="7" s="1"/>
  <c r="L157" i="7"/>
  <c r="M157" i="7" s="1"/>
  <c r="L284" i="7"/>
  <c r="M284" i="7" s="1"/>
  <c r="L370" i="7"/>
  <c r="M370" i="7" s="1"/>
  <c r="L399" i="7"/>
  <c r="M399" i="7" s="1"/>
  <c r="L495" i="7"/>
  <c r="M495" i="7" s="1"/>
  <c r="J158" i="6"/>
  <c r="M158" i="6" s="1"/>
  <c r="F98" i="8" s="1"/>
  <c r="J98" i="8" s="1"/>
  <c r="L224" i="6"/>
  <c r="O224" i="6" s="1"/>
  <c r="H171" i="8" s="1"/>
  <c r="L171" i="8" s="1"/>
  <c r="K239" i="6"/>
  <c r="N239" i="6" s="1"/>
  <c r="G192" i="8" s="1"/>
  <c r="K192" i="8" s="1"/>
  <c r="J64" i="6"/>
  <c r="M64" i="6" s="1"/>
  <c r="J85" i="6"/>
  <c r="L57" i="7"/>
  <c r="M57" i="7" s="1"/>
  <c r="L143" i="7"/>
  <c r="M143" i="7" s="1"/>
  <c r="L168" i="7"/>
  <c r="M168" i="7" s="1"/>
  <c r="L298" i="7"/>
  <c r="M298" i="7" s="1"/>
  <c r="L383" i="7"/>
  <c r="M383" i="7" s="1"/>
  <c r="L408" i="7"/>
  <c r="M408" i="7" s="1"/>
  <c r="L501" i="7"/>
  <c r="M501" i="7" s="1"/>
  <c r="L877" i="7"/>
  <c r="M877" i="7" s="1"/>
  <c r="J239" i="6"/>
  <c r="K75" i="6"/>
  <c r="N209" i="6"/>
  <c r="G154" i="8" s="1"/>
  <c r="K154" i="8" s="1"/>
  <c r="L194" i="6"/>
  <c r="L200" i="7"/>
  <c r="M200" i="7" s="1"/>
  <c r="L432" i="7"/>
  <c r="M432" i="7" s="1"/>
  <c r="J93" i="6"/>
  <c r="M93" i="6" s="1"/>
  <c r="F22" i="8" s="1"/>
  <c r="J22" i="8" s="1"/>
  <c r="O130" i="6"/>
  <c r="H63" i="8" s="1"/>
  <c r="L63" i="8" s="1"/>
  <c r="K136" i="6"/>
  <c r="N136" i="6" s="1"/>
  <c r="G70" i="8" s="1"/>
  <c r="K70" i="8" s="1"/>
  <c r="N97" i="6"/>
  <c r="G26" i="8" s="1"/>
  <c r="K26" i="8" s="1"/>
  <c r="L30" i="6"/>
  <c r="L189" i="6"/>
  <c r="L679" i="7"/>
  <c r="M679" i="7" s="1"/>
  <c r="K233" i="6"/>
  <c r="N246" i="6"/>
  <c r="G200" i="8" s="1"/>
  <c r="K200" i="8" s="1"/>
  <c r="L93" i="7"/>
  <c r="M93" i="7" s="1"/>
  <c r="L202" i="7"/>
  <c r="M202" i="7" s="1"/>
  <c r="L332" i="7"/>
  <c r="M332" i="7" s="1"/>
  <c r="L434" i="7"/>
  <c r="M434" i="7" s="1"/>
  <c r="K173" i="6"/>
  <c r="N173" i="6" s="1"/>
  <c r="G115" i="8" s="1"/>
  <c r="K115" i="8" s="1"/>
  <c r="J179" i="6"/>
  <c r="L177" i="6"/>
  <c r="O177" i="6" s="1"/>
  <c r="H119" i="8" s="1"/>
  <c r="L119" i="8" s="1"/>
  <c r="K180" i="6"/>
  <c r="N180" i="6" s="1"/>
  <c r="L98" i="6"/>
  <c r="O98" i="6" s="1"/>
  <c r="H27" i="8" s="1"/>
  <c r="L27" i="8" s="1"/>
  <c r="K39" i="6"/>
  <c r="N39" i="6" s="1"/>
  <c r="K48" i="6"/>
  <c r="N48" i="6" s="1"/>
  <c r="K191" i="6"/>
  <c r="N191" i="6" s="1"/>
  <c r="G135" i="8" s="1"/>
  <c r="K135" i="8" s="1"/>
  <c r="K130" i="6"/>
  <c r="N130" i="6" s="1"/>
  <c r="G63" i="8" s="1"/>
  <c r="K63" i="8" s="1"/>
  <c r="L127" i="6"/>
  <c r="L720" i="7"/>
  <c r="M720" i="7" s="1"/>
  <c r="K216" i="6"/>
  <c r="N216" i="6" s="1"/>
  <c r="G162" i="8" s="1"/>
  <c r="K162" i="8" s="1"/>
  <c r="N101" i="6"/>
  <c r="G30" i="8" s="1"/>
  <c r="K30" i="8" s="1"/>
  <c r="N132" i="6"/>
  <c r="G65" i="8" s="1"/>
  <c r="K65" i="8" s="1"/>
  <c r="N200" i="6"/>
  <c r="G144" i="8" s="1"/>
  <c r="K144" i="8" s="1"/>
  <c r="M180" i="6"/>
  <c r="F122" i="8" s="1"/>
  <c r="J122" i="8" s="1"/>
  <c r="L1810" i="7"/>
  <c r="M1810" i="7" s="1"/>
  <c r="L10" i="7"/>
  <c r="J200" i="6"/>
  <c r="L132" i="7"/>
  <c r="M132" i="7" s="1"/>
  <c r="L365" i="7"/>
  <c r="M365" i="7" s="1"/>
  <c r="L808" i="7"/>
  <c r="M808" i="7" s="1"/>
  <c r="L639" i="7"/>
  <c r="M639" i="7" s="1"/>
  <c r="L39" i="7"/>
  <c r="M39" i="7" s="1"/>
  <c r="L48" i="7"/>
  <c r="M48" i="7" s="1"/>
  <c r="L64" i="7"/>
  <c r="M64" i="7" s="1"/>
  <c r="L123" i="7"/>
  <c r="M123" i="7" s="1"/>
  <c r="L151" i="7"/>
  <c r="M151" i="7" s="1"/>
  <c r="L170" i="7"/>
  <c r="M170" i="7" s="1"/>
  <c r="L208" i="7"/>
  <c r="M208" i="7" s="1"/>
  <c r="L219" i="7"/>
  <c r="M219" i="7" s="1"/>
  <c r="L274" i="7"/>
  <c r="M274" i="7" s="1"/>
  <c r="L290" i="7"/>
  <c r="M290" i="7" s="1"/>
  <c r="L304" i="7"/>
  <c r="M304" i="7" s="1"/>
  <c r="L351" i="7"/>
  <c r="M351" i="7" s="1"/>
  <c r="L392" i="7"/>
  <c r="M392" i="7" s="1"/>
  <c r="L410" i="7"/>
  <c r="M410" i="7" s="1"/>
  <c r="L443" i="7"/>
  <c r="M443" i="7" s="1"/>
  <c r="L453" i="7"/>
  <c r="M453" i="7" s="1"/>
  <c r="L487" i="7"/>
  <c r="M487" i="7" s="1"/>
  <c r="L507" i="7"/>
  <c r="M507" i="7" s="1"/>
  <c r="L513" i="7"/>
  <c r="M513" i="7" s="1"/>
  <c r="L560" i="7"/>
  <c r="M560" i="7" s="1"/>
  <c r="L652" i="7"/>
  <c r="M652" i="7" s="1"/>
  <c r="L729" i="7"/>
  <c r="M729" i="7" s="1"/>
  <c r="L768" i="7"/>
  <c r="M768" i="7" s="1"/>
  <c r="L815" i="7"/>
  <c r="M815" i="7" s="1"/>
  <c r="L839" i="7"/>
  <c r="M839" i="7" s="1"/>
  <c r="L850" i="7"/>
  <c r="L862" i="7"/>
  <c r="M862" i="7" s="1"/>
  <c r="L908" i="7"/>
  <c r="M908" i="7" s="1"/>
  <c r="L1042" i="7"/>
  <c r="M1042" i="7" s="1"/>
  <c r="L1061" i="7"/>
  <c r="M1061" i="7" s="1"/>
  <c r="L1076" i="7"/>
  <c r="M1076" i="7" s="1"/>
  <c r="L1095" i="7"/>
  <c r="M1095" i="7" s="1"/>
  <c r="L1110" i="7"/>
  <c r="M1110" i="7" s="1"/>
  <c r="L1186" i="7"/>
  <c r="L1211" i="7"/>
  <c r="L1269" i="7"/>
  <c r="M1269" i="7" s="1"/>
  <c r="L1302" i="7"/>
  <c r="M1302" i="7" s="1"/>
  <c r="L1690" i="7"/>
  <c r="M1690" i="7" s="1"/>
  <c r="L18" i="7"/>
  <c r="M18" i="7" s="1"/>
  <c r="L30" i="7"/>
  <c r="M30" i="7" s="1"/>
  <c r="L75" i="7"/>
  <c r="M75" i="7" s="1"/>
  <c r="L86" i="7"/>
  <c r="M86" i="7" s="1"/>
  <c r="L129" i="7"/>
  <c r="M129" i="7" s="1"/>
  <c r="L146" i="7"/>
  <c r="M146" i="7" s="1"/>
  <c r="L181" i="7"/>
  <c r="M181" i="7" s="1"/>
  <c r="L234" i="7"/>
  <c r="M234" i="7" s="1"/>
  <c r="L248" i="7"/>
  <c r="M248" i="7" s="1"/>
  <c r="L264" i="7"/>
  <c r="M264" i="7" s="1"/>
  <c r="L318" i="7"/>
  <c r="M318" i="7" s="1"/>
  <c r="L327" i="7"/>
  <c r="M327" i="7" s="1"/>
  <c r="L362" i="7"/>
  <c r="M362" i="7" s="1"/>
  <c r="L384" i="7"/>
  <c r="M384" i="7" s="1"/>
  <c r="L420" i="7"/>
  <c r="M420" i="7" s="1"/>
  <c r="L462" i="7"/>
  <c r="M462" i="7" s="1"/>
  <c r="L472" i="7"/>
  <c r="M472" i="7" s="1"/>
  <c r="L482" i="7"/>
  <c r="M482" i="7" s="1"/>
  <c r="L548" i="7"/>
  <c r="M548" i="7" s="1"/>
  <c r="L570" i="7"/>
  <c r="M570" i="7" s="1"/>
  <c r="L591" i="7"/>
  <c r="M591" i="7" s="1"/>
  <c r="L605" i="7"/>
  <c r="M605" i="7" s="1"/>
  <c r="L630" i="7"/>
  <c r="M630" i="7" s="1"/>
  <c r="L640" i="7"/>
  <c r="M640" i="7" s="1"/>
  <c r="L663" i="7"/>
  <c r="M663" i="7" s="1"/>
  <c r="L788" i="7"/>
  <c r="M788" i="7" s="1"/>
  <c r="L804" i="7"/>
  <c r="M804" i="7" s="1"/>
  <c r="L878" i="7"/>
  <c r="M878" i="7" s="1"/>
  <c r="L894" i="7"/>
  <c r="M894" i="7" s="1"/>
  <c r="L964" i="7"/>
  <c r="M964" i="7" s="1"/>
  <c r="L1002" i="7"/>
  <c r="M1002" i="7" s="1"/>
  <c r="L1077" i="7"/>
  <c r="M1077" i="7" s="1"/>
  <c r="L1130" i="7"/>
  <c r="M1130" i="7" s="1"/>
  <c r="L1151" i="7"/>
  <c r="M1151" i="7" s="1"/>
  <c r="L1198" i="7"/>
  <c r="M1198" i="7" s="1"/>
  <c r="L1566" i="7"/>
  <c r="M1566" i="7" s="1"/>
  <c r="L1722" i="7"/>
  <c r="M1722" i="7" s="1"/>
  <c r="L1796" i="7"/>
  <c r="L1854" i="7"/>
  <c r="M1854" i="7" s="1"/>
  <c r="L1838" i="7"/>
  <c r="M1838" i="7" s="1"/>
  <c r="L1822" i="7"/>
  <c r="M1822" i="7" s="1"/>
  <c r="L1806" i="7"/>
  <c r="M1806" i="7" s="1"/>
  <c r="L1790" i="7"/>
  <c r="M1790" i="7" s="1"/>
  <c r="L1774" i="7"/>
  <c r="M1774" i="7" s="1"/>
  <c r="L1758" i="7"/>
  <c r="M1758" i="7" s="1"/>
  <c r="L1742" i="7"/>
  <c r="M1742" i="7" s="1"/>
  <c r="L1726" i="7"/>
  <c r="M1726" i="7" s="1"/>
  <c r="L1710" i="7"/>
  <c r="M1710" i="7" s="1"/>
  <c r="L1103" i="7"/>
  <c r="M1103" i="7" s="1"/>
  <c r="L967" i="7"/>
  <c r="M967" i="7" s="1"/>
  <c r="L843" i="7"/>
  <c r="M843" i="7" s="1"/>
  <c r="L698" i="7"/>
  <c r="M698" i="7" s="1"/>
  <c r="L1851" i="7"/>
  <c r="M1851" i="7" s="1"/>
  <c r="L1819" i="7"/>
  <c r="M1819" i="7" s="1"/>
  <c r="L1787" i="7"/>
  <c r="M1787" i="7" s="1"/>
  <c r="L1755" i="7"/>
  <c r="M1755" i="7" s="1"/>
  <c r="L1723" i="7"/>
  <c r="M1723" i="7" s="1"/>
  <c r="L1564" i="7"/>
  <c r="L1558" i="7"/>
  <c r="L1837" i="7"/>
  <c r="M1837" i="7" s="1"/>
  <c r="L1823" i="7"/>
  <c r="M1823" i="7" s="1"/>
  <c r="L1786" i="7"/>
  <c r="M1786" i="7" s="1"/>
  <c r="L1778" i="7"/>
  <c r="M1778" i="7" s="1"/>
  <c r="L1771" i="7"/>
  <c r="M1771" i="7" s="1"/>
  <c r="L1764" i="7"/>
  <c r="M1764" i="7" s="1"/>
  <c r="L1719" i="7"/>
  <c r="L1705" i="7"/>
  <c r="M1705" i="7" s="1"/>
  <c r="L1697" i="7"/>
  <c r="L1689" i="7"/>
  <c r="L1571" i="7"/>
  <c r="M1571" i="7" s="1"/>
  <c r="L1557" i="7"/>
  <c r="M1557" i="7" s="1"/>
  <c r="L1456" i="7"/>
  <c r="L1815" i="7"/>
  <c r="M1815" i="7" s="1"/>
  <c r="L1801" i="7"/>
  <c r="M1801" i="7" s="1"/>
  <c r="L1756" i="7"/>
  <c r="M1756" i="7" s="1"/>
  <c r="L1748" i="7"/>
  <c r="M1748" i="7" s="1"/>
  <c r="L1734" i="7"/>
  <c r="M1734" i="7" s="1"/>
  <c r="L1711" i="7"/>
  <c r="M1711" i="7" s="1"/>
  <c r="L1595" i="7"/>
  <c r="M1595" i="7" s="1"/>
  <c r="L1550" i="7"/>
  <c r="M1550" i="7" s="1"/>
  <c r="L1544" i="7"/>
  <c r="M1544" i="7" s="1"/>
  <c r="L1536" i="7"/>
  <c r="L1517" i="7"/>
  <c r="M1517" i="7" s="1"/>
  <c r="L1360" i="7"/>
  <c r="L1323" i="7"/>
  <c r="M1323" i="7" s="1"/>
  <c r="L1807" i="7"/>
  <c r="M1807" i="7" s="1"/>
  <c r="L1380" i="7"/>
  <c r="M1380" i="7" s="1"/>
  <c r="L1094" i="7"/>
  <c r="L996" i="7"/>
  <c r="M996" i="7" s="1"/>
  <c r="L928" i="7"/>
  <c r="M928" i="7" s="1"/>
  <c r="L1762" i="7"/>
  <c r="M1762" i="7" s="1"/>
  <c r="L1549" i="7"/>
  <c r="M1549" i="7" s="1"/>
  <c r="L1398" i="7"/>
  <c r="M1398" i="7" s="1"/>
  <c r="L1225" i="7"/>
  <c r="L1858" i="7"/>
  <c r="M1858" i="7" s="1"/>
  <c r="L1739" i="7"/>
  <c r="M1739" i="7" s="1"/>
  <c r="L1555" i="7"/>
  <c r="M1555" i="7" s="1"/>
  <c r="L1416" i="7"/>
  <c r="L1358" i="7"/>
  <c r="M1358" i="7" s="1"/>
  <c r="L1180" i="7"/>
  <c r="M1180" i="7" s="1"/>
  <c r="L1835" i="7"/>
  <c r="M1835" i="7" s="1"/>
  <c r="L1828" i="7"/>
  <c r="L1783" i="7"/>
  <c r="M1783" i="7" s="1"/>
  <c r="L1769" i="7"/>
  <c r="M1769" i="7" s="1"/>
  <c r="L1724" i="7"/>
  <c r="M1724" i="7" s="1"/>
  <c r="L1716" i="7"/>
  <c r="L1702" i="7"/>
  <c r="M1702" i="7" s="1"/>
  <c r="L1562" i="7"/>
  <c r="M1562" i="7" s="1"/>
  <c r="L1548" i="7"/>
  <c r="M1548" i="7" s="1"/>
  <c r="L1466" i="7"/>
  <c r="L1865" i="7"/>
  <c r="M1865" i="7" s="1"/>
  <c r="L1820" i="7"/>
  <c r="M1820" i="7" s="1"/>
  <c r="L1812" i="7"/>
  <c r="M1812" i="7" s="1"/>
  <c r="L1798" i="7"/>
  <c r="M1798" i="7" s="1"/>
  <c r="L1775" i="7"/>
  <c r="M1775" i="7" s="1"/>
  <c r="L1708" i="7"/>
  <c r="M1708" i="7" s="1"/>
  <c r="L1693" i="7"/>
  <c r="M1693" i="7" s="1"/>
  <c r="L1677" i="7"/>
  <c r="M1677" i="7" s="1"/>
  <c r="L1568" i="7"/>
  <c r="M1568" i="7" s="1"/>
  <c r="L1541" i="7"/>
  <c r="M1541" i="7" s="1"/>
  <c r="L1533" i="7"/>
  <c r="M1533" i="7" s="1"/>
  <c r="L1509" i="7"/>
  <c r="M1509" i="7" s="1"/>
  <c r="L1397" i="7"/>
  <c r="M1397" i="7" s="1"/>
  <c r="L1293" i="7"/>
  <c r="M1293" i="7" s="1"/>
  <c r="L1217" i="7"/>
  <c r="M1217" i="7" s="1"/>
  <c r="L1209" i="7"/>
  <c r="M1209" i="7" s="1"/>
  <c r="L1200" i="7"/>
  <c r="M1200" i="7" s="1"/>
  <c r="L1148" i="7"/>
  <c r="M1148" i="7" s="1"/>
  <c r="L1141" i="7"/>
  <c r="M1141" i="7" s="1"/>
  <c r="L1134" i="7"/>
  <c r="M1134" i="7" s="1"/>
  <c r="L1753" i="7"/>
  <c r="M1753" i="7" s="1"/>
  <c r="L1378" i="7"/>
  <c r="M1378" i="7" s="1"/>
  <c r="L1301" i="7"/>
  <c r="M1301" i="7" s="1"/>
  <c r="L1231" i="7"/>
  <c r="M1231" i="7" s="1"/>
  <c r="L1223" i="7"/>
  <c r="M1223" i="7" s="1"/>
  <c r="L1173" i="7"/>
  <c r="M1173" i="7" s="1"/>
  <c r="L1040" i="7"/>
  <c r="M1040" i="7" s="1"/>
  <c r="L1019" i="7"/>
  <c r="L1849" i="7"/>
  <c r="M1849" i="7" s="1"/>
  <c r="L1834" i="7"/>
  <c r="M1834" i="7" s="1"/>
  <c r="L1797" i="7"/>
  <c r="M1797" i="7" s="1"/>
  <c r="L1789" i="7"/>
  <c r="M1789" i="7" s="1"/>
  <c r="L1782" i="7"/>
  <c r="M1782" i="7" s="1"/>
  <c r="L1767" i="7"/>
  <c r="M1767" i="7" s="1"/>
  <c r="L1730" i="7"/>
  <c r="M1730" i="7" s="1"/>
  <c r="L1692" i="7"/>
  <c r="M1692" i="7" s="1"/>
  <c r="L1591" i="7"/>
  <c r="M1591" i="7" s="1"/>
  <c r="L1547" i="7"/>
  <c r="M1547" i="7" s="1"/>
  <c r="L1528" i="7"/>
  <c r="M1528" i="7" s="1"/>
  <c r="L1396" i="7"/>
  <c r="L1826" i="7"/>
  <c r="M1826" i="7" s="1"/>
  <c r="L1707" i="7"/>
  <c r="M1707" i="7" s="1"/>
  <c r="L1598" i="7"/>
  <c r="M1598" i="7" s="1"/>
  <c r="L1386" i="7"/>
  <c r="M1386" i="7" s="1"/>
  <c r="L1336" i="7"/>
  <c r="M1336" i="7" s="1"/>
  <c r="L1249" i="7"/>
  <c r="M1249" i="7" s="1"/>
  <c r="L1230" i="7"/>
  <c r="L1817" i="7"/>
  <c r="M1817" i="7" s="1"/>
  <c r="L1802" i="7"/>
  <c r="M1802" i="7" s="1"/>
  <c r="L1765" i="7"/>
  <c r="M1765" i="7" s="1"/>
  <c r="L1757" i="7"/>
  <c r="M1757" i="7" s="1"/>
  <c r="L1750" i="7"/>
  <c r="M1750" i="7" s="1"/>
  <c r="L1735" i="7"/>
  <c r="M1735" i="7" s="1"/>
  <c r="L1545" i="7"/>
  <c r="M1545" i="7" s="1"/>
  <c r="L1521" i="7"/>
  <c r="M1521" i="7" s="1"/>
  <c r="L1491" i="7"/>
  <c r="M1491" i="7" s="1"/>
  <c r="L1472" i="7"/>
  <c r="M1472" i="7" s="1"/>
  <c r="L1794" i="7"/>
  <c r="M1794" i="7" s="1"/>
  <c r="L1565" i="7"/>
  <c r="M1565" i="7" s="1"/>
  <c r="L1364" i="7"/>
  <c r="M1364" i="7" s="1"/>
  <c r="L1247" i="7"/>
  <c r="M1247" i="7" s="1"/>
  <c r="L1228" i="7"/>
  <c r="M1228" i="7" s="1"/>
  <c r="L1212" i="7"/>
  <c r="M1212" i="7" s="1"/>
  <c r="L1197" i="7"/>
  <c r="M1197" i="7" s="1"/>
  <c r="L1074" i="7"/>
  <c r="M1074" i="7" s="1"/>
  <c r="L840" i="7"/>
  <c r="M840" i="7" s="1"/>
  <c r="L1706" i="7"/>
  <c r="M1706" i="7" s="1"/>
  <c r="L1324" i="7"/>
  <c r="M1324" i="7" s="1"/>
  <c r="L1314" i="7"/>
  <c r="M1314" i="7" s="1"/>
  <c r="L1240" i="7"/>
  <c r="M1240" i="7" s="1"/>
  <c r="L1210" i="7"/>
  <c r="M1210" i="7" s="1"/>
  <c r="L1176" i="7"/>
  <c r="M1176" i="7" s="1"/>
  <c r="L890" i="7"/>
  <c r="M890" i="7" s="1"/>
  <c r="L576" i="7"/>
  <c r="M576" i="7" s="1"/>
  <c r="L500" i="7"/>
  <c r="M500" i="7" s="1"/>
  <c r="L1743" i="7"/>
  <c r="M1743" i="7" s="1"/>
  <c r="L1718" i="7"/>
  <c r="M1718" i="7" s="1"/>
  <c r="L1572" i="7"/>
  <c r="M1572" i="7" s="1"/>
  <c r="L1419" i="7"/>
  <c r="M1419" i="7" s="1"/>
  <c r="L1395" i="7"/>
  <c r="M1395" i="7" s="1"/>
  <c r="L1139" i="7"/>
  <c r="M1139" i="7" s="1"/>
  <c r="L1131" i="7"/>
  <c r="M1131" i="7" s="1"/>
  <c r="L1218" i="7"/>
  <c r="M1218" i="7" s="1"/>
  <c r="L1184" i="7"/>
  <c r="L1175" i="7"/>
  <c r="M1175" i="7" s="1"/>
  <c r="L1117" i="7"/>
  <c r="L1803" i="7"/>
  <c r="M1803" i="7" s="1"/>
  <c r="L1766" i="7"/>
  <c r="M1766" i="7" s="1"/>
  <c r="L1703" i="7"/>
  <c r="M1703" i="7" s="1"/>
  <c r="L1376" i="7"/>
  <c r="M1376" i="7" s="1"/>
  <c r="L1334" i="7"/>
  <c r="M1334" i="7" s="1"/>
  <c r="L1312" i="7"/>
  <c r="M1312" i="7" s="1"/>
  <c r="L1410" i="7"/>
  <c r="M1410" i="7" s="1"/>
  <c r="L1393" i="7"/>
  <c r="M1393" i="7" s="1"/>
  <c r="L1183" i="7"/>
  <c r="M1183" i="7" s="1"/>
  <c r="L1101" i="7"/>
  <c r="M1101" i="7" s="1"/>
  <c r="L1088" i="7"/>
  <c r="M1088" i="7" s="1"/>
  <c r="L1075" i="7"/>
  <c r="M1075" i="7" s="1"/>
  <c r="L1036" i="7"/>
  <c r="M1036" i="7" s="1"/>
  <c r="L1839" i="7"/>
  <c r="M1839" i="7" s="1"/>
  <c r="L1751" i="7"/>
  <c r="M1751" i="7" s="1"/>
  <c r="L1688" i="7"/>
  <c r="M1688" i="7" s="1"/>
  <c r="L1597" i="7"/>
  <c r="L1345" i="7"/>
  <c r="M1345" i="7" s="1"/>
  <c r="L1321" i="7"/>
  <c r="M1321" i="7" s="1"/>
  <c r="L1725" i="7"/>
  <c r="M1725" i="7" s="1"/>
  <c r="L1454" i="7"/>
  <c r="L1389" i="7"/>
  <c r="M1389" i="7" s="1"/>
  <c r="L1375" i="7"/>
  <c r="M1375" i="7" s="1"/>
  <c r="L1310" i="7"/>
  <c r="M1310" i="7" s="1"/>
  <c r="L1276" i="7"/>
  <c r="M1276" i="7" s="1"/>
  <c r="L1207" i="7"/>
  <c r="M1207" i="7" s="1"/>
  <c r="L1043" i="7"/>
  <c r="M1043" i="7" s="1"/>
  <c r="L1030" i="7"/>
  <c r="M1030" i="7" s="1"/>
  <c r="L871" i="7"/>
  <c r="M871" i="7" s="1"/>
  <c r="L841" i="7"/>
  <c r="M841" i="7" s="1"/>
  <c r="L1737" i="7"/>
  <c r="M1737" i="7" s="1"/>
  <c r="L1320" i="7"/>
  <c r="M1320" i="7" s="1"/>
  <c r="L1135" i="7"/>
  <c r="M1135" i="7" s="1"/>
  <c r="L1100" i="7"/>
  <c r="M1100" i="7" s="1"/>
  <c r="L1056" i="7"/>
  <c r="M1056" i="7" s="1"/>
  <c r="L1007" i="7"/>
  <c r="M1007" i="7" s="1"/>
  <c r="L946" i="7"/>
  <c r="M946" i="7" s="1"/>
  <c r="L701" i="7"/>
  <c r="M701" i="7" s="1"/>
  <c r="L693" i="7"/>
  <c r="M693" i="7" s="1"/>
  <c r="L1474" i="7"/>
  <c r="M1474" i="7" s="1"/>
  <c r="L1404" i="7"/>
  <c r="M1404" i="7" s="1"/>
  <c r="L1374" i="7"/>
  <c r="L1327" i="7"/>
  <c r="M1327" i="7" s="1"/>
  <c r="L1188" i="7"/>
  <c r="M1188" i="7" s="1"/>
  <c r="L1128" i="7"/>
  <c r="M1128" i="7" s="1"/>
  <c r="L1862" i="7"/>
  <c r="M1862" i="7" s="1"/>
  <c r="L1836" i="7"/>
  <c r="M1836" i="7" s="1"/>
  <c r="L1356" i="7"/>
  <c r="M1356" i="7" s="1"/>
  <c r="L1316" i="7"/>
  <c r="M1316" i="7" s="1"/>
  <c r="L1298" i="7"/>
  <c r="M1298" i="7" s="1"/>
  <c r="L1272" i="7"/>
  <c r="M1272" i="7" s="1"/>
  <c r="L1234" i="7"/>
  <c r="M1234" i="7" s="1"/>
  <c r="L1205" i="7"/>
  <c r="M1205" i="7" s="1"/>
  <c r="L1770" i="7"/>
  <c r="L1563" i="7"/>
  <c r="M1563" i="7" s="1"/>
  <c r="L1241" i="7"/>
  <c r="M1241" i="7" s="1"/>
  <c r="L1177" i="7"/>
  <c r="M1177" i="7" s="1"/>
  <c r="L1833" i="7"/>
  <c r="M1833" i="7" s="1"/>
  <c r="L1421" i="7"/>
  <c r="M1421" i="7" s="1"/>
  <c r="L1304" i="7"/>
  <c r="M1304" i="7" s="1"/>
  <c r="L1262" i="7"/>
  <c r="M1262" i="7" s="1"/>
  <c r="L1158" i="7"/>
  <c r="M1158" i="7" s="1"/>
  <c r="L1140" i="7"/>
  <c r="M1140" i="7" s="1"/>
  <c r="L1107" i="7"/>
  <c r="L1064" i="7"/>
  <c r="M1064" i="7" s="1"/>
  <c r="L955" i="7"/>
  <c r="M955" i="7" s="1"/>
  <c r="L879" i="7"/>
  <c r="M879" i="7" s="1"/>
  <c r="L866" i="7"/>
  <c r="M866" i="7" s="1"/>
  <c r="L838" i="7"/>
  <c r="M838" i="7" s="1"/>
  <c r="L826" i="7"/>
  <c r="M826" i="7" s="1"/>
  <c r="L96" i="7"/>
  <c r="M96" i="7" s="1"/>
  <c r="L109" i="7"/>
  <c r="M109" i="7" s="1"/>
  <c r="L138" i="7"/>
  <c r="M138" i="7" s="1"/>
  <c r="L152" i="7"/>
  <c r="M152" i="7" s="1"/>
  <c r="L160" i="7"/>
  <c r="M160" i="7" s="1"/>
  <c r="L192" i="7"/>
  <c r="M192" i="7" s="1"/>
  <c r="L203" i="7"/>
  <c r="M203" i="7" s="1"/>
  <c r="L333" i="7"/>
  <c r="M333" i="7" s="1"/>
  <c r="L343" i="7"/>
  <c r="M343" i="7" s="1"/>
  <c r="L371" i="7"/>
  <c r="M371" i="7" s="1"/>
  <c r="L396" i="7"/>
  <c r="M396" i="7" s="1"/>
  <c r="L405" i="7"/>
  <c r="M405" i="7" s="1"/>
  <c r="L429" i="7"/>
  <c r="M429" i="7" s="1"/>
  <c r="L435" i="7"/>
  <c r="M435" i="7" s="1"/>
  <c r="L498" i="7"/>
  <c r="M498" i="7" s="1"/>
  <c r="L524" i="7"/>
  <c r="M524" i="7" s="1"/>
  <c r="L535" i="7"/>
  <c r="M535" i="7" s="1"/>
  <c r="L618" i="7"/>
  <c r="M618" i="7" s="1"/>
  <c r="L670" i="7"/>
  <c r="M670" i="7" s="1"/>
  <c r="L680" i="7"/>
  <c r="L702" i="7"/>
  <c r="M702" i="7" s="1"/>
  <c r="L730" i="7"/>
  <c r="M730" i="7" s="1"/>
  <c r="L750" i="7"/>
  <c r="M750" i="7" s="1"/>
  <c r="L771" i="7"/>
  <c r="M771" i="7" s="1"/>
  <c r="L789" i="7"/>
  <c r="M789" i="7" s="1"/>
  <c r="L828" i="7"/>
  <c r="M828" i="7" s="1"/>
  <c r="L948" i="7"/>
  <c r="M948" i="7" s="1"/>
  <c r="L1062" i="7"/>
  <c r="M1062" i="7" s="1"/>
  <c r="L1096" i="7"/>
  <c r="M1096" i="7" s="1"/>
  <c r="L1187" i="7"/>
  <c r="M1187" i="7" s="1"/>
  <c r="L1339" i="7"/>
  <c r="M1339" i="7" s="1"/>
  <c r="L40" i="7"/>
  <c r="M40" i="7" s="1"/>
  <c r="L54" i="7"/>
  <c r="M54" i="7" s="1"/>
  <c r="L70" i="7"/>
  <c r="M70" i="7" s="1"/>
  <c r="L76" i="7"/>
  <c r="M76" i="7" s="1"/>
  <c r="L87" i="7"/>
  <c r="M87" i="7" s="1"/>
  <c r="L124" i="7"/>
  <c r="M124" i="7" s="1"/>
  <c r="L171" i="7"/>
  <c r="M171" i="7" s="1"/>
  <c r="L182" i="7"/>
  <c r="M182" i="7" s="1"/>
  <c r="L209" i="7"/>
  <c r="M209" i="7" s="1"/>
  <c r="L220" i="7"/>
  <c r="M220" i="7" s="1"/>
  <c r="L281" i="7"/>
  <c r="M281" i="7" s="1"/>
  <c r="L295" i="7"/>
  <c r="M295" i="7" s="1"/>
  <c r="L305" i="7"/>
  <c r="M305" i="7" s="1"/>
  <c r="L319" i="7"/>
  <c r="M319" i="7" s="1"/>
  <c r="L328" i="7"/>
  <c r="M328" i="7" s="1"/>
  <c r="L352" i="7"/>
  <c r="M352" i="7" s="1"/>
  <c r="L411" i="7"/>
  <c r="M411" i="7" s="1"/>
  <c r="L421" i="7"/>
  <c r="M421" i="7" s="1"/>
  <c r="L444" i="7"/>
  <c r="M444" i="7" s="1"/>
  <c r="L454" i="7"/>
  <c r="M454" i="7" s="1"/>
  <c r="L488" i="7"/>
  <c r="M488" i="7" s="1"/>
  <c r="L508" i="7"/>
  <c r="M508" i="7" s="1"/>
  <c r="L514" i="7"/>
  <c r="M514" i="7" s="1"/>
  <c r="L555" i="7"/>
  <c r="M555" i="7" s="1"/>
  <c r="L561" i="7"/>
  <c r="M561" i="7" s="1"/>
  <c r="L592" i="7"/>
  <c r="M592" i="7" s="1"/>
  <c r="L606" i="7"/>
  <c r="M606" i="7" s="1"/>
  <c r="L641" i="7"/>
  <c r="M641" i="7" s="1"/>
  <c r="L653" i="7"/>
  <c r="M653" i="7" s="1"/>
  <c r="L694" i="7"/>
  <c r="M694" i="7" s="1"/>
  <c r="L805" i="7"/>
  <c r="M805" i="7" s="1"/>
  <c r="L816" i="7"/>
  <c r="M816" i="7" s="1"/>
  <c r="L863" i="7"/>
  <c r="M863" i="7" s="1"/>
  <c r="L895" i="7"/>
  <c r="M895" i="7" s="1"/>
  <c r="L909" i="7"/>
  <c r="M909" i="7" s="1"/>
  <c r="L965" i="7"/>
  <c r="M965" i="7" s="1"/>
  <c r="L982" i="7"/>
  <c r="M982" i="7" s="1"/>
  <c r="L1026" i="7"/>
  <c r="M1026" i="7" s="1"/>
  <c r="L1081" i="7"/>
  <c r="M1081" i="7" s="1"/>
  <c r="L1246" i="7"/>
  <c r="M1246" i="7" s="1"/>
  <c r="L1552" i="7"/>
  <c r="M1552" i="7" s="1"/>
  <c r="M10" i="7"/>
  <c r="L22" i="7"/>
  <c r="M22" i="7" s="1"/>
  <c r="L31" i="7"/>
  <c r="M31" i="7" s="1"/>
  <c r="L97" i="7"/>
  <c r="M97" i="7" s="1"/>
  <c r="L130" i="7"/>
  <c r="M130" i="7" s="1"/>
  <c r="L139" i="7"/>
  <c r="M139" i="7" s="1"/>
  <c r="L147" i="7"/>
  <c r="M147" i="7" s="1"/>
  <c r="L193" i="7"/>
  <c r="M193" i="7" s="1"/>
  <c r="L239" i="7"/>
  <c r="M239" i="7" s="1"/>
  <c r="L254" i="7"/>
  <c r="M254" i="7" s="1"/>
  <c r="L265" i="7"/>
  <c r="M265" i="7" s="1"/>
  <c r="L334" i="7"/>
  <c r="M334" i="7" s="1"/>
  <c r="L363" i="7"/>
  <c r="M363" i="7" s="1"/>
  <c r="L372" i="7"/>
  <c r="M372" i="7" s="1"/>
  <c r="L385" i="7"/>
  <c r="M385" i="7" s="1"/>
  <c r="L430" i="7"/>
  <c r="M430" i="7" s="1"/>
  <c r="L463" i="7"/>
  <c r="M463" i="7" s="1"/>
  <c r="L473" i="7"/>
  <c r="M473" i="7" s="1"/>
  <c r="L483" i="7"/>
  <c r="M483" i="7" s="1"/>
  <c r="L530" i="7"/>
  <c r="M530" i="7" s="1"/>
  <c r="L536" i="7"/>
  <c r="M536" i="7" s="1"/>
  <c r="L631" i="7"/>
  <c r="M631" i="7" s="1"/>
  <c r="L664" i="7"/>
  <c r="M664" i="7" s="1"/>
  <c r="L674" i="7"/>
  <c r="M674" i="7" s="1"/>
  <c r="L681" i="7"/>
  <c r="M681" i="7" s="1"/>
  <c r="L703" i="7"/>
  <c r="M703" i="7" s="1"/>
  <c r="L774" i="7"/>
  <c r="M774" i="7" s="1"/>
  <c r="L793" i="7"/>
  <c r="M793" i="7" s="1"/>
  <c r="L829" i="7"/>
  <c r="M829" i="7" s="1"/>
  <c r="L930" i="7"/>
  <c r="M930" i="7" s="1"/>
  <c r="L1006" i="7"/>
  <c r="M1006" i="7" s="1"/>
  <c r="L1047" i="7"/>
  <c r="M1047" i="7" s="1"/>
  <c r="L1063" i="7"/>
  <c r="M1063" i="7" s="1"/>
  <c r="L1142" i="7"/>
  <c r="L1153" i="7"/>
  <c r="M1153" i="7" s="1"/>
  <c r="L1308" i="7"/>
  <c r="M1308" i="7" s="1"/>
  <c r="L1460" i="7"/>
  <c r="M1460" i="7" s="1"/>
  <c r="L1539" i="7"/>
  <c r="M1539" i="7" s="1"/>
  <c r="L82" i="7"/>
  <c r="M82" i="7" s="1"/>
  <c r="L110" i="7"/>
  <c r="M110" i="7" s="1"/>
  <c r="L125" i="7"/>
  <c r="M125" i="7" s="1"/>
  <c r="L153" i="7"/>
  <c r="M153" i="7" s="1"/>
  <c r="L161" i="7"/>
  <c r="M161" i="7" s="1"/>
  <c r="L204" i="7"/>
  <c r="M204" i="7" s="1"/>
  <c r="L320" i="7"/>
  <c r="M320" i="7" s="1"/>
  <c r="L347" i="7"/>
  <c r="M347" i="7" s="1"/>
  <c r="L353" i="7"/>
  <c r="M353" i="7" s="1"/>
  <c r="L397" i="7"/>
  <c r="M397" i="7" s="1"/>
  <c r="L406" i="7"/>
  <c r="M406" i="7" s="1"/>
  <c r="L439" i="7"/>
  <c r="M439" i="7" s="1"/>
  <c r="L499" i="7"/>
  <c r="M499" i="7" s="1"/>
  <c r="L509" i="7"/>
  <c r="M509" i="7" s="1"/>
  <c r="L556" i="7"/>
  <c r="M556" i="7" s="1"/>
  <c r="L610" i="7"/>
  <c r="M610" i="7" s="1"/>
  <c r="L622" i="7"/>
  <c r="M622" i="7" s="1"/>
  <c r="L642" i="7"/>
  <c r="M642" i="7" s="1"/>
  <c r="L654" i="7"/>
  <c r="M654" i="7" s="1"/>
  <c r="L731" i="7"/>
  <c r="M731" i="7" s="1"/>
  <c r="L753" i="7"/>
  <c r="M753" i="7" s="1"/>
  <c r="L896" i="7"/>
  <c r="M896" i="7" s="1"/>
  <c r="L910" i="7"/>
  <c r="M910" i="7" s="1"/>
  <c r="L949" i="7"/>
  <c r="M949" i="7" s="1"/>
  <c r="L966" i="7"/>
  <c r="M966" i="7" s="1"/>
  <c r="L983" i="7"/>
  <c r="M983" i="7" s="1"/>
  <c r="L1116" i="7"/>
  <c r="M1116" i="7" s="1"/>
  <c r="L1132" i="7"/>
  <c r="M1132" i="7" s="1"/>
  <c r="L1154" i="7"/>
  <c r="M1154" i="7" s="1"/>
  <c r="L1189" i="7"/>
  <c r="M1189" i="7" s="1"/>
  <c r="L1248" i="7"/>
  <c r="M1248" i="7" s="1"/>
  <c r="L1309" i="7"/>
  <c r="M1309" i="7" s="1"/>
  <c r="L1365" i="7"/>
  <c r="M1365" i="7" s="1"/>
  <c r="L1385" i="7"/>
  <c r="M1385" i="7" s="1"/>
  <c r="L1696" i="7"/>
  <c r="M1696" i="7" s="1"/>
  <c r="L1785" i="7"/>
  <c r="M1785" i="7" s="1"/>
  <c r="L1830" i="7"/>
  <c r="M1830" i="7" s="1"/>
  <c r="L1861" i="7"/>
  <c r="M1861" i="7" s="1"/>
  <c r="L11" i="7"/>
  <c r="M11" i="7" s="1"/>
  <c r="L44" i="7"/>
  <c r="M44" i="7" s="1"/>
  <c r="L55" i="7"/>
  <c r="M55" i="7" s="1"/>
  <c r="L71" i="7"/>
  <c r="M71" i="7" s="1"/>
  <c r="L88" i="7"/>
  <c r="M88" i="7" s="1"/>
  <c r="L172" i="7"/>
  <c r="M172" i="7" s="1"/>
  <c r="L183" i="7"/>
  <c r="M183" i="7" s="1"/>
  <c r="L210" i="7"/>
  <c r="M210" i="7" s="1"/>
  <c r="L221" i="7"/>
  <c r="M221" i="7" s="1"/>
  <c r="L282" i="7"/>
  <c r="M282" i="7" s="1"/>
  <c r="L296" i="7"/>
  <c r="M296" i="7" s="1"/>
  <c r="L310" i="7"/>
  <c r="M310" i="7" s="1"/>
  <c r="L329" i="7"/>
  <c r="M329" i="7" s="1"/>
  <c r="L412" i="7"/>
  <c r="M412" i="7" s="1"/>
  <c r="L422" i="7"/>
  <c r="M422" i="7" s="1"/>
  <c r="L445" i="7"/>
  <c r="M445" i="7" s="1"/>
  <c r="L455" i="7"/>
  <c r="M455" i="7" s="1"/>
  <c r="L489" i="7"/>
  <c r="M489" i="7" s="1"/>
  <c r="L515" i="7"/>
  <c r="M515" i="7" s="1"/>
  <c r="L577" i="7"/>
  <c r="M577" i="7" s="1"/>
  <c r="L596" i="7"/>
  <c r="M596" i="7" s="1"/>
  <c r="L623" i="7"/>
  <c r="M623" i="7" s="1"/>
  <c r="L632" i="7"/>
  <c r="M632" i="7" s="1"/>
  <c r="L695" i="7"/>
  <c r="M695" i="7" s="1"/>
  <c r="L704" i="7"/>
  <c r="M704" i="7" s="1"/>
  <c r="L777" i="7"/>
  <c r="M777" i="7" s="1"/>
  <c r="L794" i="7"/>
  <c r="M794" i="7" s="1"/>
  <c r="L806" i="7"/>
  <c r="M806" i="7" s="1"/>
  <c r="L817" i="7"/>
  <c r="M817" i="7" s="1"/>
  <c r="L830" i="7"/>
  <c r="M830" i="7" s="1"/>
  <c r="L853" i="7"/>
  <c r="M853" i="7" s="1"/>
  <c r="L885" i="7"/>
  <c r="M885" i="7" s="1"/>
  <c r="L911" i="7"/>
  <c r="M911" i="7" s="1"/>
  <c r="L1048" i="7"/>
  <c r="M1048" i="7" s="1"/>
  <c r="L1082" i="7"/>
  <c r="L1133" i="7"/>
  <c r="M1133" i="7" s="1"/>
  <c r="L1155" i="7"/>
  <c r="M1155" i="7" s="1"/>
  <c r="L1178" i="7"/>
  <c r="M1178" i="7" s="1"/>
  <c r="L1204" i="7"/>
  <c r="M1204" i="7" s="1"/>
  <c r="L1287" i="7"/>
  <c r="M1287" i="7" s="1"/>
  <c r="L23" i="7"/>
  <c r="M23" i="7" s="1"/>
  <c r="L32" i="7"/>
  <c r="M32" i="7" s="1"/>
  <c r="L56" i="7"/>
  <c r="M56" i="7" s="1"/>
  <c r="L100" i="7"/>
  <c r="M100" i="7" s="1"/>
  <c r="L131" i="7"/>
  <c r="M131" i="7" s="1"/>
  <c r="L140" i="7"/>
  <c r="M140" i="7" s="1"/>
  <c r="L148" i="7"/>
  <c r="M148" i="7" s="1"/>
  <c r="L154" i="7"/>
  <c r="M154" i="7" s="1"/>
  <c r="L162" i="7"/>
  <c r="M162" i="7" s="1"/>
  <c r="L194" i="7"/>
  <c r="M194" i="7" s="1"/>
  <c r="L240" i="7"/>
  <c r="M240" i="7" s="1"/>
  <c r="L255" i="7"/>
  <c r="M255" i="7" s="1"/>
  <c r="L271" i="7"/>
  <c r="M271" i="7" s="1"/>
  <c r="L297" i="7"/>
  <c r="M297" i="7" s="1"/>
  <c r="L339" i="7"/>
  <c r="M339" i="7" s="1"/>
  <c r="L364" i="7"/>
  <c r="M364" i="7" s="1"/>
  <c r="L373" i="7"/>
  <c r="M373" i="7" s="1"/>
  <c r="L389" i="7"/>
  <c r="M389" i="7" s="1"/>
  <c r="L398" i="7"/>
  <c r="M398" i="7" s="1"/>
  <c r="L407" i="7"/>
  <c r="M407" i="7" s="1"/>
  <c r="L431" i="7"/>
  <c r="M431" i="7" s="1"/>
  <c r="L468" i="7"/>
  <c r="M468" i="7" s="1"/>
  <c r="L474" i="7"/>
  <c r="M474" i="7" s="1"/>
  <c r="L484" i="7"/>
  <c r="M484" i="7" s="1"/>
  <c r="L531" i="7"/>
  <c r="M531" i="7" s="1"/>
  <c r="L540" i="7"/>
  <c r="M540" i="7" s="1"/>
  <c r="L611" i="7"/>
  <c r="M611" i="7" s="1"/>
  <c r="L665" i="7"/>
  <c r="M665" i="7" s="1"/>
  <c r="L675" i="7"/>
  <c r="M675" i="7" s="1"/>
  <c r="L682" i="7"/>
  <c r="M682" i="7" s="1"/>
  <c r="L732" i="7"/>
  <c r="M732" i="7" s="1"/>
  <c r="L756" i="7"/>
  <c r="M756" i="7" s="1"/>
  <c r="L842" i="7"/>
  <c r="M842" i="7" s="1"/>
  <c r="L856" i="7"/>
  <c r="M856" i="7" s="1"/>
  <c r="L867" i="7"/>
  <c r="M867" i="7" s="1"/>
  <c r="L899" i="7"/>
  <c r="M899" i="7" s="1"/>
  <c r="L936" i="7"/>
  <c r="M936" i="7" s="1"/>
  <c r="L984" i="7"/>
  <c r="M984" i="7" s="1"/>
  <c r="L1049" i="7"/>
  <c r="M1049" i="7" s="1"/>
  <c r="L1086" i="7"/>
  <c r="M1086" i="7" s="1"/>
  <c r="L1190" i="7"/>
  <c r="M1190" i="7" s="1"/>
  <c r="L1326" i="7"/>
  <c r="M1326" i="7" s="1"/>
  <c r="L1664" i="7"/>
  <c r="M1664" i="7" s="1"/>
  <c r="L1772" i="7"/>
  <c r="M1772" i="7" s="1"/>
  <c r="L1847" i="7"/>
  <c r="M1847" i="7" s="1"/>
  <c r="L119" i="7"/>
  <c r="M119" i="7" s="1"/>
  <c r="L45" i="7"/>
  <c r="M45" i="7" s="1"/>
  <c r="L72" i="7"/>
  <c r="M72" i="7" s="1"/>
  <c r="L83" i="7"/>
  <c r="M83" i="7" s="1"/>
  <c r="L116" i="7"/>
  <c r="M116" i="7" s="1"/>
  <c r="L126" i="7"/>
  <c r="M126" i="7" s="1"/>
  <c r="L205" i="7"/>
  <c r="M205" i="7" s="1"/>
  <c r="L283" i="7"/>
  <c r="M283" i="7" s="1"/>
  <c r="L311" i="7"/>
  <c r="M311" i="7" s="1"/>
  <c r="L321" i="7"/>
  <c r="M321" i="7" s="1"/>
  <c r="L348" i="7"/>
  <c r="M348" i="7" s="1"/>
  <c r="L354" i="7"/>
  <c r="M354" i="7" s="1"/>
  <c r="L440" i="7"/>
  <c r="M440" i="7" s="1"/>
  <c r="L490" i="7"/>
  <c r="M490" i="7" s="1"/>
  <c r="L510" i="7"/>
  <c r="M510" i="7" s="1"/>
  <c r="L520" i="7"/>
  <c r="M520" i="7" s="1"/>
  <c r="L557" i="7"/>
  <c r="M557" i="7" s="1"/>
  <c r="L566" i="7"/>
  <c r="M566" i="7" s="1"/>
  <c r="L581" i="7"/>
  <c r="M581" i="7" s="1"/>
  <c r="L597" i="7"/>
  <c r="M597" i="7" s="1"/>
  <c r="L633" i="7"/>
  <c r="M633" i="7" s="1"/>
  <c r="L648" i="7"/>
  <c r="M648" i="7" s="1"/>
  <c r="L655" i="7"/>
  <c r="M655" i="7" s="1"/>
  <c r="L705" i="7"/>
  <c r="M705" i="7" s="1"/>
  <c r="L795" i="7"/>
  <c r="M795" i="7" s="1"/>
  <c r="L807" i="7"/>
  <c r="M807" i="7" s="1"/>
  <c r="L818" i="7"/>
  <c r="M818" i="7" s="1"/>
  <c r="L886" i="7"/>
  <c r="M886" i="7" s="1"/>
  <c r="L917" i="7"/>
  <c r="M917" i="7" s="1"/>
  <c r="L937" i="7"/>
  <c r="M937" i="7" s="1"/>
  <c r="L956" i="7"/>
  <c r="M956" i="7" s="1"/>
  <c r="L1037" i="7"/>
  <c r="M1037" i="7" s="1"/>
  <c r="L1068" i="7"/>
  <c r="M1068" i="7" s="1"/>
  <c r="L1087" i="7"/>
  <c r="M1087" i="7" s="1"/>
  <c r="L1102" i="7"/>
  <c r="M1102" i="7" s="1"/>
  <c r="L1179" i="7"/>
  <c r="M1179" i="7" s="1"/>
  <c r="L1192" i="7"/>
  <c r="M1192" i="7" s="1"/>
  <c r="L1511" i="7"/>
  <c r="L1759" i="7"/>
  <c r="M1759" i="7" s="1"/>
  <c r="L1788" i="7"/>
  <c r="M1788" i="7" s="1"/>
  <c r="L1848" i="7"/>
  <c r="M1848" i="7" s="1"/>
  <c r="L12" i="7"/>
  <c r="M12" i="7" s="1"/>
  <c r="L24" i="7"/>
  <c r="M24" i="7" s="1"/>
  <c r="L89" i="7"/>
  <c r="M89" i="7" s="1"/>
  <c r="L173" i="7"/>
  <c r="M173" i="7" s="1"/>
  <c r="L189" i="7"/>
  <c r="M189" i="7" s="1"/>
  <c r="L216" i="7"/>
  <c r="M216" i="7" s="1"/>
  <c r="L227" i="7"/>
  <c r="M227" i="7" s="1"/>
  <c r="L256" i="7"/>
  <c r="M256" i="7" s="1"/>
  <c r="L330" i="7"/>
  <c r="M330" i="7" s="1"/>
  <c r="L417" i="7"/>
  <c r="M417" i="7" s="1"/>
  <c r="L423" i="7"/>
  <c r="M423" i="7" s="1"/>
  <c r="L446" i="7"/>
  <c r="M446" i="7" s="1"/>
  <c r="L459" i="7"/>
  <c r="M459" i="7" s="1"/>
  <c r="L475" i="7"/>
  <c r="M475" i="7" s="1"/>
  <c r="L541" i="7"/>
  <c r="M541" i="7" s="1"/>
  <c r="L624" i="7"/>
  <c r="M624" i="7" s="1"/>
  <c r="L738" i="7"/>
  <c r="M738" i="7" s="1"/>
  <c r="L759" i="7"/>
  <c r="M759" i="7" s="1"/>
  <c r="L780" i="7"/>
  <c r="M780" i="7" s="1"/>
  <c r="L831" i="7"/>
  <c r="M831" i="7" s="1"/>
  <c r="L857" i="7"/>
  <c r="M857" i="7" s="1"/>
  <c r="L887" i="7"/>
  <c r="M887" i="7" s="1"/>
  <c r="L938" i="7"/>
  <c r="M938" i="7" s="1"/>
  <c r="L968" i="7"/>
  <c r="M968" i="7" s="1"/>
  <c r="L1122" i="7"/>
  <c r="M1122" i="7" s="1"/>
  <c r="L1146" i="7"/>
  <c r="M1146" i="7" s="1"/>
  <c r="L1296" i="7"/>
  <c r="M1296" i="7" s="1"/>
  <c r="L1468" i="7"/>
  <c r="M1468" i="7" s="1"/>
  <c r="L1675" i="7"/>
  <c r="M1675" i="7" s="1"/>
  <c r="L33" i="7"/>
  <c r="M33" i="7" s="1"/>
  <c r="L141" i="7"/>
  <c r="M141" i="7" s="1"/>
  <c r="L149" i="7"/>
  <c r="M149" i="7" s="1"/>
  <c r="L241" i="7"/>
  <c r="M241" i="7" s="1"/>
  <c r="L272" i="7"/>
  <c r="M272" i="7" s="1"/>
  <c r="L374" i="7"/>
  <c r="M374" i="7" s="1"/>
  <c r="L390" i="7"/>
  <c r="M390" i="7" s="1"/>
  <c r="L469" i="7"/>
  <c r="M469" i="7" s="1"/>
  <c r="L485" i="7"/>
  <c r="M485" i="7" s="1"/>
  <c r="L511" i="7"/>
  <c r="M511" i="7" s="1"/>
  <c r="L532" i="7"/>
  <c r="M532" i="7" s="1"/>
  <c r="L582" i="7"/>
  <c r="M582" i="7" s="1"/>
  <c r="L614" i="7"/>
  <c r="M614" i="7" s="1"/>
  <c r="L634" i="7"/>
  <c r="M634" i="7" s="1"/>
  <c r="L650" i="7"/>
  <c r="M650" i="7" s="1"/>
  <c r="L666" i="7"/>
  <c r="M666" i="7" s="1"/>
  <c r="L676" i="7"/>
  <c r="M676" i="7" s="1"/>
  <c r="L819" i="7"/>
  <c r="M819" i="7" s="1"/>
  <c r="L844" i="7"/>
  <c r="M844" i="7" s="1"/>
  <c r="L869" i="7"/>
  <c r="M869" i="7" s="1"/>
  <c r="L900" i="7"/>
  <c r="M900" i="7" s="1"/>
  <c r="L918" i="7"/>
  <c r="M918" i="7" s="1"/>
  <c r="L957" i="7"/>
  <c r="M957" i="7" s="1"/>
  <c r="L973" i="7"/>
  <c r="M973" i="7" s="1"/>
  <c r="L990" i="7"/>
  <c r="M990" i="7" s="1"/>
  <c r="L1012" i="7"/>
  <c r="M1012" i="7" s="1"/>
  <c r="L1038" i="7"/>
  <c r="M1038" i="7" s="1"/>
  <c r="L1054" i="7"/>
  <c r="M1054" i="7" s="1"/>
  <c r="L1089" i="7"/>
  <c r="M1089" i="7" s="1"/>
  <c r="L1147" i="7"/>
  <c r="M1147" i="7" s="1"/>
  <c r="L1256" i="7"/>
  <c r="M1256" i="7" s="1"/>
  <c r="L1297" i="7"/>
  <c r="M1297" i="7" s="1"/>
  <c r="L13" i="7"/>
  <c r="M13" i="7" s="1"/>
  <c r="L28" i="7"/>
  <c r="M28" i="7" s="1"/>
  <c r="L73" i="7"/>
  <c r="M73" i="7" s="1"/>
  <c r="L84" i="7"/>
  <c r="M84" i="7" s="1"/>
  <c r="L117" i="7"/>
  <c r="M117" i="7" s="1"/>
  <c r="L127" i="7"/>
  <c r="M127" i="7" s="1"/>
  <c r="L206" i="7"/>
  <c r="M206" i="7" s="1"/>
  <c r="L228" i="7"/>
  <c r="M228" i="7" s="1"/>
  <c r="L246" i="7"/>
  <c r="M246" i="7" s="1"/>
  <c r="L262" i="7"/>
  <c r="M262" i="7" s="1"/>
  <c r="L316" i="7"/>
  <c r="M316" i="7" s="1"/>
  <c r="L322" i="7"/>
  <c r="M322" i="7" s="1"/>
  <c r="L349" i="7"/>
  <c r="M349" i="7" s="1"/>
  <c r="L360" i="7"/>
  <c r="M360" i="7" s="1"/>
  <c r="L441" i="7"/>
  <c r="M441" i="7" s="1"/>
  <c r="L460" i="7"/>
  <c r="M460" i="7" s="1"/>
  <c r="L470" i="7"/>
  <c r="M470" i="7" s="1"/>
  <c r="L476" i="7"/>
  <c r="M476" i="7" s="1"/>
  <c r="L558" i="7"/>
  <c r="M558" i="7" s="1"/>
  <c r="L567" i="7"/>
  <c r="M567" i="7" s="1"/>
  <c r="L600" i="7"/>
  <c r="M600" i="7" s="1"/>
  <c r="L656" i="7"/>
  <c r="M656" i="7" s="1"/>
  <c r="L689" i="7"/>
  <c r="M689" i="7" s="1"/>
  <c r="L699" i="7"/>
  <c r="M699" i="7" s="1"/>
  <c r="L762" i="7"/>
  <c r="M762" i="7" s="1"/>
  <c r="L783" i="7"/>
  <c r="M783" i="7" s="1"/>
  <c r="L845" i="7"/>
  <c r="M845" i="7" s="1"/>
  <c r="L858" i="7"/>
  <c r="M858" i="7" s="1"/>
  <c r="L870" i="7"/>
  <c r="M870" i="7" s="1"/>
  <c r="L888" i="7"/>
  <c r="M888" i="7" s="1"/>
  <c r="L902" i="7"/>
  <c r="M902" i="7" s="1"/>
  <c r="L974" i="7"/>
  <c r="M974" i="7" s="1"/>
  <c r="L995" i="7"/>
  <c r="M995" i="7" s="1"/>
  <c r="L1108" i="7"/>
  <c r="M1108" i="7" s="1"/>
  <c r="L1123" i="7"/>
  <c r="M1123" i="7" s="1"/>
  <c r="L1162" i="7"/>
  <c r="M1162" i="7" s="1"/>
  <c r="L1194" i="7"/>
  <c r="M1194" i="7" s="1"/>
  <c r="L1370" i="7"/>
  <c r="M1370" i="7" s="1"/>
  <c r="L1524" i="7"/>
  <c r="M1524" i="7" s="1"/>
  <c r="L1560" i="7"/>
  <c r="M1560" i="7" s="1"/>
  <c r="L90" i="7"/>
  <c r="M90" i="7" s="1"/>
  <c r="L136" i="7"/>
  <c r="M136" i="7" s="1"/>
  <c r="L142" i="7"/>
  <c r="M142" i="7" s="1"/>
  <c r="L179" i="7"/>
  <c r="M179" i="7" s="1"/>
  <c r="L190" i="7"/>
  <c r="M190" i="7" s="1"/>
  <c r="L217" i="7"/>
  <c r="M217" i="7" s="1"/>
  <c r="L331" i="7"/>
  <c r="M331" i="7" s="1"/>
  <c r="L369" i="7"/>
  <c r="M369" i="7" s="1"/>
  <c r="L382" i="7"/>
  <c r="M382" i="7" s="1"/>
  <c r="L418" i="7"/>
  <c r="M418" i="7" s="1"/>
  <c r="L424" i="7"/>
  <c r="M424" i="7" s="1"/>
  <c r="L451" i="7"/>
  <c r="M451" i="7" s="1"/>
  <c r="L522" i="7"/>
  <c r="M522" i="7" s="1"/>
  <c r="L533" i="7"/>
  <c r="M533" i="7" s="1"/>
  <c r="L542" i="7"/>
  <c r="M542" i="7" s="1"/>
  <c r="L568" i="7"/>
  <c r="M568" i="7" s="1"/>
  <c r="L586" i="7"/>
  <c r="M586" i="7" s="1"/>
  <c r="L615" i="7"/>
  <c r="M615" i="7" s="1"/>
  <c r="L625" i="7"/>
  <c r="M625" i="7" s="1"/>
  <c r="L638" i="7"/>
  <c r="M638" i="7" s="1"/>
  <c r="L677" i="7"/>
  <c r="M677" i="7" s="1"/>
  <c r="L721" i="7"/>
  <c r="M721" i="7" s="1"/>
  <c r="L837" i="7"/>
  <c r="L943" i="7"/>
  <c r="M943" i="7" s="1"/>
  <c r="L958" i="7"/>
  <c r="M958" i="7" s="1"/>
  <c r="L1013" i="7"/>
  <c r="M1013" i="7" s="1"/>
  <c r="L1055" i="7"/>
  <c r="M1055" i="7" s="1"/>
  <c r="L1124" i="7"/>
  <c r="M1124" i="7" s="1"/>
  <c r="L1138" i="7"/>
  <c r="M1138" i="7" s="1"/>
  <c r="L1315" i="7"/>
  <c r="M1315" i="7" s="1"/>
  <c r="L1546" i="7"/>
  <c r="M1546" i="7" s="1"/>
  <c r="L1747" i="7"/>
  <c r="M1747" i="7" s="1"/>
  <c r="L34" i="7"/>
  <c r="M34" i="7" s="1"/>
  <c r="L47" i="7"/>
  <c r="M47" i="7" s="1"/>
  <c r="L58" i="7"/>
  <c r="M58" i="7" s="1"/>
  <c r="L102" i="7"/>
  <c r="M102" i="7" s="1"/>
  <c r="L150" i="7"/>
  <c r="M150" i="7" s="1"/>
  <c r="L158" i="7"/>
  <c r="M158" i="7" s="1"/>
  <c r="L169" i="7"/>
  <c r="M169" i="7" s="1"/>
  <c r="L201" i="7"/>
  <c r="M201" i="7" s="1"/>
  <c r="L273" i="7"/>
  <c r="M273" i="7" s="1"/>
  <c r="L289" i="7"/>
  <c r="M289" i="7" s="1"/>
  <c r="L303" i="7"/>
  <c r="M303" i="7" s="1"/>
  <c r="L341" i="7"/>
  <c r="M341" i="7" s="1"/>
  <c r="L391" i="7"/>
  <c r="M391" i="7" s="1"/>
  <c r="L403" i="7"/>
  <c r="M403" i="7" s="1"/>
  <c r="L409" i="7"/>
  <c r="M409" i="7" s="1"/>
  <c r="L433" i="7"/>
  <c r="M433" i="7" s="1"/>
  <c r="L486" i="7"/>
  <c r="M486" i="7" s="1"/>
  <c r="L496" i="7"/>
  <c r="M496" i="7" s="1"/>
  <c r="L502" i="7"/>
  <c r="M502" i="7" s="1"/>
  <c r="L512" i="7"/>
  <c r="M512" i="7" s="1"/>
  <c r="L651" i="7"/>
  <c r="M651" i="7" s="1"/>
  <c r="L657" i="7"/>
  <c r="M657" i="7" s="1"/>
  <c r="L667" i="7"/>
  <c r="M667" i="7" s="1"/>
  <c r="L700" i="7"/>
  <c r="M700" i="7" s="1"/>
  <c r="L765" i="7"/>
  <c r="M765" i="7" s="1"/>
  <c r="L797" i="7"/>
  <c r="M797" i="7" s="1"/>
  <c r="L809" i="7"/>
  <c r="M809" i="7" s="1"/>
  <c r="L820" i="7"/>
  <c r="M820" i="7" s="1"/>
  <c r="L846" i="7"/>
  <c r="M846" i="7" s="1"/>
  <c r="L859" i="7"/>
  <c r="M859" i="7" s="1"/>
  <c r="L889" i="7"/>
  <c r="M889" i="7" s="1"/>
  <c r="L1017" i="7"/>
  <c r="M1017" i="7" s="1"/>
  <c r="L1041" i="7"/>
  <c r="M1041" i="7" s="1"/>
  <c r="L1093" i="7"/>
  <c r="M1093" i="7" s="1"/>
  <c r="L1109" i="7"/>
  <c r="M1109" i="7" s="1"/>
  <c r="L1149" i="7"/>
  <c r="M1149" i="7" s="1"/>
  <c r="L1168" i="7"/>
  <c r="M1168" i="7" s="1"/>
  <c r="L1195" i="7"/>
  <c r="M1195" i="7" s="1"/>
  <c r="L1221" i="7"/>
  <c r="M1221" i="7" s="1"/>
  <c r="L1335" i="7"/>
  <c r="M1335" i="7" s="1"/>
  <c r="L1441" i="7"/>
  <c r="M1441" i="7" s="1"/>
  <c r="L17" i="7"/>
  <c r="M17" i="7" s="1"/>
  <c r="L29" i="7"/>
  <c r="M29" i="7" s="1"/>
  <c r="L74" i="7"/>
  <c r="M74" i="7" s="1"/>
  <c r="L85" i="7"/>
  <c r="M85" i="7" s="1"/>
  <c r="L118" i="7"/>
  <c r="M118" i="7" s="1"/>
  <c r="L128" i="7"/>
  <c r="M128" i="7" s="1"/>
  <c r="L180" i="7"/>
  <c r="M180" i="7" s="1"/>
  <c r="L207" i="7"/>
  <c r="M207" i="7" s="1"/>
  <c r="L218" i="7"/>
  <c r="M218" i="7" s="1"/>
  <c r="L233" i="7"/>
  <c r="M233" i="7" s="1"/>
  <c r="L247" i="7"/>
  <c r="M247" i="7" s="1"/>
  <c r="L263" i="7"/>
  <c r="M263" i="7" s="1"/>
  <c r="L317" i="7"/>
  <c r="M317" i="7" s="1"/>
  <c r="L323" i="7"/>
  <c r="M323" i="7" s="1"/>
  <c r="L350" i="7"/>
  <c r="M350" i="7" s="1"/>
  <c r="L361" i="7"/>
  <c r="M361" i="7" s="1"/>
  <c r="L419" i="7"/>
  <c r="M419" i="7" s="1"/>
  <c r="L442" i="7"/>
  <c r="M442" i="7" s="1"/>
  <c r="L452" i="7"/>
  <c r="M452" i="7" s="1"/>
  <c r="L461" i="7"/>
  <c r="M461" i="7" s="1"/>
  <c r="L471" i="7"/>
  <c r="M471" i="7" s="1"/>
  <c r="L481" i="7"/>
  <c r="M481" i="7" s="1"/>
  <c r="L569" i="7"/>
  <c r="M569" i="7" s="1"/>
  <c r="L601" i="7"/>
  <c r="M601" i="7" s="1"/>
  <c r="L616" i="7"/>
  <c r="M616" i="7" s="1"/>
  <c r="L626" i="7"/>
  <c r="M626" i="7" s="1"/>
  <c r="L692" i="7"/>
  <c r="M692" i="7" s="1"/>
  <c r="L722" i="7"/>
  <c r="M722" i="7" s="1"/>
  <c r="L744" i="7"/>
  <c r="M744" i="7" s="1"/>
  <c r="L787" i="7"/>
  <c r="M787" i="7" s="1"/>
  <c r="L920" i="7"/>
  <c r="M920" i="7" s="1"/>
  <c r="L963" i="7"/>
  <c r="M963" i="7" s="1"/>
  <c r="L975" i="7"/>
  <c r="M975" i="7" s="1"/>
  <c r="L1185" i="7"/>
  <c r="M1185" i="7" s="1"/>
  <c r="L1238" i="7"/>
  <c r="M1238" i="7" s="1"/>
  <c r="L1355" i="7"/>
  <c r="M1355" i="7" s="1"/>
  <c r="L1733" i="7"/>
  <c r="M1733" i="7" s="1"/>
  <c r="L108" i="7"/>
  <c r="M108" i="7" s="1"/>
  <c r="L159" i="7"/>
  <c r="M159" i="7" s="1"/>
  <c r="L191" i="7"/>
  <c r="M191" i="7" s="1"/>
  <c r="L342" i="7"/>
  <c r="M342" i="7" s="1"/>
  <c r="L404" i="7"/>
  <c r="M404" i="7" s="1"/>
  <c r="L428" i="7"/>
  <c r="M428" i="7" s="1"/>
  <c r="L523" i="7"/>
  <c r="M523" i="7" s="1"/>
  <c r="L534" i="7"/>
  <c r="M534" i="7" s="1"/>
  <c r="L547" i="7"/>
  <c r="M547" i="7" s="1"/>
  <c r="L587" i="7"/>
  <c r="M587" i="7" s="1"/>
  <c r="L617" i="7"/>
  <c r="M617" i="7" s="1"/>
  <c r="L658" i="7"/>
  <c r="M658" i="7" s="1"/>
  <c r="L747" i="7"/>
  <c r="M747" i="7" s="1"/>
  <c r="L798" i="7"/>
  <c r="M798" i="7" s="1"/>
  <c r="L827" i="7"/>
  <c r="M827" i="7" s="1"/>
  <c r="M850" i="7"/>
  <c r="L904" i="7"/>
  <c r="M904" i="7" s="1"/>
  <c r="L1018" i="7"/>
  <c r="M1018" i="7" s="1"/>
  <c r="L1150" i="7"/>
  <c r="M1150" i="7" s="1"/>
  <c r="L1267" i="7"/>
  <c r="M1267" i="7" s="1"/>
  <c r="L1721" i="7"/>
  <c r="M1721" i="7" s="1"/>
  <c r="L1855" i="7"/>
  <c r="M1855" i="7" s="1"/>
  <c r="L919" i="7"/>
  <c r="M919" i="7" s="1"/>
  <c r="L1050" i="7"/>
  <c r="M1050" i="7" s="1"/>
  <c r="L1367" i="7"/>
  <c r="M1367" i="7" s="1"/>
  <c r="L1384" i="7"/>
  <c r="M1384" i="7" s="1"/>
  <c r="M1466" i="7"/>
  <c r="L1498" i="7"/>
  <c r="M1498" i="7" s="1"/>
  <c r="M1770" i="7"/>
  <c r="M1186" i="7"/>
  <c r="L1193" i="7"/>
  <c r="M1193" i="7" s="1"/>
  <c r="L1201" i="7"/>
  <c r="M1201" i="7" s="1"/>
  <c r="L1220" i="7"/>
  <c r="M1220" i="7" s="1"/>
  <c r="L1232" i="7"/>
  <c r="M1232" i="7" s="1"/>
  <c r="L1338" i="7"/>
  <c r="M1338" i="7" s="1"/>
  <c r="L1354" i="7"/>
  <c r="M1354" i="7" s="1"/>
  <c r="L1538" i="7"/>
  <c r="M1538" i="7" s="1"/>
  <c r="M1796" i="7"/>
  <c r="L1222" i="7"/>
  <c r="M1222" i="7" s="1"/>
  <c r="L1387" i="7"/>
  <c r="M1387" i="7" s="1"/>
  <c r="L1553" i="7"/>
  <c r="M1553" i="7" s="1"/>
  <c r="L1699" i="7"/>
  <c r="M1699" i="7" s="1"/>
  <c r="L1143" i="7"/>
  <c r="M1143" i="7" s="1"/>
  <c r="L1206" i="7"/>
  <c r="M1206" i="7" s="1"/>
  <c r="L1213" i="7"/>
  <c r="M1213" i="7" s="1"/>
  <c r="L1357" i="7"/>
  <c r="M1357" i="7" s="1"/>
  <c r="L1388" i="7"/>
  <c r="M1388" i="7" s="1"/>
  <c r="L1773" i="7"/>
  <c r="M1773" i="7" s="1"/>
  <c r="L1850" i="7"/>
  <c r="M1850" i="7" s="1"/>
  <c r="L559" i="7"/>
  <c r="M559" i="7" s="1"/>
  <c r="L929" i="7"/>
  <c r="M929" i="7" s="1"/>
  <c r="L1114" i="7"/>
  <c r="M1114" i="7" s="1"/>
  <c r="L1172" i="7"/>
  <c r="M1172" i="7" s="1"/>
  <c r="L1181" i="7"/>
  <c r="M1181" i="7" s="1"/>
  <c r="L1224" i="7"/>
  <c r="M1224" i="7" s="1"/>
  <c r="L1299" i="7"/>
  <c r="M1299" i="7" s="1"/>
  <c r="M1454" i="7"/>
  <c r="L1543" i="7"/>
  <c r="M1543" i="7" s="1"/>
  <c r="L1700" i="7"/>
  <c r="M1700" i="7" s="1"/>
  <c r="L1713" i="7"/>
  <c r="M1713" i="7" s="1"/>
  <c r="L1825" i="7"/>
  <c r="M1825" i="7" s="1"/>
  <c r="L1863" i="7"/>
  <c r="M1863" i="7" s="1"/>
  <c r="L851" i="7"/>
  <c r="M851" i="7" s="1"/>
  <c r="L861" i="7"/>
  <c r="M861" i="7" s="1"/>
  <c r="L947" i="7"/>
  <c r="M947" i="7" s="1"/>
  <c r="L989" i="7"/>
  <c r="M989" i="7" s="1"/>
  <c r="L1008" i="7"/>
  <c r="M1008" i="7" s="1"/>
  <c r="L1057" i="7"/>
  <c r="M1057" i="7" s="1"/>
  <c r="L1115" i="7"/>
  <c r="M1115" i="7" s="1"/>
  <c r="L1129" i="7"/>
  <c r="M1129" i="7" s="1"/>
  <c r="L1144" i="7"/>
  <c r="M1144" i="7" s="1"/>
  <c r="L1250" i="7"/>
  <c r="M1250" i="7" s="1"/>
  <c r="L1332" i="7"/>
  <c r="M1332" i="7" s="1"/>
  <c r="L1556" i="7"/>
  <c r="M1556" i="7" s="1"/>
  <c r="M1597" i="7"/>
  <c r="L1814" i="7"/>
  <c r="M1814" i="7" s="1"/>
  <c r="L1852" i="7"/>
  <c r="M1852" i="7" s="1"/>
  <c r="L1227" i="7"/>
  <c r="M1227" i="7" s="1"/>
  <c r="L1251" i="7"/>
  <c r="M1251" i="7" s="1"/>
  <c r="L1300" i="7"/>
  <c r="M1300" i="7" s="1"/>
  <c r="L1333" i="7"/>
  <c r="M1333" i="7" s="1"/>
  <c r="L1569" i="7"/>
  <c r="M1569" i="7" s="1"/>
  <c r="L1714" i="7"/>
  <c r="M1714" i="7" s="1"/>
  <c r="L1853" i="7"/>
  <c r="M1853" i="7" s="1"/>
  <c r="L1174" i="7"/>
  <c r="M1174" i="7" s="1"/>
  <c r="L1281" i="7"/>
  <c r="M1281" i="7" s="1"/>
  <c r="M1689" i="7"/>
  <c r="L1740" i="7"/>
  <c r="M1740" i="7" s="1"/>
  <c r="L1777" i="7"/>
  <c r="M1777" i="7" s="1"/>
  <c r="L1394" i="7"/>
  <c r="M1394" i="7" s="1"/>
  <c r="L1483" i="7"/>
  <c r="M1483" i="7" s="1"/>
  <c r="L1559" i="7"/>
  <c r="M1559" i="7" s="1"/>
  <c r="L1728" i="7"/>
  <c r="M1728" i="7" s="1"/>
  <c r="L1741" i="7"/>
  <c r="M1741" i="7" s="1"/>
  <c r="L1840" i="7"/>
  <c r="M1840" i="7" s="1"/>
  <c r="L1229" i="7"/>
  <c r="M1229" i="7" s="1"/>
  <c r="L1601" i="7"/>
  <c r="M1601" i="7" s="1"/>
  <c r="L1691" i="7"/>
  <c r="M1691" i="7" s="1"/>
  <c r="L1729" i="7"/>
  <c r="M1729" i="7" s="1"/>
  <c r="L1792" i="7"/>
  <c r="M1792" i="7" s="1"/>
  <c r="L1831" i="7"/>
  <c r="M1831" i="7" s="1"/>
  <c r="L1842" i="7"/>
  <c r="M1842" i="7" s="1"/>
  <c r="L1121" i="7"/>
  <c r="M1121" i="7" s="1"/>
  <c r="L1157" i="7"/>
  <c r="M1157" i="7" s="1"/>
  <c r="L1199" i="7"/>
  <c r="M1199" i="7" s="1"/>
  <c r="L1261" i="7"/>
  <c r="M1261" i="7" s="1"/>
  <c r="L1348" i="7"/>
  <c r="M1348" i="7" s="1"/>
  <c r="L1379" i="7"/>
  <c r="M1379" i="7" s="1"/>
  <c r="L1780" i="7"/>
  <c r="M1780" i="7" s="1"/>
  <c r="L565" i="7"/>
  <c r="M565" i="7" s="1"/>
  <c r="L683" i="7"/>
  <c r="M683" i="7" s="1"/>
  <c r="L903" i="7"/>
  <c r="M903" i="7" s="1"/>
  <c r="L976" i="7"/>
  <c r="M976" i="7" s="1"/>
  <c r="L1001" i="7"/>
  <c r="M1001" i="7" s="1"/>
  <c r="M1107" i="7"/>
  <c r="L1288" i="7"/>
  <c r="M1288" i="7" s="1"/>
  <c r="L1349" i="7"/>
  <c r="M1349" i="7" s="1"/>
  <c r="L1366" i="7"/>
  <c r="M1366" i="7" s="1"/>
  <c r="L1495" i="7"/>
  <c r="M1495" i="7" s="1"/>
  <c r="L1590" i="7"/>
  <c r="M1590" i="7" s="1"/>
  <c r="L1818" i="7"/>
  <c r="M1818" i="7" s="1"/>
  <c r="L1844" i="7"/>
  <c r="M1844" i="7" s="1"/>
  <c r="L796" i="7"/>
  <c r="M796" i="7" s="1"/>
  <c r="L1152" i="7"/>
  <c r="M1152" i="7" s="1"/>
  <c r="L1236" i="7"/>
  <c r="M1236" i="7" s="1"/>
  <c r="L1282" i="7"/>
  <c r="M1282" i="7" s="1"/>
  <c r="L1458" i="7"/>
  <c r="M1458" i="7" s="1"/>
  <c r="L1537" i="7"/>
  <c r="M1537" i="7" s="1"/>
  <c r="L1551" i="7"/>
  <c r="M1551" i="7" s="1"/>
  <c r="L1596" i="7"/>
  <c r="M1596" i="7" s="1"/>
  <c r="L1698" i="7"/>
  <c r="M1698" i="7" s="1"/>
  <c r="L1712" i="7"/>
  <c r="M1712" i="7" s="1"/>
  <c r="L1720" i="7"/>
  <c r="M1720" i="7" s="1"/>
  <c r="L1727" i="7"/>
  <c r="M1727" i="7" s="1"/>
  <c r="L1846" i="7"/>
  <c r="M1846" i="7" s="1"/>
  <c r="L1407" i="7"/>
  <c r="M1407" i="7" s="1"/>
  <c r="M1558" i="7"/>
  <c r="L1809" i="7"/>
  <c r="M1809" i="7" s="1"/>
  <c r="L1824" i="7"/>
  <c r="M1824" i="7" s="1"/>
  <c r="L1208" i="7"/>
  <c r="M1208" i="7" s="1"/>
  <c r="L1346" i="7"/>
  <c r="M1346" i="7" s="1"/>
  <c r="L1377" i="7"/>
  <c r="M1377" i="7" s="1"/>
  <c r="M1396" i="7"/>
  <c r="L1462" i="7"/>
  <c r="M1462" i="7" s="1"/>
  <c r="L1477" i="7"/>
  <c r="M1477" i="7" s="1"/>
  <c r="L1676" i="7"/>
  <c r="M1676" i="7" s="1"/>
  <c r="L1744" i="7"/>
  <c r="M1744" i="7" s="1"/>
  <c r="L1752" i="7"/>
  <c r="M1752" i="7" s="1"/>
  <c r="L1540" i="7"/>
  <c r="M1540" i="7" s="1"/>
  <c r="L1561" i="7"/>
  <c r="M1561" i="7" s="1"/>
  <c r="L1841" i="7"/>
  <c r="M1841" i="7" s="1"/>
  <c r="L1856" i="7"/>
  <c r="M1856" i="7" s="1"/>
  <c r="M680" i="7"/>
  <c r="M837" i="7"/>
  <c r="L852" i="7"/>
  <c r="M852" i="7" s="1"/>
  <c r="L1239" i="7"/>
  <c r="M1239" i="7" s="1"/>
  <c r="L1311" i="7"/>
  <c r="M1311" i="7" s="1"/>
  <c r="L1337" i="7"/>
  <c r="M1337" i="7" s="1"/>
  <c r="L1347" i="7"/>
  <c r="M1347" i="7" s="1"/>
  <c r="L1413" i="7"/>
  <c r="M1413" i="7" s="1"/>
  <c r="L1448" i="7"/>
  <c r="M1448" i="7" s="1"/>
  <c r="L1464" i="7"/>
  <c r="M1464" i="7" s="1"/>
  <c r="L1479" i="7"/>
  <c r="M1479" i="7" s="1"/>
  <c r="L1554" i="7"/>
  <c r="M1554" i="7" s="1"/>
  <c r="L1599" i="7"/>
  <c r="M1599" i="7" s="1"/>
  <c r="L1701" i="7"/>
  <c r="M1701" i="7" s="1"/>
  <c r="L1715" i="7"/>
  <c r="M1715" i="7" s="1"/>
  <c r="L1738" i="7"/>
  <c r="M1738" i="7" s="1"/>
  <c r="L1745" i="7"/>
  <c r="M1745" i="7" s="1"/>
  <c r="L1760" i="7"/>
  <c r="M1760" i="7" s="1"/>
  <c r="L1804" i="7"/>
  <c r="M1804" i="7" s="1"/>
  <c r="L1368" i="7"/>
  <c r="M1368" i="7" s="1"/>
  <c r="L1592" i="7"/>
  <c r="M1592" i="7" s="1"/>
  <c r="M1716" i="7"/>
  <c r="L1731" i="7"/>
  <c r="M1731" i="7" s="1"/>
  <c r="M1828" i="7"/>
  <c r="L1857" i="7"/>
  <c r="M1857" i="7" s="1"/>
  <c r="L1534" i="7"/>
  <c r="M1534" i="7" s="1"/>
  <c r="L1761" i="7"/>
  <c r="M1761" i="7" s="1"/>
  <c r="M1225" i="7"/>
  <c r="L1275" i="7"/>
  <c r="M1275" i="7" s="1"/>
  <c r="L1328" i="7"/>
  <c r="M1328" i="7" s="1"/>
  <c r="L1369" i="7"/>
  <c r="M1369" i="7" s="1"/>
  <c r="L1481" i="7"/>
  <c r="M1481" i="7" s="1"/>
  <c r="L1510" i="7"/>
  <c r="M1510" i="7" s="1"/>
  <c r="L1593" i="7"/>
  <c r="M1593" i="7" s="1"/>
  <c r="L1678" i="7"/>
  <c r="M1678" i="7" s="1"/>
  <c r="L1695" i="7"/>
  <c r="M1695" i="7" s="1"/>
  <c r="L1732" i="7"/>
  <c r="M1732" i="7" s="1"/>
  <c r="L1746" i="7"/>
  <c r="M1746" i="7" s="1"/>
  <c r="L1754" i="7"/>
  <c r="M1754" i="7" s="1"/>
  <c r="L1776" i="7"/>
  <c r="M1776" i="7" s="1"/>
  <c r="L1784" i="7"/>
  <c r="M1784" i="7" s="1"/>
  <c r="L1791" i="7"/>
  <c r="M1791" i="7" s="1"/>
  <c r="L1805" i="7"/>
  <c r="M1805" i="7" s="1"/>
  <c r="L1233" i="7"/>
  <c r="M1233" i="7" s="1"/>
  <c r="L1303" i="7"/>
  <c r="M1303" i="7" s="1"/>
  <c r="L1313" i="7"/>
  <c r="M1313" i="7" s="1"/>
  <c r="L1359" i="7"/>
  <c r="M1359" i="7" s="1"/>
  <c r="M1511" i="7"/>
  <c r="L1535" i="7"/>
  <c r="M1535" i="7" s="1"/>
  <c r="L1542" i="7"/>
  <c r="M1542" i="7" s="1"/>
  <c r="L1594" i="7"/>
  <c r="M1594" i="7" s="1"/>
  <c r="L1709" i="7"/>
  <c r="M1709" i="7" s="1"/>
  <c r="L1799" i="7"/>
  <c r="M1799" i="7" s="1"/>
  <c r="L1821" i="7"/>
  <c r="M1821" i="7" s="1"/>
  <c r="L1829" i="7"/>
  <c r="M1829" i="7" s="1"/>
  <c r="L981" i="7"/>
  <c r="M981" i="7" s="1"/>
  <c r="L1069" i="7"/>
  <c r="M1069" i="7" s="1"/>
  <c r="M1082" i="7"/>
  <c r="M1117" i="7"/>
  <c r="L1137" i="7"/>
  <c r="M1137" i="7" s="1"/>
  <c r="L1161" i="7"/>
  <c r="M1161" i="7" s="1"/>
  <c r="L1196" i="7"/>
  <c r="M1196" i="7" s="1"/>
  <c r="L1257" i="7"/>
  <c r="M1257" i="7" s="1"/>
  <c r="L1350" i="7"/>
  <c r="M1350" i="7" s="1"/>
  <c r="M1360" i="7"/>
  <c r="L1399" i="7"/>
  <c r="M1399" i="7" s="1"/>
  <c r="M1536" i="7"/>
  <c r="L1602" i="7"/>
  <c r="M1602" i="7" s="1"/>
  <c r="L1340" i="7"/>
  <c r="M1340" i="7" s="1"/>
  <c r="M1374" i="7"/>
  <c r="M1456" i="7"/>
  <c r="L1470" i="7"/>
  <c r="M1470" i="7" s="1"/>
  <c r="M1697" i="7"/>
  <c r="M1719" i="7"/>
  <c r="L1793" i="7"/>
  <c r="M1793" i="7" s="1"/>
  <c r="L1860" i="7"/>
  <c r="M1860" i="7" s="1"/>
  <c r="L1603" i="7"/>
  <c r="M1603" i="7" s="1"/>
  <c r="L1808" i="7"/>
  <c r="M1808" i="7" s="1"/>
  <c r="L1816" i="7"/>
  <c r="M1816" i="7" s="1"/>
  <c r="M1019" i="7"/>
  <c r="M1094" i="7"/>
  <c r="L1216" i="7"/>
  <c r="M1216" i="7" s="1"/>
  <c r="L1325" i="7"/>
  <c r="M1325" i="7" s="1"/>
  <c r="L1426" i="7"/>
  <c r="M1426" i="7" s="1"/>
  <c r="M1564" i="7"/>
  <c r="L1570" i="7"/>
  <c r="M1570" i="7" s="1"/>
  <c r="L1704" i="7"/>
  <c r="M1704" i="7" s="1"/>
  <c r="L1736" i="7"/>
  <c r="M1736" i="7" s="1"/>
  <c r="L1768" i="7"/>
  <c r="M1768" i="7" s="1"/>
  <c r="L1800" i="7"/>
  <c r="M1800" i="7" s="1"/>
  <c r="L1832" i="7"/>
  <c r="M1832" i="7" s="1"/>
  <c r="L1864" i="7"/>
  <c r="M1864" i="7" s="1"/>
  <c r="M1230" i="7"/>
  <c r="L1237" i="7"/>
  <c r="M1237" i="7" s="1"/>
  <c r="L1344" i="7"/>
  <c r="M1344" i="7" s="1"/>
  <c r="L1490" i="7"/>
  <c r="M1490" i="7" s="1"/>
  <c r="L1600" i="7"/>
  <c r="M1600" i="7" s="1"/>
  <c r="L1717" i="7"/>
  <c r="M1717" i="7" s="1"/>
  <c r="L1749" i="7"/>
  <c r="M1749" i="7" s="1"/>
  <c r="L1781" i="7"/>
  <c r="M1781" i="7" s="1"/>
  <c r="L1813" i="7"/>
  <c r="M1813" i="7" s="1"/>
  <c r="L1845" i="7"/>
  <c r="M1845" i="7" s="1"/>
  <c r="M1142" i="7"/>
  <c r="M1184" i="7"/>
  <c r="M1211" i="7"/>
  <c r="L1219" i="7"/>
  <c r="M1219" i="7" s="1"/>
  <c r="L1322" i="7"/>
  <c r="M1322" i="7" s="1"/>
  <c r="M1416" i="7"/>
  <c r="L1452" i="7"/>
  <c r="M1452" i="7" s="1"/>
  <c r="L1567" i="7"/>
  <c r="M1567" i="7" s="1"/>
  <c r="L1763" i="7"/>
  <c r="M1763" i="7" s="1"/>
  <c r="L1779" i="7"/>
  <c r="M1779" i="7" s="1"/>
  <c r="L1795" i="7"/>
  <c r="M1795" i="7" s="1"/>
  <c r="L1811" i="7"/>
  <c r="M1811" i="7" s="1"/>
  <c r="L1827" i="7"/>
  <c r="M1827" i="7" s="1"/>
  <c r="L1843" i="7"/>
  <c r="M1843" i="7" s="1"/>
  <c r="L1859" i="7"/>
  <c r="M1859" i="7" s="1"/>
  <c r="J98" i="6"/>
  <c r="M98" i="6" s="1"/>
  <c r="F27" i="8" s="1"/>
  <c r="J27" i="8" s="1"/>
  <c r="M102" i="6"/>
  <c r="F31" i="8" s="1"/>
  <c r="J31" i="8" s="1"/>
  <c r="M100" i="6"/>
  <c r="F29" i="8" s="1"/>
  <c r="J29" i="8" s="1"/>
  <c r="O101" i="6"/>
  <c r="H30" i="8" s="1"/>
  <c r="L30" i="8" s="1"/>
  <c r="L81" i="6"/>
  <c r="O81" i="6" s="1"/>
  <c r="H8" i="8" s="1"/>
  <c r="L8" i="8" s="1"/>
  <c r="L214" i="6"/>
  <c r="O214" i="6" s="1"/>
  <c r="H160" i="8" s="1"/>
  <c r="L160" i="8" s="1"/>
  <c r="O93" i="6"/>
  <c r="H22" i="8" s="1"/>
  <c r="L22" i="8" s="1"/>
  <c r="O109" i="6"/>
  <c r="H38" i="8" s="1"/>
  <c r="L38" i="8" s="1"/>
  <c r="L166" i="6"/>
  <c r="O166" i="6" s="1"/>
  <c r="H107" i="8" s="1"/>
  <c r="L107" i="8" s="1"/>
  <c r="O204" i="6"/>
  <c r="H149" i="8" s="1"/>
  <c r="L149" i="8" s="1"/>
  <c r="O221" i="6"/>
  <c r="H168" i="8" s="1"/>
  <c r="L168" i="8" s="1"/>
  <c r="L935" i="7"/>
  <c r="M935" i="7" s="1"/>
  <c r="L95" i="6"/>
  <c r="O95" i="6" s="1"/>
  <c r="H24" i="8" s="1"/>
  <c r="L24" i="8" s="1"/>
  <c r="O118" i="6"/>
  <c r="H48" i="8" s="1"/>
  <c r="L48" i="8" s="1"/>
  <c r="O206" i="6"/>
  <c r="H151" i="8" s="1"/>
  <c r="L151" i="8" s="1"/>
  <c r="L223" i="6"/>
  <c r="O223" i="6" s="1"/>
  <c r="H170" i="8" s="1"/>
  <c r="L170" i="8" s="1"/>
  <c r="O22" i="6"/>
  <c r="O125" i="6"/>
  <c r="H57" i="8" s="1"/>
  <c r="L57" i="8" s="1"/>
  <c r="L178" i="6"/>
  <c r="O178" i="6" s="1"/>
  <c r="H120" i="8" s="1"/>
  <c r="L120" i="8" s="1"/>
  <c r="O207" i="6"/>
  <c r="H152" i="8" s="1"/>
  <c r="L152" i="8" s="1"/>
  <c r="L35" i="7"/>
  <c r="M35" i="7" s="1"/>
  <c r="L78" i="7"/>
  <c r="M78" i="7" s="1"/>
  <c r="O96" i="6"/>
  <c r="H25" i="8" s="1"/>
  <c r="L25" i="8" s="1"/>
  <c r="O97" i="6"/>
  <c r="H26" i="8" s="1"/>
  <c r="L26" i="8" s="1"/>
  <c r="O179" i="6"/>
  <c r="H121" i="8" s="1"/>
  <c r="L121" i="8" s="1"/>
  <c r="O208" i="6"/>
  <c r="H153" i="8" s="1"/>
  <c r="L153" i="8" s="1"/>
  <c r="L225" i="6"/>
  <c r="O225" i="6" s="1"/>
  <c r="H172" i="8" s="1"/>
  <c r="L172" i="8" s="1"/>
  <c r="L79" i="7"/>
  <c r="M79" i="7" s="1"/>
  <c r="L175" i="7"/>
  <c r="M175" i="7" s="1"/>
  <c r="L400" i="7"/>
  <c r="M400" i="7" s="1"/>
  <c r="L176" i="7"/>
  <c r="M176" i="7" s="1"/>
  <c r="L235" i="7"/>
  <c r="M235" i="7" s="1"/>
  <c r="L112" i="6"/>
  <c r="O112" i="6" s="1"/>
  <c r="H41" i="8" s="1"/>
  <c r="L41" i="8" s="1"/>
  <c r="O209" i="6"/>
  <c r="H154" i="8" s="1"/>
  <c r="L154" i="8" s="1"/>
  <c r="L99" i="6"/>
  <c r="O99" i="6" s="1"/>
  <c r="H28" i="8" s="1"/>
  <c r="L28" i="8" s="1"/>
  <c r="O132" i="6"/>
  <c r="H65" i="8" s="1"/>
  <c r="L65" i="8" s="1"/>
  <c r="L184" i="6"/>
  <c r="O184" i="6" s="1"/>
  <c r="P184" i="6" s="1"/>
  <c r="L211" i="6"/>
  <c r="O211" i="6" s="1"/>
  <c r="H157" i="8" s="1"/>
  <c r="L157" i="8" s="1"/>
  <c r="O233" i="6"/>
  <c r="H185" i="8" s="1"/>
  <c r="L185" i="8" s="1"/>
  <c r="L236" i="7"/>
  <c r="M236" i="7" s="1"/>
  <c r="L278" i="7"/>
  <c r="M278" i="7" s="1"/>
  <c r="L355" i="7"/>
  <c r="M355" i="7" s="1"/>
  <c r="L436" i="7"/>
  <c r="M436" i="7" s="1"/>
  <c r="L527" i="7"/>
  <c r="M527" i="7" s="1"/>
  <c r="L222" i="6"/>
  <c r="O222" i="6" s="1"/>
  <c r="H169" i="8" s="1"/>
  <c r="L169" i="8" s="1"/>
  <c r="O100" i="6"/>
  <c r="H29" i="8" s="1"/>
  <c r="L29" i="8" s="1"/>
  <c r="L135" i="6"/>
  <c r="O135" i="6" s="1"/>
  <c r="H69" i="8" s="1"/>
  <c r="L69" i="8" s="1"/>
  <c r="L195" i="6"/>
  <c r="O195" i="6" s="1"/>
  <c r="H139" i="8" s="1"/>
  <c r="L139" i="8" s="1"/>
  <c r="L212" i="6"/>
  <c r="O212" i="6" s="1"/>
  <c r="H158" i="8" s="1"/>
  <c r="L158" i="8" s="1"/>
  <c r="O234" i="6"/>
  <c r="H186" i="8" s="1"/>
  <c r="L186" i="8" s="1"/>
  <c r="L285" i="7"/>
  <c r="M285" i="7" s="1"/>
  <c r="L356" i="7"/>
  <c r="M356" i="7" s="1"/>
  <c r="L447" i="7"/>
  <c r="M447" i="7" s="1"/>
  <c r="L537" i="7"/>
  <c r="M537" i="7" s="1"/>
  <c r="L708" i="7"/>
  <c r="M708" i="7" s="1"/>
  <c r="L775" i="7"/>
  <c r="M775" i="7" s="1"/>
  <c r="L835" i="7"/>
  <c r="M835" i="7" s="1"/>
  <c r="L915" i="7"/>
  <c r="M915" i="7" s="1"/>
  <c r="O180" i="6"/>
  <c r="H122" i="8" s="1"/>
  <c r="L122" i="8" s="1"/>
  <c r="L196" i="6"/>
  <c r="O196" i="6" s="1"/>
  <c r="H140" i="8" s="1"/>
  <c r="L140" i="8" s="1"/>
  <c r="L718" i="7"/>
  <c r="M718" i="7" s="1"/>
  <c r="L778" i="7"/>
  <c r="M778" i="7" s="1"/>
  <c r="L836" i="7"/>
  <c r="M836" i="7" s="1"/>
  <c r="L916" i="7"/>
  <c r="M916" i="7" s="1"/>
  <c r="L962" i="7"/>
  <c r="M962" i="7" s="1"/>
  <c r="L1029" i="7"/>
  <c r="M1029" i="7" s="1"/>
  <c r="L1127" i="7"/>
  <c r="M1127" i="7" s="1"/>
  <c r="L1235" i="7"/>
  <c r="M1235" i="7" s="1"/>
  <c r="L1286" i="7"/>
  <c r="M1286" i="7" s="1"/>
  <c r="L1351" i="7"/>
  <c r="M1351" i="7" s="1"/>
  <c r="L1401" i="7"/>
  <c r="M1401" i="7" s="1"/>
  <c r="L1450" i="7"/>
  <c r="M1450" i="7" s="1"/>
  <c r="L1484" i="7"/>
  <c r="M1484" i="7" s="1"/>
  <c r="L1580" i="7"/>
  <c r="M1580" i="7" s="1"/>
  <c r="O131" i="6"/>
  <c r="H64" i="8" s="1"/>
  <c r="L64" i="8" s="1"/>
  <c r="L213" i="6"/>
  <c r="O213" i="6" s="1"/>
  <c r="H159" i="8" s="1"/>
  <c r="L159" i="8" s="1"/>
  <c r="O239" i="6"/>
  <c r="H192" i="8" s="1"/>
  <c r="L192" i="8" s="1"/>
  <c r="L972" i="7"/>
  <c r="M972" i="7" s="1"/>
  <c r="L1033" i="7"/>
  <c r="M1033" i="7" s="1"/>
  <c r="L1136" i="7"/>
  <c r="M1136" i="7" s="1"/>
  <c r="L1242" i="7"/>
  <c r="M1242" i="7" s="1"/>
  <c r="L1291" i="7"/>
  <c r="M1291" i="7" s="1"/>
  <c r="L1352" i="7"/>
  <c r="M1352" i="7" s="1"/>
  <c r="L1402" i="7"/>
  <c r="M1402" i="7" s="1"/>
  <c r="O82" i="6"/>
  <c r="H9" i="8" s="1"/>
  <c r="L9" i="8" s="1"/>
  <c r="L103" i="6"/>
  <c r="O103" i="6" s="1"/>
  <c r="H32" i="8" s="1"/>
  <c r="L32" i="8" s="1"/>
  <c r="O142" i="6"/>
  <c r="H78" i="8" s="1"/>
  <c r="L78" i="8" s="1"/>
  <c r="L198" i="6"/>
  <c r="O198" i="6" s="1"/>
  <c r="H142" i="8" s="1"/>
  <c r="L142" i="8" s="1"/>
  <c r="L215" i="6"/>
  <c r="O215" i="6" s="1"/>
  <c r="H161" i="8" s="1"/>
  <c r="L161" i="8" s="1"/>
  <c r="O240" i="6"/>
  <c r="H193" i="8" s="1"/>
  <c r="L193" i="8" s="1"/>
  <c r="J103" i="6"/>
  <c r="M103" i="6" s="1"/>
  <c r="F32" i="8" s="1"/>
  <c r="J32" i="8" s="1"/>
  <c r="L1353" i="7"/>
  <c r="M1353" i="7" s="1"/>
  <c r="L1405" i="7"/>
  <c r="M1405" i="7" s="1"/>
  <c r="L1455" i="7"/>
  <c r="M1455" i="7" s="1"/>
  <c r="L1501" i="7"/>
  <c r="M1501" i="7" s="1"/>
  <c r="L1582" i="7"/>
  <c r="M1582" i="7" s="1"/>
  <c r="L1682" i="7"/>
  <c r="M1682" i="7" s="1"/>
  <c r="O140" i="6"/>
  <c r="H75" i="8" s="1"/>
  <c r="L75" i="8" s="1"/>
  <c r="L197" i="6"/>
  <c r="O197" i="6" s="1"/>
  <c r="H141" i="8" s="1"/>
  <c r="L141" i="8" s="1"/>
  <c r="O84" i="6"/>
  <c r="H11" i="8" s="1"/>
  <c r="L11" i="8" s="1"/>
  <c r="L104" i="6"/>
  <c r="O104" i="6" s="1"/>
  <c r="H33" i="8" s="1"/>
  <c r="L33" i="8" s="1"/>
  <c r="L144" i="6"/>
  <c r="O144" i="6" s="1"/>
  <c r="H81" i="8" s="1"/>
  <c r="L81" i="8" s="1"/>
  <c r="L199" i="6"/>
  <c r="O199" i="6" s="1"/>
  <c r="H143" i="8" s="1"/>
  <c r="L143" i="8" s="1"/>
  <c r="O216" i="6"/>
  <c r="H162" i="8" s="1"/>
  <c r="L162" i="8" s="1"/>
  <c r="O241" i="6"/>
  <c r="H194" i="8" s="1"/>
  <c r="L194" i="8" s="1"/>
  <c r="L51" i="7"/>
  <c r="M51" i="7" s="1"/>
  <c r="O85" i="6"/>
  <c r="H12" i="8" s="1"/>
  <c r="L12" i="8" s="1"/>
  <c r="L145" i="6"/>
  <c r="O145" i="6" s="1"/>
  <c r="H82" i="8" s="1"/>
  <c r="L82" i="8" s="1"/>
  <c r="O217" i="6"/>
  <c r="H163" i="8" s="1"/>
  <c r="L163" i="8" s="1"/>
  <c r="O205" i="6"/>
  <c r="H150" i="8" s="1"/>
  <c r="L150" i="8" s="1"/>
  <c r="L105" i="6"/>
  <c r="O105" i="6" s="1"/>
  <c r="H34" i="8" s="1"/>
  <c r="L34" i="8" s="1"/>
  <c r="O200" i="6"/>
  <c r="H144" i="8" s="1"/>
  <c r="L144" i="8" s="1"/>
  <c r="L242" i="6"/>
  <c r="O242" i="6" s="1"/>
  <c r="H195" i="8" s="1"/>
  <c r="L195" i="8" s="1"/>
  <c r="O88" i="6"/>
  <c r="H16" i="8" s="1"/>
  <c r="L16" i="8" s="1"/>
  <c r="L106" i="6"/>
  <c r="O106" i="6" s="1"/>
  <c r="H35" i="8" s="1"/>
  <c r="L35" i="8" s="1"/>
  <c r="O146" i="6"/>
  <c r="H83" i="8" s="1"/>
  <c r="L83" i="8" s="1"/>
  <c r="J105" i="6"/>
  <c r="M105" i="6" s="1"/>
  <c r="F34" i="8" s="1"/>
  <c r="J34" i="8" s="1"/>
  <c r="L211" i="7"/>
  <c r="M211" i="7" s="1"/>
  <c r="L94" i="6"/>
  <c r="O94" i="6" s="1"/>
  <c r="H23" i="8" s="1"/>
  <c r="L23" i="8" s="1"/>
  <c r="L1292" i="7"/>
  <c r="M1292" i="7" s="1"/>
  <c r="L226" i="6"/>
  <c r="O226" i="6" s="1"/>
  <c r="H173" i="8" s="1"/>
  <c r="L173" i="8" s="1"/>
  <c r="L79" i="6"/>
  <c r="O79" i="6" s="1"/>
  <c r="H6" i="8" s="1"/>
  <c r="L6" i="8" s="1"/>
  <c r="O141" i="6"/>
  <c r="H77" i="8" s="1"/>
  <c r="L77" i="8" s="1"/>
  <c r="L91" i="6"/>
  <c r="O91" i="6" s="1"/>
  <c r="H20" i="8" s="1"/>
  <c r="L20" i="8" s="1"/>
  <c r="L107" i="6"/>
  <c r="O107" i="6" s="1"/>
  <c r="H36" i="8" s="1"/>
  <c r="L36" i="8" s="1"/>
  <c r="O154" i="6"/>
  <c r="H93" i="8" s="1"/>
  <c r="L93" i="8" s="1"/>
  <c r="L258" i="7"/>
  <c r="M258" i="7" s="1"/>
  <c r="L235" i="6"/>
  <c r="O235" i="6" s="1"/>
  <c r="H187" i="8" s="1"/>
  <c r="L187" i="8" s="1"/>
  <c r="O102" i="6"/>
  <c r="H31" i="8" s="1"/>
  <c r="L31" i="8" s="1"/>
  <c r="L92" i="6"/>
  <c r="O92" i="6" s="1"/>
  <c r="H21" i="8" s="1"/>
  <c r="L21" i="8" s="1"/>
  <c r="O108" i="6"/>
  <c r="H37" i="8" s="1"/>
  <c r="L37" i="8" s="1"/>
  <c r="L165" i="6"/>
  <c r="O165" i="6" s="1"/>
  <c r="H106" i="8" s="1"/>
  <c r="L106" i="8" s="1"/>
  <c r="O203" i="6"/>
  <c r="H148" i="8" s="1"/>
  <c r="L148" i="8" s="1"/>
  <c r="O220" i="6"/>
  <c r="H166" i="8" s="1"/>
  <c r="L166" i="8" s="1"/>
  <c r="L563" i="7"/>
  <c r="M563" i="7" s="1"/>
  <c r="L66" i="7"/>
  <c r="M66" i="7" s="1"/>
  <c r="L164" i="7"/>
  <c r="M164" i="7" s="1"/>
  <c r="L224" i="7"/>
  <c r="M224" i="7" s="1"/>
  <c r="L275" i="7"/>
  <c r="M275" i="7" s="1"/>
  <c r="L336" i="7"/>
  <c r="M336" i="7" s="1"/>
  <c r="L413" i="7"/>
  <c r="M413" i="7" s="1"/>
  <c r="L517" i="7"/>
  <c r="M517" i="7" s="1"/>
  <c r="L662" i="7"/>
  <c r="M662" i="7" s="1"/>
  <c r="L766" i="7"/>
  <c r="M766" i="7" s="1"/>
  <c r="L824" i="7"/>
  <c r="M824" i="7" s="1"/>
  <c r="L901" i="7"/>
  <c r="M901" i="7" s="1"/>
  <c r="L953" i="7"/>
  <c r="M953" i="7" s="1"/>
  <c r="L1023" i="7"/>
  <c r="M1023" i="7" s="1"/>
  <c r="L1106" i="7"/>
  <c r="M1106" i="7" s="1"/>
  <c r="L1214" i="7"/>
  <c r="M1214" i="7" s="1"/>
  <c r="L1279" i="7"/>
  <c r="M1279" i="7" s="1"/>
  <c r="L1341" i="7"/>
  <c r="M1341" i="7" s="1"/>
  <c r="L1391" i="7"/>
  <c r="M1391" i="7" s="1"/>
  <c r="L1438" i="7"/>
  <c r="M1438" i="7" s="1"/>
  <c r="L1478" i="7"/>
  <c r="M1478" i="7" s="1"/>
  <c r="L1577" i="7"/>
  <c r="M1577" i="7" s="1"/>
  <c r="L1671" i="7"/>
  <c r="M1671" i="7" s="1"/>
  <c r="L876" i="7"/>
  <c r="M876" i="7" s="1"/>
  <c r="L1171" i="7"/>
  <c r="M1171" i="7" s="1"/>
  <c r="L1255" i="7"/>
  <c r="M1255" i="7" s="1"/>
  <c r="L1318" i="7"/>
  <c r="M1318" i="7" s="1"/>
  <c r="L1373" i="7"/>
  <c r="M1373" i="7" s="1"/>
  <c r="L1425" i="7"/>
  <c r="M1425" i="7" s="1"/>
  <c r="L1467" i="7"/>
  <c r="M1467" i="7" s="1"/>
  <c r="L1530" i="7"/>
  <c r="M1530" i="7" s="1"/>
  <c r="L1588" i="7"/>
  <c r="M1588" i="7" s="1"/>
  <c r="L36" i="7"/>
  <c r="M36" i="7" s="1"/>
  <c r="L104" i="7"/>
  <c r="M104" i="7" s="1"/>
  <c r="L185" i="7"/>
  <c r="M185" i="7" s="1"/>
  <c r="L243" i="7"/>
  <c r="M243" i="7" s="1"/>
  <c r="L291" i="7"/>
  <c r="M291" i="7" s="1"/>
  <c r="L358" i="7"/>
  <c r="M358" i="7" s="1"/>
  <c r="L456" i="7"/>
  <c r="M456" i="7" s="1"/>
  <c r="L544" i="7"/>
  <c r="M544" i="7" s="1"/>
  <c r="L736" i="7"/>
  <c r="M736" i="7" s="1"/>
  <c r="L784" i="7"/>
  <c r="M784" i="7" s="1"/>
  <c r="L848" i="7"/>
  <c r="M848" i="7" s="1"/>
  <c r="L924" i="7"/>
  <c r="M924" i="7" s="1"/>
  <c r="L980" i="7"/>
  <c r="M980" i="7" s="1"/>
  <c r="L1046" i="7"/>
  <c r="M1046" i="7" s="1"/>
  <c r="L1156" i="7"/>
  <c r="M1156" i="7" s="1"/>
  <c r="L1244" i="7"/>
  <c r="M1244" i="7" s="1"/>
  <c r="L1295" i="7"/>
  <c r="M1295" i="7" s="1"/>
  <c r="L1361" i="7"/>
  <c r="M1361" i="7" s="1"/>
  <c r="L1408" i="7"/>
  <c r="M1408" i="7" s="1"/>
  <c r="L1457" i="7"/>
  <c r="M1457" i="7" s="1"/>
  <c r="L1505" i="7"/>
  <c r="M1505" i="7" s="1"/>
  <c r="L1583" i="7"/>
  <c r="M1583" i="7" s="1"/>
  <c r="L1683" i="7"/>
  <c r="M1683" i="7" s="1"/>
  <c r="L1073" i="7"/>
  <c r="M1073" i="7" s="1"/>
  <c r="L276" i="7"/>
  <c r="M276" i="7" s="1"/>
  <c r="L825" i="7"/>
  <c r="M825" i="7" s="1"/>
  <c r="L1215" i="7"/>
  <c r="M1215" i="7" s="1"/>
  <c r="L1392" i="7"/>
  <c r="M1392" i="7" s="1"/>
  <c r="L377" i="7"/>
  <c r="M377" i="7" s="1"/>
  <c r="L344" i="7"/>
  <c r="M344" i="7" s="1"/>
  <c r="L769" i="7"/>
  <c r="M769" i="7" s="1"/>
  <c r="L1113" i="7"/>
  <c r="M1113" i="7" s="1"/>
  <c r="L1280" i="7"/>
  <c r="M1280" i="7" s="1"/>
  <c r="L1342" i="7"/>
  <c r="M1342" i="7" s="1"/>
  <c r="L1440" i="7"/>
  <c r="M1440" i="7" s="1"/>
  <c r="L1480" i="7"/>
  <c r="M1480" i="7" s="1"/>
  <c r="L1578" i="7"/>
  <c r="M1578" i="7" s="1"/>
  <c r="L1672" i="7"/>
  <c r="M1672" i="7" s="1"/>
  <c r="L59" i="7"/>
  <c r="M59" i="7" s="1"/>
  <c r="L120" i="7"/>
  <c r="M120" i="7" s="1"/>
  <c r="L212" i="7"/>
  <c r="M212" i="7" s="1"/>
  <c r="L259" i="7"/>
  <c r="M259" i="7" s="1"/>
  <c r="L312" i="7"/>
  <c r="M312" i="7" s="1"/>
  <c r="L378" i="7"/>
  <c r="M378" i="7" s="1"/>
  <c r="L492" i="7"/>
  <c r="M492" i="7" s="1"/>
  <c r="L571" i="7"/>
  <c r="M571" i="7" s="1"/>
  <c r="L754" i="7"/>
  <c r="M754" i="7" s="1"/>
  <c r="L812" i="7"/>
  <c r="M812" i="7" s="1"/>
  <c r="L882" i="7"/>
  <c r="M882" i="7" s="1"/>
  <c r="L940" i="7"/>
  <c r="M940" i="7" s="1"/>
  <c r="L1000" i="7"/>
  <c r="M1000" i="7" s="1"/>
  <c r="L1080" i="7"/>
  <c r="M1080" i="7" s="1"/>
  <c r="L1182" i="7"/>
  <c r="M1182" i="7" s="1"/>
  <c r="L1260" i="7"/>
  <c r="M1260" i="7" s="1"/>
  <c r="L1319" i="7"/>
  <c r="M1319" i="7" s="1"/>
  <c r="L1381" i="7"/>
  <c r="M1381" i="7" s="1"/>
  <c r="L1430" i="7"/>
  <c r="M1430" i="7" s="1"/>
  <c r="L1469" i="7"/>
  <c r="M1469" i="7" s="1"/>
  <c r="L1573" i="7"/>
  <c r="M1573" i="7" s="1"/>
  <c r="L1589" i="7"/>
  <c r="M1589" i="7" s="1"/>
  <c r="L165" i="7"/>
  <c r="M165" i="7" s="1"/>
  <c r="L249" i="7"/>
  <c r="M249" i="7" s="1"/>
  <c r="L549" i="7"/>
  <c r="M549" i="7" s="1"/>
  <c r="L785" i="7"/>
  <c r="M785" i="7" s="1"/>
  <c r="L860" i="7"/>
  <c r="M860" i="7" s="1"/>
  <c r="L925" i="7"/>
  <c r="M925" i="7" s="1"/>
  <c r="L987" i="7"/>
  <c r="M987" i="7" s="1"/>
  <c r="L1053" i="7"/>
  <c r="M1053" i="7" s="1"/>
  <c r="L1159" i="7"/>
  <c r="M1159" i="7" s="1"/>
  <c r="L1245" i="7"/>
  <c r="M1245" i="7" s="1"/>
  <c r="L1305" i="7"/>
  <c r="M1305" i="7" s="1"/>
  <c r="L1362" i="7"/>
  <c r="M1362" i="7" s="1"/>
  <c r="L1411" i="7"/>
  <c r="M1411" i="7" s="1"/>
  <c r="L1459" i="7"/>
  <c r="M1459" i="7" s="1"/>
  <c r="L1516" i="7"/>
  <c r="M1516" i="7" s="1"/>
  <c r="L1584" i="7"/>
  <c r="M1584" i="7" s="1"/>
  <c r="L1684" i="7"/>
  <c r="M1684" i="7" s="1"/>
  <c r="L67" i="7"/>
  <c r="M67" i="7" s="1"/>
  <c r="L739" i="7"/>
  <c r="M739" i="7" s="1"/>
  <c r="L77" i="7"/>
  <c r="M77" i="7" s="1"/>
  <c r="L174" i="7"/>
  <c r="M174" i="7" s="1"/>
  <c r="L230" i="7"/>
  <c r="M230" i="7" s="1"/>
  <c r="L277" i="7"/>
  <c r="M277" i="7" s="1"/>
  <c r="L345" i="7"/>
  <c r="M345" i="7" s="1"/>
  <c r="L425" i="7"/>
  <c r="M425" i="7" s="1"/>
  <c r="L526" i="7"/>
  <c r="M526" i="7" s="1"/>
  <c r="L697" i="7"/>
  <c r="M697" i="7" s="1"/>
  <c r="L772" i="7"/>
  <c r="M772" i="7" s="1"/>
  <c r="L834" i="7"/>
  <c r="M834" i="7" s="1"/>
  <c r="L914" i="7"/>
  <c r="M914" i="7" s="1"/>
  <c r="L961" i="7"/>
  <c r="M961" i="7" s="1"/>
  <c r="L1025" i="7"/>
  <c r="M1025" i="7" s="1"/>
  <c r="L1120" i="7"/>
  <c r="M1120" i="7" s="1"/>
  <c r="L1226" i="7"/>
  <c r="M1226" i="7" s="1"/>
  <c r="L1285" i="7"/>
  <c r="M1285" i="7" s="1"/>
  <c r="L1343" i="7"/>
  <c r="M1343" i="7" s="1"/>
  <c r="L1400" i="7"/>
  <c r="M1400" i="7" s="1"/>
  <c r="L1447" i="7"/>
  <c r="M1447" i="7" s="1"/>
  <c r="L1482" i="7"/>
  <c r="M1482" i="7" s="1"/>
  <c r="L1579" i="7"/>
  <c r="M1579" i="7" s="1"/>
  <c r="L1673" i="7"/>
  <c r="M1673" i="7" s="1"/>
  <c r="L999" i="7"/>
  <c r="M999" i="7" s="1"/>
  <c r="L229" i="7"/>
  <c r="M229" i="7" s="1"/>
  <c r="L907" i="7"/>
  <c r="M907" i="7" s="1"/>
  <c r="L105" i="7"/>
  <c r="M105" i="7" s="1"/>
  <c r="L464" i="7"/>
  <c r="M464" i="7" s="1"/>
  <c r="L60" i="7"/>
  <c r="M60" i="7" s="1"/>
  <c r="L133" i="7"/>
  <c r="M133" i="7" s="1"/>
  <c r="L213" i="7"/>
  <c r="M213" i="7" s="1"/>
  <c r="L266" i="7"/>
  <c r="M266" i="7" s="1"/>
  <c r="L313" i="7"/>
  <c r="M313" i="7" s="1"/>
  <c r="L386" i="7"/>
  <c r="M386" i="7" s="1"/>
  <c r="L503" i="7"/>
  <c r="M503" i="7" s="1"/>
  <c r="L572" i="7"/>
  <c r="M572" i="7" s="1"/>
  <c r="L757" i="7"/>
  <c r="M757" i="7" s="1"/>
  <c r="L813" i="7"/>
  <c r="M813" i="7" s="1"/>
  <c r="L883" i="7"/>
  <c r="M883" i="7" s="1"/>
  <c r="L942" i="7"/>
  <c r="M942" i="7" s="1"/>
  <c r="L1005" i="7"/>
  <c r="M1005" i="7" s="1"/>
  <c r="L1085" i="7"/>
  <c r="M1085" i="7" s="1"/>
  <c r="L1191" i="7"/>
  <c r="M1191" i="7" s="1"/>
  <c r="L1266" i="7"/>
  <c r="M1266" i="7" s="1"/>
  <c r="L1329" i="7"/>
  <c r="M1329" i="7" s="1"/>
  <c r="L1382" i="7"/>
  <c r="M1382" i="7" s="1"/>
  <c r="L1432" i="7"/>
  <c r="M1432" i="7" s="1"/>
  <c r="L1471" i="7"/>
  <c r="M1471" i="7" s="1"/>
  <c r="L1574" i="7"/>
  <c r="M1574" i="7" s="1"/>
  <c r="L1663" i="7"/>
  <c r="M1663" i="7" s="1"/>
  <c r="L491" i="7"/>
  <c r="M491" i="7" s="1"/>
  <c r="L525" i="7"/>
  <c r="M525" i="7" s="1"/>
  <c r="L954" i="7"/>
  <c r="M954" i="7" s="1"/>
  <c r="L186" i="7"/>
  <c r="M186" i="7" s="1"/>
  <c r="L292" i="7"/>
  <c r="M292" i="7" s="1"/>
  <c r="L42" i="7"/>
  <c r="M42" i="7" s="1"/>
  <c r="L111" i="7"/>
  <c r="M111" i="7" s="1"/>
  <c r="L195" i="7"/>
  <c r="M195" i="7" s="1"/>
  <c r="L250" i="7"/>
  <c r="M250" i="7" s="1"/>
  <c r="L299" i="7"/>
  <c r="M299" i="7" s="1"/>
  <c r="L367" i="7"/>
  <c r="M367" i="7" s="1"/>
  <c r="L465" i="7"/>
  <c r="M465" i="7" s="1"/>
  <c r="L550" i="7"/>
  <c r="M550" i="7" s="1"/>
  <c r="L742" i="7"/>
  <c r="M742" i="7" s="1"/>
  <c r="L792" i="7"/>
  <c r="M792" i="7" s="1"/>
  <c r="L868" i="7"/>
  <c r="M868" i="7" s="1"/>
  <c r="L926" i="7"/>
  <c r="M926" i="7" s="1"/>
  <c r="L988" i="7"/>
  <c r="M988" i="7" s="1"/>
  <c r="L1060" i="7"/>
  <c r="M1060" i="7" s="1"/>
  <c r="L1160" i="7"/>
  <c r="M1160" i="7" s="1"/>
  <c r="L1252" i="7"/>
  <c r="M1252" i="7" s="1"/>
  <c r="L1306" i="7"/>
  <c r="M1306" i="7" s="1"/>
  <c r="L1363" i="7"/>
  <c r="M1363" i="7" s="1"/>
  <c r="L1414" i="7"/>
  <c r="M1414" i="7" s="1"/>
  <c r="L1461" i="7"/>
  <c r="M1461" i="7" s="1"/>
  <c r="L1520" i="7"/>
  <c r="M1520" i="7" s="1"/>
  <c r="L1585" i="7"/>
  <c r="M1585" i="7" s="1"/>
  <c r="L1685" i="7"/>
  <c r="M1685" i="7" s="1"/>
  <c r="L751" i="7"/>
  <c r="M751" i="7" s="1"/>
  <c r="L414" i="7"/>
  <c r="M414" i="7" s="1"/>
  <c r="L1024" i="7"/>
  <c r="M1024" i="7" s="1"/>
  <c r="L41" i="7"/>
  <c r="M41" i="7" s="1"/>
  <c r="L366" i="7"/>
  <c r="M366" i="7" s="1"/>
  <c r="L1674" i="7"/>
  <c r="M1674" i="7" s="1"/>
  <c r="L61" i="7"/>
  <c r="M61" i="7" s="1"/>
  <c r="L222" i="7"/>
  <c r="M222" i="7" s="1"/>
  <c r="L267" i="7"/>
  <c r="M267" i="7" s="1"/>
  <c r="L324" i="7"/>
  <c r="M324" i="7" s="1"/>
  <c r="L393" i="7"/>
  <c r="M393" i="7" s="1"/>
  <c r="L504" i="7"/>
  <c r="M504" i="7" s="1"/>
  <c r="L573" i="7"/>
  <c r="M573" i="7" s="1"/>
  <c r="L760" i="7"/>
  <c r="M760" i="7" s="1"/>
  <c r="L814" i="7"/>
  <c r="M814" i="7" s="1"/>
  <c r="L884" i="7"/>
  <c r="M884" i="7" s="1"/>
  <c r="L945" i="7"/>
  <c r="M945" i="7" s="1"/>
  <c r="L1011" i="7"/>
  <c r="M1011" i="7" s="1"/>
  <c r="L1092" i="7"/>
  <c r="M1092" i="7" s="1"/>
  <c r="L1202" i="7"/>
  <c r="M1202" i="7" s="1"/>
  <c r="L1271" i="7"/>
  <c r="M1271" i="7" s="1"/>
  <c r="L1330" i="7"/>
  <c r="M1330" i="7" s="1"/>
  <c r="L1383" i="7"/>
  <c r="M1383" i="7" s="1"/>
  <c r="L1434" i="7"/>
  <c r="M1434" i="7" s="1"/>
  <c r="L1473" i="7"/>
  <c r="M1473" i="7" s="1"/>
  <c r="L1575" i="7"/>
  <c r="M1575" i="7" s="1"/>
  <c r="L1669" i="7"/>
  <c r="M1669" i="7" s="1"/>
  <c r="L307" i="7"/>
  <c r="M307" i="7" s="1"/>
  <c r="L144" i="7"/>
  <c r="M144" i="7" s="1"/>
  <c r="L49" i="7"/>
  <c r="M49" i="7" s="1"/>
  <c r="L112" i="7"/>
  <c r="M112" i="7" s="1"/>
  <c r="L196" i="7"/>
  <c r="M196" i="7" s="1"/>
  <c r="L251" i="7"/>
  <c r="M251" i="7" s="1"/>
  <c r="L300" i="7"/>
  <c r="M300" i="7" s="1"/>
  <c r="L375" i="7"/>
  <c r="M375" i="7" s="1"/>
  <c r="L477" i="7"/>
  <c r="M477" i="7" s="1"/>
  <c r="L551" i="7"/>
  <c r="M551" i="7" s="1"/>
  <c r="L745" i="7"/>
  <c r="M745" i="7" s="1"/>
  <c r="L801" i="7"/>
  <c r="M801" i="7" s="1"/>
  <c r="L874" i="7"/>
  <c r="M874" i="7" s="1"/>
  <c r="L933" i="7"/>
  <c r="M933" i="7" s="1"/>
  <c r="L993" i="7"/>
  <c r="M993" i="7" s="1"/>
  <c r="L1067" i="7"/>
  <c r="M1067" i="7" s="1"/>
  <c r="L1164" i="7"/>
  <c r="M1164" i="7" s="1"/>
  <c r="L1253" i="7"/>
  <c r="M1253" i="7" s="1"/>
  <c r="L1307" i="7"/>
  <c r="M1307" i="7" s="1"/>
  <c r="L1371" i="7"/>
  <c r="M1371" i="7" s="1"/>
  <c r="L1417" i="7"/>
  <c r="M1417" i="7" s="1"/>
  <c r="L1463" i="7"/>
  <c r="M1463" i="7" s="1"/>
  <c r="L1523" i="7"/>
  <c r="M1523" i="7" s="1"/>
  <c r="L1586" i="7"/>
  <c r="M1586" i="7" s="1"/>
  <c r="L1686" i="7"/>
  <c r="M1686" i="7" s="1"/>
  <c r="L19" i="7"/>
  <c r="M19" i="7" s="1"/>
  <c r="L1453" i="7"/>
  <c r="M1453" i="7" s="1"/>
  <c r="L1497" i="7"/>
  <c r="M1497" i="7" s="1"/>
  <c r="L1581" i="7"/>
  <c r="M1581" i="7" s="1"/>
  <c r="L1679" i="7"/>
  <c r="M1679" i="7" s="1"/>
  <c r="L163" i="7"/>
  <c r="M163" i="7" s="1"/>
  <c r="L335" i="7"/>
  <c r="M335" i="7" s="1"/>
  <c r="L763" i="7"/>
  <c r="M763" i="7" s="1"/>
  <c r="L823" i="7"/>
  <c r="M823" i="7" s="1"/>
  <c r="L952" i="7"/>
  <c r="M952" i="7" s="1"/>
  <c r="L1016" i="7"/>
  <c r="M1016" i="7" s="1"/>
  <c r="L1099" i="7"/>
  <c r="M1099" i="7" s="1"/>
  <c r="L1203" i="7"/>
  <c r="M1203" i="7" s="1"/>
  <c r="L1274" i="7"/>
  <c r="M1274" i="7" s="1"/>
  <c r="L1331" i="7"/>
  <c r="M1331" i="7" s="1"/>
  <c r="L1390" i="7"/>
  <c r="M1390" i="7" s="1"/>
  <c r="L1436" i="7"/>
  <c r="M1436" i="7" s="1"/>
  <c r="L1476" i="7"/>
  <c r="M1476" i="7" s="1"/>
  <c r="L1576" i="7"/>
  <c r="M1576" i="7" s="1"/>
  <c r="L1670" i="7"/>
  <c r="M1670" i="7" s="1"/>
  <c r="L803" i="7"/>
  <c r="M803" i="7" s="1"/>
  <c r="L65" i="7"/>
  <c r="M65" i="7" s="1"/>
  <c r="L223" i="7"/>
  <c r="M223" i="7" s="1"/>
  <c r="L516" i="7"/>
  <c r="M516" i="7" s="1"/>
  <c r="L649" i="7"/>
  <c r="M649" i="7" s="1"/>
  <c r="L893" i="7"/>
  <c r="M893" i="7" s="1"/>
  <c r="L50" i="7"/>
  <c r="M50" i="7" s="1"/>
  <c r="L113" i="7"/>
  <c r="M113" i="7" s="1"/>
  <c r="L197" i="7"/>
  <c r="M197" i="7" s="1"/>
  <c r="L257" i="7"/>
  <c r="M257" i="7" s="1"/>
  <c r="L306" i="7"/>
  <c r="M306" i="7" s="1"/>
  <c r="L376" i="7"/>
  <c r="M376" i="7" s="1"/>
  <c r="L478" i="7"/>
  <c r="M478" i="7" s="1"/>
  <c r="L562" i="7"/>
  <c r="M562" i="7" s="1"/>
  <c r="L748" i="7"/>
  <c r="M748" i="7" s="1"/>
  <c r="L802" i="7"/>
  <c r="M802" i="7" s="1"/>
  <c r="L875" i="7"/>
  <c r="M875" i="7" s="1"/>
  <c r="L934" i="7"/>
  <c r="M934" i="7" s="1"/>
  <c r="L994" i="7"/>
  <c r="M994" i="7" s="1"/>
  <c r="L1072" i="7"/>
  <c r="M1072" i="7" s="1"/>
  <c r="L1166" i="7"/>
  <c r="M1166" i="7" s="1"/>
  <c r="L1254" i="7"/>
  <c r="M1254" i="7" s="1"/>
  <c r="L1317" i="7"/>
  <c r="M1317" i="7" s="1"/>
  <c r="L1372" i="7"/>
  <c r="M1372" i="7" s="1"/>
  <c r="L1420" i="7"/>
  <c r="M1420" i="7" s="1"/>
  <c r="L1465" i="7"/>
  <c r="M1465" i="7" s="1"/>
  <c r="L1526" i="7"/>
  <c r="M1526" i="7" s="1"/>
  <c r="L1587" i="7"/>
  <c r="M1587" i="7" s="1"/>
  <c r="L1687" i="7"/>
  <c r="M1687" i="7" s="1"/>
  <c r="L684" i="7"/>
  <c r="M684" i="7" s="1"/>
  <c r="L268" i="7"/>
  <c r="M268" i="7" s="1"/>
  <c r="L103" i="7"/>
  <c r="M103" i="7" s="1"/>
  <c r="L184" i="7"/>
  <c r="M184" i="7" s="1"/>
  <c r="L242" i="7"/>
  <c r="M242" i="7" s="1"/>
  <c r="L286" i="7"/>
  <c r="M286" i="7" s="1"/>
  <c r="L357" i="7"/>
  <c r="M357" i="7" s="1"/>
  <c r="L448" i="7"/>
  <c r="M448" i="7" s="1"/>
  <c r="L543" i="7"/>
  <c r="M543" i="7" s="1"/>
  <c r="L726" i="7"/>
  <c r="M726" i="7" s="1"/>
  <c r="L781" i="7"/>
  <c r="M781" i="7" s="1"/>
  <c r="L847" i="7"/>
  <c r="M847" i="7" s="1"/>
  <c r="L923" i="7"/>
  <c r="M923" i="7" s="1"/>
  <c r="L979" i="7"/>
  <c r="M979" i="7" s="1"/>
  <c r="L1039" i="7"/>
  <c r="M1039" i="7" s="1"/>
  <c r="L1145" i="7"/>
  <c r="M1145" i="7" s="1"/>
  <c r="L1243" i="7"/>
  <c r="M1243" i="7" s="1"/>
  <c r="O201" i="6"/>
  <c r="H145" i="8" s="1"/>
  <c r="L145" i="8" s="1"/>
  <c r="O218" i="6"/>
  <c r="H164" i="8" s="1"/>
  <c r="L164" i="8" s="1"/>
  <c r="L244" i="6"/>
  <c r="O244" i="6" s="1"/>
  <c r="H197" i="8" s="1"/>
  <c r="I197" i="8" s="1"/>
  <c r="M197" i="8" s="1"/>
  <c r="L773" i="7"/>
  <c r="M773" i="7" s="1"/>
  <c r="J746" i="7"/>
  <c r="K96" i="6" s="1"/>
  <c r="N96" i="6" s="1"/>
  <c r="N168" i="6"/>
  <c r="G109" i="8" s="1"/>
  <c r="K109" i="8" s="1"/>
  <c r="N125" i="6"/>
  <c r="G57" i="8" s="1"/>
  <c r="K57" i="8" s="1"/>
  <c r="L27" i="7"/>
  <c r="M27" i="7" s="1"/>
  <c r="L643" i="7"/>
  <c r="M643" i="7" s="1"/>
  <c r="L715" i="7"/>
  <c r="M715" i="7" s="1"/>
  <c r="L1431" i="7"/>
  <c r="M1431" i="7" s="1"/>
  <c r="L37" i="7"/>
  <c r="M37" i="7" s="1"/>
  <c r="L260" i="7"/>
  <c r="M260" i="7" s="1"/>
  <c r="L38" i="7"/>
  <c r="M38" i="7" s="1"/>
  <c r="L188" i="7"/>
  <c r="M188" i="7" s="1"/>
  <c r="L416" i="7"/>
  <c r="M416" i="7" s="1"/>
  <c r="L579" i="7"/>
  <c r="M579" i="7" s="1"/>
  <c r="L716" i="7"/>
  <c r="M716" i="7" s="1"/>
  <c r="L43" i="7"/>
  <c r="M43" i="7" s="1"/>
  <c r="L107" i="7"/>
  <c r="M107" i="7" s="1"/>
  <c r="L198" i="7"/>
  <c r="M198" i="7" s="1"/>
  <c r="L269" i="7"/>
  <c r="M269" i="7" s="1"/>
  <c r="L337" i="7"/>
  <c r="M337" i="7" s="1"/>
  <c r="L426" i="7"/>
  <c r="M426" i="7" s="1"/>
  <c r="L518" i="7"/>
  <c r="M518" i="7" s="1"/>
  <c r="L580" i="7"/>
  <c r="M580" i="7" s="1"/>
  <c r="L723" i="7"/>
  <c r="M723" i="7" s="1"/>
  <c r="L727" i="7"/>
  <c r="M727" i="7" s="1"/>
  <c r="L669" i="7"/>
  <c r="M669" i="7" s="1"/>
  <c r="L779" i="7"/>
  <c r="M779" i="7" s="1"/>
  <c r="L1264" i="7"/>
  <c r="M1264" i="7" s="1"/>
  <c r="N172" i="6"/>
  <c r="G114" i="8" s="1"/>
  <c r="K114" i="8" s="1"/>
  <c r="L4" i="7"/>
  <c r="M4" i="7" s="1"/>
  <c r="L53" i="7"/>
  <c r="M53" i="7" s="1"/>
  <c r="L115" i="7"/>
  <c r="M115" i="7" s="1"/>
  <c r="L214" i="7"/>
  <c r="M214" i="7" s="1"/>
  <c r="L279" i="7"/>
  <c r="M279" i="7" s="1"/>
  <c r="L346" i="7"/>
  <c r="M346" i="7" s="1"/>
  <c r="L437" i="7"/>
  <c r="M437" i="7" s="1"/>
  <c r="L528" i="7"/>
  <c r="M528" i="7" s="1"/>
  <c r="L584" i="7"/>
  <c r="M584" i="7" s="1"/>
  <c r="L612" i="7"/>
  <c r="M612" i="7" s="1"/>
  <c r="L660" i="7"/>
  <c r="M660" i="7" s="1"/>
  <c r="J1431" i="7"/>
  <c r="J1488" i="7"/>
  <c r="K230" i="6" s="1"/>
  <c r="N230" i="6" s="1"/>
  <c r="J1651" i="7"/>
  <c r="K214" i="6" s="1"/>
  <c r="N214" i="6" s="1"/>
  <c r="G160" i="8" s="1"/>
  <c r="K160" i="8" s="1"/>
  <c r="L864" i="7"/>
  <c r="M864" i="7" s="1"/>
  <c r="L737" i="7"/>
  <c r="M737" i="7" s="1"/>
  <c r="L1442" i="7"/>
  <c r="M1442" i="7" s="1"/>
  <c r="L1504" i="7"/>
  <c r="M1504" i="7" s="1"/>
  <c r="J107" i="6"/>
  <c r="M107" i="6" s="1"/>
  <c r="F36" i="8" s="1"/>
  <c r="J36" i="8" s="1"/>
  <c r="L5" i="7"/>
  <c r="M5" i="7" s="1"/>
  <c r="L62" i="7"/>
  <c r="M62" i="7" s="1"/>
  <c r="L121" i="7"/>
  <c r="M121" i="7" s="1"/>
  <c r="L215" i="7"/>
  <c r="M215" i="7" s="1"/>
  <c r="L280" i="7"/>
  <c r="M280" i="7" s="1"/>
  <c r="L359" i="7"/>
  <c r="M359" i="7" s="1"/>
  <c r="L438" i="7"/>
  <c r="M438" i="7" s="1"/>
  <c r="L529" i="7"/>
  <c r="M529" i="7" s="1"/>
  <c r="L585" i="7"/>
  <c r="M585" i="7" s="1"/>
  <c r="L613" i="7"/>
  <c r="M613" i="7" s="1"/>
  <c r="L661" i="7"/>
  <c r="M661" i="7" s="1"/>
  <c r="L1502" i="7"/>
  <c r="M1502" i="7" s="1"/>
  <c r="L786" i="7"/>
  <c r="M786" i="7" s="1"/>
  <c r="L1270" i="7"/>
  <c r="M1270" i="7" s="1"/>
  <c r="L6" i="7"/>
  <c r="M6" i="7" s="1"/>
  <c r="L63" i="7"/>
  <c r="M63" i="7" s="1"/>
  <c r="L225" i="7"/>
  <c r="M225" i="7" s="1"/>
  <c r="L287" i="7"/>
  <c r="M287" i="7" s="1"/>
  <c r="L368" i="7"/>
  <c r="M368" i="7" s="1"/>
  <c r="L449" i="7"/>
  <c r="M449" i="7" s="1"/>
  <c r="L538" i="7"/>
  <c r="M538" i="7" s="1"/>
  <c r="L588" i="7"/>
  <c r="M588" i="7" s="1"/>
  <c r="L619" i="7"/>
  <c r="M619" i="7" s="1"/>
  <c r="J770" i="7"/>
  <c r="K104" i="6" s="1"/>
  <c r="N104" i="6" s="1"/>
  <c r="J1165" i="7"/>
  <c r="K166" i="6" s="1"/>
  <c r="N166" i="6" s="1"/>
  <c r="L743" i="7"/>
  <c r="M743" i="7" s="1"/>
  <c r="L1273" i="7"/>
  <c r="M1273" i="7" s="1"/>
  <c r="L1444" i="7"/>
  <c r="M1444" i="7" s="1"/>
  <c r="L1507" i="7"/>
  <c r="M1507" i="7" s="1"/>
  <c r="L7" i="7"/>
  <c r="M7" i="7" s="1"/>
  <c r="L68" i="7"/>
  <c r="M68" i="7" s="1"/>
  <c r="L226" i="7"/>
  <c r="M226" i="7" s="1"/>
  <c r="L288" i="7"/>
  <c r="M288" i="7" s="1"/>
  <c r="L379" i="7"/>
  <c r="M379" i="7" s="1"/>
  <c r="L450" i="7"/>
  <c r="M450" i="7" s="1"/>
  <c r="L539" i="7"/>
  <c r="M539" i="7" s="1"/>
  <c r="L589" i="7"/>
  <c r="M589" i="7" s="1"/>
  <c r="L620" i="7"/>
  <c r="M620" i="7" s="1"/>
  <c r="J773" i="7"/>
  <c r="K105" i="6" s="1"/>
  <c r="N105" i="6" s="1"/>
  <c r="J1167" i="7"/>
  <c r="K167" i="6" s="1"/>
  <c r="N167" i="6" s="1"/>
  <c r="J1437" i="7"/>
  <c r="L865" i="7"/>
  <c r="M865" i="7" s="1"/>
  <c r="L1294" i="7"/>
  <c r="M1294" i="7" s="1"/>
  <c r="L1445" i="7"/>
  <c r="M1445" i="7" s="1"/>
  <c r="L1508" i="7"/>
  <c r="M1508" i="7" s="1"/>
  <c r="L1659" i="7"/>
  <c r="M1659" i="7" s="1"/>
  <c r="L69" i="7"/>
  <c r="M69" i="7" s="1"/>
  <c r="L231" i="7"/>
  <c r="M231" i="7" s="1"/>
  <c r="L293" i="7"/>
  <c r="M293" i="7" s="1"/>
  <c r="L380" i="7"/>
  <c r="M380" i="7" s="1"/>
  <c r="L457" i="7"/>
  <c r="M457" i="7" s="1"/>
  <c r="L545" i="7"/>
  <c r="M545" i="7" s="1"/>
  <c r="L590" i="7"/>
  <c r="M590" i="7" s="1"/>
  <c r="L621" i="7"/>
  <c r="M621" i="7" s="1"/>
  <c r="J1439" i="7"/>
  <c r="L1446" i="7"/>
  <c r="M1446" i="7" s="1"/>
  <c r="L1512" i="7"/>
  <c r="M1512" i="7" s="1"/>
  <c r="L1660" i="7"/>
  <c r="M1660" i="7" s="1"/>
  <c r="L15" i="7"/>
  <c r="M15" i="7" s="1"/>
  <c r="L80" i="7"/>
  <c r="M80" i="7" s="1"/>
  <c r="L145" i="7"/>
  <c r="M145" i="7" s="1"/>
  <c r="L232" i="7"/>
  <c r="M232" i="7" s="1"/>
  <c r="L294" i="7"/>
  <c r="M294" i="7" s="1"/>
  <c r="L381" i="7"/>
  <c r="M381" i="7" s="1"/>
  <c r="L458" i="7"/>
  <c r="M458" i="7" s="1"/>
  <c r="L546" i="7"/>
  <c r="M546" i="7" s="1"/>
  <c r="L593" i="7"/>
  <c r="M593" i="7" s="1"/>
  <c r="L627" i="7"/>
  <c r="M627" i="7" s="1"/>
  <c r="L678" i="7"/>
  <c r="M678" i="7" s="1"/>
  <c r="K196" i="6"/>
  <c r="N196" i="6" s="1"/>
  <c r="G140" i="8" s="1"/>
  <c r="K140" i="8" s="1"/>
  <c r="N210" i="6"/>
  <c r="G155" i="8" s="1"/>
  <c r="K155" i="8" s="1"/>
  <c r="J779" i="7"/>
  <c r="K107" i="6" s="1"/>
  <c r="N107" i="6" s="1"/>
  <c r="L16" i="7"/>
  <c r="M16" i="7" s="1"/>
  <c r="L81" i="7"/>
  <c r="M81" i="7" s="1"/>
  <c r="L155" i="7"/>
  <c r="M155" i="7" s="1"/>
  <c r="L237" i="7"/>
  <c r="M237" i="7" s="1"/>
  <c r="L301" i="7"/>
  <c r="M301" i="7" s="1"/>
  <c r="L387" i="7"/>
  <c r="M387" i="7" s="1"/>
  <c r="L466" i="7"/>
  <c r="M466" i="7" s="1"/>
  <c r="L552" i="7"/>
  <c r="M552" i="7" s="1"/>
  <c r="L594" i="7"/>
  <c r="M594" i="7" s="1"/>
  <c r="L628" i="7"/>
  <c r="M628" i="7" s="1"/>
  <c r="L690" i="7"/>
  <c r="M690" i="7" s="1"/>
  <c r="K98" i="6"/>
  <c r="N98" i="6" s="1"/>
  <c r="G27" i="8" s="1"/>
  <c r="N128" i="6"/>
  <c r="G61" i="8" s="1"/>
  <c r="K61" i="8" s="1"/>
  <c r="K197" i="6"/>
  <c r="N197" i="6" s="1"/>
  <c r="G141" i="8" s="1"/>
  <c r="K141" i="8" s="1"/>
  <c r="L20" i="7"/>
  <c r="M20" i="7" s="1"/>
  <c r="L91" i="7"/>
  <c r="M91" i="7" s="1"/>
  <c r="L156" i="7"/>
  <c r="M156" i="7" s="1"/>
  <c r="L238" i="7"/>
  <c r="M238" i="7" s="1"/>
  <c r="L302" i="7"/>
  <c r="M302" i="7" s="1"/>
  <c r="L388" i="7"/>
  <c r="M388" i="7" s="1"/>
  <c r="L467" i="7"/>
  <c r="M467" i="7" s="1"/>
  <c r="L553" i="7"/>
  <c r="M553" i="7" s="1"/>
  <c r="L595" i="7"/>
  <c r="M595" i="7" s="1"/>
  <c r="L629" i="7"/>
  <c r="M629" i="7" s="1"/>
  <c r="K99" i="6"/>
  <c r="N99" i="6" s="1"/>
  <c r="G28" i="8" s="1"/>
  <c r="K28" i="8" s="1"/>
  <c r="L711" i="7"/>
  <c r="M711" i="7" s="1"/>
  <c r="L21" i="7"/>
  <c r="M21" i="7" s="1"/>
  <c r="L92" i="7"/>
  <c r="M92" i="7" s="1"/>
  <c r="L166" i="7"/>
  <c r="M166" i="7" s="1"/>
  <c r="L244" i="7"/>
  <c r="M244" i="7" s="1"/>
  <c r="L308" i="7"/>
  <c r="M308" i="7" s="1"/>
  <c r="L394" i="7"/>
  <c r="M394" i="7" s="1"/>
  <c r="L479" i="7"/>
  <c r="M479" i="7" s="1"/>
  <c r="L554" i="7"/>
  <c r="M554" i="7" s="1"/>
  <c r="L598" i="7"/>
  <c r="M598" i="7" s="1"/>
  <c r="L635" i="7"/>
  <c r="M635" i="7" s="1"/>
  <c r="L25" i="7"/>
  <c r="M25" i="7" s="1"/>
  <c r="L94" i="7"/>
  <c r="M94" i="7" s="1"/>
  <c r="L167" i="7"/>
  <c r="M167" i="7" s="1"/>
  <c r="L245" i="7"/>
  <c r="M245" i="7" s="1"/>
  <c r="L309" i="7"/>
  <c r="M309" i="7" s="1"/>
  <c r="L395" i="7"/>
  <c r="M395" i="7" s="1"/>
  <c r="L480" i="7"/>
  <c r="M480" i="7" s="1"/>
  <c r="L564" i="7"/>
  <c r="M564" i="7" s="1"/>
  <c r="L599" i="7"/>
  <c r="M599" i="7" s="1"/>
  <c r="L636" i="7"/>
  <c r="M636" i="7" s="1"/>
  <c r="J743" i="7"/>
  <c r="K95" i="6" s="1"/>
  <c r="N95" i="6" s="1"/>
  <c r="L776" i="7"/>
  <c r="M776" i="7" s="1"/>
  <c r="L1439" i="7"/>
  <c r="M1439" i="7" s="1"/>
  <c r="L1503" i="7"/>
  <c r="M1503" i="7" s="1"/>
  <c r="L1655" i="7"/>
  <c r="M1655" i="7" s="1"/>
  <c r="L1263" i="7"/>
  <c r="M1263" i="7" s="1"/>
  <c r="L710" i="7"/>
  <c r="M710" i="7" s="1"/>
  <c r="L761" i="7"/>
  <c r="M761" i="7" s="1"/>
  <c r="L944" i="7"/>
  <c r="M944" i="7" s="1"/>
  <c r="L1418" i="7"/>
  <c r="M1418" i="7" s="1"/>
  <c r="L1487" i="7"/>
  <c r="M1487" i="7" s="1"/>
  <c r="L685" i="7"/>
  <c r="M685" i="7" s="1"/>
  <c r="L746" i="7"/>
  <c r="M746" i="7" s="1"/>
  <c r="L897" i="7"/>
  <c r="M897" i="7" s="1"/>
  <c r="L1403" i="7"/>
  <c r="M1403" i="7" s="1"/>
  <c r="L1449" i="7"/>
  <c r="M1449" i="7" s="1"/>
  <c r="L1527" i="7"/>
  <c r="M1527" i="7" s="1"/>
  <c r="L1661" i="7"/>
  <c r="M1661" i="7" s="1"/>
  <c r="L1650" i="7"/>
  <c r="M1650" i="7" s="1"/>
  <c r="L1656" i="7"/>
  <c r="M1656" i="7" s="1"/>
  <c r="L1488" i="7"/>
  <c r="M1488" i="7" s="1"/>
  <c r="L1651" i="7"/>
  <c r="M1651" i="7" s="1"/>
  <c r="L686" i="7"/>
  <c r="M686" i="7" s="1"/>
  <c r="L749" i="7"/>
  <c r="M749" i="7" s="1"/>
  <c r="L898" i="7"/>
  <c r="M898" i="7" s="1"/>
  <c r="L1406" i="7"/>
  <c r="M1406" i="7" s="1"/>
  <c r="L1451" i="7"/>
  <c r="M1451" i="7" s="1"/>
  <c r="L1531" i="7"/>
  <c r="M1531" i="7" s="1"/>
  <c r="L1662" i="7"/>
  <c r="M1662" i="7" s="1"/>
  <c r="L691" i="7"/>
  <c r="M691" i="7" s="1"/>
  <c r="L728" i="7"/>
  <c r="M728" i="7" s="1"/>
  <c r="L782" i="7"/>
  <c r="M782" i="7" s="1"/>
  <c r="L1265" i="7"/>
  <c r="M1265" i="7" s="1"/>
  <c r="L1443" i="7"/>
  <c r="M1443" i="7" s="1"/>
  <c r="L1506" i="7"/>
  <c r="M1506" i="7" s="1"/>
  <c r="L1657" i="7"/>
  <c r="M1657" i="7" s="1"/>
  <c r="L696" i="7"/>
  <c r="M696" i="7" s="1"/>
  <c r="L712" i="7"/>
  <c r="M712" i="7" s="1"/>
  <c r="L767" i="7"/>
  <c r="M767" i="7" s="1"/>
  <c r="L1163" i="7"/>
  <c r="M1163" i="7" s="1"/>
  <c r="L1433" i="7"/>
  <c r="M1433" i="7" s="1"/>
  <c r="L1489" i="7"/>
  <c r="M1489" i="7" s="1"/>
  <c r="L1652" i="7"/>
  <c r="M1652" i="7" s="1"/>
  <c r="L764" i="7"/>
  <c r="M764" i="7" s="1"/>
  <c r="L687" i="7"/>
  <c r="M687" i="7" s="1"/>
  <c r="L752" i="7"/>
  <c r="M752" i="7" s="1"/>
  <c r="L927" i="7"/>
  <c r="M927" i="7" s="1"/>
  <c r="L1409" i="7"/>
  <c r="M1409" i="7" s="1"/>
  <c r="L1475" i="7"/>
  <c r="M1475" i="7" s="1"/>
  <c r="L1532" i="7"/>
  <c r="M1532" i="7" s="1"/>
  <c r="L1680" i="7"/>
  <c r="M1680" i="7" s="1"/>
  <c r="L1022" i="7"/>
  <c r="M1022" i="7" s="1"/>
  <c r="L1658" i="7"/>
  <c r="M1658" i="7" s="1"/>
  <c r="L714" i="7"/>
  <c r="M714" i="7" s="1"/>
  <c r="L1165" i="7"/>
  <c r="M1165" i="7" s="1"/>
  <c r="L1435" i="7"/>
  <c r="M1435" i="7" s="1"/>
  <c r="L1653" i="7"/>
  <c r="M1653" i="7" s="1"/>
  <c r="L770" i="7"/>
  <c r="M770" i="7" s="1"/>
  <c r="L1496" i="7"/>
  <c r="M1496" i="7" s="1"/>
  <c r="L688" i="7"/>
  <c r="M688" i="7" s="1"/>
  <c r="L755" i="7"/>
  <c r="M755" i="7" s="1"/>
  <c r="L939" i="7"/>
  <c r="M939" i="7" s="1"/>
  <c r="L1412" i="7"/>
  <c r="M1412" i="7" s="1"/>
  <c r="L1485" i="7"/>
  <c r="M1485" i="7" s="1"/>
  <c r="L1648" i="7"/>
  <c r="M1648" i="7" s="1"/>
  <c r="L1681" i="7"/>
  <c r="M1681" i="7" s="1"/>
  <c r="L740" i="7"/>
  <c r="M740" i="7" s="1"/>
  <c r="L1437" i="7"/>
  <c r="M1437" i="7" s="1"/>
  <c r="L1654" i="7"/>
  <c r="M1654" i="7" s="1"/>
  <c r="L709" i="7"/>
  <c r="M709" i="7" s="1"/>
  <c r="L758" i="7"/>
  <c r="M758" i="7" s="1"/>
  <c r="L941" i="7"/>
  <c r="M941" i="7" s="1"/>
  <c r="L1415" i="7"/>
  <c r="M1415" i="7" s="1"/>
  <c r="L1486" i="7"/>
  <c r="M1486" i="7" s="1"/>
  <c r="L1649" i="7"/>
  <c r="M1649" i="7" s="1"/>
  <c r="L1694" i="7"/>
  <c r="M1694" i="7" s="1"/>
  <c r="L1167" i="7"/>
  <c r="M1167" i="7" s="1"/>
  <c r="L1104" i="7"/>
  <c r="M1104" i="7" s="1"/>
  <c r="L1284" i="7"/>
  <c r="M1284" i="7" s="1"/>
  <c r="L1515" i="7"/>
  <c r="M1515" i="7" s="1"/>
  <c r="L1614" i="7"/>
  <c r="M1614" i="7" s="1"/>
  <c r="L1630" i="7"/>
  <c r="M1630" i="7" s="1"/>
  <c r="L1646" i="7"/>
  <c r="M1646" i="7" s="1"/>
  <c r="L719" i="7"/>
  <c r="M719" i="7" s="1"/>
  <c r="L998" i="7"/>
  <c r="M998" i="7" s="1"/>
  <c r="L1098" i="7"/>
  <c r="M1098" i="7" s="1"/>
  <c r="L1283" i="7"/>
  <c r="M1283" i="7" s="1"/>
  <c r="L1514" i="7"/>
  <c r="M1514" i="7" s="1"/>
  <c r="L1613" i="7"/>
  <c r="M1613" i="7" s="1"/>
  <c r="L1629" i="7"/>
  <c r="M1629" i="7" s="1"/>
  <c r="L725" i="7"/>
  <c r="M725" i="7" s="1"/>
  <c r="L855" i="7"/>
  <c r="M855" i="7" s="1"/>
  <c r="L951" i="7"/>
  <c r="M951" i="7" s="1"/>
  <c r="L1111" i="7"/>
  <c r="M1111" i="7" s="1"/>
  <c r="L1290" i="7"/>
  <c r="M1290" i="7" s="1"/>
  <c r="L1519" i="7"/>
  <c r="M1519" i="7" s="1"/>
  <c r="L1616" i="7"/>
  <c r="M1616" i="7" s="1"/>
  <c r="L1632" i="7"/>
  <c r="M1632" i="7" s="1"/>
  <c r="L1665" i="7"/>
  <c r="M1665" i="7" s="1"/>
  <c r="L733" i="7"/>
  <c r="M733" i="7" s="1"/>
  <c r="L872" i="7"/>
  <c r="M872" i="7" s="1"/>
  <c r="L959" i="7"/>
  <c r="M959" i="7" s="1"/>
  <c r="L1112" i="7"/>
  <c r="M1112" i="7" s="1"/>
  <c r="L1422" i="7"/>
  <c r="M1422" i="7" s="1"/>
  <c r="L1522" i="7"/>
  <c r="M1522" i="7" s="1"/>
  <c r="L1617" i="7"/>
  <c r="M1617" i="7" s="1"/>
  <c r="L1633" i="7"/>
  <c r="M1633" i="7" s="1"/>
  <c r="L1666" i="7"/>
  <c r="M1666" i="7" s="1"/>
  <c r="L734" i="7"/>
  <c r="M734" i="7" s="1"/>
  <c r="L873" i="7"/>
  <c r="M873" i="7" s="1"/>
  <c r="L960" i="7"/>
  <c r="M960" i="7" s="1"/>
  <c r="L1118" i="7"/>
  <c r="M1118" i="7" s="1"/>
  <c r="L1423" i="7"/>
  <c r="M1423" i="7" s="1"/>
  <c r="L1525" i="7"/>
  <c r="M1525" i="7" s="1"/>
  <c r="L1618" i="7"/>
  <c r="M1618" i="7" s="1"/>
  <c r="L1634" i="7"/>
  <c r="M1634" i="7" s="1"/>
  <c r="L1667" i="7"/>
  <c r="M1667" i="7" s="1"/>
  <c r="L735" i="7"/>
  <c r="M735" i="7" s="1"/>
  <c r="L880" i="7"/>
  <c r="M880" i="7" s="1"/>
  <c r="L969" i="7"/>
  <c r="M969" i="7" s="1"/>
  <c r="L1015" i="7"/>
  <c r="M1015" i="7" s="1"/>
  <c r="L1119" i="7"/>
  <c r="M1119" i="7" s="1"/>
  <c r="L1424" i="7"/>
  <c r="M1424" i="7" s="1"/>
  <c r="L1529" i="7"/>
  <c r="M1529" i="7" s="1"/>
  <c r="L1619" i="7"/>
  <c r="M1619" i="7" s="1"/>
  <c r="L1635" i="7"/>
  <c r="M1635" i="7" s="1"/>
  <c r="L1668" i="7"/>
  <c r="M1668" i="7" s="1"/>
  <c r="L790" i="7"/>
  <c r="M790" i="7" s="1"/>
  <c r="L881" i="7"/>
  <c r="M881" i="7" s="1"/>
  <c r="L1125" i="7"/>
  <c r="M1125" i="7" s="1"/>
  <c r="L1427" i="7"/>
  <c r="M1427" i="7" s="1"/>
  <c r="L1604" i="7"/>
  <c r="M1604" i="7" s="1"/>
  <c r="L1620" i="7"/>
  <c r="M1620" i="7" s="1"/>
  <c r="L1636" i="7"/>
  <c r="M1636" i="7" s="1"/>
  <c r="L791" i="7"/>
  <c r="M791" i="7" s="1"/>
  <c r="L891" i="7"/>
  <c r="M891" i="7" s="1"/>
  <c r="L971" i="7"/>
  <c r="M971" i="7" s="1"/>
  <c r="L1021" i="7"/>
  <c r="M1021" i="7" s="1"/>
  <c r="L1071" i="7"/>
  <c r="M1071" i="7" s="1"/>
  <c r="L1126" i="7"/>
  <c r="M1126" i="7" s="1"/>
  <c r="L1428" i="7"/>
  <c r="M1428" i="7" s="1"/>
  <c r="L1605" i="7"/>
  <c r="M1605" i="7" s="1"/>
  <c r="L1621" i="7"/>
  <c r="M1621" i="7" s="1"/>
  <c r="L1637" i="7"/>
  <c r="M1637" i="7" s="1"/>
  <c r="L799" i="7"/>
  <c r="M799" i="7" s="1"/>
  <c r="L892" i="7"/>
  <c r="M892" i="7" s="1"/>
  <c r="L1078" i="7"/>
  <c r="M1078" i="7" s="1"/>
  <c r="L1169" i="7"/>
  <c r="M1169" i="7" s="1"/>
  <c r="L1429" i="7"/>
  <c r="M1429" i="7" s="1"/>
  <c r="L1606" i="7"/>
  <c r="M1606" i="7" s="1"/>
  <c r="L1622" i="7"/>
  <c r="M1622" i="7" s="1"/>
  <c r="L1638" i="7"/>
  <c r="M1638" i="7" s="1"/>
  <c r="L800" i="7"/>
  <c r="M800" i="7" s="1"/>
  <c r="L905" i="7"/>
  <c r="M905" i="7" s="1"/>
  <c r="L978" i="7"/>
  <c r="M978" i="7" s="1"/>
  <c r="L1079" i="7"/>
  <c r="M1079" i="7" s="1"/>
  <c r="L1170" i="7"/>
  <c r="M1170" i="7" s="1"/>
  <c r="L1492" i="7"/>
  <c r="M1492" i="7" s="1"/>
  <c r="L1607" i="7"/>
  <c r="M1607" i="7" s="1"/>
  <c r="L1623" i="7"/>
  <c r="M1623" i="7" s="1"/>
  <c r="L1639" i="7"/>
  <c r="M1639" i="7" s="1"/>
  <c r="L810" i="7"/>
  <c r="M810" i="7" s="1"/>
  <c r="L906" i="7"/>
  <c r="M906" i="7" s="1"/>
  <c r="L985" i="7"/>
  <c r="M985" i="7" s="1"/>
  <c r="L1031" i="7"/>
  <c r="M1031" i="7" s="1"/>
  <c r="L1083" i="7"/>
  <c r="M1083" i="7" s="1"/>
  <c r="L1258" i="7"/>
  <c r="M1258" i="7" s="1"/>
  <c r="L1493" i="7"/>
  <c r="M1493" i="7" s="1"/>
  <c r="L1608" i="7"/>
  <c r="M1608" i="7" s="1"/>
  <c r="L1624" i="7"/>
  <c r="M1624" i="7" s="1"/>
  <c r="L1640" i="7"/>
  <c r="M1640" i="7" s="1"/>
  <c r="L1647" i="7"/>
  <c r="M1647" i="7" s="1"/>
  <c r="L706" i="7"/>
  <c r="M706" i="7" s="1"/>
  <c r="L811" i="7"/>
  <c r="M811" i="7" s="1"/>
  <c r="L912" i="7"/>
  <c r="M912" i="7" s="1"/>
  <c r="L1084" i="7"/>
  <c r="M1084" i="7" s="1"/>
  <c r="L713" i="7"/>
  <c r="M713" i="7" s="1"/>
  <c r="L1091" i="7"/>
  <c r="M1091" i="7" s="1"/>
  <c r="L1277" i="7"/>
  <c r="M1277" i="7" s="1"/>
  <c r="L1500" i="7"/>
  <c r="M1500" i="7" s="1"/>
  <c r="L717" i="7"/>
  <c r="M717" i="7" s="1"/>
  <c r="L1097" i="7"/>
  <c r="M1097" i="7" s="1"/>
  <c r="L1278" i="7"/>
  <c r="M1278" i="7" s="1"/>
  <c r="L1513" i="7"/>
  <c r="M1513" i="7" s="1"/>
  <c r="L1612" i="7"/>
  <c r="M1612" i="7" s="1"/>
  <c r="L986" i="7"/>
  <c r="M986" i="7" s="1"/>
  <c r="L1032" i="7"/>
  <c r="M1032" i="7" s="1"/>
  <c r="L1259" i="7"/>
  <c r="M1259" i="7" s="1"/>
  <c r="L1494" i="7"/>
  <c r="M1494" i="7" s="1"/>
  <c r="L1609" i="7"/>
  <c r="M1609" i="7" s="1"/>
  <c r="L1625" i="7"/>
  <c r="M1625" i="7" s="1"/>
  <c r="L1641" i="7"/>
  <c r="M1641" i="7" s="1"/>
  <c r="L26" i="7"/>
  <c r="M26" i="7" s="1"/>
  <c r="L95" i="7"/>
  <c r="M95" i="7" s="1"/>
  <c r="L177" i="7"/>
  <c r="M177" i="7" s="1"/>
  <c r="L252" i="7"/>
  <c r="M252" i="7" s="1"/>
  <c r="L314" i="7"/>
  <c r="M314" i="7" s="1"/>
  <c r="L401" i="7"/>
  <c r="M401" i="7" s="1"/>
  <c r="L493" i="7"/>
  <c r="M493" i="7" s="1"/>
  <c r="L574" i="7"/>
  <c r="M574" i="7" s="1"/>
  <c r="L602" i="7"/>
  <c r="M602" i="7" s="1"/>
  <c r="L637" i="7"/>
  <c r="M637" i="7" s="1"/>
  <c r="L707" i="7"/>
  <c r="M707" i="7" s="1"/>
  <c r="L821" i="7"/>
  <c r="M821" i="7" s="1"/>
  <c r="L913" i="7"/>
  <c r="M913" i="7" s="1"/>
  <c r="L991" i="7"/>
  <c r="M991" i="7" s="1"/>
  <c r="L1034" i="7"/>
  <c r="M1034" i="7" s="1"/>
  <c r="L1090" i="7"/>
  <c r="M1090" i="7" s="1"/>
  <c r="L1268" i="7"/>
  <c r="M1268" i="7" s="1"/>
  <c r="L1499" i="7"/>
  <c r="M1499" i="7" s="1"/>
  <c r="L1610" i="7"/>
  <c r="M1610" i="7" s="1"/>
  <c r="L1626" i="7"/>
  <c r="M1626" i="7" s="1"/>
  <c r="L1642" i="7"/>
  <c r="M1642" i="7" s="1"/>
  <c r="L98" i="7"/>
  <c r="M98" i="7" s="1"/>
  <c r="L178" i="7"/>
  <c r="M178" i="7" s="1"/>
  <c r="L253" i="7"/>
  <c r="M253" i="7" s="1"/>
  <c r="L315" i="7"/>
  <c r="M315" i="7" s="1"/>
  <c r="L402" i="7"/>
  <c r="M402" i="7" s="1"/>
  <c r="L494" i="7"/>
  <c r="M494" i="7" s="1"/>
  <c r="L575" i="7"/>
  <c r="M575" i="7" s="1"/>
  <c r="L603" i="7"/>
  <c r="M603" i="7" s="1"/>
  <c r="L822" i="7"/>
  <c r="M822" i="7" s="1"/>
  <c r="L921" i="7"/>
  <c r="M921" i="7" s="1"/>
  <c r="L992" i="7"/>
  <c r="M992" i="7" s="1"/>
  <c r="L1035" i="7"/>
  <c r="M1035" i="7" s="1"/>
  <c r="L1611" i="7"/>
  <c r="M1611" i="7" s="1"/>
  <c r="L1627" i="7"/>
  <c r="M1627" i="7" s="1"/>
  <c r="L1643" i="7"/>
  <c r="M1643" i="7" s="1"/>
  <c r="L99" i="7"/>
  <c r="M99" i="7" s="1"/>
  <c r="L187" i="7"/>
  <c r="M187" i="7" s="1"/>
  <c r="L325" i="7"/>
  <c r="M325" i="7" s="1"/>
  <c r="L415" i="7"/>
  <c r="M415" i="7" s="1"/>
  <c r="L505" i="7"/>
  <c r="M505" i="7" s="1"/>
  <c r="L578" i="7"/>
  <c r="M578" i="7" s="1"/>
  <c r="L604" i="7"/>
  <c r="M604" i="7" s="1"/>
  <c r="L644" i="7"/>
  <c r="M644" i="7" s="1"/>
  <c r="L832" i="7"/>
  <c r="M832" i="7" s="1"/>
  <c r="L922" i="7"/>
  <c r="M922" i="7" s="1"/>
  <c r="L997" i="7"/>
  <c r="M997" i="7" s="1"/>
  <c r="L1044" i="7"/>
  <c r="M1044" i="7" s="1"/>
  <c r="L1628" i="7"/>
  <c r="M1628" i="7" s="1"/>
  <c r="L1644" i="7"/>
  <c r="M1644" i="7" s="1"/>
  <c r="L106" i="7"/>
  <c r="M106" i="7" s="1"/>
  <c r="L261" i="7"/>
  <c r="M261" i="7" s="1"/>
  <c r="L326" i="7"/>
  <c r="M326" i="7" s="1"/>
  <c r="L506" i="7"/>
  <c r="M506" i="7" s="1"/>
  <c r="L607" i="7"/>
  <c r="M607" i="7" s="1"/>
  <c r="L645" i="7"/>
  <c r="M645" i="7" s="1"/>
  <c r="L833" i="7"/>
  <c r="M833" i="7" s="1"/>
  <c r="L931" i="7"/>
  <c r="M931" i="7" s="1"/>
  <c r="L1045" i="7"/>
  <c r="M1045" i="7" s="1"/>
  <c r="L1645" i="7"/>
  <c r="M1645" i="7" s="1"/>
  <c r="L608" i="7"/>
  <c r="M608" i="7" s="1"/>
  <c r="L647" i="7"/>
  <c r="M647" i="7" s="1"/>
  <c r="L849" i="7"/>
  <c r="M849" i="7" s="1"/>
  <c r="L932" i="7"/>
  <c r="M932" i="7" s="1"/>
  <c r="L1003" i="7"/>
  <c r="M1003" i="7" s="1"/>
  <c r="L1051" i="7"/>
  <c r="M1051" i="7" s="1"/>
  <c r="L3" i="7"/>
  <c r="M3" i="7" s="1"/>
  <c r="L52" i="7"/>
  <c r="M52" i="7" s="1"/>
  <c r="L114" i="7"/>
  <c r="M114" i="7" s="1"/>
  <c r="L199" i="7"/>
  <c r="M199" i="7" s="1"/>
  <c r="L270" i="7"/>
  <c r="M270" i="7" s="1"/>
  <c r="L338" i="7"/>
  <c r="M338" i="7" s="1"/>
  <c r="L427" i="7"/>
  <c r="M427" i="7" s="1"/>
  <c r="L519" i="7"/>
  <c r="M519" i="7" s="1"/>
  <c r="L583" i="7"/>
  <c r="M583" i="7" s="1"/>
  <c r="L609" i="7"/>
  <c r="M609" i="7" s="1"/>
  <c r="L659" i="7"/>
  <c r="M659" i="7" s="1"/>
  <c r="L724" i="7"/>
  <c r="M724" i="7" s="1"/>
  <c r="L854" i="7"/>
  <c r="M854" i="7" s="1"/>
  <c r="L950" i="7"/>
  <c r="M950" i="7" s="1"/>
  <c r="L1004" i="7"/>
  <c r="M1004" i="7" s="1"/>
  <c r="L1052" i="7"/>
  <c r="M1052" i="7" s="1"/>
  <c r="L1105" i="7"/>
  <c r="M1105" i="7" s="1"/>
  <c r="L1289" i="7"/>
  <c r="M1289" i="7" s="1"/>
  <c r="L1518" i="7"/>
  <c r="M1518" i="7" s="1"/>
  <c r="L1615" i="7"/>
  <c r="M1615" i="7" s="1"/>
  <c r="L1631" i="7"/>
  <c r="M1631" i="7" s="1"/>
  <c r="K106" i="6"/>
  <c r="N106" i="6" s="1"/>
  <c r="G35" i="8" s="1"/>
  <c r="K35" i="8" s="1"/>
  <c r="L1009" i="7"/>
  <c r="M1009" i="7" s="1"/>
  <c r="L1058" i="7"/>
  <c r="M1058" i="7" s="1"/>
  <c r="J145" i="7"/>
  <c r="K21" i="6" s="1"/>
  <c r="N21" i="6" s="1"/>
  <c r="J1621" i="7"/>
  <c r="K174" i="6" s="1"/>
  <c r="N174" i="6" s="1"/>
  <c r="G116" i="8" s="1"/>
  <c r="K116" i="8" s="1"/>
  <c r="L1010" i="7"/>
  <c r="M1010" i="7" s="1"/>
  <c r="L1059" i="7"/>
  <c r="M1059" i="7" s="1"/>
  <c r="L122" i="7"/>
  <c r="M122" i="7" s="1"/>
  <c r="L671" i="7"/>
  <c r="M671" i="7" s="1"/>
  <c r="L1014" i="7"/>
  <c r="M1014" i="7" s="1"/>
  <c r="L1065" i="7"/>
  <c r="M1065" i="7" s="1"/>
  <c r="L134" i="7"/>
  <c r="M134" i="7" s="1"/>
  <c r="L672" i="7"/>
  <c r="M672" i="7" s="1"/>
  <c r="L1066" i="7"/>
  <c r="M1066" i="7" s="1"/>
  <c r="L8" i="7"/>
  <c r="M8" i="7" s="1"/>
  <c r="L135" i="7"/>
  <c r="M135" i="7" s="1"/>
  <c r="L673" i="7"/>
  <c r="M673" i="7" s="1"/>
  <c r="L970" i="7"/>
  <c r="M970" i="7" s="1"/>
  <c r="L1020" i="7"/>
  <c r="M1020" i="7" s="1"/>
  <c r="L1070" i="7"/>
  <c r="M1070" i="7" s="1"/>
  <c r="L977" i="7"/>
  <c r="M977" i="7" s="1"/>
  <c r="L1027" i="7"/>
  <c r="M1027" i="7" s="1"/>
  <c r="L1028" i="7"/>
  <c r="M1028" i="7" s="1"/>
  <c r="K112" i="6"/>
  <c r="N112" i="6" s="1"/>
  <c r="G41" i="8" s="1"/>
  <c r="K41" i="8" s="1"/>
  <c r="K42" i="6"/>
  <c r="N42" i="6" s="1"/>
  <c r="N139" i="6"/>
  <c r="G73" i="8" s="1"/>
  <c r="K73" i="8" s="1"/>
  <c r="N149" i="6"/>
  <c r="G87" i="8" s="1"/>
  <c r="K87" i="8" s="1"/>
  <c r="M200" i="6"/>
  <c r="F144" i="8" s="1"/>
  <c r="J144" i="8" s="1"/>
  <c r="K59" i="6"/>
  <c r="N59" i="6" s="1"/>
  <c r="J94" i="6"/>
  <c r="M94" i="6" s="1"/>
  <c r="F23" i="8" s="1"/>
  <c r="J23" i="8" s="1"/>
  <c r="J104" i="6"/>
  <c r="M104" i="6" s="1"/>
  <c r="F33" i="8" s="1"/>
  <c r="N11" i="6"/>
  <c r="N140" i="6"/>
  <c r="G75" i="8" s="1"/>
  <c r="K75" i="8" s="1"/>
  <c r="K6" i="6"/>
  <c r="N6" i="6" s="1"/>
  <c r="N33" i="6"/>
  <c r="N179" i="6"/>
  <c r="G121" i="8" s="1"/>
  <c r="K121" i="8" s="1"/>
  <c r="K79" i="6"/>
  <c r="N79" i="6" s="1"/>
  <c r="G6" i="8" s="1"/>
  <c r="K6" i="8" s="1"/>
  <c r="N183" i="6"/>
  <c r="G126" i="8" s="1"/>
  <c r="K126" i="8" s="1"/>
  <c r="M39" i="6"/>
  <c r="N137" i="6"/>
  <c r="G71" i="8" s="1"/>
  <c r="K71" i="8" s="1"/>
  <c r="N138" i="6"/>
  <c r="G72" i="8" s="1"/>
  <c r="K72" i="8" s="1"/>
  <c r="J177" i="6"/>
  <c r="M177" i="6" s="1"/>
  <c r="F119" i="8" s="1"/>
  <c r="J119" i="8" s="1"/>
  <c r="N161" i="6"/>
  <c r="G102" i="8" s="1"/>
  <c r="K102" i="8" s="1"/>
  <c r="N55" i="6"/>
  <c r="K61" i="6"/>
  <c r="N61" i="6" s="1"/>
  <c r="N146" i="6"/>
  <c r="G83" i="8" s="1"/>
  <c r="K83" i="8" s="1"/>
  <c r="N148" i="6"/>
  <c r="G86" i="8" s="1"/>
  <c r="K86" i="8" s="1"/>
  <c r="N116" i="6"/>
  <c r="G46" i="8" s="1"/>
  <c r="K46" i="8" s="1"/>
  <c r="J214" i="6"/>
  <c r="M214" i="6" s="1"/>
  <c r="F160" i="8" s="1"/>
  <c r="J160" i="8" s="1"/>
  <c r="N31" i="6"/>
  <c r="N46" i="6"/>
  <c r="K52" i="6"/>
  <c r="N52" i="6" s="1"/>
  <c r="K36" i="6"/>
  <c r="N36" i="6" s="1"/>
  <c r="N192" i="6"/>
  <c r="G136" i="8" s="1"/>
  <c r="K136" i="8" s="1"/>
  <c r="K134" i="6"/>
  <c r="N134" i="6" s="1"/>
  <c r="G68" i="8" s="1"/>
  <c r="K68" i="8" s="1"/>
  <c r="N181" i="6"/>
  <c r="G124" i="8" s="1"/>
  <c r="K124" i="8" s="1"/>
  <c r="K133" i="6"/>
  <c r="N133" i="6" s="1"/>
  <c r="G66" i="8" s="1"/>
  <c r="K66" i="8" s="1"/>
  <c r="K187" i="6"/>
  <c r="N187" i="6" s="1"/>
  <c r="G131" i="8" s="1"/>
  <c r="K131" i="8" s="1"/>
  <c r="J195" i="6"/>
  <c r="M195" i="6" s="1"/>
  <c r="F139" i="8" s="1"/>
  <c r="J139" i="8" s="1"/>
  <c r="M97" i="6"/>
  <c r="F26" i="8" s="1"/>
  <c r="J26" i="8" s="1"/>
  <c r="N129" i="6"/>
  <c r="G62" i="8" s="1"/>
  <c r="K62" i="8" s="1"/>
  <c r="K121" i="6"/>
  <c r="N121" i="6" s="1"/>
  <c r="G52" i="8" s="1"/>
  <c r="K52" i="8" s="1"/>
  <c r="N152" i="6"/>
  <c r="G90" i="8" s="1"/>
  <c r="K90" i="8" s="1"/>
  <c r="J37" i="6"/>
  <c r="M37" i="6" s="1"/>
  <c r="N157" i="6"/>
  <c r="G96" i="8" s="1"/>
  <c r="K96" i="8" s="1"/>
  <c r="K27" i="6"/>
  <c r="N27" i="6" s="1"/>
  <c r="K65" i="6"/>
  <c r="N65" i="6" s="1"/>
  <c r="J120" i="6"/>
  <c r="M120" i="6" s="1"/>
  <c r="F51" i="8" s="1"/>
  <c r="J51" i="8" s="1"/>
  <c r="N141" i="6"/>
  <c r="G77" i="8" s="1"/>
  <c r="K77" i="8" s="1"/>
  <c r="J121" i="6"/>
  <c r="M121" i="6" s="1"/>
  <c r="F52" i="8" s="1"/>
  <c r="J52" i="8" s="1"/>
  <c r="J197" i="6"/>
  <c r="M197" i="6" s="1"/>
  <c r="F141" i="8" s="1"/>
  <c r="J141" i="8" s="1"/>
  <c r="K3" i="6"/>
  <c r="N3" i="6" s="1"/>
  <c r="P3" i="6" s="1"/>
  <c r="N117" i="6"/>
  <c r="G47" i="8" s="1"/>
  <c r="K47" i="8" s="1"/>
  <c r="K120" i="6"/>
  <c r="N120" i="6" s="1"/>
  <c r="G51" i="8" s="1"/>
  <c r="K51" i="8" s="1"/>
  <c r="K186" i="6"/>
  <c r="N186" i="6" s="1"/>
  <c r="G130" i="8" s="1"/>
  <c r="K130" i="8" s="1"/>
  <c r="N142" i="6"/>
  <c r="G78" i="8" s="1"/>
  <c r="K78" i="8" s="1"/>
  <c r="K53" i="6"/>
  <c r="N53" i="6" s="1"/>
  <c r="K41" i="6"/>
  <c r="N41" i="6" s="1"/>
  <c r="N126" i="6"/>
  <c r="G59" i="8" s="1"/>
  <c r="K59" i="8" s="1"/>
  <c r="K26" i="6"/>
  <c r="N26" i="6" s="1"/>
  <c r="K144" i="6"/>
  <c r="N144" i="6" s="1"/>
  <c r="G81" i="8" s="1"/>
  <c r="K81" i="8" s="1"/>
  <c r="K2" i="6"/>
  <c r="N2" i="6" s="1"/>
  <c r="P2" i="6" s="1"/>
  <c r="N54" i="6"/>
  <c r="J165" i="6"/>
  <c r="M165" i="6" s="1"/>
  <c r="F106" i="8" s="1"/>
  <c r="J106" i="8" s="1"/>
  <c r="K115" i="6"/>
  <c r="N115" i="6" s="1"/>
  <c r="G45" i="8" s="1"/>
  <c r="K45" i="8" s="1"/>
  <c r="N143" i="6"/>
  <c r="G79" i="8" s="1"/>
  <c r="K79" i="8" s="1"/>
  <c r="J223" i="6"/>
  <c r="M223" i="6" s="1"/>
  <c r="F170" i="8" s="1"/>
  <c r="J170" i="8" s="1"/>
  <c r="K91" i="6"/>
  <c r="N91" i="6" s="1"/>
  <c r="G20" i="8" s="1"/>
  <c r="K20" i="8" s="1"/>
  <c r="N159" i="6"/>
  <c r="G99" i="8" s="1"/>
  <c r="K99" i="8" s="1"/>
  <c r="J106" i="6"/>
  <c r="M106" i="6" s="1"/>
  <c r="F35" i="8" s="1"/>
  <c r="J35" i="8" s="1"/>
  <c r="K113" i="6"/>
  <c r="N113" i="6" s="1"/>
  <c r="G43" i="8" s="1"/>
  <c r="K43" i="8" s="1"/>
  <c r="N127" i="6"/>
  <c r="G60" i="8" s="1"/>
  <c r="K60" i="8" s="1"/>
  <c r="K145" i="6"/>
  <c r="N145" i="6" s="1"/>
  <c r="G82" i="8" s="1"/>
  <c r="K82" i="8" s="1"/>
  <c r="K5" i="6"/>
  <c r="N5" i="6" s="1"/>
  <c r="K7" i="6"/>
  <c r="N7" i="6" s="1"/>
  <c r="K156" i="6"/>
  <c r="N156" i="6" s="1"/>
  <c r="G95" i="8" s="1"/>
  <c r="K95" i="8" s="1"/>
  <c r="N194" i="6"/>
  <c r="G138" i="8" s="1"/>
  <c r="K138" i="8" s="1"/>
  <c r="K50" i="6"/>
  <c r="N50" i="6" s="1"/>
  <c r="J196" i="6"/>
  <c r="M196" i="6" s="1"/>
  <c r="F140" i="8" s="1"/>
  <c r="J140" i="8" s="1"/>
  <c r="J198" i="6"/>
  <c r="M198" i="6" s="1"/>
  <c r="F142" i="8" s="1"/>
  <c r="J142" i="8" s="1"/>
  <c r="K69" i="6"/>
  <c r="N69" i="6" s="1"/>
  <c r="N162" i="6"/>
  <c r="G103" i="8" s="1"/>
  <c r="K103" i="8" s="1"/>
  <c r="K175" i="6"/>
  <c r="N175" i="6" s="1"/>
  <c r="G117" i="8" s="1"/>
  <c r="K117" i="8" s="1"/>
  <c r="K188" i="6"/>
  <c r="N188" i="6" s="1"/>
  <c r="G132" i="8" s="1"/>
  <c r="K132" i="8" s="1"/>
  <c r="K4" i="6"/>
  <c r="N4" i="6" s="1"/>
  <c r="P4" i="6" s="1"/>
  <c r="N10" i="6"/>
  <c r="N13" i="6"/>
  <c r="K19" i="6"/>
  <c r="N19" i="6" s="1"/>
  <c r="K38" i="6"/>
  <c r="N38" i="6" s="1"/>
  <c r="N47" i="6"/>
  <c r="K66" i="6"/>
  <c r="N66" i="6" s="1"/>
  <c r="J6" i="6"/>
  <c r="M6" i="6" s="1"/>
  <c r="K51" i="6"/>
  <c r="N51" i="6" s="1"/>
  <c r="J66" i="6"/>
  <c r="M66" i="6" s="1"/>
  <c r="J156" i="6"/>
  <c r="M156" i="6" s="1"/>
  <c r="F95" i="8" s="1"/>
  <c r="J95" i="8" s="1"/>
  <c r="K35" i="6"/>
  <c r="N35" i="6" s="1"/>
  <c r="N86" i="6"/>
  <c r="G13" i="8" s="1"/>
  <c r="K13" i="8" s="1"/>
  <c r="K163" i="6"/>
  <c r="N163" i="6" s="1"/>
  <c r="G104" i="8" s="1"/>
  <c r="K104" i="8" s="1"/>
  <c r="K25" i="6"/>
  <c r="N25" i="6" s="1"/>
  <c r="N233" i="6"/>
  <c r="G185" i="8" s="1"/>
  <c r="K185" i="8" s="1"/>
  <c r="L14" i="7"/>
  <c r="M14" i="7" s="1"/>
  <c r="K178" i="6"/>
  <c r="N178" i="6" s="1"/>
  <c r="G120" i="8" s="1"/>
  <c r="K120" i="8" s="1"/>
  <c r="K235" i="6"/>
  <c r="N235" i="6" s="1"/>
  <c r="G187" i="8" s="1"/>
  <c r="K187" i="8" s="1"/>
  <c r="N108" i="6"/>
  <c r="G37" i="8" s="1"/>
  <c r="K37" i="8" s="1"/>
  <c r="K8" i="6"/>
  <c r="N8" i="6" s="1"/>
  <c r="N17" i="6"/>
  <c r="N58" i="6"/>
  <c r="K49" i="6"/>
  <c r="N49" i="6" s="1"/>
  <c r="K20" i="6"/>
  <c r="N20" i="6" s="1"/>
  <c r="K37" i="6"/>
  <c r="N37" i="6" s="1"/>
  <c r="K60" i="6"/>
  <c r="N60" i="6" s="1"/>
  <c r="K67" i="6"/>
  <c r="N67" i="6" s="1"/>
  <c r="M130" i="6"/>
  <c r="F63" i="8" s="1"/>
  <c r="J63" i="8" s="1"/>
  <c r="N190" i="6"/>
  <c r="G134" i="8" s="1"/>
  <c r="K134" i="8" s="1"/>
  <c r="N56" i="6"/>
  <c r="K81" i="6"/>
  <c r="N81" i="6" s="1"/>
  <c r="G8" i="8" s="1"/>
  <c r="K8" i="8" s="1"/>
  <c r="K177" i="6"/>
  <c r="N177" i="6" s="1"/>
  <c r="G119" i="8" s="1"/>
  <c r="K119" i="8" s="1"/>
  <c r="K63" i="6"/>
  <c r="N63" i="6" s="1"/>
  <c r="K114" i="6"/>
  <c r="N114" i="6" s="1"/>
  <c r="G44" i="8" s="1"/>
  <c r="K44" i="8" s="1"/>
  <c r="N201" i="6"/>
  <c r="G145" i="8" s="1"/>
  <c r="K145" i="8" s="1"/>
  <c r="K62" i="6"/>
  <c r="N62" i="6" s="1"/>
  <c r="K77" i="6"/>
  <c r="N77" i="6" s="1"/>
  <c r="N74" i="6"/>
  <c r="N160" i="6"/>
  <c r="G100" i="8" s="1"/>
  <c r="K100" i="8" s="1"/>
  <c r="N71" i="6"/>
  <c r="N75" i="6"/>
  <c r="K68" i="6"/>
  <c r="N68" i="6" s="1"/>
  <c r="K135" i="6"/>
  <c r="N135" i="6" s="1"/>
  <c r="G69" i="8" s="1"/>
  <c r="K69" i="8" s="1"/>
  <c r="K16" i="6"/>
  <c r="N16" i="6" s="1"/>
  <c r="N88" i="6"/>
  <c r="G16" i="8" s="1"/>
  <c r="K16" i="8" s="1"/>
  <c r="K103" i="6"/>
  <c r="N103" i="6" s="1"/>
  <c r="G32" i="8" s="1"/>
  <c r="K32" i="8" s="1"/>
  <c r="K14" i="6"/>
  <c r="N14" i="6" s="1"/>
  <c r="N82" i="6"/>
  <c r="G9" i="8" s="1"/>
  <c r="K9" i="8" s="1"/>
  <c r="K92" i="6"/>
  <c r="N92" i="6" s="1"/>
  <c r="G21" i="8" s="1"/>
  <c r="K21" i="8" s="1"/>
  <c r="K176" i="6"/>
  <c r="N176" i="6" s="1"/>
  <c r="G118" i="8" s="1"/>
  <c r="K118" i="8" s="1"/>
  <c r="N84" i="6"/>
  <c r="G11" i="8" s="1"/>
  <c r="K11" i="8" s="1"/>
  <c r="N102" i="6"/>
  <c r="G31" i="8" s="1"/>
  <c r="K31" i="8" s="1"/>
  <c r="N83" i="6"/>
  <c r="G10" i="8" s="1"/>
  <c r="K10" i="8" s="1"/>
  <c r="N208" i="6"/>
  <c r="G153" i="8" s="1"/>
  <c r="K153" i="8" s="1"/>
  <c r="M31" i="6"/>
  <c r="N73" i="6"/>
  <c r="K15" i="6"/>
  <c r="N15" i="6" s="1"/>
  <c r="P15" i="6" s="1"/>
  <c r="M160" i="6"/>
  <c r="F100" i="8" s="1"/>
  <c r="J100" i="8" s="1"/>
  <c r="J164" i="6"/>
  <c r="M164" i="6" s="1"/>
  <c r="F105" i="8" s="1"/>
  <c r="J105" i="8" s="1"/>
  <c r="J5" i="6"/>
  <c r="M5" i="6" s="1"/>
  <c r="J178" i="6"/>
  <c r="M178" i="6" s="1"/>
  <c r="F120" i="8" s="1"/>
  <c r="K119" i="6"/>
  <c r="N119" i="6" s="1"/>
  <c r="G50" i="8" s="1"/>
  <c r="K50" i="8" s="1"/>
  <c r="M123" i="6"/>
  <c r="F54" i="8" s="1"/>
  <c r="J54" i="8" s="1"/>
  <c r="M126" i="6"/>
  <c r="F59" i="8" s="1"/>
  <c r="J59" i="8" s="1"/>
  <c r="J16" i="6"/>
  <c r="M16" i="6" s="1"/>
  <c r="M72" i="6"/>
  <c r="J112" i="6"/>
  <c r="M112" i="6" s="1"/>
  <c r="F41" i="8" s="1"/>
  <c r="J41" i="8" s="1"/>
  <c r="J49" i="6"/>
  <c r="M49" i="6" s="1"/>
  <c r="J7" i="6"/>
  <c r="M7" i="6" s="1"/>
  <c r="M138" i="6"/>
  <c r="F72" i="8" s="1"/>
  <c r="J72" i="8" s="1"/>
  <c r="J176" i="6"/>
  <c r="M176" i="6" s="1"/>
  <c r="F118" i="8" s="1"/>
  <c r="J118" i="8" s="1"/>
  <c r="M179" i="6"/>
  <c r="F121" i="8" s="1"/>
  <c r="M17" i="6"/>
  <c r="M30" i="6"/>
  <c r="J63" i="6"/>
  <c r="M63" i="6" s="1"/>
  <c r="J135" i="6"/>
  <c r="M135" i="6" s="1"/>
  <c r="F69" i="8" s="1"/>
  <c r="J69" i="8" s="1"/>
  <c r="M29" i="6"/>
  <c r="J35" i="6"/>
  <c r="M35" i="6" s="1"/>
  <c r="J92" i="6"/>
  <c r="M92" i="6" s="1"/>
  <c r="F21" i="8" s="1"/>
  <c r="J21" i="8" s="1"/>
  <c r="J77" i="6"/>
  <c r="M77" i="6" s="1"/>
  <c r="J114" i="6"/>
  <c r="M114" i="6" s="1"/>
  <c r="F44" i="8" s="1"/>
  <c r="J44" i="8" s="1"/>
  <c r="J199" i="6"/>
  <c r="M199" i="6" s="1"/>
  <c r="F143" i="8" s="1"/>
  <c r="J225" i="6"/>
  <c r="M225" i="6" s="1"/>
  <c r="F172" i="8" s="1"/>
  <c r="J172" i="8" s="1"/>
  <c r="M146" i="6"/>
  <c r="F83" i="8" s="1"/>
  <c r="M148" i="6"/>
  <c r="F86" i="8" s="1"/>
  <c r="J86" i="8" s="1"/>
  <c r="M28" i="6"/>
  <c r="J133" i="6"/>
  <c r="M133" i="6" s="1"/>
  <c r="F66" i="8" s="1"/>
  <c r="J66" i="8" s="1"/>
  <c r="J68" i="6"/>
  <c r="M68" i="6" s="1"/>
  <c r="M118" i="6"/>
  <c r="F48" i="8" s="1"/>
  <c r="J48" i="8" s="1"/>
  <c r="M142" i="6"/>
  <c r="F78" i="8" s="1"/>
  <c r="J78" i="8" s="1"/>
  <c r="M193" i="6"/>
  <c r="F137" i="8" s="1"/>
  <c r="J137" i="8" s="1"/>
  <c r="J134" i="6"/>
  <c r="M134" i="6" s="1"/>
  <c r="F68" i="8" s="1"/>
  <c r="J68" i="8" s="1"/>
  <c r="M189" i="6"/>
  <c r="F133" i="8" s="1"/>
  <c r="J133" i="8" s="1"/>
  <c r="P248" i="6"/>
  <c r="M239" i="6"/>
  <c r="F192" i="8" s="1"/>
  <c r="J25" i="6"/>
  <c r="M25" i="6" s="1"/>
  <c r="M192" i="6"/>
  <c r="F136" i="8" s="1"/>
  <c r="J136" i="8" s="1"/>
  <c r="J119" i="6"/>
  <c r="M119" i="6" s="1"/>
  <c r="F50" i="8" s="1"/>
  <c r="J50" i="8" s="1"/>
  <c r="I147" i="8"/>
  <c r="M147" i="8" s="1"/>
  <c r="N147" i="8" s="1"/>
  <c r="I7" i="8"/>
  <c r="M7" i="8" s="1"/>
  <c r="W7" i="8" s="1"/>
  <c r="X7" i="8" s="1"/>
  <c r="M12" i="6"/>
  <c r="J175" i="6"/>
  <c r="M175" i="6" s="1"/>
  <c r="F117" i="8" s="1"/>
  <c r="J117" i="8" s="1"/>
  <c r="J211" i="6"/>
  <c r="M211" i="6" s="1"/>
  <c r="F157" i="8" s="1"/>
  <c r="P122" i="6"/>
  <c r="J8" i="6"/>
  <c r="M8" i="6" s="1"/>
  <c r="M124" i="6"/>
  <c r="F55" i="8" s="1"/>
  <c r="J55" i="8" s="1"/>
  <c r="M129" i="6"/>
  <c r="F62" i="8" s="1"/>
  <c r="J62" i="8" s="1"/>
  <c r="M140" i="6"/>
  <c r="M153" i="6"/>
  <c r="F91" i="8" s="1"/>
  <c r="J91" i="8" s="1"/>
  <c r="J187" i="6"/>
  <c r="M187" i="6" s="1"/>
  <c r="F131" i="8" s="1"/>
  <c r="J131" i="8" s="1"/>
  <c r="M194" i="6"/>
  <c r="F138" i="8" s="1"/>
  <c r="J138" i="8" s="1"/>
  <c r="J21" i="6"/>
  <c r="M21" i="6" s="1"/>
  <c r="J65" i="6"/>
  <c r="M65" i="6" s="1"/>
  <c r="M55" i="6"/>
  <c r="J61" i="6"/>
  <c r="M61" i="6" s="1"/>
  <c r="P80" i="6"/>
  <c r="M74" i="6"/>
  <c r="J115" i="6"/>
  <c r="M115" i="6" s="1"/>
  <c r="F45" i="8" s="1"/>
  <c r="J45" i="8" s="1"/>
  <c r="M181" i="6"/>
  <c r="F124" i="8" s="1"/>
  <c r="J124" i="8" s="1"/>
  <c r="F203" i="8"/>
  <c r="I203" i="8" s="1"/>
  <c r="M203" i="8" s="1"/>
  <c r="J19" i="6"/>
  <c r="M19" i="6" s="1"/>
  <c r="M162" i="6"/>
  <c r="F103" i="8" s="1"/>
  <c r="J103" i="8" s="1"/>
  <c r="J212" i="6"/>
  <c r="M212" i="6" s="1"/>
  <c r="F158" i="8" s="1"/>
  <c r="M141" i="6"/>
  <c r="F77" i="8" s="1"/>
  <c r="J77" i="8" s="1"/>
  <c r="M147" i="6"/>
  <c r="F85" i="8" s="1"/>
  <c r="J85" i="8" s="1"/>
  <c r="M157" i="6"/>
  <c r="F96" i="8" s="1"/>
  <c r="J96" i="8" s="1"/>
  <c r="M10" i="6"/>
  <c r="M40" i="6"/>
  <c r="M84" i="6"/>
  <c r="F11" i="8" s="1"/>
  <c r="J11" i="8" s="1"/>
  <c r="M137" i="6"/>
  <c r="F71" i="8" s="1"/>
  <c r="J71" i="8" s="1"/>
  <c r="J41" i="6"/>
  <c r="M41" i="6" s="1"/>
  <c r="J113" i="6"/>
  <c r="M113" i="6" s="1"/>
  <c r="F43" i="8" s="1"/>
  <c r="J43" i="8" s="1"/>
  <c r="M125" i="6"/>
  <c r="M233" i="6"/>
  <c r="F185" i="8" s="1"/>
  <c r="J185" i="8" s="1"/>
  <c r="M24" i="6"/>
  <c r="J27" i="6"/>
  <c r="M27" i="6" s="1"/>
  <c r="M44" i="6"/>
  <c r="J52" i="6"/>
  <c r="M52" i="6" s="1"/>
  <c r="M152" i="6"/>
  <c r="F90" i="8" s="1"/>
  <c r="J90" i="8" s="1"/>
  <c r="J185" i="6"/>
  <c r="M185" i="6" s="1"/>
  <c r="F129" i="8" s="1"/>
  <c r="J129" i="8" s="1"/>
  <c r="J188" i="6"/>
  <c r="M188" i="6" s="1"/>
  <c r="F132" i="8" s="1"/>
  <c r="J132" i="8" s="1"/>
  <c r="I180" i="8"/>
  <c r="M180" i="8" s="1"/>
  <c r="W180" i="8" s="1"/>
  <c r="X180" i="8" s="1"/>
  <c r="J14" i="6"/>
  <c r="M14" i="6" s="1"/>
  <c r="M57" i="6"/>
  <c r="M169" i="6"/>
  <c r="F111" i="8" s="1"/>
  <c r="J111" i="8" s="1"/>
  <c r="J51" i="6"/>
  <c r="M51" i="6" s="1"/>
  <c r="J62" i="6"/>
  <c r="M62" i="6" s="1"/>
  <c r="J67" i="6"/>
  <c r="M67" i="6" s="1"/>
  <c r="J38" i="6"/>
  <c r="M38" i="6" s="1"/>
  <c r="J50" i="6"/>
  <c r="M50" i="6" s="1"/>
  <c r="J91" i="6"/>
  <c r="M91" i="6" s="1"/>
  <c r="F20" i="8" s="1"/>
  <c r="J180" i="8"/>
  <c r="J9" i="6"/>
  <c r="M9" i="6" s="1"/>
  <c r="M18" i="6"/>
  <c r="J163" i="6"/>
  <c r="M163" i="6" s="1"/>
  <c r="F104" i="8" s="1"/>
  <c r="J104" i="8" s="1"/>
  <c r="I5" i="8"/>
  <c r="M5" i="8" s="1"/>
  <c r="W5" i="8" s="1"/>
  <c r="F89" i="8"/>
  <c r="J89" i="8" s="1"/>
  <c r="P151" i="6"/>
  <c r="J42" i="6"/>
  <c r="M42" i="6" s="1"/>
  <c r="J69" i="6"/>
  <c r="M69" i="6" s="1"/>
  <c r="M85" i="6"/>
  <c r="F12" i="8" s="1"/>
  <c r="J12" i="8" s="1"/>
  <c r="P251" i="6"/>
  <c r="F207" i="8"/>
  <c r="J207" i="8" s="1"/>
  <c r="M76" i="6"/>
  <c r="P266" i="6"/>
  <c r="F224" i="8"/>
  <c r="J224" i="8" s="1"/>
  <c r="J214" i="8"/>
  <c r="I214" i="8"/>
  <c r="M214" i="8" s="1"/>
  <c r="N214" i="8" s="1"/>
  <c r="M58" i="6"/>
  <c r="J155" i="6"/>
  <c r="M155" i="6" s="1"/>
  <c r="F94" i="8" s="1"/>
  <c r="J94" i="8" s="1"/>
  <c r="F174" i="8"/>
  <c r="M75" i="6"/>
  <c r="J81" i="6"/>
  <c r="M81" i="6" s="1"/>
  <c r="F8" i="8" s="1"/>
  <c r="J8" i="8" s="1"/>
  <c r="P272" i="6"/>
  <c r="F231" i="8"/>
  <c r="J231" i="8" s="1"/>
  <c r="P274" i="6"/>
  <c r="F233" i="8"/>
  <c r="J233" i="8" s="1"/>
  <c r="J174" i="6"/>
  <c r="M174" i="6" s="1"/>
  <c r="F116" i="8" s="1"/>
  <c r="J116" i="8" s="1"/>
  <c r="J186" i="8"/>
  <c r="M48" i="6"/>
  <c r="J59" i="6"/>
  <c r="M59" i="6" s="1"/>
  <c r="M73" i="6"/>
  <c r="M191" i="6"/>
  <c r="F135" i="8" s="1"/>
  <c r="J135" i="8" s="1"/>
  <c r="M13" i="6"/>
  <c r="J186" i="6"/>
  <c r="M186" i="6" s="1"/>
  <c r="F130" i="8" s="1"/>
  <c r="J130" i="8" s="1"/>
  <c r="J6" i="8"/>
  <c r="J43" i="6"/>
  <c r="M43" i="6" s="1"/>
  <c r="J53" i="6"/>
  <c r="M53" i="6" s="1"/>
  <c r="P258" i="6"/>
  <c r="F215" i="8"/>
  <c r="J215" i="8" s="1"/>
  <c r="F155" i="8"/>
  <c r="J155" i="8" s="1"/>
  <c r="I53" i="8"/>
  <c r="M53" i="8" s="1"/>
  <c r="W53" i="8" s="1"/>
  <c r="X53" i="8" s="1"/>
  <c r="H127" i="8"/>
  <c r="L127" i="8" s="1"/>
  <c r="J26" i="6"/>
  <c r="M26" i="6" s="1"/>
  <c r="J36" i="6"/>
  <c r="M36" i="6" s="1"/>
  <c r="M150" i="6"/>
  <c r="F88" i="8" s="1"/>
  <c r="J88" i="8" s="1"/>
  <c r="J169" i="8"/>
  <c r="P249" i="6"/>
  <c r="F205" i="8"/>
  <c r="J205" i="8" s="1"/>
  <c r="P243" i="6"/>
  <c r="F196" i="8"/>
  <c r="J196" i="8" s="1"/>
  <c r="J145" i="8"/>
  <c r="L222" i="8"/>
  <c r="I222" i="8"/>
  <c r="M222" i="8" s="1"/>
  <c r="W222" i="8" s="1"/>
  <c r="X222" i="8" s="1"/>
  <c r="M11" i="6"/>
  <c r="J20" i="6"/>
  <c r="M20" i="6" s="1"/>
  <c r="P250" i="6"/>
  <c r="F206" i="8"/>
  <c r="J206" i="8" s="1"/>
  <c r="J194" i="8"/>
  <c r="J60" i="6"/>
  <c r="M60" i="6" s="1"/>
  <c r="I74" i="8"/>
  <c r="M74" i="8" s="1"/>
  <c r="M171" i="6"/>
  <c r="F113" i="8" s="1"/>
  <c r="J113" i="8" s="1"/>
  <c r="I199" i="8"/>
  <c r="M199" i="8" s="1"/>
  <c r="W199" i="8" s="1"/>
  <c r="X199" i="8" s="1"/>
  <c r="I189" i="8"/>
  <c r="M189" i="8" s="1"/>
  <c r="W189" i="8" s="1"/>
  <c r="X189" i="8" s="1"/>
  <c r="P252" i="6"/>
  <c r="P268" i="6"/>
  <c r="I177" i="8"/>
  <c r="M177" i="8" s="1"/>
  <c r="N177" i="8" s="1"/>
  <c r="P265" i="6"/>
  <c r="J189" i="8"/>
  <c r="P231" i="6"/>
  <c r="P238" i="6"/>
  <c r="J173" i="8"/>
  <c r="J177" i="8"/>
  <c r="P246" i="6"/>
  <c r="P256" i="6"/>
  <c r="P262" i="6"/>
  <c r="I200" i="8"/>
  <c r="M200" i="8" s="1"/>
  <c r="P276" i="6"/>
  <c r="I171" i="8"/>
  <c r="M171" i="8" s="1"/>
  <c r="W171" i="8" s="1"/>
  <c r="X171" i="8" s="1"/>
  <c r="P273" i="6"/>
  <c r="I183" i="8"/>
  <c r="M183" i="8" s="1"/>
  <c r="W183" i="8" s="1"/>
  <c r="X183" i="8" s="1"/>
  <c r="I235" i="8"/>
  <c r="M235" i="8" s="1"/>
  <c r="W235" i="8" s="1"/>
  <c r="X235" i="8" s="1"/>
  <c r="P229" i="6"/>
  <c r="P236" i="6"/>
  <c r="P247" i="6"/>
  <c r="P263" i="6"/>
  <c r="P270" i="6"/>
  <c r="P277" i="6"/>
  <c r="I191" i="8"/>
  <c r="M191" i="8" s="1"/>
  <c r="N191" i="8" s="1"/>
  <c r="P267" i="6"/>
  <c r="J81" i="8"/>
  <c r="I40" i="8"/>
  <c r="M40" i="8" s="1"/>
  <c r="I232" i="8"/>
  <c r="M232" i="8" s="1"/>
  <c r="K232" i="8"/>
  <c r="K216" i="8"/>
  <c r="K224" i="8"/>
  <c r="I208" i="8"/>
  <c r="M208" i="8" s="1"/>
  <c r="K208" i="8"/>
  <c r="I213" i="8"/>
  <c r="M213" i="8" s="1"/>
  <c r="L213" i="8"/>
  <c r="J7" i="8"/>
  <c r="J15" i="8"/>
  <c r="I18" i="8"/>
  <c r="M18" i="8" s="1"/>
  <c r="J39" i="8"/>
  <c r="L205" i="8"/>
  <c r="I167" i="8"/>
  <c r="M167" i="8" s="1"/>
  <c r="J167" i="8"/>
  <c r="I219" i="8"/>
  <c r="M219" i="8" s="1"/>
  <c r="J219" i="8"/>
  <c r="I227" i="8"/>
  <c r="M227" i="8" s="1"/>
  <c r="J227" i="8"/>
  <c r="I211" i="8"/>
  <c r="M211" i="8" s="1"/>
  <c r="J211" i="8"/>
  <c r="I190" i="8"/>
  <c r="M190" i="8" s="1"/>
  <c r="J235" i="8"/>
  <c r="D4" i="3"/>
  <c r="E4" i="3" s="1"/>
  <c r="D12" i="3"/>
  <c r="E12" i="3" s="1"/>
  <c r="P90" i="6"/>
  <c r="P264" i="6"/>
  <c r="P271" i="6"/>
  <c r="D5" i="3"/>
  <c r="E5" i="3" s="1"/>
  <c r="I223" i="8"/>
  <c r="M223" i="8" s="1"/>
  <c r="P78" i="6"/>
  <c r="P245" i="6"/>
  <c r="P255" i="6"/>
  <c r="P261" i="6"/>
  <c r="I202" i="8"/>
  <c r="M202" i="8" s="1"/>
  <c r="I210" i="8"/>
  <c r="M210" i="8" s="1"/>
  <c r="I218" i="8"/>
  <c r="M218" i="8" s="1"/>
  <c r="I226" i="8"/>
  <c r="M226" i="8" s="1"/>
  <c r="D2" i="3"/>
  <c r="E2" i="3" s="1"/>
  <c r="D6" i="3"/>
  <c r="E6" i="3" s="1"/>
  <c r="P275" i="6"/>
  <c r="P132" i="6"/>
  <c r="P224" i="6"/>
  <c r="I230" i="8"/>
  <c r="M230" i="8" s="1"/>
  <c r="I209" i="8"/>
  <c r="M209" i="8" s="1"/>
  <c r="I217" i="8"/>
  <c r="M217" i="8" s="1"/>
  <c r="I225" i="8"/>
  <c r="M225" i="8" s="1"/>
  <c r="P269" i="6"/>
  <c r="I182" i="8"/>
  <c r="M182" i="8" s="1"/>
  <c r="I220" i="8"/>
  <c r="M220" i="8" s="1"/>
  <c r="I228" i="8"/>
  <c r="M228" i="8" s="1"/>
  <c r="I236" i="8"/>
  <c r="M236" i="8" s="1"/>
  <c r="P111" i="6"/>
  <c r="P232" i="6"/>
  <c r="D10" i="3"/>
  <c r="E10" i="3" s="1"/>
  <c r="O124" i="6"/>
  <c r="H55" i="8" s="1"/>
  <c r="L55" i="8" s="1"/>
  <c r="O123" i="6"/>
  <c r="H54" i="8" s="1"/>
  <c r="L54" i="8" s="1"/>
  <c r="L119" i="6"/>
  <c r="O119" i="6" s="1"/>
  <c r="L61" i="6"/>
  <c r="O61" i="6" s="1"/>
  <c r="I14" i="7"/>
  <c r="J14" i="7" s="1"/>
  <c r="L5" i="6" s="1"/>
  <c r="O5" i="6" s="1"/>
  <c r="L6" i="6"/>
  <c r="O6" i="6" s="1"/>
  <c r="P209" i="6"/>
  <c r="P254" i="6"/>
  <c r="P260" i="6"/>
  <c r="L9" i="7"/>
  <c r="M9" i="7" s="1"/>
  <c r="P257" i="6"/>
  <c r="L2" i="7"/>
  <c r="M2" i="7" s="1"/>
  <c r="P237" i="6"/>
  <c r="P253" i="6"/>
  <c r="L646" i="7"/>
  <c r="M646" i="7" s="1"/>
  <c r="P89" i="6" l="1"/>
  <c r="I17" i="8"/>
  <c r="M17" i="8" s="1"/>
  <c r="I158" i="8"/>
  <c r="M158" i="8" s="1"/>
  <c r="I154" i="8"/>
  <c r="M154" i="8" s="1"/>
  <c r="G22" i="8"/>
  <c r="K22" i="8" s="1"/>
  <c r="P93" i="6"/>
  <c r="I195" i="8"/>
  <c r="M195" i="8" s="1"/>
  <c r="I234" i="8"/>
  <c r="M234" i="8" s="1"/>
  <c r="W234" i="8" s="1"/>
  <c r="X234" i="8" s="1"/>
  <c r="I163" i="8"/>
  <c r="M163" i="8" s="1"/>
  <c r="I159" i="8"/>
  <c r="M159" i="8" s="1"/>
  <c r="W159" i="8" s="1"/>
  <c r="X159" i="8" s="1"/>
  <c r="I65" i="8"/>
  <c r="M65" i="8" s="1"/>
  <c r="I27" i="8"/>
  <c r="M27" i="8" s="1"/>
  <c r="W27" i="8" s="1"/>
  <c r="X27" i="8" s="1"/>
  <c r="P222" i="6"/>
  <c r="P210" i="6"/>
  <c r="G175" i="8"/>
  <c r="P228" i="6"/>
  <c r="F216" i="8"/>
  <c r="P259" i="6"/>
  <c r="P215" i="6"/>
  <c r="I30" i="8"/>
  <c r="M30" i="8" s="1"/>
  <c r="I194" i="8"/>
  <c r="M194" i="8" s="1"/>
  <c r="W194" i="8" s="1"/>
  <c r="X194" i="8" s="1"/>
  <c r="P241" i="6"/>
  <c r="G122" i="8"/>
  <c r="P180" i="6"/>
  <c r="G168" i="8"/>
  <c r="P221" i="6"/>
  <c r="G39" i="8"/>
  <c r="P110" i="6"/>
  <c r="F165" i="8"/>
  <c r="P219" i="6"/>
  <c r="G25" i="8"/>
  <c r="P96" i="6"/>
  <c r="G149" i="8"/>
  <c r="P204" i="6"/>
  <c r="F164" i="8"/>
  <c r="P218" i="6"/>
  <c r="P128" i="6"/>
  <c r="P213" i="6"/>
  <c r="I64" i="8"/>
  <c r="M64" i="8" s="1"/>
  <c r="N64" i="8" s="1"/>
  <c r="P227" i="6"/>
  <c r="P220" i="6"/>
  <c r="P131" i="6"/>
  <c r="P216" i="6"/>
  <c r="I22" i="8"/>
  <c r="M22" i="8" s="1"/>
  <c r="N22" i="8" s="1"/>
  <c r="P22" i="6"/>
  <c r="K203" i="6"/>
  <c r="N203" i="6" s="1"/>
  <c r="K206" i="6"/>
  <c r="N206" i="6" s="1"/>
  <c r="P109" i="6"/>
  <c r="K207" i="6"/>
  <c r="N207" i="6" s="1"/>
  <c r="I169" i="8"/>
  <c r="M169" i="8" s="1"/>
  <c r="W169" i="8" s="1"/>
  <c r="X169" i="8" s="1"/>
  <c r="I28" i="8"/>
  <c r="M28" i="8" s="1"/>
  <c r="W28" i="8" s="1"/>
  <c r="X28" i="8" s="1"/>
  <c r="P168" i="6"/>
  <c r="P99" i="6"/>
  <c r="I23" i="8"/>
  <c r="M23" i="8" s="1"/>
  <c r="W23" i="8" s="1"/>
  <c r="X23" i="8" s="1"/>
  <c r="I150" i="8"/>
  <c r="M150" i="8" s="1"/>
  <c r="N150" i="8" s="1"/>
  <c r="P244" i="6"/>
  <c r="P100" i="6"/>
  <c r="I29" i="8"/>
  <c r="M29" i="8" s="1"/>
  <c r="W29" i="8" s="1"/>
  <c r="X29" i="8" s="1"/>
  <c r="I38" i="8"/>
  <c r="M38" i="8" s="1"/>
  <c r="W38" i="8" s="1"/>
  <c r="X38" i="8" s="1"/>
  <c r="K27" i="8"/>
  <c r="P98" i="6"/>
  <c r="I143" i="8"/>
  <c r="M143" i="8" s="1"/>
  <c r="W143" i="8" s="1"/>
  <c r="X143" i="8" s="1"/>
  <c r="I157" i="8"/>
  <c r="M157" i="8" s="1"/>
  <c r="W157" i="8" s="1"/>
  <c r="X157" i="8" s="1"/>
  <c r="P205" i="6"/>
  <c r="P125" i="6"/>
  <c r="L197" i="8"/>
  <c r="P217" i="6"/>
  <c r="P242" i="6"/>
  <c r="I61" i="8"/>
  <c r="M61" i="8" s="1"/>
  <c r="I166" i="8"/>
  <c r="M166" i="8" s="1"/>
  <c r="N166" i="8" s="1"/>
  <c r="I161" i="8"/>
  <c r="M161" i="8" s="1"/>
  <c r="N161" i="8" s="1"/>
  <c r="I173" i="8"/>
  <c r="M173" i="8" s="1"/>
  <c r="W173" i="8" s="1"/>
  <c r="X173" i="8" s="1"/>
  <c r="I162" i="8"/>
  <c r="M162" i="8" s="1"/>
  <c r="W162" i="8" s="1"/>
  <c r="X162" i="8" s="1"/>
  <c r="P226" i="6"/>
  <c r="I186" i="8"/>
  <c r="M186" i="8" s="1"/>
  <c r="N186" i="8" s="1"/>
  <c r="P234" i="6"/>
  <c r="I109" i="8"/>
  <c r="M109" i="8" s="1"/>
  <c r="N109" i="8" s="1"/>
  <c r="G178" i="8"/>
  <c r="P230" i="6"/>
  <c r="G107" i="8"/>
  <c r="P166" i="6"/>
  <c r="G36" i="8"/>
  <c r="P107" i="6"/>
  <c r="G108" i="8"/>
  <c r="P167" i="6"/>
  <c r="G33" i="8"/>
  <c r="K33" i="8" s="1"/>
  <c r="P104" i="6"/>
  <c r="G34" i="8"/>
  <c r="P105" i="6"/>
  <c r="G24" i="8"/>
  <c r="P95" i="6"/>
  <c r="P202" i="6"/>
  <c r="I82" i="8"/>
  <c r="M82" i="8" s="1"/>
  <c r="W82" i="8" s="1"/>
  <c r="X82" i="8" s="1"/>
  <c r="P235" i="6"/>
  <c r="I146" i="8"/>
  <c r="M146" i="8" s="1"/>
  <c r="N146" i="8" s="1"/>
  <c r="J33" i="8"/>
  <c r="P79" i="6"/>
  <c r="P200" i="6"/>
  <c r="I83" i="8"/>
  <c r="M83" i="8" s="1"/>
  <c r="W83" i="8" s="1"/>
  <c r="X83" i="8" s="1"/>
  <c r="P94" i="6"/>
  <c r="I144" i="8"/>
  <c r="M144" i="8" s="1"/>
  <c r="N144" i="8" s="1"/>
  <c r="P76" i="6"/>
  <c r="I6" i="8"/>
  <c r="M6" i="8" s="1"/>
  <c r="W6" i="8" s="1"/>
  <c r="X6" i="8" s="1"/>
  <c r="P67" i="6"/>
  <c r="P240" i="6"/>
  <c r="P97" i="6"/>
  <c r="P214" i="6"/>
  <c r="P86" i="6"/>
  <c r="P197" i="6"/>
  <c r="I141" i="8"/>
  <c r="M141" i="8" s="1"/>
  <c r="W141" i="8" s="1"/>
  <c r="X141" i="8" s="1"/>
  <c r="I35" i="8"/>
  <c r="M35" i="8" s="1"/>
  <c r="N35" i="8" s="1"/>
  <c r="I160" i="8"/>
  <c r="M160" i="8" s="1"/>
  <c r="N160" i="8" s="1"/>
  <c r="I13" i="8"/>
  <c r="M13" i="8" s="1"/>
  <c r="N13" i="8" s="1"/>
  <c r="I121" i="8"/>
  <c r="M121" i="8" s="1"/>
  <c r="W121" i="8" s="1"/>
  <c r="X121" i="8" s="1"/>
  <c r="I26" i="8"/>
  <c r="M26" i="8" s="1"/>
  <c r="N26" i="8" s="1"/>
  <c r="P179" i="6"/>
  <c r="P145" i="6"/>
  <c r="I81" i="8"/>
  <c r="M81" i="8" s="1"/>
  <c r="N81" i="8" s="1"/>
  <c r="P144" i="6"/>
  <c r="P5" i="6"/>
  <c r="I63" i="8"/>
  <c r="M63" i="8" s="1"/>
  <c r="N63" i="8" s="1"/>
  <c r="P199" i="6"/>
  <c r="P106" i="6"/>
  <c r="P223" i="6"/>
  <c r="I170" i="8"/>
  <c r="M170" i="8" s="1"/>
  <c r="W170" i="8" s="1"/>
  <c r="X170" i="8" s="1"/>
  <c r="P69" i="6"/>
  <c r="P195" i="6"/>
  <c r="I139" i="8"/>
  <c r="M139" i="8" s="1"/>
  <c r="W139" i="8" s="1"/>
  <c r="X139" i="8" s="1"/>
  <c r="P7" i="6"/>
  <c r="O138" i="6"/>
  <c r="H72" i="8" s="1"/>
  <c r="L72" i="8" s="1"/>
  <c r="O150" i="6"/>
  <c r="P150" i="6" s="1"/>
  <c r="L36" i="6"/>
  <c r="O36" i="6" s="1"/>
  <c r="P36" i="6" s="1"/>
  <c r="P130" i="6"/>
  <c r="O152" i="6"/>
  <c r="P152" i="6" s="1"/>
  <c r="P177" i="6"/>
  <c r="I106" i="8"/>
  <c r="M106" i="8" s="1"/>
  <c r="N106" i="8" s="1"/>
  <c r="O159" i="6"/>
  <c r="H99" i="8" s="1"/>
  <c r="L99" i="8" s="1"/>
  <c r="L134" i="6"/>
  <c r="O134" i="6" s="1"/>
  <c r="H68" i="8" s="1"/>
  <c r="P77" i="6"/>
  <c r="O153" i="6"/>
  <c r="H91" i="8" s="1"/>
  <c r="L91" i="8" s="1"/>
  <c r="P112" i="6"/>
  <c r="O39" i="6"/>
  <c r="P39" i="6" s="1"/>
  <c r="P75" i="6"/>
  <c r="L176" i="6"/>
  <c r="O176" i="6" s="1"/>
  <c r="H118" i="8" s="1"/>
  <c r="L118" i="8" s="1"/>
  <c r="P88" i="6"/>
  <c r="O129" i="6"/>
  <c r="H62" i="8" s="1"/>
  <c r="L62" i="8" s="1"/>
  <c r="P196" i="6"/>
  <c r="P14" i="6"/>
  <c r="P154" i="6"/>
  <c r="P118" i="6"/>
  <c r="P198" i="6"/>
  <c r="I20" i="8"/>
  <c r="M20" i="8" s="1"/>
  <c r="W20" i="8" s="1"/>
  <c r="X20" i="8" s="1"/>
  <c r="P74" i="6"/>
  <c r="I142" i="8"/>
  <c r="M142" i="8" s="1"/>
  <c r="W142" i="8" s="1"/>
  <c r="X142" i="8" s="1"/>
  <c r="I140" i="8"/>
  <c r="M140" i="8" s="1"/>
  <c r="W140" i="8" s="1"/>
  <c r="X140" i="8" s="1"/>
  <c r="O32" i="6"/>
  <c r="P32" i="6" s="1"/>
  <c r="L38" i="6"/>
  <c r="O38" i="6" s="1"/>
  <c r="P38" i="6" s="1"/>
  <c r="O48" i="6"/>
  <c r="P48" i="6" s="1"/>
  <c r="L8" i="6"/>
  <c r="O8" i="6" s="1"/>
  <c r="P8" i="6" s="1"/>
  <c r="O137" i="6"/>
  <c r="P137" i="6" s="1"/>
  <c r="O44" i="6"/>
  <c r="P44" i="6" s="1"/>
  <c r="O148" i="6"/>
  <c r="H86" i="8" s="1"/>
  <c r="L86" i="8" s="1"/>
  <c r="P103" i="6"/>
  <c r="P146" i="6"/>
  <c r="O149" i="6"/>
  <c r="P149" i="6" s="1"/>
  <c r="P165" i="6"/>
  <c r="O136" i="6"/>
  <c r="H70" i="8" s="1"/>
  <c r="L70" i="8" s="1"/>
  <c r="L155" i="6"/>
  <c r="O155" i="6" s="1"/>
  <c r="H94" i="8" s="1"/>
  <c r="L94" i="8" s="1"/>
  <c r="O40" i="6"/>
  <c r="P40" i="6" s="1"/>
  <c r="L43" i="6"/>
  <c r="O43" i="6" s="1"/>
  <c r="P43" i="6" s="1"/>
  <c r="I32" i="8"/>
  <c r="M32" i="8" s="1"/>
  <c r="W32" i="8" s="1"/>
  <c r="X32" i="8" s="1"/>
  <c r="I16" i="8"/>
  <c r="M16" i="8" s="1"/>
  <c r="W16" i="8" s="1"/>
  <c r="X16" i="8" s="1"/>
  <c r="P16" i="6"/>
  <c r="P68" i="6"/>
  <c r="P73" i="6"/>
  <c r="I31" i="8"/>
  <c r="M31" i="8" s="1"/>
  <c r="W31" i="8" s="1"/>
  <c r="X31" i="8" s="1"/>
  <c r="P108" i="6"/>
  <c r="P101" i="6"/>
  <c r="P61" i="6"/>
  <c r="J143" i="8"/>
  <c r="P71" i="6"/>
  <c r="P83" i="6"/>
  <c r="I119" i="8"/>
  <c r="M119" i="8" s="1"/>
  <c r="W119" i="8" s="1"/>
  <c r="X119" i="8" s="1"/>
  <c r="P142" i="6"/>
  <c r="P225" i="6"/>
  <c r="I41" i="8"/>
  <c r="M41" i="8" s="1"/>
  <c r="W41" i="8" s="1"/>
  <c r="X41" i="8" s="1"/>
  <c r="I153" i="8"/>
  <c r="M153" i="8" s="1"/>
  <c r="N153" i="8" s="1"/>
  <c r="P72" i="6"/>
  <c r="P208" i="6"/>
  <c r="I187" i="8"/>
  <c r="M187" i="8" s="1"/>
  <c r="N187" i="8" s="1"/>
  <c r="I120" i="8"/>
  <c r="M120" i="8" s="1"/>
  <c r="N120" i="8" s="1"/>
  <c r="I193" i="8"/>
  <c r="M193" i="8" s="1"/>
  <c r="W193" i="8" s="1"/>
  <c r="X193" i="8" s="1"/>
  <c r="I10" i="8"/>
  <c r="M10" i="8" s="1"/>
  <c r="W10" i="8" s="1"/>
  <c r="X10" i="8" s="1"/>
  <c r="P66" i="6"/>
  <c r="P201" i="6"/>
  <c r="I145" i="8"/>
  <c r="M145" i="8" s="1"/>
  <c r="N145" i="8" s="1"/>
  <c r="O126" i="6"/>
  <c r="H59" i="8" s="1"/>
  <c r="L59" i="8" s="1"/>
  <c r="P102" i="6"/>
  <c r="P6" i="6"/>
  <c r="O170" i="6"/>
  <c r="H112" i="8" s="1"/>
  <c r="I112" i="8" s="1"/>
  <c r="M112" i="8" s="1"/>
  <c r="O17" i="6"/>
  <c r="P17" i="6" s="1"/>
  <c r="O160" i="6"/>
  <c r="H100" i="8" s="1"/>
  <c r="L100" i="8" s="1"/>
  <c r="L37" i="6"/>
  <c r="O37" i="6" s="1"/>
  <c r="P37" i="6" s="1"/>
  <c r="J30" i="8"/>
  <c r="N7" i="8"/>
  <c r="W147" i="8"/>
  <c r="X147" i="8" s="1"/>
  <c r="I172" i="8"/>
  <c r="M172" i="8" s="1"/>
  <c r="N172" i="8" s="1"/>
  <c r="P85" i="6"/>
  <c r="I93" i="8"/>
  <c r="M93" i="8" s="1"/>
  <c r="N93" i="8" s="1"/>
  <c r="P87" i="6"/>
  <c r="J121" i="8"/>
  <c r="P81" i="6"/>
  <c r="I15" i="8"/>
  <c r="M15" i="8" s="1"/>
  <c r="W15" i="8" s="1"/>
  <c r="X15" i="8" s="1"/>
  <c r="I48" i="8"/>
  <c r="M48" i="8" s="1"/>
  <c r="N48" i="8" s="1"/>
  <c r="J83" i="8"/>
  <c r="J203" i="8"/>
  <c r="P141" i="6"/>
  <c r="J157" i="8"/>
  <c r="P70" i="6"/>
  <c r="P211" i="6"/>
  <c r="I78" i="8"/>
  <c r="M78" i="8" s="1"/>
  <c r="N78" i="8" s="1"/>
  <c r="J20" i="8"/>
  <c r="I69" i="8"/>
  <c r="M69" i="8" s="1"/>
  <c r="N69" i="8" s="1"/>
  <c r="P135" i="6"/>
  <c r="P178" i="6"/>
  <c r="P92" i="6"/>
  <c r="I21" i="8"/>
  <c r="M21" i="8" s="1"/>
  <c r="W21" i="8" s="1"/>
  <c r="X21" i="8" s="1"/>
  <c r="J120" i="8"/>
  <c r="P239" i="6"/>
  <c r="N199" i="8"/>
  <c r="W177" i="8"/>
  <c r="X177" i="8" s="1"/>
  <c r="P212" i="6"/>
  <c r="P233" i="6"/>
  <c r="P84" i="6"/>
  <c r="L49" i="6"/>
  <c r="O49" i="6" s="1"/>
  <c r="P49" i="6" s="1"/>
  <c r="L21" i="6"/>
  <c r="O21" i="6" s="1"/>
  <c r="P21" i="6" s="1"/>
  <c r="L63" i="6"/>
  <c r="O63" i="6" s="1"/>
  <c r="P63" i="6" s="1"/>
  <c r="L120" i="6"/>
  <c r="O120" i="6" s="1"/>
  <c r="H51" i="8" s="1"/>
  <c r="I51" i="8" s="1"/>
  <c r="M51" i="8" s="1"/>
  <c r="O147" i="6"/>
  <c r="H85" i="8" s="1"/>
  <c r="L85" i="8" s="1"/>
  <c r="O34" i="6"/>
  <c r="P34" i="6" s="1"/>
  <c r="L50" i="6"/>
  <c r="O50" i="6" s="1"/>
  <c r="P50" i="6" s="1"/>
  <c r="L19" i="6"/>
  <c r="O19" i="6" s="1"/>
  <c r="P19" i="6" s="1"/>
  <c r="N180" i="8"/>
  <c r="L156" i="6"/>
  <c r="O156" i="6" s="1"/>
  <c r="H95" i="8" s="1"/>
  <c r="L95" i="8" s="1"/>
  <c r="L121" i="6"/>
  <c r="O121" i="6" s="1"/>
  <c r="H52" i="8" s="1"/>
  <c r="L52" i="8" s="1"/>
  <c r="O158" i="6"/>
  <c r="H98" i="8" s="1"/>
  <c r="L98" i="8" s="1"/>
  <c r="I12" i="8"/>
  <c r="M12" i="8" s="1"/>
  <c r="N12" i="8" s="1"/>
  <c r="L175" i="6"/>
  <c r="O175" i="6" s="1"/>
  <c r="H117" i="8" s="1"/>
  <c r="I117" i="8" s="1"/>
  <c r="M117" i="8" s="1"/>
  <c r="O47" i="6"/>
  <c r="P47" i="6" s="1"/>
  <c r="L20" i="6"/>
  <c r="O20" i="6" s="1"/>
  <c r="P20" i="6" s="1"/>
  <c r="O55" i="6"/>
  <c r="P55" i="6" s="1"/>
  <c r="I207" i="8"/>
  <c r="M207" i="8" s="1"/>
  <c r="W207" i="8" s="1"/>
  <c r="X207" i="8" s="1"/>
  <c r="W214" i="8"/>
  <c r="X214" i="8" s="1"/>
  <c r="W191" i="8"/>
  <c r="X191" i="8" s="1"/>
  <c r="O171" i="6"/>
  <c r="H113" i="8" s="1"/>
  <c r="L113" i="8" s="1"/>
  <c r="I89" i="8"/>
  <c r="M89" i="8" s="1"/>
  <c r="N89" i="8" s="1"/>
  <c r="I77" i="8"/>
  <c r="M77" i="8" s="1"/>
  <c r="N77" i="8" s="1"/>
  <c r="O169" i="6"/>
  <c r="H111" i="8" s="1"/>
  <c r="L111" i="8" s="1"/>
  <c r="N53" i="8"/>
  <c r="O198" i="8"/>
  <c r="O172" i="6"/>
  <c r="H114" i="8" s="1"/>
  <c r="I114" i="8" s="1"/>
  <c r="M114" i="8" s="1"/>
  <c r="O157" i="6"/>
  <c r="H96" i="8" s="1"/>
  <c r="L96" i="8" s="1"/>
  <c r="L133" i="6"/>
  <c r="O133" i="6" s="1"/>
  <c r="H66" i="8" s="1"/>
  <c r="L66" i="8" s="1"/>
  <c r="L163" i="6"/>
  <c r="O163" i="6" s="1"/>
  <c r="H104" i="8" s="1"/>
  <c r="L104" i="8" s="1"/>
  <c r="O173" i="6"/>
  <c r="H115" i="8" s="1"/>
  <c r="L115" i="8" s="1"/>
  <c r="L62" i="6"/>
  <c r="O62" i="6" s="1"/>
  <c r="P62" i="6" s="1"/>
  <c r="O18" i="6"/>
  <c r="P18" i="6" s="1"/>
  <c r="O139" i="6"/>
  <c r="H73" i="8" s="1"/>
  <c r="L73" i="8" s="1"/>
  <c r="L41" i="6"/>
  <c r="O41" i="6" s="1"/>
  <c r="P41" i="6" s="1"/>
  <c r="L174" i="6"/>
  <c r="O174" i="6" s="1"/>
  <c r="H116" i="8" s="1"/>
  <c r="L116" i="8" s="1"/>
  <c r="N189" i="8"/>
  <c r="N235" i="8"/>
  <c r="J158" i="8"/>
  <c r="P91" i="6"/>
  <c r="I206" i="8"/>
  <c r="M206" i="8" s="1"/>
  <c r="W206" i="8" s="1"/>
  <c r="X206" i="8" s="1"/>
  <c r="I8" i="8"/>
  <c r="M8" i="8" s="1"/>
  <c r="N8" i="8" s="1"/>
  <c r="I205" i="8"/>
  <c r="M205" i="8" s="1"/>
  <c r="W205" i="8" s="1"/>
  <c r="X205" i="8" s="1"/>
  <c r="W158" i="8"/>
  <c r="X158" i="8" s="1"/>
  <c r="N158" i="8"/>
  <c r="I224" i="8"/>
  <c r="M224" i="8" s="1"/>
  <c r="W224" i="8" s="1"/>
  <c r="X224" i="8" s="1"/>
  <c r="I196" i="8"/>
  <c r="M196" i="8" s="1"/>
  <c r="N196" i="8" s="1"/>
  <c r="I11" i="8"/>
  <c r="M11" i="8" s="1"/>
  <c r="I231" i="8"/>
  <c r="M231" i="8" s="1"/>
  <c r="W231" i="8" s="1"/>
  <c r="X231" i="8" s="1"/>
  <c r="N222" i="8"/>
  <c r="N173" i="8"/>
  <c r="W150" i="8"/>
  <c r="X150" i="8" s="1"/>
  <c r="I185" i="8"/>
  <c r="M185" i="8" s="1"/>
  <c r="F57" i="8"/>
  <c r="J57" i="8" s="1"/>
  <c r="N194" i="8"/>
  <c r="I37" i="8"/>
  <c r="M37" i="8" s="1"/>
  <c r="I215" i="8"/>
  <c r="M215" i="8" s="1"/>
  <c r="W215" i="8" s="1"/>
  <c r="X215" i="8" s="1"/>
  <c r="N183" i="8"/>
  <c r="P140" i="6"/>
  <c r="F75" i="8"/>
  <c r="I192" i="8"/>
  <c r="M192" i="8" s="1"/>
  <c r="J192" i="8"/>
  <c r="N5" i="8"/>
  <c r="N234" i="8"/>
  <c r="J174" i="8"/>
  <c r="I174" i="8"/>
  <c r="M174" i="8" s="1"/>
  <c r="N171" i="8"/>
  <c r="P82" i="6"/>
  <c r="I233" i="8"/>
  <c r="M233" i="8" s="1"/>
  <c r="W233" i="8" s="1"/>
  <c r="X233" i="8" s="1"/>
  <c r="I127" i="8"/>
  <c r="M127" i="8" s="1"/>
  <c r="W127" i="8" s="1"/>
  <c r="X127" i="8" s="1"/>
  <c r="P123" i="6"/>
  <c r="I9" i="8"/>
  <c r="M9" i="8" s="1"/>
  <c r="N9" i="8" s="1"/>
  <c r="N200" i="8"/>
  <c r="W200" i="8"/>
  <c r="X200" i="8" s="1"/>
  <c r="I155" i="8"/>
  <c r="M155" i="8" s="1"/>
  <c r="W155" i="8" s="1"/>
  <c r="X155" i="8" s="1"/>
  <c r="N74" i="8"/>
  <c r="W74" i="8"/>
  <c r="X74" i="8" s="1"/>
  <c r="W166" i="8"/>
  <c r="X166" i="8" s="1"/>
  <c r="O58" i="6"/>
  <c r="P58" i="6" s="1"/>
  <c r="W211" i="8"/>
  <c r="X211" i="8" s="1"/>
  <c r="N211" i="8"/>
  <c r="O193" i="6"/>
  <c r="W18" i="8"/>
  <c r="X18" i="8" s="1"/>
  <c r="N18" i="8"/>
  <c r="L114" i="6"/>
  <c r="O114" i="6" s="1"/>
  <c r="W208" i="8"/>
  <c r="X208" i="8" s="1"/>
  <c r="N208" i="8"/>
  <c r="L9" i="6"/>
  <c r="O9" i="6" s="1"/>
  <c r="P9" i="6" s="1"/>
  <c r="L188" i="6"/>
  <c r="O188" i="6" s="1"/>
  <c r="O10" i="6"/>
  <c r="P10" i="6" s="1"/>
  <c r="L115" i="6"/>
  <c r="O115" i="6" s="1"/>
  <c r="O57" i="6"/>
  <c r="P57" i="6" s="1"/>
  <c r="L185" i="6"/>
  <c r="O185" i="6" s="1"/>
  <c r="W213" i="8"/>
  <c r="X213" i="8" s="1"/>
  <c r="N213" i="8"/>
  <c r="O29" i="6"/>
  <c r="P29" i="6" s="1"/>
  <c r="N40" i="8"/>
  <c r="W40" i="8"/>
  <c r="X40" i="8" s="1"/>
  <c r="O117" i="6"/>
  <c r="W223" i="8"/>
  <c r="X223" i="8" s="1"/>
  <c r="N223" i="8"/>
  <c r="O64" i="6"/>
  <c r="P64" i="6" s="1"/>
  <c r="O191" i="6"/>
  <c r="O11" i="6"/>
  <c r="P11" i="6" s="1"/>
  <c r="O30" i="6"/>
  <c r="P30" i="6" s="1"/>
  <c r="O161" i="6"/>
  <c r="O194" i="6"/>
  <c r="N23" i="8"/>
  <c r="X5" i="8"/>
  <c r="O162" i="6"/>
  <c r="O45" i="6"/>
  <c r="P45" i="6" s="1"/>
  <c r="W17" i="8"/>
  <c r="X17" i="8" s="1"/>
  <c r="N17" i="8"/>
  <c r="O189" i="6"/>
  <c r="W232" i="8"/>
  <c r="X232" i="8" s="1"/>
  <c r="N232" i="8"/>
  <c r="L42" i="6"/>
  <c r="O42" i="6" s="1"/>
  <c r="P42" i="6" s="1"/>
  <c r="L164" i="6"/>
  <c r="O164" i="6" s="1"/>
  <c r="W163" i="8"/>
  <c r="X163" i="8" s="1"/>
  <c r="N163" i="8"/>
  <c r="W197" i="8"/>
  <c r="X197" i="8" s="1"/>
  <c r="N197" i="8"/>
  <c r="W64" i="8"/>
  <c r="X64" i="8" s="1"/>
  <c r="O31" i="6"/>
  <c r="P31" i="6" s="1"/>
  <c r="P159" i="6"/>
  <c r="O33" i="6"/>
  <c r="P33" i="6" s="1"/>
  <c r="L51" i="6"/>
  <c r="O51" i="6" s="1"/>
  <c r="P51" i="6" s="1"/>
  <c r="L59" i="6"/>
  <c r="O59" i="6" s="1"/>
  <c r="P59" i="6" s="1"/>
  <c r="O28" i="6"/>
  <c r="P28" i="6" s="1"/>
  <c r="W203" i="8"/>
  <c r="X203" i="8" s="1"/>
  <c r="N203" i="8"/>
  <c r="O143" i="6"/>
  <c r="W65" i="8"/>
  <c r="X65" i="8" s="1"/>
  <c r="N65" i="8"/>
  <c r="W190" i="8"/>
  <c r="X190" i="8" s="1"/>
  <c r="N190" i="8"/>
  <c r="I55" i="8"/>
  <c r="M55" i="8" s="1"/>
  <c r="O46" i="6"/>
  <c r="P46" i="6" s="1"/>
  <c r="L52" i="6"/>
  <c r="O52" i="6" s="1"/>
  <c r="P52" i="6" s="1"/>
  <c r="W167" i="8"/>
  <c r="X167" i="8" s="1"/>
  <c r="N167" i="8"/>
  <c r="O12" i="6"/>
  <c r="P12" i="6" s="1"/>
  <c r="L25" i="6"/>
  <c r="O25" i="6" s="1"/>
  <c r="P25" i="6" s="1"/>
  <c r="N236" i="8"/>
  <c r="W236" i="8"/>
  <c r="X236" i="8" s="1"/>
  <c r="W225" i="8"/>
  <c r="X225" i="8" s="1"/>
  <c r="N225" i="8"/>
  <c r="W227" i="8"/>
  <c r="X227" i="8" s="1"/>
  <c r="N227" i="8"/>
  <c r="O13" i="6"/>
  <c r="P13" i="6" s="1"/>
  <c r="W61" i="8"/>
  <c r="X61" i="8" s="1"/>
  <c r="N61" i="8"/>
  <c r="L27" i="6"/>
  <c r="O27" i="6" s="1"/>
  <c r="P27" i="6" s="1"/>
  <c r="I54" i="8"/>
  <c r="M54" i="8" s="1"/>
  <c r="N228" i="8"/>
  <c r="W228" i="8"/>
  <c r="X228" i="8" s="1"/>
  <c r="W217" i="8"/>
  <c r="X217" i="8" s="1"/>
  <c r="N217" i="8"/>
  <c r="W230" i="8"/>
  <c r="X230" i="8" s="1"/>
  <c r="N230" i="8"/>
  <c r="W195" i="8"/>
  <c r="X195" i="8" s="1"/>
  <c r="N195" i="8"/>
  <c r="W226" i="8"/>
  <c r="X226" i="8" s="1"/>
  <c r="N226" i="8"/>
  <c r="L53" i="6"/>
  <c r="O53" i="6" s="1"/>
  <c r="P53" i="6" s="1"/>
  <c r="W146" i="8"/>
  <c r="X146" i="8" s="1"/>
  <c r="L186" i="6"/>
  <c r="O186" i="6" s="1"/>
  <c r="O23" i="6"/>
  <c r="P23" i="6" s="1"/>
  <c r="L65" i="6"/>
  <c r="O65" i="6" s="1"/>
  <c r="P65" i="6" s="1"/>
  <c r="O181" i="6"/>
  <c r="L35" i="6"/>
  <c r="O35" i="6" s="1"/>
  <c r="P35" i="6" s="1"/>
  <c r="N220" i="8"/>
  <c r="W220" i="8"/>
  <c r="X220" i="8" s="1"/>
  <c r="W209" i="8"/>
  <c r="X209" i="8" s="1"/>
  <c r="N209" i="8"/>
  <c r="W218" i="8"/>
  <c r="X218" i="8" s="1"/>
  <c r="N218" i="8"/>
  <c r="W219" i="8"/>
  <c r="X219" i="8" s="1"/>
  <c r="N219" i="8"/>
  <c r="O192" i="6"/>
  <c r="L26" i="6"/>
  <c r="O26" i="6" s="1"/>
  <c r="P26" i="6" s="1"/>
  <c r="O116" i="6"/>
  <c r="O182" i="6"/>
  <c r="O127" i="6"/>
  <c r="W30" i="8"/>
  <c r="X30" i="8" s="1"/>
  <c r="N30" i="8"/>
  <c r="N182" i="8"/>
  <c r="O181" i="8"/>
  <c r="W182" i="8"/>
  <c r="X182" i="8" s="1"/>
  <c r="W154" i="8"/>
  <c r="X154" i="8" s="1"/>
  <c r="N154" i="8"/>
  <c r="W210" i="8"/>
  <c r="X210" i="8" s="1"/>
  <c r="N210" i="8"/>
  <c r="O54" i="6"/>
  <c r="P54" i="6" s="1"/>
  <c r="L187" i="6"/>
  <c r="O187" i="6" s="1"/>
  <c r="L60" i="6"/>
  <c r="O60" i="6" s="1"/>
  <c r="P60" i="6" s="1"/>
  <c r="O183" i="6"/>
  <c r="P119" i="6"/>
  <c r="H50" i="8"/>
  <c r="N159" i="8"/>
  <c r="O201" i="8"/>
  <c r="W202" i="8"/>
  <c r="X202" i="8" s="1"/>
  <c r="N202" i="8"/>
  <c r="O56" i="6"/>
  <c r="P56" i="6" s="1"/>
  <c r="P124" i="6"/>
  <c r="O190" i="6"/>
  <c r="O24" i="6"/>
  <c r="P24" i="6" s="1"/>
  <c r="L113" i="6"/>
  <c r="O113" i="6" s="1"/>
  <c r="W35" i="8" l="1"/>
  <c r="X35" i="8" s="1"/>
  <c r="N27" i="8"/>
  <c r="N29" i="8"/>
  <c r="N121" i="8"/>
  <c r="N143" i="8"/>
  <c r="W63" i="8"/>
  <c r="X63" i="8" s="1"/>
  <c r="G151" i="8"/>
  <c r="K151" i="8" s="1"/>
  <c r="P206" i="6"/>
  <c r="N38" i="8"/>
  <c r="W22" i="8"/>
  <c r="X22" i="8" s="1"/>
  <c r="J216" i="8"/>
  <c r="I216" i="8"/>
  <c r="M216" i="8" s="1"/>
  <c r="K175" i="8"/>
  <c r="I175" i="8"/>
  <c r="M175" i="8" s="1"/>
  <c r="G152" i="8"/>
  <c r="K152" i="8" s="1"/>
  <c r="P207" i="6"/>
  <c r="G148" i="8"/>
  <c r="I148" i="8" s="1"/>
  <c r="M148" i="8" s="1"/>
  <c r="P203" i="6"/>
  <c r="J164" i="8"/>
  <c r="I164" i="8"/>
  <c r="M164" i="8" s="1"/>
  <c r="K149" i="8"/>
  <c r="I149" i="8"/>
  <c r="M149" i="8" s="1"/>
  <c r="J165" i="8"/>
  <c r="I165" i="8"/>
  <c r="M165" i="8" s="1"/>
  <c r="N28" i="8"/>
  <c r="N140" i="8"/>
  <c r="K39" i="8"/>
  <c r="I39" i="8"/>
  <c r="M39" i="8" s="1"/>
  <c r="K25" i="8"/>
  <c r="I25" i="8"/>
  <c r="M25" i="8" s="1"/>
  <c r="P160" i="6"/>
  <c r="K168" i="8"/>
  <c r="I168" i="8"/>
  <c r="M168" i="8" s="1"/>
  <c r="N169" i="8"/>
  <c r="K122" i="8"/>
  <c r="I122" i="8"/>
  <c r="M122" i="8" s="1"/>
  <c r="I99" i="8"/>
  <c r="M99" i="8" s="1"/>
  <c r="W99" i="8" s="1"/>
  <c r="X99" i="8" s="1"/>
  <c r="N157" i="8"/>
  <c r="W161" i="8"/>
  <c r="X161" i="8" s="1"/>
  <c r="W13" i="8"/>
  <c r="X13" i="8" s="1"/>
  <c r="I72" i="8"/>
  <c r="M72" i="8" s="1"/>
  <c r="N72" i="8" s="1"/>
  <c r="N162" i="8"/>
  <c r="W109" i="8"/>
  <c r="X109" i="8" s="1"/>
  <c r="W186" i="8"/>
  <c r="X186" i="8" s="1"/>
  <c r="N6" i="8"/>
  <c r="N16" i="8"/>
  <c r="P138" i="6"/>
  <c r="N82" i="8"/>
  <c r="P153" i="6"/>
  <c r="I91" i="8"/>
  <c r="M91" i="8" s="1"/>
  <c r="W91" i="8" s="1"/>
  <c r="X91" i="8" s="1"/>
  <c r="N141" i="8"/>
  <c r="N32" i="8"/>
  <c r="N170" i="8"/>
  <c r="W160" i="8"/>
  <c r="X160" i="8" s="1"/>
  <c r="N83" i="8"/>
  <c r="W26" i="8"/>
  <c r="X26" i="8" s="1"/>
  <c r="W144" i="8"/>
  <c r="X144" i="8" s="1"/>
  <c r="K108" i="8"/>
  <c r="I108" i="8"/>
  <c r="M108" i="8" s="1"/>
  <c r="I33" i="8"/>
  <c r="M33" i="8" s="1"/>
  <c r="K36" i="8"/>
  <c r="I36" i="8"/>
  <c r="M36" i="8" s="1"/>
  <c r="K107" i="8"/>
  <c r="I107" i="8"/>
  <c r="M107" i="8" s="1"/>
  <c r="K24" i="8"/>
  <c r="I24" i="8"/>
  <c r="M24" i="8" s="1"/>
  <c r="K34" i="8"/>
  <c r="I34" i="8"/>
  <c r="M34" i="8" s="1"/>
  <c r="K178" i="8"/>
  <c r="I178" i="8"/>
  <c r="M178" i="8" s="1"/>
  <c r="N139" i="8"/>
  <c r="H87" i="8"/>
  <c r="L87" i="8" s="1"/>
  <c r="W81" i="8"/>
  <c r="X81" i="8" s="1"/>
  <c r="O80" i="8"/>
  <c r="H88" i="8"/>
  <c r="L88" i="8" s="1"/>
  <c r="I70" i="8"/>
  <c r="M70" i="8" s="1"/>
  <c r="W70" i="8" s="1"/>
  <c r="X70" i="8" s="1"/>
  <c r="N10" i="8"/>
  <c r="W106" i="8"/>
  <c r="X106" i="8" s="1"/>
  <c r="H90" i="8"/>
  <c r="L90" i="8" s="1"/>
  <c r="P134" i="6"/>
  <c r="P136" i="6"/>
  <c r="N20" i="8"/>
  <c r="P129" i="6"/>
  <c r="I86" i="8"/>
  <c r="M86" i="8" s="1"/>
  <c r="N86" i="8" s="1"/>
  <c r="P148" i="6"/>
  <c r="I62" i="8"/>
  <c r="M62" i="8" s="1"/>
  <c r="W62" i="8" s="1"/>
  <c r="X62" i="8" s="1"/>
  <c r="P155" i="6"/>
  <c r="I94" i="8"/>
  <c r="M94" i="8" s="1"/>
  <c r="W94" i="8" s="1"/>
  <c r="X94" i="8" s="1"/>
  <c r="H71" i="8"/>
  <c r="I71" i="8" s="1"/>
  <c r="M71" i="8" s="1"/>
  <c r="I118" i="8"/>
  <c r="M118" i="8" s="1"/>
  <c r="W118" i="8" s="1"/>
  <c r="X118" i="8" s="1"/>
  <c r="P176" i="6"/>
  <c r="N31" i="8"/>
  <c r="N142" i="8"/>
  <c r="N41" i="8"/>
  <c r="N119" i="8"/>
  <c r="W153" i="8"/>
  <c r="X153" i="8" s="1"/>
  <c r="P170" i="6"/>
  <c r="W172" i="8"/>
  <c r="X172" i="8" s="1"/>
  <c r="W120" i="8"/>
  <c r="X120" i="8" s="1"/>
  <c r="W187" i="8"/>
  <c r="X187" i="8" s="1"/>
  <c r="I59" i="8"/>
  <c r="M59" i="8" s="1"/>
  <c r="W59" i="8" s="1"/>
  <c r="X59" i="8" s="1"/>
  <c r="W78" i="8"/>
  <c r="X78" i="8" s="1"/>
  <c r="W93" i="8"/>
  <c r="X93" i="8" s="1"/>
  <c r="W145" i="8"/>
  <c r="X145" i="8" s="1"/>
  <c r="P126" i="6"/>
  <c r="I100" i="8"/>
  <c r="M100" i="8" s="1"/>
  <c r="N100" i="8" s="1"/>
  <c r="L112" i="8"/>
  <c r="N193" i="8"/>
  <c r="N15" i="8"/>
  <c r="O14" i="8"/>
  <c r="W48" i="8"/>
  <c r="X48" i="8" s="1"/>
  <c r="I52" i="8"/>
  <c r="M52" i="8" s="1"/>
  <c r="N52" i="8" s="1"/>
  <c r="N215" i="8"/>
  <c r="W89" i="8"/>
  <c r="X89" i="8" s="1"/>
  <c r="P169" i="6"/>
  <c r="P171" i="6"/>
  <c r="W12" i="8"/>
  <c r="X12" i="8" s="1"/>
  <c r="P181" i="8"/>
  <c r="W77" i="8"/>
  <c r="X77" i="8" s="1"/>
  <c r="W69" i="8"/>
  <c r="X69" i="8" s="1"/>
  <c r="N224" i="8"/>
  <c r="P221" i="8" s="1"/>
  <c r="P133" i="6"/>
  <c r="N207" i="8"/>
  <c r="N21" i="8"/>
  <c r="P120" i="6"/>
  <c r="P157" i="6"/>
  <c r="P147" i="6"/>
  <c r="P198" i="8"/>
  <c r="P201" i="8"/>
  <c r="P175" i="6"/>
  <c r="I98" i="8"/>
  <c r="M98" i="8" s="1"/>
  <c r="N98" i="8" s="1"/>
  <c r="P172" i="6"/>
  <c r="N206" i="8"/>
  <c r="P158" i="6"/>
  <c r="L117" i="8"/>
  <c r="P156" i="6"/>
  <c r="L51" i="8"/>
  <c r="N155" i="8"/>
  <c r="O204" i="8"/>
  <c r="I85" i="8"/>
  <c r="M85" i="8" s="1"/>
  <c r="W85" i="8" s="1"/>
  <c r="X85" i="8" s="1"/>
  <c r="I95" i="8"/>
  <c r="M95" i="8" s="1"/>
  <c r="N95" i="8" s="1"/>
  <c r="P121" i="6"/>
  <c r="O221" i="8"/>
  <c r="O212" i="8"/>
  <c r="O229" i="8"/>
  <c r="I115" i="8"/>
  <c r="M115" i="8" s="1"/>
  <c r="N115" i="8" s="1"/>
  <c r="P173" i="6"/>
  <c r="L114" i="8"/>
  <c r="W196" i="8"/>
  <c r="X196" i="8" s="1"/>
  <c r="I111" i="8"/>
  <c r="M111" i="8" s="1"/>
  <c r="N111" i="8" s="1"/>
  <c r="N205" i="8"/>
  <c r="I113" i="8"/>
  <c r="M113" i="8" s="1"/>
  <c r="W113" i="8" s="1"/>
  <c r="X113" i="8" s="1"/>
  <c r="I104" i="8"/>
  <c r="M104" i="8" s="1"/>
  <c r="N104" i="8" s="1"/>
  <c r="I116" i="8"/>
  <c r="M116" i="8" s="1"/>
  <c r="W116" i="8" s="1"/>
  <c r="X116" i="8" s="1"/>
  <c r="W8" i="8"/>
  <c r="X8" i="8" s="1"/>
  <c r="I73" i="8"/>
  <c r="M73" i="8" s="1"/>
  <c r="N73" i="8" s="1"/>
  <c r="I96" i="8"/>
  <c r="M96" i="8" s="1"/>
  <c r="N96" i="8" s="1"/>
  <c r="I66" i="8"/>
  <c r="M66" i="8" s="1"/>
  <c r="W66" i="8" s="1"/>
  <c r="X66" i="8" s="1"/>
  <c r="P163" i="6"/>
  <c r="P139" i="6"/>
  <c r="P174" i="6"/>
  <c r="O4" i="8"/>
  <c r="N37" i="8"/>
  <c r="W37" i="8"/>
  <c r="X37" i="8" s="1"/>
  <c r="W185" i="8"/>
  <c r="X185" i="8" s="1"/>
  <c r="N185" i="8"/>
  <c r="W9" i="8"/>
  <c r="X9" i="8" s="1"/>
  <c r="W11" i="8"/>
  <c r="X11" i="8" s="1"/>
  <c r="N11" i="8"/>
  <c r="N192" i="8"/>
  <c r="W192" i="8"/>
  <c r="X192" i="8" s="1"/>
  <c r="J75" i="8"/>
  <c r="I75" i="8"/>
  <c r="M75" i="8" s="1"/>
  <c r="N231" i="8"/>
  <c r="I57" i="8"/>
  <c r="M57" i="8" s="1"/>
  <c r="O188" i="8"/>
  <c r="W174" i="8"/>
  <c r="X174" i="8" s="1"/>
  <c r="N174" i="8"/>
  <c r="N127" i="8"/>
  <c r="N233" i="8"/>
  <c r="H132" i="8"/>
  <c r="P188" i="6"/>
  <c r="P114" i="6"/>
  <c r="H44" i="8"/>
  <c r="W54" i="8"/>
  <c r="X54" i="8" s="1"/>
  <c r="N54" i="8"/>
  <c r="P183" i="6"/>
  <c r="H126" i="8"/>
  <c r="H136" i="8"/>
  <c r="P192" i="6"/>
  <c r="W117" i="8"/>
  <c r="X117" i="8" s="1"/>
  <c r="N117" i="8"/>
  <c r="H138" i="8"/>
  <c r="P194" i="6"/>
  <c r="N51" i="8"/>
  <c r="W51" i="8"/>
  <c r="X51" i="8" s="1"/>
  <c r="H135" i="8"/>
  <c r="P191" i="6"/>
  <c r="H134" i="8"/>
  <c r="P190" i="6"/>
  <c r="L68" i="8"/>
  <c r="I68" i="8"/>
  <c r="M68" i="8" s="1"/>
  <c r="H105" i="8"/>
  <c r="P164" i="6"/>
  <c r="H137" i="8"/>
  <c r="P193" i="6"/>
  <c r="H131" i="8"/>
  <c r="P187" i="6"/>
  <c r="N114" i="8"/>
  <c r="W114" i="8"/>
  <c r="X114" i="8" s="1"/>
  <c r="H103" i="8"/>
  <c r="P162" i="6"/>
  <c r="N112" i="8"/>
  <c r="W112" i="8"/>
  <c r="X112" i="8" s="1"/>
  <c r="H129" i="8"/>
  <c r="P185" i="6"/>
  <c r="H43" i="8"/>
  <c r="P113" i="6"/>
  <c r="P181" i="6"/>
  <c r="H124" i="8"/>
  <c r="W55" i="8"/>
  <c r="X55" i="8" s="1"/>
  <c r="N55" i="8"/>
  <c r="W72" i="8"/>
  <c r="X72" i="8" s="1"/>
  <c r="H60" i="8"/>
  <c r="P127" i="6"/>
  <c r="P182" i="6"/>
  <c r="H125" i="8"/>
  <c r="H46" i="8"/>
  <c r="P116" i="6"/>
  <c r="H79" i="8"/>
  <c r="P143" i="6"/>
  <c r="H47" i="8"/>
  <c r="P117" i="6"/>
  <c r="L50" i="8"/>
  <c r="I50" i="8"/>
  <c r="M50" i="8" s="1"/>
  <c r="H102" i="8"/>
  <c r="P161" i="6"/>
  <c r="H45" i="8"/>
  <c r="P115" i="6"/>
  <c r="H130" i="8"/>
  <c r="P186" i="6"/>
  <c r="H133" i="8"/>
  <c r="P189" i="6"/>
  <c r="I151" i="8" l="1"/>
  <c r="M151" i="8" s="1"/>
  <c r="K148" i="8"/>
  <c r="N175" i="8"/>
  <c r="W175" i="8"/>
  <c r="X175" i="8" s="1"/>
  <c r="N99" i="8"/>
  <c r="W216" i="8"/>
  <c r="X216" i="8" s="1"/>
  <c r="N216" i="8"/>
  <c r="I152" i="8"/>
  <c r="M152" i="8" s="1"/>
  <c r="P212" i="8"/>
  <c r="O156" i="8"/>
  <c r="W25" i="8"/>
  <c r="X25" i="8" s="1"/>
  <c r="N25" i="8"/>
  <c r="P14" i="8"/>
  <c r="N122" i="8"/>
  <c r="W122" i="8"/>
  <c r="X122" i="8" s="1"/>
  <c r="W164" i="8"/>
  <c r="X164" i="8" s="1"/>
  <c r="N164" i="8"/>
  <c r="N39" i="8"/>
  <c r="W39" i="8"/>
  <c r="X39" i="8" s="1"/>
  <c r="W165" i="8"/>
  <c r="X165" i="8" s="1"/>
  <c r="N165" i="8"/>
  <c r="N149" i="8"/>
  <c r="W149" i="8"/>
  <c r="X149" i="8" s="1"/>
  <c r="N168" i="8"/>
  <c r="W168" i="8"/>
  <c r="X168" i="8" s="1"/>
  <c r="N91" i="8"/>
  <c r="P80" i="8"/>
  <c r="O19" i="8"/>
  <c r="W151" i="8"/>
  <c r="X151" i="8" s="1"/>
  <c r="N151" i="8"/>
  <c r="N24" i="8"/>
  <c r="W24" i="8"/>
  <c r="X24" i="8" s="1"/>
  <c r="W107" i="8"/>
  <c r="X107" i="8" s="1"/>
  <c r="N107" i="8"/>
  <c r="W148" i="8"/>
  <c r="X148" i="8" s="1"/>
  <c r="N148" i="8"/>
  <c r="W36" i="8"/>
  <c r="X36" i="8" s="1"/>
  <c r="N36" i="8"/>
  <c r="N33" i="8"/>
  <c r="W33" i="8"/>
  <c r="X33" i="8" s="1"/>
  <c r="N108" i="8"/>
  <c r="W108" i="8"/>
  <c r="X108" i="8" s="1"/>
  <c r="O176" i="8"/>
  <c r="W178" i="8"/>
  <c r="X178" i="8" s="1"/>
  <c r="N178" i="8"/>
  <c r="P176" i="8" s="1"/>
  <c r="W152" i="8"/>
  <c r="X152" i="8" s="1"/>
  <c r="N152" i="8"/>
  <c r="I87" i="8"/>
  <c r="M87" i="8" s="1"/>
  <c r="N87" i="8" s="1"/>
  <c r="N34" i="8"/>
  <c r="W34" i="8"/>
  <c r="X34" i="8" s="1"/>
  <c r="N70" i="8"/>
  <c r="P4" i="8"/>
  <c r="W86" i="8"/>
  <c r="X86" i="8" s="1"/>
  <c r="I88" i="8"/>
  <c r="M88" i="8" s="1"/>
  <c r="N88" i="8" s="1"/>
  <c r="N62" i="8"/>
  <c r="N94" i="8"/>
  <c r="P92" i="8" s="1"/>
  <c r="I90" i="8"/>
  <c r="M90" i="8" s="1"/>
  <c r="N118" i="8"/>
  <c r="L71" i="8"/>
  <c r="N59" i="8"/>
  <c r="W100" i="8"/>
  <c r="X100" i="8" s="1"/>
  <c r="W52" i="8"/>
  <c r="X52" i="8" s="1"/>
  <c r="P188" i="8"/>
  <c r="P204" i="8"/>
  <c r="O97" i="8"/>
  <c r="W98" i="8"/>
  <c r="X98" i="8" s="1"/>
  <c r="W104" i="8"/>
  <c r="X104" i="8" s="1"/>
  <c r="W95" i="8"/>
  <c r="X95" i="8" s="1"/>
  <c r="N85" i="8"/>
  <c r="W115" i="8"/>
  <c r="X115" i="8" s="1"/>
  <c r="W73" i="8"/>
  <c r="X73" i="8" s="1"/>
  <c r="N113" i="8"/>
  <c r="W111" i="8"/>
  <c r="X111" i="8" s="1"/>
  <c r="O110" i="8"/>
  <c r="W96" i="8"/>
  <c r="X96" i="8" s="1"/>
  <c r="O92" i="8"/>
  <c r="N66" i="8"/>
  <c r="N116" i="8"/>
  <c r="W57" i="8"/>
  <c r="X57" i="8" s="1"/>
  <c r="O56" i="8"/>
  <c r="N57" i="8"/>
  <c r="P56" i="8" s="1"/>
  <c r="W75" i="8"/>
  <c r="X75" i="8" s="1"/>
  <c r="N75" i="8"/>
  <c r="P229" i="8"/>
  <c r="I125" i="8"/>
  <c r="M125" i="8" s="1"/>
  <c r="L125" i="8"/>
  <c r="L44" i="8"/>
  <c r="I44" i="8"/>
  <c r="M44" i="8" s="1"/>
  <c r="W50" i="8"/>
  <c r="X50" i="8" s="1"/>
  <c r="O49" i="8"/>
  <c r="N50" i="8"/>
  <c r="P49" i="8" s="1"/>
  <c r="O67" i="8"/>
  <c r="W68" i="8"/>
  <c r="X68" i="8" s="1"/>
  <c r="N68" i="8"/>
  <c r="L60" i="8"/>
  <c r="I60" i="8"/>
  <c r="M60" i="8" s="1"/>
  <c r="L134" i="8"/>
  <c r="I134" i="8"/>
  <c r="M134" i="8" s="1"/>
  <c r="L130" i="8"/>
  <c r="I130" i="8"/>
  <c r="M130" i="8" s="1"/>
  <c r="L47" i="8"/>
  <c r="I47" i="8"/>
  <c r="M47" i="8" s="1"/>
  <c r="L103" i="8"/>
  <c r="I103" i="8"/>
  <c r="M103" i="8" s="1"/>
  <c r="L46" i="8"/>
  <c r="I46" i="8"/>
  <c r="M46" i="8" s="1"/>
  <c r="L79" i="8"/>
  <c r="I79" i="8"/>
  <c r="M79" i="8" s="1"/>
  <c r="L138" i="8"/>
  <c r="I138" i="8"/>
  <c r="M138" i="8" s="1"/>
  <c r="P97" i="8"/>
  <c r="L135" i="8"/>
  <c r="I135" i="8"/>
  <c r="M135" i="8" s="1"/>
  <c r="N71" i="8"/>
  <c r="W71" i="8"/>
  <c r="X71" i="8" s="1"/>
  <c r="L137" i="8"/>
  <c r="I137" i="8"/>
  <c r="M137" i="8" s="1"/>
  <c r="L45" i="8"/>
  <c r="I45" i="8"/>
  <c r="M45" i="8" s="1"/>
  <c r="L129" i="8"/>
  <c r="I129" i="8"/>
  <c r="M129" i="8" s="1"/>
  <c r="L136" i="8"/>
  <c r="I136" i="8"/>
  <c r="M136" i="8" s="1"/>
  <c r="L131" i="8"/>
  <c r="I131" i="8"/>
  <c r="M131" i="8" s="1"/>
  <c r="L105" i="8"/>
  <c r="I105" i="8"/>
  <c r="M105" i="8" s="1"/>
  <c r="L43" i="8"/>
  <c r="I43" i="8"/>
  <c r="M43" i="8" s="1"/>
  <c r="L126" i="8"/>
  <c r="I126" i="8"/>
  <c r="M126" i="8" s="1"/>
  <c r="L133" i="8"/>
  <c r="I133" i="8"/>
  <c r="M133" i="8" s="1"/>
  <c r="L124" i="8"/>
  <c r="I124" i="8"/>
  <c r="M124" i="8" s="1"/>
  <c r="L102" i="8"/>
  <c r="I102" i="8"/>
  <c r="M102" i="8" s="1"/>
  <c r="L132" i="8"/>
  <c r="I132" i="8"/>
  <c r="M132" i="8" s="1"/>
  <c r="P156" i="8" l="1"/>
  <c r="P19" i="8"/>
  <c r="O84" i="8"/>
  <c r="W87" i="8"/>
  <c r="X87" i="8" s="1"/>
  <c r="W88" i="8"/>
  <c r="X88" i="8" s="1"/>
  <c r="N90" i="8"/>
  <c r="W90" i="8"/>
  <c r="X90" i="8" s="1"/>
  <c r="P110" i="8"/>
  <c r="P84" i="8"/>
  <c r="P67" i="8"/>
  <c r="N136" i="8"/>
  <c r="W136" i="8"/>
  <c r="X136" i="8" s="1"/>
  <c r="W134" i="8"/>
  <c r="X134" i="8" s="1"/>
  <c r="N134" i="8"/>
  <c r="W60" i="8"/>
  <c r="X60" i="8" s="1"/>
  <c r="N60" i="8"/>
  <c r="P58" i="8" s="1"/>
  <c r="O58" i="8"/>
  <c r="N129" i="8"/>
  <c r="W129" i="8"/>
  <c r="X129" i="8" s="1"/>
  <c r="W137" i="8"/>
  <c r="X137" i="8" s="1"/>
  <c r="N137" i="8"/>
  <c r="N43" i="8"/>
  <c r="O42" i="8"/>
  <c r="W43" i="8"/>
  <c r="M237" i="8"/>
  <c r="O101" i="8"/>
  <c r="W102" i="8"/>
  <c r="X102" i="8" s="1"/>
  <c r="N102" i="8"/>
  <c r="O123" i="8"/>
  <c r="W124" i="8"/>
  <c r="X124" i="8" s="1"/>
  <c r="N124" i="8"/>
  <c r="W133" i="8"/>
  <c r="X133" i="8" s="1"/>
  <c r="N133" i="8"/>
  <c r="W132" i="8"/>
  <c r="X132" i="8" s="1"/>
  <c r="N132" i="8"/>
  <c r="W126" i="8"/>
  <c r="X126" i="8" s="1"/>
  <c r="N126" i="8"/>
  <c r="W103" i="8"/>
  <c r="X103" i="8" s="1"/>
  <c r="N103" i="8"/>
  <c r="W44" i="8"/>
  <c r="X44" i="8" s="1"/>
  <c r="N44" i="8"/>
  <c r="W105" i="8"/>
  <c r="X105" i="8" s="1"/>
  <c r="N105" i="8"/>
  <c r="N130" i="8"/>
  <c r="W130" i="8"/>
  <c r="X130" i="8" s="1"/>
  <c r="W131" i="8"/>
  <c r="X131" i="8" s="1"/>
  <c r="N131" i="8"/>
  <c r="W138" i="8"/>
  <c r="X138" i="8" s="1"/>
  <c r="N138" i="8"/>
  <c r="W79" i="8"/>
  <c r="X79" i="8" s="1"/>
  <c r="N79" i="8"/>
  <c r="P76" i="8" s="1"/>
  <c r="O76" i="8"/>
  <c r="W45" i="8"/>
  <c r="X45" i="8" s="1"/>
  <c r="N45" i="8"/>
  <c r="W46" i="8"/>
  <c r="X46" i="8" s="1"/>
  <c r="N46" i="8"/>
  <c r="W47" i="8"/>
  <c r="X47" i="8" s="1"/>
  <c r="N47" i="8"/>
  <c r="W135" i="8"/>
  <c r="X135" i="8" s="1"/>
  <c r="N135" i="8"/>
  <c r="W125" i="8"/>
  <c r="X125" i="8" s="1"/>
  <c r="N125" i="8"/>
  <c r="X43" i="8" l="1"/>
  <c r="W237" i="8"/>
  <c r="P42" i="8"/>
  <c r="N237" i="8"/>
  <c r="N239" i="8" s="1"/>
  <c r="P123" i="8"/>
  <c r="P101" i="8"/>
  <c r="N245" i="8" l="1"/>
  <c r="N240" i="8"/>
</calcChain>
</file>

<file path=xl/sharedStrings.xml><?xml version="1.0" encoding="utf-8"?>
<sst xmlns="http://schemas.openxmlformats.org/spreadsheetml/2006/main" count="12388" uniqueCount="2048">
  <si>
    <t>PRESUPUESTO CH 2171 — GENERADOR</t>
  </si>
  <si>
    <t>Versión APU:</t>
  </si>
  <si>
    <t>Mes base CAC:</t>
  </si>
  <si>
    <t>Coeficiente GGBB</t>
  </si>
  <si>
    <t>#</t>
  </si>
  <si>
    <t>Rubro</t>
  </si>
  <si>
    <t>Descripción</t>
  </si>
  <si>
    <t>Ud.</t>
  </si>
  <si>
    <t>Cant.</t>
  </si>
  <si>
    <t>MAT/ud</t>
  </si>
  <si>
    <t>MO/ud</t>
  </si>
  <si>
    <t>EQ/ud</t>
  </si>
  <si>
    <t>CD/ud</t>
  </si>
  <si>
    <t>MAT total</t>
  </si>
  <si>
    <t>MO total</t>
  </si>
  <si>
    <t>EQ total</t>
  </si>
  <si>
    <t>Costo Total</t>
  </si>
  <si>
    <t>Precio Venta (xK)</t>
  </si>
  <si>
    <t>APU Link</t>
  </si>
  <si>
    <t>Pto#</t>
  </si>
  <si>
    <t>Fuente</t>
  </si>
  <si>
    <t>Observaciones</t>
  </si>
  <si>
    <t>PPTO original</t>
  </si>
  <si>
    <t>Diferencia</t>
  </si>
  <si>
    <t>Var (%)</t>
  </si>
  <si>
    <t>Limpieza y preparación del terreno - No cotiza</t>
  </si>
  <si>
    <t>gl</t>
  </si>
  <si>
    <t>PTO-0101</t>
  </si>
  <si>
    <t>lump_directo</t>
  </si>
  <si>
    <t>Topógrafo - Visita de obra replanteo</t>
  </si>
  <si>
    <t>un</t>
  </si>
  <si>
    <t>PTO-0102</t>
  </si>
  <si>
    <t>Tareas</t>
  </si>
  <si>
    <t>Cartel de Obra - No cotiza</t>
  </si>
  <si>
    <t>PTO-0103</t>
  </si>
  <si>
    <t xml:space="preserve">Cerco de obra perimetral - En chapa C25 + Concertina + Porton corredizo </t>
  </si>
  <si>
    <t>ml</t>
  </si>
  <si>
    <t>PTO-0104</t>
  </si>
  <si>
    <t>Obrador, pañol y ducha</t>
  </si>
  <si>
    <t>PTO-0105</t>
  </si>
  <si>
    <t>Alquiler de baños quimicos y duchas portatiles</t>
  </si>
  <si>
    <t>mes</t>
  </si>
  <si>
    <t>PTO-0106</t>
  </si>
  <si>
    <t>Conexión pilar y luz de obra + Tablero de obra</t>
  </si>
  <si>
    <t>PTO-0107</t>
  </si>
  <si>
    <t>Conexión agua de obra, tanque + bomba</t>
  </si>
  <si>
    <t>PTO-0108</t>
  </si>
  <si>
    <t>Tramite luz de obra, certificado luz de obra (2) y medición PAT</t>
  </si>
  <si>
    <t>PTO-0109</t>
  </si>
  <si>
    <t>Retiro de suelo vegetal e: 50 cm, aporte y compactación de tosca e: 40 cm (dos c</t>
  </si>
  <si>
    <t>m2</t>
  </si>
  <si>
    <t>PTO-0201</t>
  </si>
  <si>
    <t>Excavación para cámara transformadora</t>
  </si>
  <si>
    <t>m3</t>
  </si>
  <si>
    <t>PTO-0202</t>
  </si>
  <si>
    <t>Excavación manual para tensores y vigas de fundación</t>
  </si>
  <si>
    <t>PTO-0203</t>
  </si>
  <si>
    <t>Demolición y retiro de fundaciones existentes - No cotiza</t>
  </si>
  <si>
    <t>PTO-0204</t>
  </si>
  <si>
    <t>Hormigón de limpieza - e: 10 cm</t>
  </si>
  <si>
    <t>PTO-0301</t>
  </si>
  <si>
    <t xml:space="preserve">Micropilotes Ø 20 cm </t>
  </si>
  <si>
    <t>PTO-0302</t>
  </si>
  <si>
    <t>Platea - H30 (110 kg/m3 de hierro)</t>
  </si>
  <si>
    <t>PTO-0303</t>
  </si>
  <si>
    <t>Zapata corrida tabique - H30 (180 kg/m3 de hierro)</t>
  </si>
  <si>
    <t>PTO-0304</t>
  </si>
  <si>
    <t>Bases aisladas - H30 (110 kg/m3 de hierro)</t>
  </si>
  <si>
    <t>PTO-0305</t>
  </si>
  <si>
    <t>Cabezales - H30 (130 kg/m3 de hierro)</t>
  </si>
  <si>
    <t>PTO-0306</t>
  </si>
  <si>
    <t>Viga de  fundación - H30 (180 kg/m3 de hierro)</t>
  </si>
  <si>
    <t>PTO-0307</t>
  </si>
  <si>
    <t>Tabique submuración - H30 (90 kg/m3 de hierro)</t>
  </si>
  <si>
    <t>PTO-0308</t>
  </si>
  <si>
    <t>Puntales de compresión/codales - H30 (120 kg/m3)</t>
  </si>
  <si>
    <t>PTO-0309</t>
  </si>
  <si>
    <t>Columna - H30 (240 kg/m3 de hierro)</t>
  </si>
  <si>
    <t>PTO-0031</t>
  </si>
  <si>
    <t>Tabiques - H30 (120 kg/m3 de hierro)</t>
  </si>
  <si>
    <t>PTO-0311</t>
  </si>
  <si>
    <t>Viga H° Visto - H30 (120 kg/m3 de hierro)</t>
  </si>
  <si>
    <t>PTO-0312</t>
  </si>
  <si>
    <t>Viga apeo s/PB - H30 (180 kg/m3 de hierro)</t>
  </si>
  <si>
    <t>PTO-0313</t>
  </si>
  <si>
    <t>Viga - H30 (120 kg/m3 de hierro)</t>
  </si>
  <si>
    <t>PTO-0314</t>
  </si>
  <si>
    <t>Losa - H30 (95 kg/m3 de hierro)</t>
  </si>
  <si>
    <t>PTO-0315</t>
  </si>
  <si>
    <t>Losa H° Visto - H30 (95 kg/m3 de hierro)</t>
  </si>
  <si>
    <t>PTO-0316</t>
  </si>
  <si>
    <t>Escalera - H30 (105 kg/m3)</t>
  </si>
  <si>
    <t>PTO-0317</t>
  </si>
  <si>
    <t>Viga alero - H30 (120 kg/m3 de hierro)</t>
  </si>
  <si>
    <t>PTO-0318</t>
  </si>
  <si>
    <t>Sistema de apuntalamiento y reapuntalamiento</t>
  </si>
  <si>
    <t>PTO-0319</t>
  </si>
  <si>
    <t xml:space="preserve">Ensayos de Hormigon por etapas de hormigonado </t>
  </si>
  <si>
    <t>u</t>
  </si>
  <si>
    <t>PTO-0032</t>
  </si>
  <si>
    <t>Permiso de estacionamiento de bomba de hormigón a contramano</t>
  </si>
  <si>
    <t>PTO-0321</t>
  </si>
  <si>
    <t>Picado de medianeras para columnas y vigas - Cotizado solo para PB, 1P, NO conte</t>
  </si>
  <si>
    <t>PTO-0322</t>
  </si>
  <si>
    <t>Muro tipo 1 (interiores, divisorio de locales) e: 10 cm - Ladrillo hueco 08 x 18</t>
  </si>
  <si>
    <t>PTO-0401</t>
  </si>
  <si>
    <t>APU P-34</t>
  </si>
  <si>
    <t>Muro tipo 2 y 3 (medianera, caja de escaleras y ascensor) e: 15 cm - Ladrillo hu</t>
  </si>
  <si>
    <t>PTO-0402</t>
  </si>
  <si>
    <t>APU P-38</t>
  </si>
  <si>
    <t>Muro tipo 4 (divisorio de unidades y fachadas) e: 15 cm -  Ladrillo hueco 12 x 1</t>
  </si>
  <si>
    <t>PTO-0403</t>
  </si>
  <si>
    <t>APU P-35</t>
  </si>
  <si>
    <t xml:space="preserve">Enchape medianeras existentes - Contemplamos picado zonas sueltas y enchape con </t>
  </si>
  <si>
    <t>PTO-0404</t>
  </si>
  <si>
    <t>Muro de tabique seco ignifugo</t>
  </si>
  <si>
    <t>PTO-0405</t>
  </si>
  <si>
    <t>APU P-65</t>
  </si>
  <si>
    <t>Vigas de encadenado - En muros de PB, incl. excavación y armado</t>
  </si>
  <si>
    <t>PTO-0406</t>
  </si>
  <si>
    <t>Aislación hidrófuga horizontal (baños) - Inc. membrana geotextil y 35% en concep</t>
  </si>
  <si>
    <t>PTO-0501</t>
  </si>
  <si>
    <t>APU P-70</t>
  </si>
  <si>
    <t>Cajón hidrófugo - Muros de PB</t>
  </si>
  <si>
    <t>PTO-0502</t>
  </si>
  <si>
    <t>APU P-42</t>
  </si>
  <si>
    <t>Azotado hidrófugo - Sobre contrapiso en vereda y PB</t>
  </si>
  <si>
    <t>PTO-0503</t>
  </si>
  <si>
    <t xml:space="preserve">Aislación térmica en terrazas, eps e:2,00 cm </t>
  </si>
  <si>
    <t>PTO-0504</t>
  </si>
  <si>
    <t>Barrera de vapor</t>
  </si>
  <si>
    <t>PTO-0505</t>
  </si>
  <si>
    <t>APU P-113</t>
  </si>
  <si>
    <t>Membrana asfaltica geotextil 4mm - Balcones y azotea - Inc. 20% en concepto de b</t>
  </si>
  <si>
    <t>PTO-0506</t>
  </si>
  <si>
    <t>Babeta de chapa galvanizada en medianeras</t>
  </si>
  <si>
    <t>PTO-0601</t>
  </si>
  <si>
    <t xml:space="preserve">Revoque Grueso Impermeable Exterior </t>
  </si>
  <si>
    <t>PTO-0701</t>
  </si>
  <si>
    <t>APU P-44</t>
  </si>
  <si>
    <t>Revoque Grueso Impermeable Exterior a mas de 3m - Medianero y fachadas</t>
  </si>
  <si>
    <t>PTO-0702</t>
  </si>
  <si>
    <t>APU P-45</t>
  </si>
  <si>
    <t>Buña en revoque - Estimados ml en medianeras</t>
  </si>
  <si>
    <t>PTO-0703</t>
  </si>
  <si>
    <t>Revoque Grueso Interior + fino</t>
  </si>
  <si>
    <t>PTO-0704</t>
  </si>
  <si>
    <t>APU P-43</t>
  </si>
  <si>
    <t>Yeso interior</t>
  </si>
  <si>
    <t>PTO-0705</t>
  </si>
  <si>
    <t xml:space="preserve">Arista en yeso </t>
  </si>
  <si>
    <t>PTO-0706</t>
  </si>
  <si>
    <t xml:space="preserve">Provisión y colocación de guardacanto yesero </t>
  </si>
  <si>
    <t>PTO-0707</t>
  </si>
  <si>
    <t>Revoque Grueso Impermeable Interior b/ revestimiento</t>
  </si>
  <si>
    <t>PTO-0708</t>
  </si>
  <si>
    <t>Contrapiso de cascotes s/ss e: 15 cm</t>
  </si>
  <si>
    <t>PTO-0801</t>
  </si>
  <si>
    <t>APU P-46</t>
  </si>
  <si>
    <t>Contrapiso armado de H° pobre s/terreno natural e: 20 cm - Incluye film de polie</t>
  </si>
  <si>
    <t>PTO-0802</t>
  </si>
  <si>
    <t>Contrapiso de cascotes en azoteas c/pendiente e: 15 cm</t>
  </si>
  <si>
    <t>PTO-0803</t>
  </si>
  <si>
    <t>Contrapiso - Carpeta monolitico e: 6 cm</t>
  </si>
  <si>
    <t>PTO-0804</t>
  </si>
  <si>
    <t>APU P-48</t>
  </si>
  <si>
    <t>Carpeta en PB, balcones, baños y azoteas e: 3,00 cm</t>
  </si>
  <si>
    <t>PTO-0805</t>
  </si>
  <si>
    <t>APU P-47</t>
  </si>
  <si>
    <t>Carpeta sobre membrana, e: 3,00 cm</t>
  </si>
  <si>
    <t>PTO-0806</t>
  </si>
  <si>
    <t>Banquinas para cocinas - N/A</t>
  </si>
  <si>
    <t>PTO-0807</t>
  </si>
  <si>
    <t>Banquinas para bombas, TT, etc. h: 15 cm</t>
  </si>
  <si>
    <t>PTO-0808</t>
  </si>
  <si>
    <t>mal presupuestado. OTR-PTO081 en vez de OTR-PTO081B</t>
  </si>
  <si>
    <t xml:space="preserve">Provisión y ejecución de alisado de cemento en pedadas y alzadas </t>
  </si>
  <si>
    <t>PTO-0901</t>
  </si>
  <si>
    <t xml:space="preserve">Provisión y colocación de nariz metálica en escalones </t>
  </si>
  <si>
    <t>PTO-0902</t>
  </si>
  <si>
    <t>Zócalo de concreto en escalera - No incluye el ojo</t>
  </si>
  <si>
    <t>PTO-0903</t>
  </si>
  <si>
    <t xml:space="preserve">Colocación de ventilación de conducto de humos. Inc. toma de aire en PB </t>
  </si>
  <si>
    <t>PTO-1001</t>
  </si>
  <si>
    <t>Colocación y montaje de conducto de ventilación en baños</t>
  </si>
  <si>
    <t>PTO-1002</t>
  </si>
  <si>
    <t>Colocación sombreretes en chapa prepintada C25 - Provisión en item 26</t>
  </si>
  <si>
    <t>PTO-1003</t>
  </si>
  <si>
    <t>Colocación de baldosas en palieres  - Provisión a cargo del comitente</t>
  </si>
  <si>
    <t>PTO-1101</t>
  </si>
  <si>
    <t>APU P-56</t>
  </si>
  <si>
    <t>Colocación de porcelanato en UF - Provisión a cargo del comitente</t>
  </si>
  <si>
    <t>PTO-1102</t>
  </si>
  <si>
    <t>Colocación de porcelanato en baños - Provisión a cargo del comitente</t>
  </si>
  <si>
    <t>PTO-1103</t>
  </si>
  <si>
    <t>APU P-57</t>
  </si>
  <si>
    <t>Colocación de porcelanato en exterior - Provisión a cargo del comitente</t>
  </si>
  <si>
    <t>PTO-1104</t>
  </si>
  <si>
    <t>Provisión y colocación de sustrato - No cotiza</t>
  </si>
  <si>
    <t>PTO-1105</t>
  </si>
  <si>
    <t xml:space="preserve">Provisión y ejecución de alisado de cemento rodillado </t>
  </si>
  <si>
    <t>PTO-1106</t>
  </si>
  <si>
    <t>APU P-50</t>
  </si>
  <si>
    <t>Colocación de baldoson de vereda - Provisión a cargo del comitente</t>
  </si>
  <si>
    <t>PTO-1107</t>
  </si>
  <si>
    <t>Provisión y colocación de zocalos de Madera (MDF) h: 5 cm</t>
  </si>
  <si>
    <t>PTO-1201</t>
  </si>
  <si>
    <t>Colocación de zócalo de porcelanato en balcones UF - Provisión a cargo del comit</t>
  </si>
  <si>
    <t>PTO-1202</t>
  </si>
  <si>
    <t>APU P-58</t>
  </si>
  <si>
    <t xml:space="preserve">Colocación de zócalo de porcelanato en espacios comunes - Provisión a cargo del </t>
  </si>
  <si>
    <t>PTO-1203</t>
  </si>
  <si>
    <t>Colocación de solia - Provisión a cargo del comitente</t>
  </si>
  <si>
    <t>PTO-1204</t>
  </si>
  <si>
    <t>Revestimiento en baños - Provisión a cargo del comitente</t>
  </si>
  <si>
    <t>PTO-1301</t>
  </si>
  <si>
    <t>Revestimiento en cocinas - Provisión a cargo del comitente</t>
  </si>
  <si>
    <t>PTO-1302</t>
  </si>
  <si>
    <t>Provisión y colocación de perfileria de aluminio tipo ATRIM L anod. Natural - Pr</t>
  </si>
  <si>
    <t>PTO-1303</t>
  </si>
  <si>
    <t>Yeso</t>
  </si>
  <si>
    <t xml:space="preserve">Cielorraso suspendido junta tomada placa STD </t>
  </si>
  <si>
    <t>PTO-1401</t>
  </si>
  <si>
    <t>APU P-60</t>
  </si>
  <si>
    <t>Cielorraso suspendido junta tomada placa RH</t>
  </si>
  <si>
    <t>PTO-1402</t>
  </si>
  <si>
    <t>APU P-61</t>
  </si>
  <si>
    <t>Cajon en junta tomada placa STD</t>
  </si>
  <si>
    <t>PTO-1403</t>
  </si>
  <si>
    <t>se le suma el costo unitario de otra partida APU que tiene los mismo equipos pero con rendimiento diferente.</t>
  </si>
  <si>
    <t>Buña perimetral / Cantoneras</t>
  </si>
  <si>
    <t>PTO-1404</t>
  </si>
  <si>
    <t>APU P-117</t>
  </si>
  <si>
    <t>Aplicado de yeso interior</t>
  </si>
  <si>
    <t>PTO-1405</t>
  </si>
  <si>
    <t xml:space="preserve">Buña en yeso </t>
  </si>
  <si>
    <t>PTO-1406</t>
  </si>
  <si>
    <t>PTO-1407</t>
  </si>
  <si>
    <t>H° Visto - Maquillaje para recibir pintura</t>
  </si>
  <si>
    <t>PTO-1408</t>
  </si>
  <si>
    <t>Látex interior para paredes Bco. mate (enduido parcial) - Interiores UF</t>
  </si>
  <si>
    <t>PTO-1501</t>
  </si>
  <si>
    <t>APU P-137</t>
  </si>
  <si>
    <t>Látex interior para paredes Bco. mate (s/enduido) - Espacios comunes y caja esca</t>
  </si>
  <si>
    <t>PTO-1502</t>
  </si>
  <si>
    <t>APU P-146</t>
  </si>
  <si>
    <t>Latex interior para paredes Bco. mate (enduido completo) - Cocinas/Estar</t>
  </si>
  <si>
    <t>PTO-1503</t>
  </si>
  <si>
    <t>APU P-52</t>
  </si>
  <si>
    <t>Látex interior para cielorraso Bco. mate (enduido completo) - Baños y cocina</t>
  </si>
  <si>
    <t>PTO-1504</t>
  </si>
  <si>
    <t>Látex interior para cielorraso Bco. mate (enduido parcial) - Interiores UF</t>
  </si>
  <si>
    <t>PTO-1505</t>
  </si>
  <si>
    <t>Látex interior para cielorrasos Bco. mate (s/enduido) - En subsuelos, espacios c</t>
  </si>
  <si>
    <t>PTO-1506</t>
  </si>
  <si>
    <t>Revestimiento plástico a llana tipo Quimtex - Fachada frente/contrafrente y balc</t>
  </si>
  <si>
    <t>PTO-1507</t>
  </si>
  <si>
    <t>APU P-55</t>
  </si>
  <si>
    <t>Revestimiento plástico a llana tipo Quimtex en altura - Aire luz y balcones</t>
  </si>
  <si>
    <t>PTO-1508</t>
  </si>
  <si>
    <t>Preparación de superficie con base coat para recibir revestimiento - Vigas y cie</t>
  </si>
  <si>
    <t>PTO-1509</t>
  </si>
  <si>
    <t>Revestimiento plástico a rodillo tipo Quimtex en altura - Medianeras</t>
  </si>
  <si>
    <t>PTO-0151</t>
  </si>
  <si>
    <t>Esmalte sintético en puertas placa, chapa y de ascensor</t>
  </si>
  <si>
    <t>PTO-1511</t>
  </si>
  <si>
    <t>Convertidor y esmalte sintético en barandas y herrerías - Escalera, balcones, ba</t>
  </si>
  <si>
    <t>PTO-1512</t>
  </si>
  <si>
    <t>Amure de puertas placa  Provisión a cargo del comitente</t>
  </si>
  <si>
    <t>PTO-1701</t>
  </si>
  <si>
    <t>APU P-39</t>
  </si>
  <si>
    <t>Amure de puertas de chapa e ingresos depto - Provisión a cargo del comitente</t>
  </si>
  <si>
    <t>PTO-1702</t>
  </si>
  <si>
    <t>Amure de premarcos - Provisión a cargo del comitente</t>
  </si>
  <si>
    <t>PTO-1703</t>
  </si>
  <si>
    <t>APU P-40</t>
  </si>
  <si>
    <t>Amure Puertas de Ascensor - Provisión a cargo del comitente</t>
  </si>
  <si>
    <t>PTO-1704</t>
  </si>
  <si>
    <t>Tendido y cableado boca Iluminación en losa</t>
  </si>
  <si>
    <t>PTO-1801</t>
  </si>
  <si>
    <t>APU P-147</t>
  </si>
  <si>
    <t>Tendido y cableado boca Iluminación en pared</t>
  </si>
  <si>
    <t>PTO-1802</t>
  </si>
  <si>
    <t>APU P-120</t>
  </si>
  <si>
    <t xml:space="preserve">Tendido y cableado boca caja mignon para Led </t>
  </si>
  <si>
    <t>PTO-1803</t>
  </si>
  <si>
    <t>Tendido y cableado boca extractor de baño</t>
  </si>
  <si>
    <t>PTO-1804</t>
  </si>
  <si>
    <t>Tendido y cableado boca tomacorriente</t>
  </si>
  <si>
    <t>PTO-1805</t>
  </si>
  <si>
    <t>APU P-121</t>
  </si>
  <si>
    <t>Tendido y cableado boca tomacorriente especial (AA.CC)</t>
  </si>
  <si>
    <t>PTO-1806</t>
  </si>
  <si>
    <t>APU P-148</t>
  </si>
  <si>
    <t>Tendido y cableado boca tomacorriente especial (Anafe/Horno)</t>
  </si>
  <si>
    <t>PTO-1807</t>
  </si>
  <si>
    <t>Boca MBT Timbre</t>
  </si>
  <si>
    <t>PTO-1808</t>
  </si>
  <si>
    <t xml:space="preserve">Boca de TV - Cañería c/cable testigo </t>
  </si>
  <si>
    <t>PTO-1809</t>
  </si>
  <si>
    <t xml:space="preserve">Boca de PE - Cañería c/cable testigo </t>
  </si>
  <si>
    <t>PTO-0181</t>
  </si>
  <si>
    <t>Tablero Servicios Generales - TSG</t>
  </si>
  <si>
    <t>PTO-1811</t>
  </si>
  <si>
    <t>ELECT</t>
  </si>
  <si>
    <t>Tablero Bombas impulsión - TS BA</t>
  </si>
  <si>
    <t>PTO-1812</t>
  </si>
  <si>
    <t>Tablero Seccional Ascensor - TS ASC</t>
  </si>
  <si>
    <t>PTO-1813</t>
  </si>
  <si>
    <t>Tablero de Bomba presurizadora - TS BOMB</t>
  </si>
  <si>
    <t>PTO-1814</t>
  </si>
  <si>
    <t>Tablero de UF - Monofasico</t>
  </si>
  <si>
    <t>PTO-1815</t>
  </si>
  <si>
    <t>Tablero de UF - Trifasico</t>
  </si>
  <si>
    <t>PTO-1816</t>
  </si>
  <si>
    <t>Montante eléctrica</t>
  </si>
  <si>
    <t>PTO-1817</t>
  </si>
  <si>
    <t xml:space="preserve">Montante TV + Tablero TV - Cañería c/cable testigo </t>
  </si>
  <si>
    <t>PTO-1818</t>
  </si>
  <si>
    <t>Montante PE + Tablero PE- Cañería c/cable testigo</t>
  </si>
  <si>
    <t>PTO-1819</t>
  </si>
  <si>
    <t>Colocación de teclas simples y/o combinadas - Provisión a cargo del comitente</t>
  </si>
  <si>
    <t>PTO-0182</t>
  </si>
  <si>
    <t>Colocación de pulsadores, circulación + timbres - Provisión a cargo del comitent</t>
  </si>
  <si>
    <t>PTO-1821</t>
  </si>
  <si>
    <t>Colocación de tomacorriente simple y doble 10/20 A - Provisión a cargo del comit</t>
  </si>
  <si>
    <t>PTO-1822</t>
  </si>
  <si>
    <t>Colocación artefactos en espacios comunes y balcones - Provisión a cargo del com</t>
  </si>
  <si>
    <t>PTO-1823</t>
  </si>
  <si>
    <t>Colocación de luz de emergencia - Provisión a cargo del comitente</t>
  </si>
  <si>
    <t>PTO-1824</t>
  </si>
  <si>
    <t xml:space="preserve">Provisión y armado de medidores. Provisión y tendido de alim. por bandeja desde </t>
  </si>
  <si>
    <t>PTO-1825</t>
  </si>
  <si>
    <t>Puesta a tierra, jabalinas y cableados</t>
  </si>
  <si>
    <t>PTO-1826</t>
  </si>
  <si>
    <t>Certificado DCI para servicios generales</t>
  </si>
  <si>
    <t>PTO-1827</t>
  </si>
  <si>
    <t>Tendido caño cloacal en planta baja</t>
  </si>
  <si>
    <t>PTO-1901</t>
  </si>
  <si>
    <t>CLOACAL</t>
  </si>
  <si>
    <t>Por armar CDV en UF</t>
  </si>
  <si>
    <t>PTO-1902</t>
  </si>
  <si>
    <t>Montantes, remate y ventilación a los 4 vientos</t>
  </si>
  <si>
    <t>PTO-1903</t>
  </si>
  <si>
    <t>Tendido caño pluvial en planta baja</t>
  </si>
  <si>
    <t>PTO-1904</t>
  </si>
  <si>
    <t>PLU</t>
  </si>
  <si>
    <t>Tendido caño pluvial en balcones de UF y azoteas</t>
  </si>
  <si>
    <t>PTO-1905</t>
  </si>
  <si>
    <t>Tendido caño de agua en PB hasta TB. Armado de colector, cuadro de bombas y cone</t>
  </si>
  <si>
    <t>PTO-1906</t>
  </si>
  <si>
    <t>AF_AC</t>
  </si>
  <si>
    <t>Conexión y armado de colector de TR. Montantes, subida y bajadas de AF - Provisi</t>
  </si>
  <si>
    <t>PTO-1907</t>
  </si>
  <si>
    <t>Armado de colector de TAR. Bajadas y retorno de ACS - Provisión a cargo del comi</t>
  </si>
  <si>
    <t>PTO-1908</t>
  </si>
  <si>
    <t>Colocación de bomba presurizadora, armado de colector y montantes presurizadas d</t>
  </si>
  <si>
    <t>PTO-1909</t>
  </si>
  <si>
    <t xml:space="preserve">Distribución agua fria y caliente en planta tipo </t>
  </si>
  <si>
    <t>Tendido e instalación de cs de agua de lluvia recuperada, con instalación de bom</t>
  </si>
  <si>
    <t>PTO-1911</t>
  </si>
  <si>
    <t>Colocación de artefactos y griferías - Provisión de artefactos y griferías a car</t>
  </si>
  <si>
    <t>PTO-1912</t>
  </si>
  <si>
    <t xml:space="preserve">Colocación y armado de colectores solares - Provisión de colectores a cargo del </t>
  </si>
  <si>
    <t>PTO-1913</t>
  </si>
  <si>
    <t>Armado y conexionado de desagües AA.CC</t>
  </si>
  <si>
    <t>PTO-1914</t>
  </si>
  <si>
    <t>AA_CC</t>
  </si>
  <si>
    <t xml:space="preserve">Tendido cañeria de incendio - Gabinetes, mangueras, lanzas y valvulas cotizadas </t>
  </si>
  <si>
    <t>PTO-1915</t>
  </si>
  <si>
    <t>INCEND</t>
  </si>
  <si>
    <t>Provisión y tendido de cañerías de gas a SG</t>
  </si>
  <si>
    <t>PTO-1916</t>
  </si>
  <si>
    <t>GAS</t>
  </si>
  <si>
    <t>Colocación de artefactos - Provisión a cargo del comitente</t>
  </si>
  <si>
    <t>PTO-1917</t>
  </si>
  <si>
    <t>Tramites de prefactibilidad, inspección parcial y final.</t>
  </si>
  <si>
    <t>PTO-1918</t>
  </si>
  <si>
    <t xml:space="preserve">Tramites de habilitación municipal </t>
  </si>
  <si>
    <t>PTO-1919</t>
  </si>
  <si>
    <t>Preinstalación AA.CC. Materiales y M.O</t>
  </si>
  <si>
    <t>PTO-2001</t>
  </si>
  <si>
    <t>Montaje, colocación y puesta en marcha de equipos - No cotiza</t>
  </si>
  <si>
    <t>PTO-2002</t>
  </si>
  <si>
    <t>Ascensores - Provisión y colocación a cargo del comitente</t>
  </si>
  <si>
    <t>PTO-2101</t>
  </si>
  <si>
    <t>Artefactos de cocina, instalacion anafes y hornos electricos - Provisión a cargo</t>
  </si>
  <si>
    <t>PTO-2201</t>
  </si>
  <si>
    <t>Instalacion de extractores de baños - No cotiza</t>
  </si>
  <si>
    <t>PTO-2202</t>
  </si>
  <si>
    <t>Varios</t>
  </si>
  <si>
    <t>Provisión y amure de tapas para pleno electricos en palieres, bastidor hierro an</t>
  </si>
  <si>
    <t>PTO-2301</t>
  </si>
  <si>
    <t>Colocación de señaletica - Provisión a cargo del comitente</t>
  </si>
  <si>
    <t>PTO-2302</t>
  </si>
  <si>
    <t xml:space="preserve">Ajuste final de puertas placas, colocación de herrajes y cerraduras - Provisión </t>
  </si>
  <si>
    <t>PTO-2303</t>
  </si>
  <si>
    <t>Sereno</t>
  </si>
  <si>
    <t>PTO-2401</t>
  </si>
  <si>
    <t>GGBB</t>
  </si>
  <si>
    <t>Tecnico de seguridad &amp; higiene permanente en Obra</t>
  </si>
  <si>
    <t>PTO-2402</t>
  </si>
  <si>
    <t>Higiene y seguridad Res 51</t>
  </si>
  <si>
    <t>PTO-2403</t>
  </si>
  <si>
    <t>Protecciones y defensas</t>
  </si>
  <si>
    <t>PTO-2404</t>
  </si>
  <si>
    <t>Ayuda de gremios</t>
  </si>
  <si>
    <t>PTO-2405</t>
  </si>
  <si>
    <t xml:space="preserve">Limpieza periódica </t>
  </si>
  <si>
    <t>PTO-2406</t>
  </si>
  <si>
    <t>Limpieza final de Obra</t>
  </si>
  <si>
    <t>PTO-2407</t>
  </si>
  <si>
    <t>Fletes</t>
  </si>
  <si>
    <t>PTO-2408</t>
  </si>
  <si>
    <t>Volquetes</t>
  </si>
  <si>
    <t>PTO-2409</t>
  </si>
  <si>
    <t>Proyecto Ejecutivo y Supervisión profesional de Obra</t>
  </si>
  <si>
    <t>PTO-2501</t>
  </si>
  <si>
    <t>Movilidad y viaticos</t>
  </si>
  <si>
    <t>PTO-2502</t>
  </si>
  <si>
    <t>Sombrerete en chapa prepintada C25</t>
  </si>
  <si>
    <t>PTO-2603</t>
  </si>
  <si>
    <t xml:space="preserve">Forzador de aire y termostato de ambiente - Sala de maquinas de Asc. </t>
  </si>
  <si>
    <t>PTO-2605</t>
  </si>
  <si>
    <t>Cotizaciones</t>
  </si>
  <si>
    <t>Electrobomba centrifuga 2,5 Hp Motormech</t>
  </si>
  <si>
    <t>PTO-2701</t>
  </si>
  <si>
    <t>Bomba sumergible trituradora Mec V1300 1,8hp Monofásica - Pozo de bombeo cloacal</t>
  </si>
  <si>
    <t>PTO-2702</t>
  </si>
  <si>
    <t>Bomba sumergible agua sucia 7mts Llp-250 Lusqtoff C - Pozo de bombeo pluvial</t>
  </si>
  <si>
    <t>PTO-2703</t>
  </si>
  <si>
    <t>Bomba presurizadora tipo Rowa Mini RW9 Bronce para un consumo - Canilla de servi</t>
  </si>
  <si>
    <t>PTO-2704</t>
  </si>
  <si>
    <t>Rowa 5/1 Sanitaria Tempo 220 V</t>
  </si>
  <si>
    <t>PTO-2705</t>
  </si>
  <si>
    <t>Termotanque a gas Rheem Performance 120 litros de pie (TGNP120RH)</t>
  </si>
  <si>
    <t>PTO-2706</t>
  </si>
  <si>
    <t>Rejilla galvanizada 15cm - Modelo Ed-r150g - Rampa vehicular</t>
  </si>
  <si>
    <t>PTO-2707</t>
  </si>
  <si>
    <t>Incendio</t>
  </si>
  <si>
    <t>Válvula tipo teatro de 2" BSP x 1 3/4"INC.</t>
  </si>
  <si>
    <t>PTO-2801</t>
  </si>
  <si>
    <t>Gabinete para manguera de 1 3/4" con puerta hierro angulo . s/vidrio 500 x 550 x</t>
  </si>
  <si>
    <t>PTO-2802</t>
  </si>
  <si>
    <t>Manguera sintética RYL JET sello IRAM de 1 3/4" x 25 mts.</t>
  </si>
  <si>
    <t>PTO-2803</t>
  </si>
  <si>
    <t>Lanza de 1 3/4" con boquilla chorro PLENO Y NIEBLA regulable</t>
  </si>
  <si>
    <t>PTO-2804</t>
  </si>
  <si>
    <t>Válvula de Impulsión para Piso o Pared c/anilla giratoria de 2 1/2"</t>
  </si>
  <si>
    <t>PTO-2805</t>
  </si>
  <si>
    <t>Tapa con inscripción BOMBEROS para pared</t>
  </si>
  <si>
    <t>PTO-2806</t>
  </si>
  <si>
    <t>Extintor nuevo a base de polvo ABC x 5 kg. Inc. Chapas, balizas reglamentarias y</t>
  </si>
  <si>
    <t>PTO-2807</t>
  </si>
  <si>
    <t>Extintor nuevo a base de gas carbonico BC C02 x 5 kg. Inc. Chapas, balizas regla</t>
  </si>
  <si>
    <t>PTO-2808</t>
  </si>
  <si>
    <t>Hidroflex colector Luxus cromo 4 sal.16 mm</t>
  </si>
  <si>
    <t>PTO-2901</t>
  </si>
  <si>
    <t>Hidroflex colector Luxus cromo 5 sal.16 mm</t>
  </si>
  <si>
    <t>PTO-2902</t>
  </si>
  <si>
    <t>Hidroflex gabinete p/colector 450 x 450 x 110</t>
  </si>
  <si>
    <t>PTO-2903</t>
  </si>
  <si>
    <t>Hidroflex gabinete p/colector 600 x 450 x 110</t>
  </si>
  <si>
    <t>PTO-2904</t>
  </si>
  <si>
    <t>Hidroflex termostato de ambiente 220 V</t>
  </si>
  <si>
    <t>PTO-2905</t>
  </si>
  <si>
    <t>Caldera Peisa Diva 24 DS TF GN 19800 KC. Inc. Ventilación</t>
  </si>
  <si>
    <t>PTO-2906</t>
  </si>
  <si>
    <t>Tubo Coaxial 1,00 m 60/100 MH</t>
  </si>
  <si>
    <t>PTO-2907</t>
  </si>
  <si>
    <t xml:space="preserve">Módulo completo tecla marca Cambre línea SXXII </t>
  </si>
  <si>
    <t>PTO-3001</t>
  </si>
  <si>
    <t>Modulo completo ciego mignon, marca Cambre línea SXXII - Cajas para led</t>
  </si>
  <si>
    <t>PTO-3002</t>
  </si>
  <si>
    <t xml:space="preserve">Módulo completo tomacorriente simple 10A marca Cambre línea SXXII </t>
  </si>
  <si>
    <t>PTO-3003</t>
  </si>
  <si>
    <t xml:space="preserve">Módulo completo tomacorriente doble 10A marca Cambre línea SXXII </t>
  </si>
  <si>
    <t>PTO-3004</t>
  </si>
  <si>
    <t>Módulo completo tomacorriente simple 20A marca Cambre línea SXXII - Hornos/Anafe</t>
  </si>
  <si>
    <t>PTO-3005</t>
  </si>
  <si>
    <t>Módulo completo tomacorriente doble 10A encapsulado marca Cambre línea SXXII - B</t>
  </si>
  <si>
    <t>PTO-3006</t>
  </si>
  <si>
    <t>Módulo completo TV/RED marca Cambre línea SXXII - Con tapitas ciega no incluye C</t>
  </si>
  <si>
    <t>PTO-3007</t>
  </si>
  <si>
    <t>TOTAL PRESUPUESTO</t>
  </si>
  <si>
    <t>CONFIGURACIÓN DEL APU</t>
  </si>
  <si>
    <t>Parámetro</t>
  </si>
  <si>
    <t>Valor</t>
  </si>
  <si>
    <t>Notas</t>
  </si>
  <si>
    <t>Mes de referencia</t>
  </si>
  <si>
    <t>Junio</t>
  </si>
  <si>
    <t>Mes de precios del APU</t>
  </si>
  <si>
    <t>Año de referencia</t>
  </si>
  <si>
    <t>Versión</t>
  </si>
  <si>
    <t>v3.0 — APU Chivilcoy 06-25</t>
  </si>
  <si>
    <t>GG%</t>
  </si>
  <si>
    <t>0 = se aplica en presupuesto de obra</t>
  </si>
  <si>
    <t>BB%</t>
  </si>
  <si>
    <t>Tipo Cambio USD (MEP)</t>
  </si>
  <si>
    <t>Pesos por dólar</t>
  </si>
  <si>
    <t>Revisado por</t>
  </si>
  <si>
    <t>MC</t>
  </si>
  <si>
    <t>Mes base CAC</t>
  </si>
  <si>
    <t>Junio 2025</t>
  </si>
  <si>
    <t>CAC base (valor)</t>
  </si>
  <si>
    <t>Referencial</t>
  </si>
  <si>
    <t>TABLA DE CARGAS MO</t>
  </si>
  <si>
    <t>Componente</t>
  </si>
  <si>
    <t>Tipo</t>
  </si>
  <si>
    <t>Cargas patronales</t>
  </si>
  <si>
    <t>%</t>
  </si>
  <si>
    <t>Convenio UOCRA (est.)</t>
  </si>
  <si>
    <t>ART</t>
  </si>
  <si>
    <t>Aseguradora (est.)</t>
  </si>
  <si>
    <t>Ropa de trabajo</t>
  </si>
  <si>
    <t>$/mes</t>
  </si>
  <si>
    <t>Compras (est.)</t>
  </si>
  <si>
    <t>Viáticos</t>
  </si>
  <si>
    <t>$/día</t>
  </si>
  <si>
    <t>Vacaciones + SAC</t>
  </si>
  <si>
    <t>Cálculo legal (est.)</t>
  </si>
  <si>
    <t>COEFICIENTE FINAL</t>
  </si>
  <si>
    <t>multiplicador</t>
  </si>
  <si>
    <t>Última corrección</t>
  </si>
  <si>
    <t>2026-05-14</t>
  </si>
  <si>
    <t>Hallazgos aplicados</t>
  </si>
  <si>
    <t>H-002, H-003, H-004, H-005, H-006, H-007 (v3.1)</t>
  </si>
  <si>
    <t>Hallazgos pendientes</t>
  </si>
  <si>
    <t>H-001, H-008, H-009, H-010, H-011</t>
  </si>
  <si>
    <t>Código</t>
  </si>
  <si>
    <t>Unidad</t>
  </si>
  <si>
    <t>Precio $</t>
  </si>
  <si>
    <t>Categoría</t>
  </si>
  <si>
    <t>ACE-001</t>
  </si>
  <si>
    <t>Barra de Acero Aleteado - 6mm x 12m</t>
  </si>
  <si>
    <t>Corralón</t>
  </si>
  <si>
    <t>ACE-016</t>
  </si>
  <si>
    <t>ACERO ESTRUCTURAL POR KILO</t>
  </si>
  <si>
    <t>AGR-001</t>
  </si>
  <si>
    <t>ARENA LAVADA</t>
  </si>
  <si>
    <t>AGR-004</t>
  </si>
  <si>
    <t>Cemento Portland x 50kg</t>
  </si>
  <si>
    <t>AGR-005</t>
  </si>
  <si>
    <t>Cal Comun x 25kg</t>
  </si>
  <si>
    <t>AIS-001</t>
  </si>
  <si>
    <t>Aditivo Hidrofugo en pasta - Ceresita x 1kg</t>
  </si>
  <si>
    <t>Impermeabilizantes</t>
  </si>
  <si>
    <t>CER-005</t>
  </si>
  <si>
    <t>Ladrillo Comun 12.5 x 5.5 x 25</t>
  </si>
  <si>
    <t>ACE-015</t>
  </si>
  <si>
    <t>CLAVOS DE 21/2" X 12</t>
  </si>
  <si>
    <t>ACE-010</t>
  </si>
  <si>
    <t>Alambre de fardo</t>
  </si>
  <si>
    <t>OTR-031</t>
  </si>
  <si>
    <t>FENOLICO 18MM. COMUN 1.22 x 2.40</t>
  </si>
  <si>
    <t>OTR-033</t>
  </si>
  <si>
    <t>tirante 3x3 para puntal 3.66</t>
  </si>
  <si>
    <t>OTR-034</t>
  </si>
  <si>
    <t>tirante 3x6 3.66</t>
  </si>
  <si>
    <t>MAT-CONS</t>
  </si>
  <si>
    <t>CONSUMIBLES (varios)</t>
  </si>
  <si>
    <t>Consumibles</t>
  </si>
  <si>
    <t>OTR-032</t>
  </si>
  <si>
    <t>FENOLICO 18MM. LAMINADO MELAMINICO</t>
  </si>
  <si>
    <t>CER-002</t>
  </si>
  <si>
    <t>LADRILLO CERAMICO 8 x 18 x 33 cm</t>
  </si>
  <si>
    <t>CER-003</t>
  </si>
  <si>
    <t>LADRILLO CERAMICO 12 x 18 x 33 cm</t>
  </si>
  <si>
    <t>CER-004</t>
  </si>
  <si>
    <t>LADRILLO CERAMICO 18 x 18 x 33 cm</t>
  </si>
  <si>
    <t>CER-006</t>
  </si>
  <si>
    <t>Ladrillo hueco ceramico 12x19x33 - Portante</t>
  </si>
  <si>
    <t>PIN-008</t>
  </si>
  <si>
    <t>Pintura Asfaltica Asfasol x18ts</t>
  </si>
  <si>
    <t>Pinturas</t>
  </si>
  <si>
    <t>ELE-001</t>
  </si>
  <si>
    <t>Recuplast Tradicional Blanco x 20 lts</t>
  </si>
  <si>
    <t>Eléctricos</t>
  </si>
  <si>
    <t>PIN-001</t>
  </si>
  <si>
    <t>Latex Loxon Interior Sherwin Williams Mate Bco x 20lts</t>
  </si>
  <si>
    <t>PIN-007</t>
  </si>
  <si>
    <t>Enduido Interior x 20lts</t>
  </si>
  <si>
    <t>OTR-023</t>
  </si>
  <si>
    <t>Lija 180 al agua x 10u</t>
  </si>
  <si>
    <t>OTR-024</t>
  </si>
  <si>
    <t>Cinta de Papel 36 mm x 40m</t>
  </si>
  <si>
    <t>OTR-025</t>
  </si>
  <si>
    <t>Trapo</t>
  </si>
  <si>
    <t>OTR-021</t>
  </si>
  <si>
    <t>Fijador al agua x 20 lts</t>
  </si>
  <si>
    <t>REV-001</t>
  </si>
  <si>
    <t>Yeso Tuyango x 30kg</t>
  </si>
  <si>
    <t>Revestimientos y yesos</t>
  </si>
  <si>
    <t>OTR-022</t>
  </si>
  <si>
    <t>Aguarras Hydrarras Hydra x 18lts</t>
  </si>
  <si>
    <t>OTR-PTO002</t>
  </si>
  <si>
    <t>Chapa acanalada C25</t>
  </si>
  <si>
    <t>Carpintería metálica</t>
  </si>
  <si>
    <t>OTR-PTO003</t>
  </si>
  <si>
    <t>Perfiles UPN 100</t>
  </si>
  <si>
    <t>OTR-PTO004</t>
  </si>
  <si>
    <t>Bastidor para porton corredizo - Perfil 40 x 40 x 2</t>
  </si>
  <si>
    <t>OTR-PTO005</t>
  </si>
  <si>
    <t>Riel Roma 174 e: 2,1 mm. 53 x 60 x 6000</t>
  </si>
  <si>
    <t>OTR-PTO006</t>
  </si>
  <si>
    <t>Carro acero 174 4 ruedas puertas portones Ø45mm</t>
  </si>
  <si>
    <t>OTR-PTO007</t>
  </si>
  <si>
    <t>Autoperforantes punta mecha 14 x 2</t>
  </si>
  <si>
    <t>Ferretería</t>
  </si>
  <si>
    <t>OTR-PTO008</t>
  </si>
  <si>
    <t>Rollo Concertina</t>
  </si>
  <si>
    <t>OTR-PTO9000</t>
  </si>
  <si>
    <t>Puntales 3 x 3 x 3,7</t>
  </si>
  <si>
    <t>Encofrados</t>
  </si>
  <si>
    <t>OTR-PTO009</t>
  </si>
  <si>
    <t>Chapa acanalada C25 - Reutilizado (estimado 3 usos)</t>
  </si>
  <si>
    <t>OTR-PTO010</t>
  </si>
  <si>
    <t>Fenolico 1,22 x 2,44 - Reutilizado (estimado 3 usos)</t>
  </si>
  <si>
    <t>OTR-PTO011</t>
  </si>
  <si>
    <t>Puntales 1 x 4 x 3,7 - Reutilizado (estimado 3 usos)</t>
  </si>
  <si>
    <t>OTR-PTO012</t>
  </si>
  <si>
    <t>Puntales 3 x 3 x 3,7 - Reutilizado (estimado 3 usos)</t>
  </si>
  <si>
    <t>OTR-PTO013</t>
  </si>
  <si>
    <t>Flechas 3 x 6 x 3,7 - Reutilizado (estimado 3 usos)</t>
  </si>
  <si>
    <t>OTR-PTO014</t>
  </si>
  <si>
    <t>Escalera</t>
  </si>
  <si>
    <t>OTR-PTO015</t>
  </si>
  <si>
    <t>Materiales varios</t>
  </si>
  <si>
    <t>OTR-PTO016</t>
  </si>
  <si>
    <t>Rollo de cable TPR 3 x 2,5</t>
  </si>
  <si>
    <t>OTR-PTO017</t>
  </si>
  <si>
    <t>Zocalo E27</t>
  </si>
  <si>
    <t>OTR-PTO018</t>
  </si>
  <si>
    <t>Lampara Led 12 w</t>
  </si>
  <si>
    <t>OTR-PTO019</t>
  </si>
  <si>
    <t>Mat. Elect. (tomas, enchufes, etc.)</t>
  </si>
  <si>
    <t>OTR-PTO020</t>
  </si>
  <si>
    <t>Materiales Sanit</t>
  </si>
  <si>
    <t>Sanitarios</t>
  </si>
  <si>
    <t>OTR-PTO021</t>
  </si>
  <si>
    <t>Inodoro</t>
  </si>
  <si>
    <t>OTR-PTO022</t>
  </si>
  <si>
    <t>Mochila plastico</t>
  </si>
  <si>
    <t>OTR-PTO023</t>
  </si>
  <si>
    <t>Bacha</t>
  </si>
  <si>
    <t>OTR-PTO024</t>
  </si>
  <si>
    <t>Termo electrico 40 lts</t>
  </si>
  <si>
    <t>OTR-PTO025</t>
  </si>
  <si>
    <t>Pilar de obra, albañileria</t>
  </si>
  <si>
    <t>OTR-PTO026</t>
  </si>
  <si>
    <t>Kit medidor pilar Edenor Conextube</t>
  </si>
  <si>
    <t>OTR-PTO027</t>
  </si>
  <si>
    <t>Kit jabalina + caja + toma cable</t>
  </si>
  <si>
    <t>OTR-PTO028</t>
  </si>
  <si>
    <t>Cable subterraneo 5 x 10 mm2</t>
  </si>
  <si>
    <t>OTR-PTO029</t>
  </si>
  <si>
    <t>Tablero de obra</t>
  </si>
  <si>
    <t>OTR-PTO030</t>
  </si>
  <si>
    <t>Tanque de Bombeo 500 lts (reutilizado)</t>
  </si>
  <si>
    <t>OTR-PTO031</t>
  </si>
  <si>
    <t>Bomba pres (reutilizada)</t>
  </si>
  <si>
    <t>OTR-PTO032</t>
  </si>
  <si>
    <t>Flotante mecanico 1" + boya</t>
  </si>
  <si>
    <t>OTR-PTO033</t>
  </si>
  <si>
    <t>Flotante automatico</t>
  </si>
  <si>
    <t>OTR-PTO034</t>
  </si>
  <si>
    <t>Caño 3/4"</t>
  </si>
  <si>
    <t>OTR-PTO035</t>
  </si>
  <si>
    <t>Val. esf doble media union 1"</t>
  </si>
  <si>
    <t>OTR-PTO036</t>
  </si>
  <si>
    <t>Canilla de pvc</t>
  </si>
  <si>
    <t>OTR-PTO037</t>
  </si>
  <si>
    <t>Desperdicio</t>
  </si>
  <si>
    <t>Servicios</t>
  </si>
  <si>
    <t>OTR-PTO039</t>
  </si>
  <si>
    <t>H13</t>
  </si>
  <si>
    <t>Hormigón elaborado</t>
  </si>
  <si>
    <t>OTR-037</t>
  </si>
  <si>
    <t>Bombeo</t>
  </si>
  <si>
    <t>OTR-PTO041</t>
  </si>
  <si>
    <t>Bomba</t>
  </si>
  <si>
    <t>OTR-PTO042</t>
  </si>
  <si>
    <t>Cemento</t>
  </si>
  <si>
    <t>OTR-PTO043</t>
  </si>
  <si>
    <t>Hierro</t>
  </si>
  <si>
    <t>OTR-PTO044</t>
  </si>
  <si>
    <t>Volquetes p/barro</t>
  </si>
  <si>
    <t>OTR-PTO045</t>
  </si>
  <si>
    <t>H°A° — Platea - H30 (110 kg/m3 de hierro)</t>
  </si>
  <si>
    <t>OTR-PTO046</t>
  </si>
  <si>
    <t>H°A° — Zapata corrida tabique - H30 (180 kg/m3 de hi</t>
  </si>
  <si>
    <t>OTR-PTO047</t>
  </si>
  <si>
    <t>H°A° — Bases aisladas - H30 (110 kg/m3 de hierro)</t>
  </si>
  <si>
    <t>OTR-PTO048</t>
  </si>
  <si>
    <t>H°A° — Cabezales - H30 (130 kg/m3 de hierro)</t>
  </si>
  <si>
    <t>OTR-PTO049</t>
  </si>
  <si>
    <t>H°A° — Viga de  fundación - H30 (180 kg/m3 de hierro</t>
  </si>
  <si>
    <t>OTR-PTO050</t>
  </si>
  <si>
    <t>H°A° — Tabique submuración - H30 (90 kg/m3 de hierro</t>
  </si>
  <si>
    <t>OTR-PTO051</t>
  </si>
  <si>
    <t>H°A° — Puntales de compresión/codales - H30 (120 kg/</t>
  </si>
  <si>
    <t>OTR-PTO052</t>
  </si>
  <si>
    <t>H°A° — Columna - H30 (240 kg/m3 de hierro)</t>
  </si>
  <si>
    <t>OTR-PTO053</t>
  </si>
  <si>
    <t>H°A° — Tabiques - H30 (120 kg/m3 de hierro)</t>
  </si>
  <si>
    <t>OTR-PTO054</t>
  </si>
  <si>
    <t>H°A° — Viga H° Visto - H30 (120 kg/m3 de hierro)</t>
  </si>
  <si>
    <t>OTR-PTO055</t>
  </si>
  <si>
    <t>H°A° — Viga apeo s/PB - H30 (180 kg/m3 de hierro)</t>
  </si>
  <si>
    <t>OTR-PTO056</t>
  </si>
  <si>
    <t>H°A° — Viga - H30 (120 kg/m3 de hierro)</t>
  </si>
  <si>
    <t>OTR-PTO057</t>
  </si>
  <si>
    <t>H°A° — Losa - H30 (95 kg/m3 de hierro)</t>
  </si>
  <si>
    <t>OTR-PTO058</t>
  </si>
  <si>
    <t>H°A° — Losa H° Visto - H30 (95 kg/m3 de hierro)</t>
  </si>
  <si>
    <t>OTR-PTO9001</t>
  </si>
  <si>
    <t>H°A° — Escalera - H30 (105 kg/m3)</t>
  </si>
  <si>
    <t>OTR-PTO060</t>
  </si>
  <si>
    <t>H°A° — Viga alero - H30 (120 kg/m3 de hierro)</t>
  </si>
  <si>
    <t>OTR-PTO059</t>
  </si>
  <si>
    <t>OTR-PTO061</t>
  </si>
  <si>
    <t>OTR-PTO070</t>
  </si>
  <si>
    <t>Volquete</t>
  </si>
  <si>
    <t>OTR-PTO064</t>
  </si>
  <si>
    <t>H°</t>
  </si>
  <si>
    <t>OTR-PTO071</t>
  </si>
  <si>
    <t>Ladrillo del 8</t>
  </si>
  <si>
    <t>OTR-PTO072</t>
  </si>
  <si>
    <t>Revoque grueso bajo revest.</t>
  </si>
  <si>
    <t>OTR-PTO073</t>
  </si>
  <si>
    <t>Sellador / Silicona (2 bañeras)</t>
  </si>
  <si>
    <t>OTR-PTO068</t>
  </si>
  <si>
    <t>Sika Monotop 107 Seal</t>
  </si>
  <si>
    <t>OTR-PTO069</t>
  </si>
  <si>
    <t>OTR-PTO9002</t>
  </si>
  <si>
    <t>Babeta amure gris C25 Des. 200mm x 2.44m</t>
  </si>
  <si>
    <t>OTR-PTO9003</t>
  </si>
  <si>
    <t>Sikaflex®-1A  Sellador Poliuretano Color Gris 300ml</t>
  </si>
  <si>
    <t>OTR-PTO078</t>
  </si>
  <si>
    <t>Yeso Knauf MP 40/75 Proyectable x 25 kg - (17 kg/m2)</t>
  </si>
  <si>
    <t>OTR-PTO079</t>
  </si>
  <si>
    <t>PA-MAX PUENTE DE ADHERENCIA 20LT (150 m2/tac) - Contemplo el 20% de los m2</t>
  </si>
  <si>
    <t>OTR-PTO080</t>
  </si>
  <si>
    <t>Malla de fibra 5 x 5 90 gr, rollo 1 x 50 mts - Contemplo el 20% de los m2</t>
  </si>
  <si>
    <t>OTR-PTO081</t>
  </si>
  <si>
    <t>Guardacanto yesero 2,00 mts</t>
  </si>
  <si>
    <t>OTR-PTO084</t>
  </si>
  <si>
    <t>H13 6.20</t>
  </si>
  <si>
    <t>OTR-PTO085</t>
  </si>
  <si>
    <t>Acarreo</t>
  </si>
  <si>
    <t>OTR-PTO9004</t>
  </si>
  <si>
    <t>Malla N° 4 Liv 15 x 15 3 x 2 mt</t>
  </si>
  <si>
    <t>OTR-PTO082</t>
  </si>
  <si>
    <t>Rollo Polietileno negro 2x50 mt x 200mic</t>
  </si>
  <si>
    <t>OTR-PTO065</t>
  </si>
  <si>
    <t>Contrapiso</t>
  </si>
  <si>
    <t>OTR-PTO066</t>
  </si>
  <si>
    <t>Carpeta</t>
  </si>
  <si>
    <t>OTR-PTO9005</t>
  </si>
  <si>
    <t>Consumibles (discos)</t>
  </si>
  <si>
    <t>OTR-PTO094</t>
  </si>
  <si>
    <t>PERFIL ANGULO ALAS IGUALES ESTRUCTURAL ACERO 6M X 5/8" X 1/8</t>
  </si>
  <si>
    <t>OTR-PTO9006</t>
  </si>
  <si>
    <t>Consumibles (discos, electrodos, pintura)</t>
  </si>
  <si>
    <t>OTR-PTO9007</t>
  </si>
  <si>
    <t>Consumibles (Zuncho / Tornillos / Discos / etc.)</t>
  </si>
  <si>
    <t>OTR-PTO086</t>
  </si>
  <si>
    <t>Fijación completa</t>
  </si>
  <si>
    <t>OTR-PTO087</t>
  </si>
  <si>
    <t>Consumbiles (Mechas, etc.)</t>
  </si>
  <si>
    <t>OTR-PTO088</t>
  </si>
  <si>
    <t>Zócalo Contramarco Curvo Atenneas 7.5cm x 15mm MDF Prepintado Blanco 2.75m</t>
  </si>
  <si>
    <t>OTR-PTO089</t>
  </si>
  <si>
    <t>Base Coat Bicomponente Durlock® Exteriores</t>
  </si>
  <si>
    <t>OTR-PTO090</t>
  </si>
  <si>
    <t>Consumibles (rodillos, pinceles, carton, cinta, etc.)</t>
  </si>
  <si>
    <t>OTR-PTO091</t>
  </si>
  <si>
    <t>Quimtex Forma x 27 kg (rinde 1kg/m2)</t>
  </si>
  <si>
    <t>OTR-PTO092</t>
  </si>
  <si>
    <t>Removedor en gel para marcos</t>
  </si>
  <si>
    <t>OTR-PTO095</t>
  </si>
  <si>
    <t>Esmalte sintetico</t>
  </si>
  <si>
    <t>OTR-PTO106</t>
  </si>
  <si>
    <t>Otros</t>
  </si>
  <si>
    <t>OTR-PTO9008</t>
  </si>
  <si>
    <t>OTR-PTO096</t>
  </si>
  <si>
    <t>ELECT — Tablero Servicios Generales - TSG</t>
  </si>
  <si>
    <t>Tableros eléctricos</t>
  </si>
  <si>
    <t>OTR-PTO097</t>
  </si>
  <si>
    <t>ELECT — Tablero Bombas impulsión - TS BA</t>
  </si>
  <si>
    <t>OTR-PTO098</t>
  </si>
  <si>
    <t>ELECT — Tablero Seccional Ascensor - TS ASC</t>
  </si>
  <si>
    <t>OTR-PTO099</t>
  </si>
  <si>
    <t>ELECT — Tablero de Bomba presurizadora - TS BOMB</t>
  </si>
  <si>
    <t>OTR-PTO100</t>
  </si>
  <si>
    <t>ELECT — Tablero de UF - Monofasico</t>
  </si>
  <si>
    <t>OTR-PTO101</t>
  </si>
  <si>
    <t>ELECT — Tablero de UF - Trifasico</t>
  </si>
  <si>
    <t>OTR-PTO111</t>
  </si>
  <si>
    <t>Materiales</t>
  </si>
  <si>
    <t>OTR-PTO112</t>
  </si>
  <si>
    <t>Mat</t>
  </si>
  <si>
    <t>OTR-PTO104</t>
  </si>
  <si>
    <t>CLOACAL — Tendido caño cloacal en planta baja</t>
  </si>
  <si>
    <t>OTR-PTO105</t>
  </si>
  <si>
    <t>CLOACAL — Por armar CDV en UF</t>
  </si>
  <si>
    <t>OTR-PTO9009</t>
  </si>
  <si>
    <t>CLOACAL — Montantes, remate y ventilación a los 4 vient</t>
  </si>
  <si>
    <t>OTR-PTO107</t>
  </si>
  <si>
    <t>PLU — Tendido caño pluvial en planta baja</t>
  </si>
  <si>
    <t>OTR-PTO108</t>
  </si>
  <si>
    <t>PLU — Tendido caño pluvial en balcones de UF y azot</t>
  </si>
  <si>
    <t>OTR-PTO109</t>
  </si>
  <si>
    <t>AF_AC — Tendido caño de agua en PB hasta TB. Armado d</t>
  </si>
  <si>
    <t>OTR-PTO110</t>
  </si>
  <si>
    <t>AF_AC — Conexión y armado de colector de TR. Montante</t>
  </si>
  <si>
    <t>OTR-PTO9010</t>
  </si>
  <si>
    <t xml:space="preserve">AF_AC — Armado de colector de TAR. Bajadas y retorno </t>
  </si>
  <si>
    <t>OTR-PTO9011</t>
  </si>
  <si>
    <t xml:space="preserve">AF_AC — Colocación de bomba presurizadora, armado de </t>
  </si>
  <si>
    <t>OTR-PTO113</t>
  </si>
  <si>
    <t>AF_AC — Distribución agua fria y caliente en planta t</t>
  </si>
  <si>
    <t>OTR-PTO114</t>
  </si>
  <si>
    <t>AF_AC — Colocación de artefactos y griferías - Provis</t>
  </si>
  <si>
    <t>OTR-PTO115</t>
  </si>
  <si>
    <t>Colocación y armado de colectores solares - Provisión de col</t>
  </si>
  <si>
    <t>Piso radiante y calefacción</t>
  </si>
  <si>
    <t>OTR-PTO116</t>
  </si>
  <si>
    <t>AA_CC — Armado y conexionado de desagües AA.CC</t>
  </si>
  <si>
    <t>OTR-PTO117</t>
  </si>
  <si>
    <t>INCEND — Tendido cañeria de incendio - Gabinetes, mang</t>
  </si>
  <si>
    <t>OTR-PTO118</t>
  </si>
  <si>
    <t>GAS — Provisión y tendido de cañerías de gas a SG</t>
  </si>
  <si>
    <t>Gas</t>
  </si>
  <si>
    <t>OTR-PTO119</t>
  </si>
  <si>
    <t xml:space="preserve">GAS — Colocación de artefactos - Provisión a cargo </t>
  </si>
  <si>
    <t>OTR-PTO120</t>
  </si>
  <si>
    <t>Angulo 3/4" x 1/8"</t>
  </si>
  <si>
    <t>OTR-PTO121</t>
  </si>
  <si>
    <t>Consumibles (electrodos, discos, pintura, etc.)</t>
  </si>
  <si>
    <t>OTR-PTO122</t>
  </si>
  <si>
    <t>Chapa LAF 1,22 x 2,44 C22</t>
  </si>
  <si>
    <t>OTR-PTO123</t>
  </si>
  <si>
    <t>Colocación de herrajes</t>
  </si>
  <si>
    <t>OTR-PTO137</t>
  </si>
  <si>
    <t>Defensas</t>
  </si>
  <si>
    <t>OTR-PTO138</t>
  </si>
  <si>
    <t>Tabla 4 x 1 x 3,6 Saligna bruto</t>
  </si>
  <si>
    <t>OTR-PTO139</t>
  </si>
  <si>
    <t>Tirante 3 x 3 x 3,6 Saligna bruto</t>
  </si>
  <si>
    <t>OTR-PTO140</t>
  </si>
  <si>
    <t>Mat.</t>
  </si>
  <si>
    <t>OTR-PTO128</t>
  </si>
  <si>
    <t>Volquete x mes</t>
  </si>
  <si>
    <t>OTR-PTO129</t>
  </si>
  <si>
    <t>OTR-PTO130</t>
  </si>
  <si>
    <t>Cotizaciones — Forzador de aire y termostato de ambiente - S</t>
  </si>
  <si>
    <t>OTR-PTO131</t>
  </si>
  <si>
    <t>OTR-PTO132</t>
  </si>
  <si>
    <t>Bomba sumergible trituradora Mec V1300 1,8hp Monofásica - Po</t>
  </si>
  <si>
    <t>OTR-PTO133</t>
  </si>
  <si>
    <t>Bomba sumergible agua sucia 7mts Llp-250 Lusqtoff C - Pozo d</t>
  </si>
  <si>
    <t>OTR-PTO134</t>
  </si>
  <si>
    <t>Bomba presurizadora tipo Rowa Mini RW9 Bronce para un consum</t>
  </si>
  <si>
    <t>OTR-PTO135</t>
  </si>
  <si>
    <t>OTR-PTO136</t>
  </si>
  <si>
    <t>Termotanque a gas Rheem Performance 120 litros de pie (TGNP1</t>
  </si>
  <si>
    <t>OTR-PTO9012</t>
  </si>
  <si>
    <t>OTR-PTO9013</t>
  </si>
  <si>
    <t>Cotizaciones — Válvula tipo teatro de 2" BSP x 1 3/4"INC.</t>
  </si>
  <si>
    <t>OTR-PTO9014</t>
  </si>
  <si>
    <t>Cotizaciones — Gabinete para manguera de 1 3/4" con puerta h</t>
  </si>
  <si>
    <t>OTR-PTO9015</t>
  </si>
  <si>
    <t>Cotizaciones — Manguera sintética RYL JET sello IRAM de 1 3/</t>
  </si>
  <si>
    <t>OTR-PTO141</t>
  </si>
  <si>
    <t>Cotizaciones — Lanza de 1 3/4" con boquilla chorro PLENO Y N</t>
  </si>
  <si>
    <t>OTR-PTO142</t>
  </si>
  <si>
    <t>Cotizaciones — Válvula de Impulsión para Piso o Pared c/anil</t>
  </si>
  <si>
    <t>OTR-PTO143</t>
  </si>
  <si>
    <t>Cotizaciones — Tapa con inscripción BOMBEROS para pared</t>
  </si>
  <si>
    <t>OTR-PTO144</t>
  </si>
  <si>
    <t>Cotizaciones — Extintor nuevo a base de polvo ABC x 5 kg. In</t>
  </si>
  <si>
    <t>OTR-PTO145</t>
  </si>
  <si>
    <t>Cotizaciones — Extintor nuevo a base de gas carbonico BC C02</t>
  </si>
  <si>
    <t>OTR-PTO146</t>
  </si>
  <si>
    <t>Cotizaciones — Hidroflex colector Luxus cromo 4 sal.16 mm</t>
  </si>
  <si>
    <t>OTR-PTO147</t>
  </si>
  <si>
    <t>Cotizaciones — Hidroflex colector Luxus cromo 5 sal.16 mm</t>
  </si>
  <si>
    <t>OTR-PTO148</t>
  </si>
  <si>
    <t>Cotizaciones — Hidroflex gabinete p/colector 450 x 450 x 110</t>
  </si>
  <si>
    <t>OTR-PTO149</t>
  </si>
  <si>
    <t>Cotizaciones — Hidroflex gabinete p/colector 600 x 450 x 110</t>
  </si>
  <si>
    <t>OTR-PTO150</t>
  </si>
  <si>
    <t>Cotizaciones — Hidroflex termostato de ambiente 220 V</t>
  </si>
  <si>
    <t>OTR-PTO151</t>
  </si>
  <si>
    <t>Cotizaciones — Caldera Peisa Diva 24 DS TF GN 19800 KC. Inc.</t>
  </si>
  <si>
    <t>OTR-PTO152</t>
  </si>
  <si>
    <t>Cotizaciones — Tubo Coaxial 1,00 m 60/100 MH</t>
  </si>
  <si>
    <t>OTR-PTO153</t>
  </si>
  <si>
    <t>ELECT — Módulo completo tecla marca Cambre línea SXXI</t>
  </si>
  <si>
    <t>OTR-PTO9016</t>
  </si>
  <si>
    <t>ELECT — Modulo completo ciego mignon, marca Cambre lí</t>
  </si>
  <si>
    <t>OTR-PTO9017</t>
  </si>
  <si>
    <t>ELECT — Módulo completo tomacorriente simple 10A marc</t>
  </si>
  <si>
    <t>OTR-PTO9018</t>
  </si>
  <si>
    <t>ELECT — Módulo completo tomacorriente doble 10A marca</t>
  </si>
  <si>
    <t>OTR-PTO9019</t>
  </si>
  <si>
    <t>ELECT — Módulo completo tomacorriente simple 20A marc</t>
  </si>
  <si>
    <t>OTR-PTO9020</t>
  </si>
  <si>
    <t>ELECT — Módulo completo tomacorriente doble 10A encap</t>
  </si>
  <si>
    <t>OTR-PTO159</t>
  </si>
  <si>
    <t>ELECT — Módulo completo TV/RED marca Cambre línea SXX</t>
  </si>
  <si>
    <t>ELE-011</t>
  </si>
  <si>
    <t>Cable unipolar 1 x 4,00</t>
  </si>
  <si>
    <t>ADT-002</t>
  </si>
  <si>
    <t>Venda SikaTEX 75 - Rollo</t>
  </si>
  <si>
    <t>PIN-006</t>
  </si>
  <si>
    <t>Esmalte sintetico satinado Satinol Blanco x 4lts</t>
  </si>
  <si>
    <t>CER-001</t>
  </si>
  <si>
    <t>Ladrillo a la vista 1 cara</t>
  </si>
  <si>
    <t>DRY-KLIMABLOCK</t>
  </si>
  <si>
    <t>Ladrillo Ceramico Kilablock 27 x 18 x 33</t>
  </si>
  <si>
    <t>OTR-027</t>
  </si>
  <si>
    <t>Rodillo de lana pelo largo N°22 - El Galgo</t>
  </si>
  <si>
    <t>DUR-001</t>
  </si>
  <si>
    <t>Solera 70mm x 2.60m</t>
  </si>
  <si>
    <t>Construcción en seco</t>
  </si>
  <si>
    <t>DUR-002</t>
  </si>
  <si>
    <t>Montante 69mm x 2.60m</t>
  </si>
  <si>
    <t>DUR-003</t>
  </si>
  <si>
    <t>Solera 35mm x 2.60m</t>
  </si>
  <si>
    <t>DUR-004</t>
  </si>
  <si>
    <t>Montante 34mm x 2.60m</t>
  </si>
  <si>
    <t>OTR-007</t>
  </si>
  <si>
    <t>Tornillo T1 - Aguja</t>
  </si>
  <si>
    <t>OTR-008</t>
  </si>
  <si>
    <t>Tornillo T2 - Aguja</t>
  </si>
  <si>
    <t>OTR-009</t>
  </si>
  <si>
    <t>Tornillo T3 - Aguja</t>
  </si>
  <si>
    <t>OTR-010</t>
  </si>
  <si>
    <t>Fijacion completa del 8</t>
  </si>
  <si>
    <t>OTR-011</t>
  </si>
  <si>
    <t>Cinta Entramada - 90m</t>
  </si>
  <si>
    <t>DUR-005</t>
  </si>
  <si>
    <t>Masilla x 32kg</t>
  </si>
  <si>
    <t>DUR-006</t>
  </si>
  <si>
    <t>Lana De Vidrio 40mm X 21,6m2 Alta Densidad</t>
  </si>
  <si>
    <t>REV-006</t>
  </si>
  <si>
    <t>Placa Roca de Yeso 1220 x 2440 - 12.5mm - STD</t>
  </si>
  <si>
    <t>REV-007</t>
  </si>
  <si>
    <t>Placa Roca de Yeso 1220 x 2440 - 12.5mm - RH</t>
  </si>
  <si>
    <t>REV-008</t>
  </si>
  <si>
    <t>Placa Roca de Yeso 1220 x 2440 - 12.5mm - RF</t>
  </si>
  <si>
    <t>OTR-014</t>
  </si>
  <si>
    <t>Buña Z x 2.60m</t>
  </si>
  <si>
    <t>DUR-007</t>
  </si>
  <si>
    <t>Perfil Perimetral x 3.05</t>
  </si>
  <si>
    <t>OTR-015</t>
  </si>
  <si>
    <t>Larguero x 3.66</t>
  </si>
  <si>
    <t>OTR-016</t>
  </si>
  <si>
    <t>Travesaño x 1.22</t>
  </si>
  <si>
    <t>OTR-017</t>
  </si>
  <si>
    <t>Travesaño x 0.60</t>
  </si>
  <si>
    <t>ACE-014</t>
  </si>
  <si>
    <t>Alambre galvanizado N°14 x kg</t>
  </si>
  <si>
    <t>kg</t>
  </si>
  <si>
    <t>OTR-019</t>
  </si>
  <si>
    <t>Placa Decovinyl Liso 120x60</t>
  </si>
  <si>
    <t>ELE-004</t>
  </si>
  <si>
    <t>Caño rigido 3/4"</t>
  </si>
  <si>
    <t>ACE-017</t>
  </si>
  <si>
    <t>Conector hierro 3/4"</t>
  </si>
  <si>
    <t>ELE-005</t>
  </si>
  <si>
    <t>Cupla PVC 3/4"</t>
  </si>
  <si>
    <t>ELE-009</t>
  </si>
  <si>
    <t>Cable unipolar 1 x 2,50 VA</t>
  </si>
  <si>
    <t>m</t>
  </si>
  <si>
    <t>ELE-014</t>
  </si>
  <si>
    <t>Caja rectangular chica</t>
  </si>
  <si>
    <t>AGR-008</t>
  </si>
  <si>
    <t>Aporte de Tosca</t>
  </si>
  <si>
    <t>REV-009</t>
  </si>
  <si>
    <t>Quimtex Romano Fino x 27 kg</t>
  </si>
  <si>
    <t>REV-010</t>
  </si>
  <si>
    <t>Quimtex base cuarzo 18 lts</t>
  </si>
  <si>
    <t>PIR-LLANA</t>
  </si>
  <si>
    <t>Llana Plastica 12 x 25 cm</t>
  </si>
  <si>
    <t>OTR-038</t>
  </si>
  <si>
    <t>SMARTTRAY TRX3M BJA PERF 200-22</t>
  </si>
  <si>
    <t>OTR-039</t>
  </si>
  <si>
    <t>SMARTTRAY TAPA CIEGA P/BJA 200-22</t>
  </si>
  <si>
    <t>BAN-MAT003</t>
  </si>
  <si>
    <t>SMARTTRAY CUPLA UNION JBCC-M6-100</t>
  </si>
  <si>
    <t>BAN-MAT004</t>
  </si>
  <si>
    <t>GRAMPA FIJACION CABLE</t>
  </si>
  <si>
    <t>OTR-040</t>
  </si>
  <si>
    <t>ACOMETIDA PARA TABLERO</t>
  </si>
  <si>
    <t>OTR-041</t>
  </si>
  <si>
    <t>EMBUDO</t>
  </si>
  <si>
    <t>BAN-MAT007</t>
  </si>
  <si>
    <t>GRAMPA FIJACION 200-22</t>
  </si>
  <si>
    <t>OTR-044</t>
  </si>
  <si>
    <t>VARILLA ROSCADA 1/4</t>
  </si>
  <si>
    <t>OTR-045</t>
  </si>
  <si>
    <t>TUERCA Y ARANDELA 1/4</t>
  </si>
  <si>
    <t>AIS-002</t>
  </si>
  <si>
    <t>Membrana Geotextil Ormiflex 4mm - (35kg) x10m</t>
  </si>
  <si>
    <t>OTR-028</t>
  </si>
  <si>
    <t>Pincel N° 20 - El Galgo</t>
  </si>
  <si>
    <t>OTR-047</t>
  </si>
  <si>
    <t>Guante vaqueta medio paseo</t>
  </si>
  <si>
    <t>OTR-048</t>
  </si>
  <si>
    <t>Recarga de garrafa</t>
  </si>
  <si>
    <t>OTR-BAB0501</t>
  </si>
  <si>
    <t>Costo adicional babetas MAT — 35% sobre MT/COR (PTO-0501)</t>
  </si>
  <si>
    <t>OTR-BAB0506</t>
  </si>
  <si>
    <t>Costo adicional babetas MAT — 20% sobre MT/COR (PTO-0506)</t>
  </si>
  <si>
    <t>ADH-001</t>
  </si>
  <si>
    <t>Adhesivo Klaukol Porcellanato Fluido x 30Kg</t>
  </si>
  <si>
    <t>bol</t>
  </si>
  <si>
    <t>Adhesivos y pastinas</t>
  </si>
  <si>
    <t>ADH-003</t>
  </si>
  <si>
    <t>Pastina Klaukol x 1kg - Alta performance</t>
  </si>
  <si>
    <t>OTR-046</t>
  </si>
  <si>
    <t>Disco Diamantado Aliafor Turbo Fino TRF</t>
  </si>
  <si>
    <t>OTR-ARCOCUNA</t>
  </si>
  <si>
    <t>Arco y cuña niveladores porcelanatos x 150un</t>
  </si>
  <si>
    <t>YES-BLOQUE10</t>
  </si>
  <si>
    <t>Bloque hormigón 10×19×39</t>
  </si>
  <si>
    <t>YES-BLOQUE19</t>
  </si>
  <si>
    <t>Bloque hormigón 19×19×39</t>
  </si>
  <si>
    <t>AGR-003</t>
  </si>
  <si>
    <t>Cascote</t>
  </si>
  <si>
    <t>OTR-029</t>
  </si>
  <si>
    <t>Rollo de cartón corrugado 0,90 x 25 mts</t>
  </si>
  <si>
    <t>OTR-CALMILAG</t>
  </si>
  <si>
    <t>Cal Milagro x 25kg (Cal Hidráulica)</t>
  </si>
  <si>
    <t>OTR-LADRI183</t>
  </si>
  <si>
    <t>Ladrillo hueco cerámico 18×19×33 - Portante</t>
  </si>
  <si>
    <t>ELE-CAÑO1</t>
  </si>
  <si>
    <t>Caño rígido 1"</t>
  </si>
  <si>
    <t>ACE-019</t>
  </si>
  <si>
    <t>Conector hierro 1"</t>
  </si>
  <si>
    <t>ELE-007</t>
  </si>
  <si>
    <t>Cupla PVC 1"</t>
  </si>
  <si>
    <t>PIN-003</t>
  </si>
  <si>
    <t>Latex Loxon Exterior Sherwin Williams Mate Bco x 20lts</t>
  </si>
  <si>
    <t>b</t>
  </si>
  <si>
    <t>PIN-002</t>
  </si>
  <si>
    <t>Latex Loxon Interior Sherwin Williams Satinado Bco x 20lts</t>
  </si>
  <si>
    <t>OTR-012</t>
  </si>
  <si>
    <t>Cinta de Papel - 75m</t>
  </si>
  <si>
    <t>OTR-018</t>
  </si>
  <si>
    <t>Placa Decovinyl Liso 60x60</t>
  </si>
  <si>
    <t>OTR-REVCE01</t>
  </si>
  <si>
    <t>Revoque Cementicio Exterior 3en1</t>
  </si>
  <si>
    <t>REV-013</t>
  </si>
  <si>
    <t>Conjunto rotor estator Yeso ASE</t>
  </si>
  <si>
    <t>ELE-CANO1</t>
  </si>
  <si>
    <t>Caño rígido 1" x 3m</t>
  </si>
  <si>
    <t>OTR-QUIMTEX</t>
  </si>
  <si>
    <t>Quimtex Romano Fino x 27kg</t>
  </si>
  <si>
    <t>OTR-QUIMBASE</t>
  </si>
  <si>
    <t>Quimtex base cuarzo 18lts</t>
  </si>
  <si>
    <t>OTR-LLANA</t>
  </si>
  <si>
    <t>Llana plástica 12x25cm</t>
  </si>
  <si>
    <t>ELE-CANO78</t>
  </si>
  <si>
    <t>Caño rígido 7/8" x 3m</t>
  </si>
  <si>
    <t>ELE-008</t>
  </si>
  <si>
    <t>Cable unipolar 1 x 1,50</t>
  </si>
  <si>
    <t>ELE-013</t>
  </si>
  <si>
    <t>Caja octogonal profunda</t>
  </si>
  <si>
    <t>ACE-018</t>
  </si>
  <si>
    <t>Conector hierro 7/8"</t>
  </si>
  <si>
    <t>ELE-006</t>
  </si>
  <si>
    <t>Cupla PVC 7/8"</t>
  </si>
  <si>
    <t>ELE-012</t>
  </si>
  <si>
    <t>Caja octogonal chica</t>
  </si>
  <si>
    <t>ADT-001</t>
  </si>
  <si>
    <t>Sika Poro Plus x 10 kg</t>
  </si>
  <si>
    <t>bal</t>
  </si>
  <si>
    <t>OTR-PTO160</t>
  </si>
  <si>
    <t>Montante TV + Tablero TV — Materiales</t>
  </si>
  <si>
    <t>OTR-PTO9021</t>
  </si>
  <si>
    <t>Puesta a tierra — Jabalinas y cableados</t>
  </si>
  <si>
    <t>OTR-PTO162</t>
  </si>
  <si>
    <t>Limpieza final de obra — Materiales</t>
  </si>
  <si>
    <t>AGR-011-ADH</t>
  </si>
  <si>
    <t>Adhesivo Klaukol Porcellanato Fluido x 25kg</t>
  </si>
  <si>
    <t>OTR-DISCO-PT</t>
  </si>
  <si>
    <t>Disco Diamantado Aliafor Turbo Fino</t>
  </si>
  <si>
    <t>OTR-NIVEL-PT</t>
  </si>
  <si>
    <t>Arco y cuña niveladores porcelanatos x100</t>
  </si>
  <si>
    <t>OTR-PTO081B</t>
  </si>
  <si>
    <t>Carpeta ref. APU 06.25!E30 (Látex enduido)</t>
  </si>
  <si>
    <t>OTR-ELECT-001</t>
  </si>
  <si>
    <t>STECK DIFERENCIAL 2X25A 30MA</t>
  </si>
  <si>
    <t>OTR-ELECT-002</t>
  </si>
  <si>
    <t>STECK DIFERENCIAL 4X40A 30MA</t>
  </si>
  <si>
    <t>OTR-ELECT-003</t>
  </si>
  <si>
    <t>STECK DIFERENCIAL 4X63A 30MA</t>
  </si>
  <si>
    <t>OTR-ELECT-004</t>
  </si>
  <si>
    <t>STECK TM BIPOLAR 10A 6KA</t>
  </si>
  <si>
    <t>OTR-ELECT-005</t>
  </si>
  <si>
    <t>STECK TM BIPOLAR 16A 6KA</t>
  </si>
  <si>
    <t>OTR-ELECT-006</t>
  </si>
  <si>
    <t>STECK TM TETRAPOLAR 32A 6KA</t>
  </si>
  <si>
    <t>OTR-ELECT-007</t>
  </si>
  <si>
    <t>STECK TM TETRAPOLAR 50A 6KA</t>
  </si>
  <si>
    <t>OTR-PTO154</t>
  </si>
  <si>
    <t>GAB. IP65 SERIE 9000 600X900X225</t>
  </si>
  <si>
    <t>OTR-PTO155</t>
  </si>
  <si>
    <t>CONTRAF ABISAG CALADO 60BIP S9000 600X900</t>
  </si>
  <si>
    <t>OTR-PTO170</t>
  </si>
  <si>
    <t>RIEL DIN 35MM 1 METRO PERFOR.</t>
  </si>
  <si>
    <t>OTR-PTO157</t>
  </si>
  <si>
    <t>RIEL PORTA ELEMENTOS X 1 METRO</t>
  </si>
  <si>
    <t>OTR-PTO156</t>
  </si>
  <si>
    <t>SOP REG P/CONTRAFRENTE PROF 225 X1</t>
  </si>
  <si>
    <t>OTR-ELECT-013</t>
  </si>
  <si>
    <t>INTERRUPTOR COMPACTO 4X125A S250</t>
  </si>
  <si>
    <t>OTR-PTO158</t>
  </si>
  <si>
    <t>DISTRIBUIDOR TETRAP.160A 15 STD</t>
  </si>
  <si>
    <t>OTR-ELECT-015</t>
  </si>
  <si>
    <t>TERMINAL COBRE SCC 120-2 (5/8)</t>
  </si>
  <si>
    <t>OTR-ELECT-016</t>
  </si>
  <si>
    <t>VOLTIMETRO DISPLAY OJO DE BUEY 22MM</t>
  </si>
  <si>
    <t>OTR-ELECT-017</t>
  </si>
  <si>
    <t>RLLOX100M 1X 6,0MM NEGRO N.IRAM</t>
  </si>
  <si>
    <t>OTR-PTO164</t>
  </si>
  <si>
    <t>LC1D18M7 18A 7,5KW 1+1 220V</t>
  </si>
  <si>
    <t>OTR-ELECT-019</t>
  </si>
  <si>
    <t>ALTERNADOR 2 BOMBA DIGITAL 24/110/220VCA</t>
  </si>
  <si>
    <t>OTR-ELECT-020</t>
  </si>
  <si>
    <t>GAB. IP65 SERIE 9000 450X450X225</t>
  </si>
  <si>
    <t>OTR-ELECT-021</t>
  </si>
  <si>
    <t>CONTRAF ABISAG.CALADO 18BIP S9000 450X450</t>
  </si>
  <si>
    <t>OTR-ELECT-022</t>
  </si>
  <si>
    <t>GAB. IP65 SERIE 9000 300X300X150</t>
  </si>
  <si>
    <t>OTR-PTO161</t>
  </si>
  <si>
    <t>CONTRAF ABISAG.CALADO 10BIP S9000 300X300</t>
  </si>
  <si>
    <t>OTR-PTO169</t>
  </si>
  <si>
    <t>CAJA EMB P/ TM 36 POLOS BC T/FUME</t>
  </si>
  <si>
    <t>OTR-ELECT-025</t>
  </si>
  <si>
    <t>STECK TM TETRAPOLAR 16A 6KA</t>
  </si>
  <si>
    <t>OTR-AWA-001</t>
  </si>
  <si>
    <t>AWA TUBO PPN CLOACAL ø.110X4.00 3/1035</t>
  </si>
  <si>
    <t>OTR-AWA-002</t>
  </si>
  <si>
    <t>AWA CODO MH 90*PPN.CLOACAL ø110 12/2008</t>
  </si>
  <si>
    <t>OTR-AWA-003</t>
  </si>
  <si>
    <t>AWA CODO MH 45*PPN CLOACAL.ø110 6/2004</t>
  </si>
  <si>
    <t>OTR-AWA-004</t>
  </si>
  <si>
    <t>AWA RAMAL 45*PPN CLOAC.ø110X110 5/2023</t>
  </si>
  <si>
    <t>OTR-AWA-005</t>
  </si>
  <si>
    <t>AWA GRAMPA RAPICLACK ø110 10/4170</t>
  </si>
  <si>
    <t>OTR-AWA-006</t>
  </si>
  <si>
    <t>AWA CAÑO CAMARA PPN CLOACAL ø110 5/2065</t>
  </si>
  <si>
    <t>OTR-AWA-007</t>
  </si>
  <si>
    <t>AWA MANG/CUPLA PPN CLOAC.ø110 10/2016</t>
  </si>
  <si>
    <t>OTR-AWA-008</t>
  </si>
  <si>
    <t>AWA BOCA ACCES.HOR.3 ACOM.ø110X63 4/2460</t>
  </si>
  <si>
    <t>OTR-AWA-009</t>
  </si>
  <si>
    <t>AWADUCT PILETA PATIO 7 ENT. C/SIFON 40X63 2031</t>
  </si>
  <si>
    <t>OTR-AWA-010</t>
  </si>
  <si>
    <t>AWA COJINETE PARA CAMARA INSPECCION 200 3 ENTRADAS</t>
  </si>
  <si>
    <t>OTR-AWA-011</t>
  </si>
  <si>
    <t>AWA TAPA PPN CLOACAL ø.110 10/2036</t>
  </si>
  <si>
    <t>OTR-AWA-012</t>
  </si>
  <si>
    <t>AWA TUBO PPN CLOACAL ø 63X4.00 10/1026</t>
  </si>
  <si>
    <t>OTR-AWA-013</t>
  </si>
  <si>
    <t>AWA CODO MH 45*PPN CLOACAL ø63 20/2003</t>
  </si>
  <si>
    <t>OTR-AWA-014</t>
  </si>
  <si>
    <t>AWA MANG/CUPLA PPN CLOAC.ø 63 20/2015</t>
  </si>
  <si>
    <t>OTR-AWA-015</t>
  </si>
  <si>
    <t>AWA TUBO PPN CLOACAL ø 50X4.00 10/1017</t>
  </si>
  <si>
    <t>OTR-AWA-016</t>
  </si>
  <si>
    <t>AWA CODO MH 90*PPN CLOACAL ø50 20/2006</t>
  </si>
  <si>
    <t>OTR-AWA-017</t>
  </si>
  <si>
    <t>AWA MANG/CUPLA PPN CLOAC.ø 50 20/2014</t>
  </si>
  <si>
    <t>OTR-AWA-018</t>
  </si>
  <si>
    <t>AWA TAPA PPN CLOACAL ø 50 20/2037</t>
  </si>
  <si>
    <t>OTR-AWA-019</t>
  </si>
  <si>
    <t>AWA TUBO PPN CLOACAL ø 40X4.00 10/1008</t>
  </si>
  <si>
    <t>OTR-AWA-020</t>
  </si>
  <si>
    <t>AWA CODO MH 90*PPN CLOACAL ø40 20/2005</t>
  </si>
  <si>
    <t>OTR-AWA-021</t>
  </si>
  <si>
    <t>AWA CODO MH 45*PPN CLOACAL ø40 20/2001</t>
  </si>
  <si>
    <t>OTR-AWA-022</t>
  </si>
  <si>
    <t>AWA MANG/CUPLA PPN CLOAC.ø 40 20/2013</t>
  </si>
  <si>
    <t>OTR-AWA-023</t>
  </si>
  <si>
    <t>AWA TAPA PPN CLOACAL ø 40 20/2034</t>
  </si>
  <si>
    <t>OTR-AWA-024</t>
  </si>
  <si>
    <t>AWA GRAMPA RAPICLACK ø 40-50-63 20/4167</t>
  </si>
  <si>
    <t>OTR-AWA-025</t>
  </si>
  <si>
    <t>AWA BUJE RED.MH ø 63X50 20/2081</t>
  </si>
  <si>
    <t>OTR-AWA-026</t>
  </si>
  <si>
    <t>AWA RAMAL 45*PPN CLOAC.ø110X63 5/2024</t>
  </si>
  <si>
    <t>OTR-AWA-027</t>
  </si>
  <si>
    <t>AWA DISCO ANTIFILTRACION P/REJA 4/2077</t>
  </si>
  <si>
    <t>OTR-AWA-028</t>
  </si>
  <si>
    <t>AWA ADAPT.SUPEREXCENT.INO.ø105 4/2271</t>
  </si>
  <si>
    <t>OTR-AWA-029</t>
  </si>
  <si>
    <t>AWA SIFON ROMPE ESPUMA PPN 1/7120</t>
  </si>
  <si>
    <t>OTR-AWA-030</t>
  </si>
  <si>
    <t>AWA SOLUC.DESLIZ.AEROSOL 255 CM3 12/4023</t>
  </si>
  <si>
    <t>OTR-AWA-031</t>
  </si>
  <si>
    <t>AWA PILETA BALCON ø 63(M) 4/2062</t>
  </si>
  <si>
    <t>OTR-PTO173</t>
  </si>
  <si>
    <t>BROCA METALICA 1/4 CJA X 100</t>
  </si>
  <si>
    <t>OTR-AWA-033</t>
  </si>
  <si>
    <t>AWA A.A.ADAPT.ø32M X 3/4" ESPIGA 20/2283</t>
  </si>
  <si>
    <t>OTR-AWA-034</t>
  </si>
  <si>
    <t>AWA A.A.TUBO PPN CLOACAL ø32X3 10/1060</t>
  </si>
  <si>
    <t>OTR-AWA-035</t>
  </si>
  <si>
    <t>AWA A.A.CODO HH 90*PPN CLOAC.ø32 10/2265</t>
  </si>
  <si>
    <t>OTR-AWA-036</t>
  </si>
  <si>
    <t>AWA A.A.CODO HH 45*PPN CLOAC.ø32 10/2252</t>
  </si>
  <si>
    <t>OTR-AWA-037</t>
  </si>
  <si>
    <t>AWA RAMAL 45*PPN CLOAC.ø 63X 63 20/2026</t>
  </si>
  <si>
    <t>OTR-GAS-001</t>
  </si>
  <si>
    <t>BZ TENARIS CANO EPOXI 11/4X6.40 MTS</t>
  </si>
  <si>
    <t>tira</t>
  </si>
  <si>
    <t>OTR-GAS-002</t>
  </si>
  <si>
    <t>DEMA EPOXI TEE 11/4</t>
  </si>
  <si>
    <t>OTR-GAS-003</t>
  </si>
  <si>
    <t>DEMA EPOXI CODO 90 HH 11/4</t>
  </si>
  <si>
    <t>OTR-GAS-004</t>
  </si>
  <si>
    <t>CB BRONCE BUJE RED 11/4X1</t>
  </si>
  <si>
    <t>OTR-GAS-005</t>
  </si>
  <si>
    <t>SUYAI ESFERICA P/GAS FORJADA 11/4 PASO TOTAL</t>
  </si>
  <si>
    <t>OTR-GAS-006</t>
  </si>
  <si>
    <t>FUSIOGAS TRANSICION HEMBRA 32 X 1 203232</t>
  </si>
  <si>
    <t>OTR-GAS-007</t>
  </si>
  <si>
    <t>SALUSTRI REGULADOR GAS GS-25 25 NM3/H APROBADO</t>
  </si>
  <si>
    <t>OTR-GAS-008</t>
  </si>
  <si>
    <t>FUSIOGAS TUBO 32 MM X 4.00 MTS 200032</t>
  </si>
  <si>
    <t>OTR-GAS-009</t>
  </si>
  <si>
    <t>FUSIOGAS TUBO 50 MM X 4.00 MTS 200050</t>
  </si>
  <si>
    <t>OTR-GAS-010</t>
  </si>
  <si>
    <t>FUSIOGAS CUPLA FUSION 32 MM 203032</t>
  </si>
  <si>
    <t>OTR-GAS-011</t>
  </si>
  <si>
    <t>FUSIOGAS CUPLA FUSION 50 MM 203050</t>
  </si>
  <si>
    <t>OTR-GAS-012</t>
  </si>
  <si>
    <t>FUSIOGAS TEE FUSION 50 MM 202050</t>
  </si>
  <si>
    <t>OTR-GAS-013</t>
  </si>
  <si>
    <t>FUSIOGAS CODO A 90 FUSION 32 MM 201032</t>
  </si>
  <si>
    <t>OTR-GAS-014</t>
  </si>
  <si>
    <t>FUSIOGAS CODO A 90 FUSION 50 MM 201050</t>
  </si>
  <si>
    <t>OTR-GAS-015</t>
  </si>
  <si>
    <t>FUSIOGAS CUPLA RED. FUSION 25 X 20 MM 203126</t>
  </si>
  <si>
    <t>OTR-GAS-016</t>
  </si>
  <si>
    <t>FUSIOGAS CUPLA RED. FUSION 32 X 25 MM 203133</t>
  </si>
  <si>
    <t>OTR-GAS-017</t>
  </si>
  <si>
    <t>FUSIOGAS CUPLA RED. FUSION 50 X 32 MM 203152</t>
  </si>
  <si>
    <t>OTR-GAS-018</t>
  </si>
  <si>
    <t>FUSIOGAS CODO A 90 ROSCA HEMBRA 20 X 1/2 201220</t>
  </si>
  <si>
    <t>OTR-GAS-019</t>
  </si>
  <si>
    <t>FUSIOGAS LLAVE PASO C/MANIVELA Y ROSETA 32 MM 207</t>
  </si>
  <si>
    <t>OTR-GAS-020</t>
  </si>
  <si>
    <t>GABINETE PARA GAS</t>
  </si>
  <si>
    <t>HAO-HIERRO</t>
  </si>
  <si>
    <t>HIERRO DE CONSTRUCCION H°A° (cuantia c/desp.)</t>
  </si>
  <si>
    <t>HAO-HORM</t>
  </si>
  <si>
    <t>HORMIGON H30 (bombeado con superfluidos)</t>
  </si>
  <si>
    <t>HAO-ENC-PLATEA</t>
  </si>
  <si>
    <t>ENCOFRADO — Platea</t>
  </si>
  <si>
    <t>HAO-ENC-VIGAFUND</t>
  </si>
  <si>
    <t>ENCOFRADO — Viga fundacion</t>
  </si>
  <si>
    <t>HAO-ENC-COLUMNA</t>
  </si>
  <si>
    <t>ENCOFRADO — Columna</t>
  </si>
  <si>
    <t>HAO-ENC-TABIQUE</t>
  </si>
  <si>
    <t>ENCOFRADO — Tabique</t>
  </si>
  <si>
    <t>HAO-ENC-VIGAVIST</t>
  </si>
  <si>
    <t>ENCOFRADO — Viga vista</t>
  </si>
  <si>
    <t>HAO-ENC-VIGA</t>
  </si>
  <si>
    <t>ENCOFRADO — Viga</t>
  </si>
  <si>
    <t>HAO-ENC-LOSA</t>
  </si>
  <si>
    <t>ENCOFRADO — Losa</t>
  </si>
  <si>
    <t>HAO-ENC-LOSAVIST</t>
  </si>
  <si>
    <t>ENCOFRADO — Losa vista</t>
  </si>
  <si>
    <t>HAO-ENC-ESCAL</t>
  </si>
  <si>
    <t>ENCOFRADO — Escalera</t>
  </si>
  <si>
    <t>Salario/día $</t>
  </si>
  <si>
    <t>Coef. Cargas</t>
  </si>
  <si>
    <t>Costo Jornal $</t>
  </si>
  <si>
    <t>Cód. Original</t>
  </si>
  <si>
    <t>Operativo</t>
  </si>
  <si>
    <t>AYUDANTE</t>
  </si>
  <si>
    <t>MO-EMEDI</t>
  </si>
  <si>
    <t>MEDIO OFICIAL</t>
  </si>
  <si>
    <t>MO-EOFIC</t>
  </si>
  <si>
    <t>OFICIAL</t>
  </si>
  <si>
    <t>MO-EESPE</t>
  </si>
  <si>
    <t>MO-ESOBR</t>
  </si>
  <si>
    <t>SOBRESTANTE</t>
  </si>
  <si>
    <t>Gerencial</t>
  </si>
  <si>
    <t>MO-ECAPA</t>
  </si>
  <si>
    <t>CAPATAZ</t>
  </si>
  <si>
    <t>MO-TOP</t>
  </si>
  <si>
    <t>TOPOGRAFO</t>
  </si>
  <si>
    <t>MO-EJEFE</t>
  </si>
  <si>
    <t>JEFE DE OBRA</t>
  </si>
  <si>
    <t>MO-ECOOR</t>
  </si>
  <si>
    <t>COORD OBRAS</t>
  </si>
  <si>
    <t>MO-ALBVHV</t>
  </si>
  <si>
    <t>MO Albañilería complementaria — Viga H°V (25% MO H°A°)</t>
  </si>
  <si>
    <t>MO-ALBLHV</t>
  </si>
  <si>
    <t>MO Albañilería complementaria — Losa H°V (25% MO H°A°)</t>
  </si>
  <si>
    <t>Costo Total $</t>
  </si>
  <si>
    <t>Vida (años)</t>
  </si>
  <si>
    <t>Vida (días)</t>
  </si>
  <si>
    <t>EQ-ESCALE</t>
  </si>
  <si>
    <t>ESCALERA GLOSS ALUMINIO ARTICULADA 4 X 4 ESCALONES HASTA 150KG</t>
  </si>
  <si>
    <t>EQ-ANDAM0</t>
  </si>
  <si>
    <t>ANDAMIO TUBULAR DE UNO A TRES CUERPOS</t>
  </si>
  <si>
    <t>EQ-BALANC</t>
  </si>
  <si>
    <t>Balancin</t>
  </si>
  <si>
    <t>EQ-CORTA</t>
  </si>
  <si>
    <t>CORTADORA CERAMICA PROFESIONAL 1200MM (PORCELANATO HASTA 16MM)</t>
  </si>
  <si>
    <t>EQ-EQALBA</t>
  </si>
  <si>
    <t>EQUIPO DE ALBAÑILERIA, carpetas, ladrillo</t>
  </si>
  <si>
    <t>EQ-EQCERA</t>
  </si>
  <si>
    <t>EQUIPO PARA COLOCACION DE CERAMICA</t>
  </si>
  <si>
    <t>EQ-EQPLOM</t>
  </si>
  <si>
    <t>EQUIPO PARA PLOMERIA</t>
  </si>
  <si>
    <t>EQ-EQUIP0</t>
  </si>
  <si>
    <t>EQUIPO PARA INSTALACION ELECTRICA</t>
  </si>
  <si>
    <t>EQ-EQUIPI</t>
  </si>
  <si>
    <t>EQUIPO PARA PINTAR</t>
  </si>
  <si>
    <t>EQ-HORMI</t>
  </si>
  <si>
    <t>EQUIPO PARA HORMIGON</t>
  </si>
  <si>
    <t>EQ-PTO001</t>
  </si>
  <si>
    <t>Herramientas — Topógrafo - Visita de obra replanteo</t>
  </si>
  <si>
    <t>EQ-PTO002</t>
  </si>
  <si>
    <t xml:space="preserve">Herramientas — Cerco de obra perimetral - En chapa C25 </t>
  </si>
  <si>
    <t>EQ-PTO003</t>
  </si>
  <si>
    <t>Herramientas — Obrador, pañol y ducha</t>
  </si>
  <si>
    <t>EQ-PTO004</t>
  </si>
  <si>
    <t>Herramientas — Conexión pilar y luz de obra + Tablero d</t>
  </si>
  <si>
    <t>EQ-PTO005</t>
  </si>
  <si>
    <t>Herramientas — Conexión agua de obra, tanque + bomba</t>
  </si>
  <si>
    <t>EQ-PTO006</t>
  </si>
  <si>
    <t>Herramientas — Excavación para cámara transformadora</t>
  </si>
  <si>
    <t>EQ-PTO007</t>
  </si>
  <si>
    <t>Herramientas — Hormigón de limpieza - e: 10 cm</t>
  </si>
  <si>
    <t>EQ-PTO008</t>
  </si>
  <si>
    <t xml:space="preserve">Herramientas — Micropilotes Ø 20 cm </t>
  </si>
  <si>
    <t>EQ-PTO009</t>
  </si>
  <si>
    <t>Herramientas — Platea - H30 (110 kg/m3 de hierro)</t>
  </si>
  <si>
    <t>EQ-PTO010</t>
  </si>
  <si>
    <t xml:space="preserve">Herramientas — Zapata corrida tabique - H30 (180 kg/m3 </t>
  </si>
  <si>
    <t>EQ-PTO011</t>
  </si>
  <si>
    <t>Herramientas — Bases aisladas - H30 (110 kg/m3 de hierr</t>
  </si>
  <si>
    <t>EQ-PTO012</t>
  </si>
  <si>
    <t>Herramientas — Cabezales - H30 (130 kg/m3 de hierro)</t>
  </si>
  <si>
    <t>EQ-PTO013</t>
  </si>
  <si>
    <t>Herramientas — Viga de  fundación - H30 (180 kg/m3 de h</t>
  </si>
  <si>
    <t>EQ-PTO014</t>
  </si>
  <si>
    <t>Herramientas — Tabique submuración - H30 (90 kg/m3 de h</t>
  </si>
  <si>
    <t>EQ-PTO015</t>
  </si>
  <si>
    <t>Herramientas — Puntales de compresión/codales - H30 (12</t>
  </si>
  <si>
    <t>EQ-PTO016</t>
  </si>
  <si>
    <t>Herramientas — Columna - H30 (240 kg/m3 de hierro)</t>
  </si>
  <si>
    <t>EQ-PTO017</t>
  </si>
  <si>
    <t>Herramientas — Tabiques - H30 (120 kg/m3 de hierro)</t>
  </si>
  <si>
    <t>EQ-PTO018</t>
  </si>
  <si>
    <t>Herramientas — Viga H° Visto - H30 (120 kg/m3 de hierro</t>
  </si>
  <si>
    <t>EQ-PTO019</t>
  </si>
  <si>
    <t>Herramientas — Viga apeo s/PB - H30 (180 kg/m3 de hierr</t>
  </si>
  <si>
    <t>EQ-PTO020</t>
  </si>
  <si>
    <t>Herramientas — Viga - H30 (120 kg/m3 de hierro)</t>
  </si>
  <si>
    <t>EQ-PTO021</t>
  </si>
  <si>
    <t>Herramientas — Losa - H30 (95 kg/m3 de hierro)</t>
  </si>
  <si>
    <t>EQ-PTO022</t>
  </si>
  <si>
    <t>Herramientas — Losa H° Visto - H30 (95 kg/m3 de hierro)</t>
  </si>
  <si>
    <t>EQ-PTO023</t>
  </si>
  <si>
    <t>Herramientas — Escalera - H30 (105 kg/m3)</t>
  </si>
  <si>
    <t>EQ-PTO9000</t>
  </si>
  <si>
    <t>Herramientas — Viga alero - H30 (120 kg/m3 de hierro)</t>
  </si>
  <si>
    <t>EQ-PTO025</t>
  </si>
  <si>
    <t>EQ — Sistema de apuntalamiento y reapuntalamiento</t>
  </si>
  <si>
    <t>EQ-PTO9001</t>
  </si>
  <si>
    <t>Herramientas — Picado de medianeras para columnas y vig</t>
  </si>
  <si>
    <t>EQ-PTO027</t>
  </si>
  <si>
    <t>Herramientas — Vigas de encadenado - En muros de PB, in</t>
  </si>
  <si>
    <t>EQ-PTO028</t>
  </si>
  <si>
    <t>Herramientas — Babeta de chapa galvanizada en medianera</t>
  </si>
  <si>
    <t>EQ-PTO029</t>
  </si>
  <si>
    <t>Herramientas — Yeso interior</t>
  </si>
  <si>
    <t>EQ-PTO030</t>
  </si>
  <si>
    <t xml:space="preserve">Herramientas — Arista en yeso </t>
  </si>
  <si>
    <t>EQ-PTO031</t>
  </si>
  <si>
    <t>Herramientas — Provisión y colocación de guardacanto ye</t>
  </si>
  <si>
    <t>EQ-PTO032</t>
  </si>
  <si>
    <t xml:space="preserve">Herramientas — Contrapiso armado de H° pobre s/terreno </t>
  </si>
  <si>
    <t>EQ-PTO033</t>
  </si>
  <si>
    <t>Herramientas — Banquinas para bombas, TT, etc. h: 15 cm</t>
  </si>
  <si>
    <t>EQ-PTO034</t>
  </si>
  <si>
    <t>Herramientas — Provisión y ejecución de alisado de ceme</t>
  </si>
  <si>
    <t>EQ-PTO035</t>
  </si>
  <si>
    <t>Herramientas — Provisión y colocación de nariz metálica</t>
  </si>
  <si>
    <t>EQ-PTO036</t>
  </si>
  <si>
    <t>Herramientas — Colocación de ventilación de conducto de</t>
  </si>
  <si>
    <t>EQ-PTO037</t>
  </si>
  <si>
    <t>Herramientas — Colocación y montaje de conducto de vent</t>
  </si>
  <si>
    <t>EQ-PTO038</t>
  </si>
  <si>
    <t>Herramientas — Colocación sombreretes en chapa prepinta</t>
  </si>
  <si>
    <t>EQ-PTO039</t>
  </si>
  <si>
    <t>Herramientas — Provisión y colocación de zocalos de Mad</t>
  </si>
  <si>
    <t>EQ-PTO040</t>
  </si>
  <si>
    <t>Herramientas — Aplicado de yeso interior</t>
  </si>
  <si>
    <t>EQ-PTO041</t>
  </si>
  <si>
    <t xml:space="preserve">Herramientas — Buña en yeso </t>
  </si>
  <si>
    <t>EQ-PTO042</t>
  </si>
  <si>
    <t>Herramientas — H° Visto - Maquillaje para recibir pintu</t>
  </si>
  <si>
    <t>EQ-PTO043</t>
  </si>
  <si>
    <t xml:space="preserve">Herramientas — Preparación de superficie con base coat </t>
  </si>
  <si>
    <t>EQ-PTO044</t>
  </si>
  <si>
    <t>Herramientas — Revestimiento plástico a rodillo tipo Qu</t>
  </si>
  <si>
    <t>EQ-PTO045</t>
  </si>
  <si>
    <t>Herramientas — Esmalte sintético en puertas placa, chap</t>
  </si>
  <si>
    <t>EQ-PTO046</t>
  </si>
  <si>
    <t>Herramientas — Convertidor y esmalte sintético en baran</t>
  </si>
  <si>
    <t>EQ-PTO047</t>
  </si>
  <si>
    <t>EQ — Amure Puertas de Ascensor - Provisión a cargo del comit</t>
  </si>
  <si>
    <t>EQ-PTO048</t>
  </si>
  <si>
    <t>Herramientas — Tablero Servicios Generales - TSG</t>
  </si>
  <si>
    <t>EQ-PTO049</t>
  </si>
  <si>
    <t>Herramientas — Tablero Bombas impulsión - TS BA</t>
  </si>
  <si>
    <t>EQ-PTO050</t>
  </si>
  <si>
    <t>Herramientas — Tablero Seccional Ascensor - TS ASC</t>
  </si>
  <si>
    <t>EQ-PTO051</t>
  </si>
  <si>
    <t>Herramientas — Tablero de Bomba presurizadora - TS BOMB</t>
  </si>
  <si>
    <t>EQ-PTO052</t>
  </si>
  <si>
    <t>Herramientas — Tablero de UF - Monofasico</t>
  </si>
  <si>
    <t>EQ-PTO053</t>
  </si>
  <si>
    <t>Herramientas — Tablero de UF - Trifasico</t>
  </si>
  <si>
    <t>EQ-PTO054</t>
  </si>
  <si>
    <t>Herramientas — Montante eléctrica</t>
  </si>
  <si>
    <t>EQ-PTO055</t>
  </si>
  <si>
    <t>Herramientas — Montante TV + Tablero TV - Cañería c/cab</t>
  </si>
  <si>
    <t>EQ-PTO056</t>
  </si>
  <si>
    <t>Herramientas — Colocación de teclas simples y/o combina</t>
  </si>
  <si>
    <t>EQ-PTO057</t>
  </si>
  <si>
    <t xml:space="preserve">Herramientas — Colocación de pulsadores, circulación + </t>
  </si>
  <si>
    <t>EQ-PTO058</t>
  </si>
  <si>
    <t>Herramientas — Colocación de tomacorriente simple y dob</t>
  </si>
  <si>
    <t>EQ-PTO059</t>
  </si>
  <si>
    <t>Herramientas — Colocación artefactos en espacios comune</t>
  </si>
  <si>
    <t>EQ-PTO060</t>
  </si>
  <si>
    <t>Herramientas — Colocación de luz de emergencia - Provis</t>
  </si>
  <si>
    <t>EQ-PTO061</t>
  </si>
  <si>
    <t>Herramientas — Provisión y armado de medidores. Provisi</t>
  </si>
  <si>
    <t>EQ-PTO062</t>
  </si>
  <si>
    <t>Herramientas — Puesta a tierra, jabalinas y cableados</t>
  </si>
  <si>
    <t>EQ-PTO063</t>
  </si>
  <si>
    <t>Herramientas — Tendido caño cloacal en planta baja</t>
  </si>
  <si>
    <t>EQ-PTO064</t>
  </si>
  <si>
    <t>Herramientas — Por armar CDV en UF</t>
  </si>
  <si>
    <t>EQ-PTO065</t>
  </si>
  <si>
    <t xml:space="preserve">Herramientas — Montantes, remate y ventilación a los 4 </t>
  </si>
  <si>
    <t>EQ-PTO066</t>
  </si>
  <si>
    <t>Herramientas — Tendido caño pluvial en planta baja</t>
  </si>
  <si>
    <t>EQ-PTO067</t>
  </si>
  <si>
    <t>Herramientas — Tendido caño pluvial en balcones de UF y</t>
  </si>
  <si>
    <t>EQ-PTO068</t>
  </si>
  <si>
    <t>Herramientas — Tendido caño de agua en PB hasta TB. Arm</t>
  </si>
  <si>
    <t>EQ-PTO069</t>
  </si>
  <si>
    <t>Herramientas — Conexión y armado de colector de TR. Mon</t>
  </si>
  <si>
    <t>EQ-PTO070</t>
  </si>
  <si>
    <t>Herramientas — Armado de colector de TAR. Bajadas y ret</t>
  </si>
  <si>
    <t>EQ-PTO071</t>
  </si>
  <si>
    <t>Herramientas — Colocación de bomba presurizadora, armad</t>
  </si>
  <si>
    <t>EQ-PTO072</t>
  </si>
  <si>
    <t>Herramientas — Distribución agua fria y caliente en pla</t>
  </si>
  <si>
    <t>EQ-PTO073</t>
  </si>
  <si>
    <t>Herramientas — Colocación de artefactos y griferías - P</t>
  </si>
  <si>
    <t>EQ-PTO074</t>
  </si>
  <si>
    <t>EQ — Colocación y armado de colectores solares - Provisión d</t>
  </si>
  <si>
    <t>EQ-PTO075</t>
  </si>
  <si>
    <t>Herramientas — Armado y conexionado de desagües AA.CC</t>
  </si>
  <si>
    <t>EQ-PTO076</t>
  </si>
  <si>
    <t>Herramientas — Tendido cañeria de incendio - Gabinetes,</t>
  </si>
  <si>
    <t>EQ-PTO077</t>
  </si>
  <si>
    <t>Herramientas — Provisión y tendido de cañerías de gas a</t>
  </si>
  <si>
    <t>EQ-PTO078</t>
  </si>
  <si>
    <t>Herramientas — Colocación de artefactos - Provisión a c</t>
  </si>
  <si>
    <t>EQ-PTO079</t>
  </si>
  <si>
    <t>Herramientas — Provisión y amure de tapas para pleno el</t>
  </si>
  <si>
    <t>EQ-PTO080</t>
  </si>
  <si>
    <t>Herramientas — Colocación de señaletica - Provisión a c</t>
  </si>
  <si>
    <t>EQ-PTO081</t>
  </si>
  <si>
    <t>Herramientas — Ajuste final de puertas placas, colocaci</t>
  </si>
  <si>
    <t>EQ-PTO082</t>
  </si>
  <si>
    <t>Herramientas — Protecciones y defensas</t>
  </si>
  <si>
    <t>EQ-PTO083</t>
  </si>
  <si>
    <t>Herramientas — Ayuda de gremios</t>
  </si>
  <si>
    <t>EQ-PTO084</t>
  </si>
  <si>
    <t xml:space="preserve">Herramientas — Limpieza periódica </t>
  </si>
  <si>
    <t>EQ-PTO085</t>
  </si>
  <si>
    <t>Herramientas — Limpieza final de Obra</t>
  </si>
  <si>
    <t>EQ-PTO086</t>
  </si>
  <si>
    <t>Herramientas — Volquetes</t>
  </si>
  <si>
    <t>EQ-SILLET</t>
  </si>
  <si>
    <t>Kit Complementario Silleta Descensor Conector Soga X 50 Mts</t>
  </si>
  <si>
    <t>EQ-SOLD00</t>
  </si>
  <si>
    <t>Soldador Soplete A Gas Techista Membrana 10 Kg Boca 50mm</t>
  </si>
  <si>
    <t>EQ-TROMPO</t>
  </si>
  <si>
    <t>Hormigonera De 150 Litros 1hp Con Rueda Maciza</t>
  </si>
  <si>
    <t>EQ-PTO026</t>
  </si>
  <si>
    <t>Escalera madera pintor 8 escalones</t>
  </si>
  <si>
    <t>EQ-PTO087</t>
  </si>
  <si>
    <t>Equipos viales — Pala/retro 310J + Camión volcador 170E22 + Compactador pata cabra 612H</t>
  </si>
  <si>
    <t>EQ-PTO024</t>
  </si>
  <si>
    <t>EQUIPO DE CONSTRUCCION EN SECO</t>
  </si>
  <si>
    <t>EQ-REVOC</t>
  </si>
  <si>
    <t>Máquina revocadora Yeso/Revoque 3-en-1</t>
  </si>
  <si>
    <t>Ud</t>
  </si>
  <si>
    <t>Precio Unitario ($)</t>
  </si>
  <si>
    <t>SUB-PTO001</t>
  </si>
  <si>
    <t>M.Obra topografo</t>
  </si>
  <si>
    <t>d</t>
  </si>
  <si>
    <t>SUB-PTO002</t>
  </si>
  <si>
    <t>Flete madera</t>
  </si>
  <si>
    <t>SUB-PTO003</t>
  </si>
  <si>
    <t>Alquiler de baños quimico</t>
  </si>
  <si>
    <t>SUB-PTO004</t>
  </si>
  <si>
    <t>Limpieza adicional</t>
  </si>
  <si>
    <t>SUB-PTO005</t>
  </si>
  <si>
    <t>Alquiler de modulo de ducha</t>
  </si>
  <si>
    <t>SUB-PTO006</t>
  </si>
  <si>
    <t>Fletes de entrega y retiro</t>
  </si>
  <si>
    <t>SUB-PTO007</t>
  </si>
  <si>
    <t>Gestion suministro luz de obra</t>
  </si>
  <si>
    <t>SUB-PTO008</t>
  </si>
  <si>
    <t>Luz de Obra</t>
  </si>
  <si>
    <t>SUB-PTO009</t>
  </si>
  <si>
    <t>Medicion PAT luz de obra</t>
  </si>
  <si>
    <t>SUB-PTO010</t>
  </si>
  <si>
    <t>Desmonte y aporte de tosca</t>
  </si>
  <si>
    <t>SUB-PTO011</t>
  </si>
  <si>
    <t>Maquina 6 tn</t>
  </si>
  <si>
    <t>SUB-PTO012</t>
  </si>
  <si>
    <t>Viajes camión</t>
  </si>
  <si>
    <t>SUB-PTO013</t>
  </si>
  <si>
    <t>Traslado de maquina</t>
  </si>
  <si>
    <t>SUB-PTO014</t>
  </si>
  <si>
    <t>MO — Excavación manual para tensores y vigas de fundación</t>
  </si>
  <si>
    <t>SUB-PTO015</t>
  </si>
  <si>
    <t>Perforación</t>
  </si>
  <si>
    <t>SUB-PTO016</t>
  </si>
  <si>
    <t>Movilización</t>
  </si>
  <si>
    <t>SUB-PTO017</t>
  </si>
  <si>
    <t>MO H°A° — Platea - H30 (110 kg/m3 de hierro)</t>
  </si>
  <si>
    <t>SUB-PTO018</t>
  </si>
  <si>
    <t>MO H°A° — Zapata corrida tabique - H30 (180 kg/m3 de hi</t>
  </si>
  <si>
    <t>SUB-PTO019</t>
  </si>
  <si>
    <t>MO H°A° — Bases aisladas - H30 (110 kg/m3 de hierro)</t>
  </si>
  <si>
    <t>SUB-PTO020</t>
  </si>
  <si>
    <t>MO H°A° — Cabezales - H30 (130 kg/m3 de hierro)</t>
  </si>
  <si>
    <t>SUB-PTO021</t>
  </si>
  <si>
    <t>MO H°A° — Viga de  fundación - H30 (180 kg/m3 de hierro</t>
  </si>
  <si>
    <t>SUB-PTO022</t>
  </si>
  <si>
    <t>MO H°A° — Tabique submuración - H30 (90 kg/m3 de hierro</t>
  </si>
  <si>
    <t>SUB-PTO023</t>
  </si>
  <si>
    <t>MO H°A° — Puntales de compresión/codales - H30 (120 kg/</t>
  </si>
  <si>
    <t>SUB-PTO024</t>
  </si>
  <si>
    <t>MO H°A° — Columna - H30 (240 kg/m3 de hierro)</t>
  </si>
  <si>
    <t>SUB-PTO025</t>
  </si>
  <si>
    <t>MO H°A° — Tabiques - H30 (120 kg/m3 de hierro)</t>
  </si>
  <si>
    <t>SUB-PTO026</t>
  </si>
  <si>
    <t>MO H°A° — Viga H° Visto - H30 (120 kg/m3 de hierro)</t>
  </si>
  <si>
    <t>SUB-PTO027</t>
  </si>
  <si>
    <t>MO H°A° — Viga apeo s/PB - H30 (180 kg/m3 de hierro)</t>
  </si>
  <si>
    <t>SUB-PTO028</t>
  </si>
  <si>
    <t>MO H°A° — Viga - H30 (120 kg/m3 de hierro)</t>
  </si>
  <si>
    <t>SUB-PTO029</t>
  </si>
  <si>
    <t>MO H°A° — Losa - H30 (95 kg/m3 de hierro)</t>
  </si>
  <si>
    <t>SUB-PTO030</t>
  </si>
  <si>
    <t>MO H°A° — Losa H° Visto - H30 (95 kg/m3 de hierro)</t>
  </si>
  <si>
    <t>SUB-PTO031</t>
  </si>
  <si>
    <t>MO H°A° — Escalera - H30 (105 kg/m3)</t>
  </si>
  <si>
    <t>SUB-PTO032</t>
  </si>
  <si>
    <t>MO H°A° — Viga alero - H30 (120 kg/m3 de hierro)</t>
  </si>
  <si>
    <t>SUB-PTO033</t>
  </si>
  <si>
    <t>MO H°A° — Ensayos de Hormigon por etapas de hormigonado</t>
  </si>
  <si>
    <t>SUB-PTO034</t>
  </si>
  <si>
    <t>Buña en revoque</t>
  </si>
  <si>
    <t>SUB-PTO035</t>
  </si>
  <si>
    <t>SUB-PTO036</t>
  </si>
  <si>
    <t>Arista / Buña</t>
  </si>
  <si>
    <t>SUB-PTO037</t>
  </si>
  <si>
    <t>SUB-PTO039</t>
  </si>
  <si>
    <t>Cantonera</t>
  </si>
  <si>
    <t>SUB-PTO040</t>
  </si>
  <si>
    <t>M.O</t>
  </si>
  <si>
    <t>SUB-PTO041</t>
  </si>
  <si>
    <t>Plus por silleta y rendimiento (40%)</t>
  </si>
  <si>
    <t>SUB-PTO042</t>
  </si>
  <si>
    <t>Alquiler de balancin - Leiten 3,00 m</t>
  </si>
  <si>
    <t>SUB-PTO043</t>
  </si>
  <si>
    <t>SUB-PTO044</t>
  </si>
  <si>
    <t>SUB-PTO045</t>
  </si>
  <si>
    <t>MO — Amure Puertas de Ascensor - Provisión a cargo del comit</t>
  </si>
  <si>
    <t>SUB-PTO046</t>
  </si>
  <si>
    <t>Tablero seccional de 36 a 54 polos</t>
  </si>
  <si>
    <t>SUB-PTO047</t>
  </si>
  <si>
    <t>Tablero seccional de 8 a 36 polos</t>
  </si>
  <si>
    <t>SUB-PTO048</t>
  </si>
  <si>
    <t>Conexión de punto y toma</t>
  </si>
  <si>
    <t>SUB-PTO049</t>
  </si>
  <si>
    <t>Colocación artefacto</t>
  </si>
  <si>
    <t>SUB-PTO050</t>
  </si>
  <si>
    <t>Gabinete 4 medidores</t>
  </si>
  <si>
    <t>SUB-PTO051</t>
  </si>
  <si>
    <t>Gabinete 1 medidor trif</t>
  </si>
  <si>
    <t>SUB-PTO052</t>
  </si>
  <si>
    <t>[66030400] GAB 4 MED MONO C/TM + DIF (EDENOR)</t>
  </si>
  <si>
    <t>SUB-PTO053</t>
  </si>
  <si>
    <t>Bandeja portacable 300 mm</t>
  </si>
  <si>
    <t>SUB-PTO054</t>
  </si>
  <si>
    <t>Caja de toma</t>
  </si>
  <si>
    <t>SUB-PTO055</t>
  </si>
  <si>
    <t>PAT de Servicio</t>
  </si>
  <si>
    <t>SUB-PTO056</t>
  </si>
  <si>
    <t>Servicios grales T1</t>
  </si>
  <si>
    <t>SUB-PTO057</t>
  </si>
  <si>
    <t>MO — Colocación y armado de colectores solares - Provisión d</t>
  </si>
  <si>
    <t>SUB-PTO058</t>
  </si>
  <si>
    <t>Prefactibilidad</t>
  </si>
  <si>
    <t>SUB-PTO059</t>
  </si>
  <si>
    <t xml:space="preserve">MO — Tramites de habilitación municipal </t>
  </si>
  <si>
    <t>SUB-PTO060</t>
  </si>
  <si>
    <t>Preinstalacion M.O</t>
  </si>
  <si>
    <t>SUB-PTO061</t>
  </si>
  <si>
    <t>Instalacion y puesta en marcha</t>
  </si>
  <si>
    <t>SUB-PTO062</t>
  </si>
  <si>
    <t>Colocación extractor de aire en baño</t>
  </si>
  <si>
    <t>SUB-PTO063</t>
  </si>
  <si>
    <t>M.Obra plegado</t>
  </si>
  <si>
    <t>SUB-PTO064</t>
  </si>
  <si>
    <t>SUB-PTO065</t>
  </si>
  <si>
    <t>Cambio de cerraduras/ajuste de cerraduras</t>
  </si>
  <si>
    <t>SUB-PTO066</t>
  </si>
  <si>
    <t>Trabajo de carpintero, ajuste de hojas puerta placa</t>
  </si>
  <si>
    <t>SUB-PTO067</t>
  </si>
  <si>
    <t>SUB-PTO068</t>
  </si>
  <si>
    <t>SUB-PTO069</t>
  </si>
  <si>
    <t>SUB-PTO070</t>
  </si>
  <si>
    <t>MO — Fletes</t>
  </si>
  <si>
    <t>SUB-PTO071</t>
  </si>
  <si>
    <t>SUB-PTO072</t>
  </si>
  <si>
    <t>SUB-PTO073</t>
  </si>
  <si>
    <t>Colocación de membrana</t>
  </si>
  <si>
    <t>SUB-PTO074</t>
  </si>
  <si>
    <t>Costo adicional en concepto de babetas (MO/OTR genérico)</t>
  </si>
  <si>
    <t>SUB-PTO075</t>
  </si>
  <si>
    <t>MO — Tendido cloacal PB</t>
  </si>
  <si>
    <t>SUB-PTO076</t>
  </si>
  <si>
    <t>MO — Cloacal armado CDV en UF</t>
  </si>
  <si>
    <t>SUB-PTO077</t>
  </si>
  <si>
    <t>MO — Cloacal montantes/ventilación</t>
  </si>
  <si>
    <t>SUB-PTO078</t>
  </si>
  <si>
    <t>MO — Tendido pluvial PB</t>
  </si>
  <si>
    <t>SUB-PTO079</t>
  </si>
  <si>
    <t>MO — Tendido pluvial balcones/azoteas</t>
  </si>
  <si>
    <t>SUB-PTO080</t>
  </si>
  <si>
    <t>MO — AF/AC tendido PB y armado bombas</t>
  </si>
  <si>
    <t>SUB-PTO081</t>
  </si>
  <si>
    <t>MO — AF/AC colector TR y montantes</t>
  </si>
  <si>
    <t>SUB-PTO082</t>
  </si>
  <si>
    <t>MO — AF/AC colector TAR y bajadas ACS</t>
  </si>
  <si>
    <t>SUB-PTO083</t>
  </si>
  <si>
    <t>MO — AF/AC bomba presurizadora</t>
  </si>
  <si>
    <t>SUB-PTO084</t>
  </si>
  <si>
    <t>MO — AF/AC distribución planta tipo</t>
  </si>
  <si>
    <t>SUB-PTO085</t>
  </si>
  <si>
    <t>MO — Artefactos y griferías</t>
  </si>
  <si>
    <t>SUB-PTO086</t>
  </si>
  <si>
    <t>MO — Desagües AA.CC</t>
  </si>
  <si>
    <t>SUB-PTO087</t>
  </si>
  <si>
    <t>MO — Tendido cañería incendio</t>
  </si>
  <si>
    <t>SUB-PTO088</t>
  </si>
  <si>
    <t>MO — Tendido cañerías de gas</t>
  </si>
  <si>
    <t>SUB-PTO089</t>
  </si>
  <si>
    <t>MO — Colocación artefactos gas</t>
  </si>
  <si>
    <t>SUB-PTO090</t>
  </si>
  <si>
    <t>MAT — Preinstalación AA.CC. (provisión materiales)</t>
  </si>
  <si>
    <t>SUB-PTO091</t>
  </si>
  <si>
    <t>Gestor Gas — Prefactibilidad</t>
  </si>
  <si>
    <t>SUB-PTO092</t>
  </si>
  <si>
    <t>Gestor Gas — Parcial</t>
  </si>
  <si>
    <t>SUB-PTO093</t>
  </si>
  <si>
    <t>Gestor Gas — Final</t>
  </si>
  <si>
    <t>SUB-PTO094</t>
  </si>
  <si>
    <t>MO — Zócalo de concreto en escalera</t>
  </si>
  <si>
    <t>SUB-PTO095</t>
  </si>
  <si>
    <t>MO — Revestimiento plástico a llana tipo Quimtex en altura - Aire luz y balcones</t>
  </si>
  <si>
    <t>P#</t>
  </si>
  <si>
    <t>Rend.</t>
  </si>
  <si>
    <t>Cant Cons.</t>
  </si>
  <si>
    <t>% Cons. Desp.</t>
  </si>
  <si>
    <t>Grado Dif.</t>
  </si>
  <si>
    <t>MAT (sum/ud)</t>
  </si>
  <si>
    <t>MO (sum/día)</t>
  </si>
  <si>
    <t>EQ (sum/día)</t>
  </si>
  <si>
    <t># Comp.</t>
  </si>
  <si>
    <t>GDR MAT</t>
  </si>
  <si>
    <t>GDR MO</t>
  </si>
  <si>
    <t>GDR EQ</t>
  </si>
  <si>
    <t>APU-101</t>
  </si>
  <si>
    <t>101</t>
  </si>
  <si>
    <t>General</t>
  </si>
  <si>
    <t>Viga de Hormigon Armado - Encofrado Fenolico</t>
  </si>
  <si>
    <t>APU</t>
  </si>
  <si>
    <t>BAN-106</t>
  </si>
  <si>
    <t>106</t>
  </si>
  <si>
    <t>Bandeja</t>
  </si>
  <si>
    <t>Viga de Hormigon Armado - FE Doblado y Armado</t>
  </si>
  <si>
    <t>REVISAR — P-XX sin Unitario Materiales legible. Sin corrección pendiente. Chat 5.</t>
  </si>
  <si>
    <t>ALB-110</t>
  </si>
  <si>
    <t>110</t>
  </si>
  <si>
    <t>Viga de Hormigon Armado - Llenado</t>
  </si>
  <si>
    <t>AIS-113</t>
  </si>
  <si>
    <t>113</t>
  </si>
  <si>
    <t>Impermeabilizacion de azotea con pintura asfaltica / Barrera de vapor</t>
  </si>
  <si>
    <t>AIS-114</t>
  </si>
  <si>
    <t>114</t>
  </si>
  <si>
    <t>Babeta en Azotea con membrana Geotextil Ormiflex de 4mm, a soplete.</t>
  </si>
  <si>
    <t>REV-115</t>
  </si>
  <si>
    <t>115</t>
  </si>
  <si>
    <t>Revoque Grueso Exterior S/hidrofugo hasta 3.00 m</t>
  </si>
  <si>
    <t>Desvío MAT +2.8%. Probable redondeo de %desp vs APU original. Sin acción correctiva.</t>
  </si>
  <si>
    <t>REV-116</t>
  </si>
  <si>
    <t>116</t>
  </si>
  <si>
    <t>Cielorraso Desmontable 120x60 - incluye placa</t>
  </si>
  <si>
    <t>YES-117</t>
  </si>
  <si>
    <t>117</t>
  </si>
  <si>
    <t>Perfil buña Z / Cantonera</t>
  </si>
  <si>
    <t>YES-118</t>
  </si>
  <si>
    <t>118</t>
  </si>
  <si>
    <t>Bloque de Hormigon 10 x 19 x 39</t>
  </si>
  <si>
    <t>Desvío MO +2.5%. Desvío menor. Sin acción correctiva.</t>
  </si>
  <si>
    <t>PIN-119</t>
  </si>
  <si>
    <t>119</t>
  </si>
  <si>
    <t>Bloque de Hormigon 19 x 19 x 39</t>
  </si>
  <si>
    <t>ELE-120</t>
  </si>
  <si>
    <t>120</t>
  </si>
  <si>
    <t>BOCA ILUMINACIÓN</t>
  </si>
  <si>
    <t>ELE-121</t>
  </si>
  <si>
    <t>121</t>
  </si>
  <si>
    <t>BOCA TOMACORRIENTE</t>
  </si>
  <si>
    <t>BAN-122</t>
  </si>
  <si>
    <t>122</t>
  </si>
  <si>
    <t>BANDEJA PORTACABLES 200</t>
  </si>
  <si>
    <t>MO: MO-MOFA→MO-AYU02 (APU P-122 usa Ayudante Albañil $67,240, no Medio Oficial $72,132). cant=0.5925 para paridad con RESUMEN APU 06.25 ($11,167.82/ud). Hoja P-122 calcula $12,050.63 (cant=0.75×AYU02) — divergencia documentada.</t>
  </si>
  <si>
    <t>HHA-123</t>
  </si>
  <si>
    <t>123</t>
  </si>
  <si>
    <t>COLUMNA HORMIGÓN RÚSTICO 85 kg/m3</t>
  </si>
  <si>
    <t>HHA-124</t>
  </si>
  <si>
    <t>124</t>
  </si>
  <si>
    <t>COLUMNA HORMIGÓN VISTO</t>
  </si>
  <si>
    <t>CER-134</t>
  </si>
  <si>
    <t>134</t>
  </si>
  <si>
    <t>Revoque grueso para interiores</t>
  </si>
  <si>
    <t>EQ: EQ-TROMPO cant=0. APU P-134 lo incluye pero RESUMEN APU lo omitió; GDR tomó valor del RESUMEN ($172.59). Bug del RESUMEN APU — paridad preservada.</t>
  </si>
  <si>
    <t>CER-135</t>
  </si>
  <si>
    <t>135</t>
  </si>
  <si>
    <t>Revoque fino a la cal</t>
  </si>
  <si>
    <t>CER-136</t>
  </si>
  <si>
    <t>136</t>
  </si>
  <si>
    <t>Carpeta cal reforzada (e: 1,5 cm)</t>
  </si>
  <si>
    <t>CER-137</t>
  </si>
  <si>
    <t>137</t>
  </si>
  <si>
    <t>Látex interior para paredes (enduido parcial)</t>
  </si>
  <si>
    <t>EQ: EQ-EQUIPI ok. EQ-ESCPINT cant=1 agregado (fila nueva). MAT +0.24% residual: redondeo float APU $4251.394 vs GDR $4251.40.</t>
  </si>
  <si>
    <t>PIN-146</t>
  </si>
  <si>
    <t>146</t>
  </si>
  <si>
    <t>Látex interior para paredes (s/enduido)</t>
  </si>
  <si>
    <t>EQ: EQ-EQUIPI ok. EQ-ESCPINT cant=1 agregado (fila nueva).</t>
  </si>
  <si>
    <t>PRE-032</t>
  </si>
  <si>
    <t>32</t>
  </si>
  <si>
    <t>Movimiento de suelos para bases c/ aporte de tosca (e: 40 cm en 2 capas de 20 cm)</t>
  </si>
  <si>
    <t>EQ: EQ-PTO087 vida corregida 1año(360d)→1día; APU P-32 usa alquiler diario dep=1 → $1,005,000/día. EQ/ud=$40,200.</t>
  </si>
  <si>
    <t>ALB-033</t>
  </si>
  <si>
    <t>33</t>
  </si>
  <si>
    <t>Ladrillo común 12,5 x 5,5 x 25 (e:15 cm)</t>
  </si>
  <si>
    <t>ALB-034</t>
  </si>
  <si>
    <t>34</t>
  </si>
  <si>
    <t>Ladrillo cerámico 8 x 18 x 33 cm</t>
  </si>
  <si>
    <t>ALB-035</t>
  </si>
  <si>
    <t>35</t>
  </si>
  <si>
    <t>Ladrillo cerámico 12 x 18 x 33 cm</t>
  </si>
  <si>
    <t>ALB-036</t>
  </si>
  <si>
    <t>36</t>
  </si>
  <si>
    <t>Ladrillo cerámico 18 x 18 x 33 cm</t>
  </si>
  <si>
    <t>ALB-037</t>
  </si>
  <si>
    <t>37</t>
  </si>
  <si>
    <t>Pared DOBLE Comun / 5 / LHC 08 - (ladrillo a la vista)</t>
  </si>
  <si>
    <t>ALB-038</t>
  </si>
  <si>
    <t>38</t>
  </si>
  <si>
    <t>Ladrillo hueco portante 12 x 19 x 33</t>
  </si>
  <si>
    <t>ALB-039</t>
  </si>
  <si>
    <t>39</t>
  </si>
  <si>
    <t>Amure puertas tipo (0,90 x 2,00 m)</t>
  </si>
  <si>
    <t>ALB-040</t>
  </si>
  <si>
    <t>40</t>
  </si>
  <si>
    <t>Amure Premarcos</t>
  </si>
  <si>
    <t>ALB-041</t>
  </si>
  <si>
    <t>41</t>
  </si>
  <si>
    <t>Amure barandas (insertos c/1,00 m)</t>
  </si>
  <si>
    <t>EQ: EQ-EQUIP04 reemplazado por EQ-EQALBA (misma tarifa, vida útil 3 años vs 1 año en catálogo). EQ-EQUIP04 eliminado del catálogo EQUIPOS.</t>
  </si>
  <si>
    <t>IMP-042</t>
  </si>
  <si>
    <t>42</t>
  </si>
  <si>
    <t>Azotado hidrófugo</t>
  </si>
  <si>
    <t>REV-043</t>
  </si>
  <si>
    <t>43</t>
  </si>
  <si>
    <t>Interior jaharro a la cal + Enlucido a la cal</t>
  </si>
  <si>
    <t>REV-044</t>
  </si>
  <si>
    <t>44</t>
  </si>
  <si>
    <t>Revoque Grueso impermeable Exterior hasta 3.00 m - Incl. Azotado hidrófugo</t>
  </si>
  <si>
    <t>REV-045</t>
  </si>
  <si>
    <t>45</t>
  </si>
  <si>
    <t>Revoque Grueso impermeable Exterior a mas de 3.00 m - Incl. Azotado hidrófugo</t>
  </si>
  <si>
    <t>REV-046</t>
  </si>
  <si>
    <t>46</t>
  </si>
  <si>
    <t>Contrapiso HHRP</t>
  </si>
  <si>
    <t>REV-047</t>
  </si>
  <si>
    <t>47</t>
  </si>
  <si>
    <t>Carpeta MC 1:3 (e: 2cm)</t>
  </si>
  <si>
    <t>REV-048</t>
  </si>
  <si>
    <t>48</t>
  </si>
  <si>
    <t>Carpeta monolítico h = 7 cm</t>
  </si>
  <si>
    <t>REV-049</t>
  </si>
  <si>
    <t>49</t>
  </si>
  <si>
    <t>Carpeta hidrófuga (e: 2 cm)</t>
  </si>
  <si>
    <t>CON-050</t>
  </si>
  <si>
    <t>50</t>
  </si>
  <si>
    <t>Cemento alisado o cilindrado (e: 3 cm)</t>
  </si>
  <si>
    <t>CON-051</t>
  </si>
  <si>
    <t>51</t>
  </si>
  <si>
    <t>Látex interior para paredes (incl. enduido)</t>
  </si>
  <si>
    <t>EQ: EQ-EQUIPI cant=2 ok. EQ-ESCPINT cant=2 agregado. MAT: OTR-PINT014 cant corregida 0.005→0.004; MAT-CONS consolidada cant=142.84 (rodillo+pincel+cartón).</t>
  </si>
  <si>
    <t>CON-052</t>
  </si>
  <si>
    <t>52</t>
  </si>
  <si>
    <t>látex para cielorrasos  (incl. enduido)</t>
  </si>
  <si>
    <t>EQ: EQ-ESCPINT cant=1 agregado. MAT: MAT-CONS consolidada cant=142.84 (rodillo+pincel+cartón).</t>
  </si>
  <si>
    <t>CON-053</t>
  </si>
  <si>
    <t>53</t>
  </si>
  <si>
    <t>látex exterior para paredes hasta 3.00 m de altura</t>
  </si>
  <si>
    <t>CON-053B</t>
  </si>
  <si>
    <t>látex exterior para paredes a más 3.00 m de altura</t>
  </si>
  <si>
    <t>GDR_EQ congelado divergente vs APU P-53bis ($134.91 vs $254.81). EQ correcto según P-53bis. No corregir GDR.</t>
  </si>
  <si>
    <t>CON-054</t>
  </si>
  <si>
    <t>54</t>
  </si>
  <si>
    <t>Esmalte sintético sobre carpintería metálica , herrería (cuando es vacio x lleno contemplar MAT al 6</t>
  </si>
  <si>
    <t>EQ: EQ-ESCPINT→EQ-ESCPINT ok. MAT: MAT-CONS consolidada cant=199.85 (rodillo+pincel+cartón APU P-54).</t>
  </si>
  <si>
    <t>PIR-055</t>
  </si>
  <si>
    <t>55</t>
  </si>
  <si>
    <t>Revestimiento plastico texturado tipo Quimtex fino</t>
  </si>
  <si>
    <t>EQ: EQ-*ESCALE1→EQ-ESCPINT (escalera madera pintor $217.65, APU P-55).</t>
  </si>
  <si>
    <t>PIR-056</t>
  </si>
  <si>
    <t>56</t>
  </si>
  <si>
    <t>Colocación porcelanato en pisos (no incluye baños)</t>
  </si>
  <si>
    <t>EQ: EQ-EQCERA ok. EQ-CORTA cant=1 agregado (fila nueva).</t>
  </si>
  <si>
    <t>PIR-057</t>
  </si>
  <si>
    <t>57</t>
  </si>
  <si>
    <t>Revestimiento porcelanato en paredes y piso baños</t>
  </si>
  <si>
    <t>CER-058</t>
  </si>
  <si>
    <t>58</t>
  </si>
  <si>
    <t>Colocacion de zocalo porcelanato</t>
  </si>
  <si>
    <t>CER-059</t>
  </si>
  <si>
    <t>59</t>
  </si>
  <si>
    <t>Látex interior satinado para paredes</t>
  </si>
  <si>
    <t>EQ: EQ-*ESCALE1→EQ-ESCPINT (escalera madera pintor $217.65, APU P-59).</t>
  </si>
  <si>
    <t>CER-060</t>
  </si>
  <si>
    <t>60</t>
  </si>
  <si>
    <t>Cielorraso Durlock - Junta Tomada STD</t>
  </si>
  <si>
    <t>CER-061</t>
  </si>
  <si>
    <t>61</t>
  </si>
  <si>
    <t>Cielorraso Durlock - Junta Tomada RH</t>
  </si>
  <si>
    <t>CER-062</t>
  </si>
  <si>
    <t>62</t>
  </si>
  <si>
    <t>Cielorraso Durlock - Junta Tomada RF</t>
  </si>
  <si>
    <t>CER-063</t>
  </si>
  <si>
    <t>63</t>
  </si>
  <si>
    <t>Cielorraso Desmontable 60x60 - sin provision</t>
  </si>
  <si>
    <t>CER-063B</t>
  </si>
  <si>
    <t>Cielorraso Desmontable 60x60 - incluye placa  Deco Vinyl</t>
  </si>
  <si>
    <t>MAT: REV-TRAV122→REV-TRAV060 (Travesaño 0.60m $793, APU P-63). REV-DECOVINYL60 eliminado (no en APU). desp corregido 10%→5% en LARG366, TRAV060, FIJ8, ALAMB14.</t>
  </si>
  <si>
    <t>CER-064</t>
  </si>
  <si>
    <t>64</t>
  </si>
  <si>
    <t>Pared Durlock - Simple</t>
  </si>
  <si>
    <t>DRY-065</t>
  </si>
  <si>
    <t>65</t>
  </si>
  <si>
    <t>Pared Durlock - Doble placa STD ambas caras y asilación lana de vidrio</t>
  </si>
  <si>
    <t>DRY-066</t>
  </si>
  <si>
    <t>66</t>
  </si>
  <si>
    <t>Medio tabique espesor total 8,5 cm</t>
  </si>
  <si>
    <t>GDR_EQ divergente vs APU P-66 ($441.16 vs $240.63). Composición correcta según APU. Chat 7+.</t>
  </si>
  <si>
    <t>DRY-067</t>
  </si>
  <si>
    <t>67</t>
  </si>
  <si>
    <t>Esmalte sintetico para paredes</t>
  </si>
  <si>
    <t>EQ: EQ-*ESCALE1→EQ-ESCPINT.</t>
  </si>
  <si>
    <t>DRY-068</t>
  </si>
  <si>
    <t>68</t>
  </si>
  <si>
    <t>Ladrillo Klimablock 27 x 19 x 30 cm</t>
  </si>
  <si>
    <t>IMP-070</t>
  </si>
  <si>
    <t>70</t>
  </si>
  <si>
    <t>Impermeabilización de cubierta transitable sobre carpeta horizontal con membrana Geotextil de 4mm, a</t>
  </si>
  <si>
    <t>CUB-071</t>
  </si>
  <si>
    <t>71</t>
  </si>
  <si>
    <t>Impermeabilización de cubierta con Malla no tejida de poliester y pintura poliuretánica</t>
  </si>
  <si>
    <t>EQ: EQ-KITPIN→EQ-EQUIPI (APU P-71 usa *KITPINT=vida 2a/720d=$1873.40, no vida 1a). MAT: rodillo+pincel+trapo (filas sin código APU) consolidados en MAT-CONS cant=126.45.</t>
  </si>
  <si>
    <t>AIS-072</t>
  </si>
  <si>
    <t>72</t>
  </si>
  <si>
    <t>Revoque Exterior 3 en 1 hasta 3,00 m</t>
  </si>
  <si>
    <t>EQ: EQ-REVOC vida corregida 1año(360d)→30días; APU P-72 usa alquiler mensual $1,230,000/mes dep=1/30 → $41,000/día.</t>
  </si>
  <si>
    <t>AIS-073</t>
  </si>
  <si>
    <t>73</t>
  </si>
  <si>
    <t>Pintura sobre pared existente</t>
  </si>
  <si>
    <t>AIS-075</t>
  </si>
  <si>
    <t>75</t>
  </si>
  <si>
    <t>Ladrillo hueco portante 18 x 19 x 33</t>
  </si>
  <si>
    <t>PIN-080</t>
  </si>
  <si>
    <t>80</t>
  </si>
  <si>
    <t>Provision, preparacion y colocacion de acero de refuerzo en Vigas de Fundacion</t>
  </si>
  <si>
    <t>kgf</t>
  </si>
  <si>
    <t>PIN-081</t>
  </si>
  <si>
    <t>81</t>
  </si>
  <si>
    <t>Provision, preparacion y colocacion de acero de refuerzo en Columnas</t>
  </si>
  <si>
    <t>PIN-082</t>
  </si>
  <si>
    <t>82</t>
  </si>
  <si>
    <t>Provision, preparacion y colocacion de acero de refuerzo en Vigas</t>
  </si>
  <si>
    <t>PIN-083</t>
  </si>
  <si>
    <t>83</t>
  </si>
  <si>
    <t>Provision, preparacion y colocacion de acero de refuerzo en Losa (arm inf)</t>
  </si>
  <si>
    <t>PIN-084</t>
  </si>
  <si>
    <t>84</t>
  </si>
  <si>
    <t>Provision y colocacion de malla de acero de refuerzo Q335 en Losas (arm sup)</t>
  </si>
  <si>
    <t>APU-005</t>
  </si>
  <si>
    <t>5</t>
  </si>
  <si>
    <t>Provision, preparacion y colocacion de acero de refuerzo en Escaleras</t>
  </si>
  <si>
    <t>PIN-086</t>
  </si>
  <si>
    <t>86</t>
  </si>
  <si>
    <t>Provision, preparacion y colocacion de acero de refuerzo en Tabiques</t>
  </si>
  <si>
    <t>ENC-087</t>
  </si>
  <si>
    <t>87</t>
  </si>
  <si>
    <t>Encofrado de Madera - Acabado Normal en Vigas de Fundacion</t>
  </si>
  <si>
    <t>ENC-088</t>
  </si>
  <si>
    <t>88</t>
  </si>
  <si>
    <t>Encofrado de Madera - Acabado Normal en Losa</t>
  </si>
  <si>
    <t>ENC-089</t>
  </si>
  <si>
    <t>89</t>
  </si>
  <si>
    <t>Encofrado de Madera - Acabado Normal en Escalera</t>
  </si>
  <si>
    <t>ENC-090</t>
  </si>
  <si>
    <t>90</t>
  </si>
  <si>
    <t>Encofrado de Madera - Acabado VISTO en Losas</t>
  </si>
  <si>
    <t>ENC-091</t>
  </si>
  <si>
    <t>91</t>
  </si>
  <si>
    <t>Encofrado de Madera - Acabado VISTO en Tabiques</t>
  </si>
  <si>
    <t>Desvío MO +2.6%. Desvío menor. Sin acción correctiva.</t>
  </si>
  <si>
    <t>MAT: OTR-PTO081B=Carpeta APU06.25!E30 ($4,251.40 ref P-51, no P-47 $3,420). EQ-PTO033 tarifa actualizada a 1.5%x(MAT+MO)_GDR=$5,957.87.</t>
  </si>
  <si>
    <t>GDR_MO divergente vs APU P-42 ($8648.10 vs $4324.05). PTO-0903 no aparece como item separado en hoja Tareas del presupuesto (seccion 9 solo tiene 9.01 alisado + 9.02 nariz metalica). GDR no verificable contra Tareas. Composicion cargada segun APU P-42 (Rend=28).</t>
  </si>
  <si>
    <t>GDR_MO divergente vs APU P-60 (23784.72 vs 17506.24 APU). MO operativa cargada según APU. Rend corregido 1→9.5. Chat 7. | GDR_EQ divergente vs APU P-60 ($468.19 vs $286.65). Composición correcta según APU. Chat 7+.</t>
  </si>
  <si>
    <t>EQ: EQ-*ESCALE1→EQ-ESCPINT (espejo de PIR-055/P-55).</t>
  </si>
  <si>
    <t>GDR_MO divergente vs APU P-55 (17291.27 vs 12350.90 APU). MO operativa cargada según APU. Chat 7. | Tareas R187-192: MO/m2=9286.81 (base+plus silleta+balancin/861m2), tampoco coincide con GDR. GDR no reconciliable contra Tareas ni APU P-55. Composicion correcta segun APU P-55.</t>
  </si>
  <si>
    <t>BOCA VACIA C/CABLE TESTIGO</t>
  </si>
  <si>
    <t>GDR_EQ congelado divergente vs APU P-148 (1177.93 vs 1812.20 APU). Rend corregido 1→3.25. Chat 7. | GDR_MO también divergente (32283.53 vs 49666.97 APU).</t>
  </si>
  <si>
    <t>Partida</t>
  </si>
  <si>
    <t>Subtipo</t>
  </si>
  <si>
    <t>Cod_Insumo</t>
  </si>
  <si>
    <t>Cant</t>
  </si>
  <si>
    <t>%Desp</t>
  </si>
  <si>
    <t>Precio</t>
  </si>
  <si>
    <t>Costo</t>
  </si>
  <si>
    <t>Clave</t>
  </si>
  <si>
    <t>Count</t>
  </si>
  <si>
    <t>Clave2</t>
  </si>
  <si>
    <t>MO</t>
  </si>
  <si>
    <t>ALB</t>
  </si>
  <si>
    <t>MAT</t>
  </si>
  <si>
    <t>OTR</t>
  </si>
  <si>
    <t>EQ</t>
  </si>
  <si>
    <t>COR</t>
  </si>
  <si>
    <t>Proveedor</t>
  </si>
  <si>
    <t>Fecha Cotiz.</t>
  </si>
  <si>
    <t>Nota</t>
  </si>
  <si>
    <t>Equipo propio</t>
  </si>
  <si>
    <t>Herramientas — Preliminares</t>
  </si>
  <si>
    <t>Herramientas — Hormigón</t>
  </si>
  <si>
    <t>Herramientas — Albañilería</t>
  </si>
  <si>
    <t>Herramientas — Terminaciones</t>
  </si>
  <si>
    <t>Herramientas — Instalaciones</t>
  </si>
  <si>
    <t>Alquiler diario</t>
  </si>
  <si>
    <t>Electricidad — Gestión</t>
  </si>
  <si>
    <t>Movimiento de suelos</t>
  </si>
  <si>
    <t>Hormigón — Mano de obra</t>
  </si>
  <si>
    <t>Hormigón — Ensayos</t>
  </si>
  <si>
    <t>Electricidad — Instalación</t>
  </si>
  <si>
    <t>Calefacción — AA.CC</t>
  </si>
  <si>
    <t>Gastos generales</t>
  </si>
  <si>
    <t>Impermeabilización</t>
  </si>
  <si>
    <t>MOVIMIENTO DE TIERRA</t>
  </si>
  <si>
    <t>ESTRUCTURA DE HORMIGÓN ARMADO</t>
  </si>
  <si>
    <t>IMPERMEABILIZACIONES Y AISLACIONES</t>
  </si>
  <si>
    <t>REVOQUES FINOS Y CIELORRASOS</t>
  </si>
  <si>
    <t>INSTALACIÓN ELÉCTRICA</t>
  </si>
  <si>
    <t>INSTALACIONES SANITARIAS</t>
  </si>
  <si>
    <t>AIRE ACONDICIONADO</t>
  </si>
  <si>
    <t>EQUIPAMIENTO</t>
  </si>
  <si>
    <t>TRABAJOS COMPLEMENTARIOS</t>
  </si>
  <si>
    <t>AYUDA DE GREMIOS Y GGBB</t>
  </si>
  <si>
    <t>HONORARIOS Y JEFATURA DE OBRA</t>
  </si>
  <si>
    <t>METÁLICOS</t>
  </si>
  <si>
    <t>PRELIMINARES</t>
  </si>
  <si>
    <t>Viga defundación - H30 (180 kg/m3 de hierro)</t>
  </si>
  <si>
    <t>MAMPOSTERÍA</t>
  </si>
  <si>
    <t>Muro tipo 4 (divisorio de unidades y fachadas) e: 15 cm -Ladrillo hueco 12 x 1</t>
  </si>
  <si>
    <t>CONTRAPISOS</t>
  </si>
  <si>
    <t>REVOQUES</t>
  </si>
  <si>
    <t>AISLACIONES</t>
  </si>
  <si>
    <t>PISOS</t>
  </si>
  <si>
    <t>CERÁMICOS</t>
  </si>
  <si>
    <t>CARPINTERÍA</t>
  </si>
  <si>
    <t>Colocación de baldosas en palieres- Provisión a cargo del comitente</t>
  </si>
  <si>
    <t>HERRERÍA</t>
  </si>
  <si>
    <t>CUBIERTAS</t>
  </si>
  <si>
    <t>PINTURA</t>
  </si>
  <si>
    <t>ASCENSOR</t>
  </si>
  <si>
    <t>Amure de puertas placaProvisión a cargo del comitente</t>
  </si>
  <si>
    <t>CALEFACCIÓN</t>
  </si>
  <si>
    <t>VARIOS</t>
  </si>
  <si>
    <t>INCENDIO</t>
  </si>
  <si>
    <t>ELECTRICIDAD</t>
  </si>
  <si>
    <t>DURLOCK</t>
  </si>
  <si>
    <t>PTO-1910</t>
  </si>
  <si>
    <t>ENCOFRADO</t>
  </si>
  <si>
    <t>MO-EAYUD</t>
  </si>
  <si>
    <t>ESPECIALIZADO</t>
  </si>
  <si>
    <t>Unidad de medida</t>
  </si>
  <si>
    <t>Rend. Part.</t>
  </si>
  <si>
    <t>j</t>
  </si>
  <si>
    <t>Cant MO/ALB Unit</t>
  </si>
  <si>
    <t>Cant. Ej. Part.</t>
  </si>
  <si>
    <t>Cant MO/ALB Total</t>
  </si>
  <si>
    <t>en PPTO?</t>
  </si>
  <si>
    <t>Rubro MO/ALB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</si>
</sst>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0.000%"/>
    <numFmt numFmtId="167" formatCode="_(* #,##0_);_(* \(#,##0\);_(* &quot;-&quot;??_);_(@_)"/>
  </numFmts>
  <fonts count="2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B2A4A"/>
      <name val="Arial"/>
      <family val="2"/>
      <charset val="1"/>
    </font>
    <font>
      <sz val="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name val="Arial"/>
      <family val="2"/>
      <charset val="1"/>
    </font>
    <font>
      <sz val="11"/>
      <color theme="1"/>
      <name val="Calibri"/>
      <family val="2"/>
      <charset val="1"/>
    </font>
    <font>
      <b/>
      <sz val="9"/>
      <color rgb="FFFFFFFF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0"/>
      <color rgb="FFFFFFFF"/>
      <name val="Calibri"/>
      <family val="2"/>
      <charset val="1"/>
    </font>
    <font>
      <sz val="9"/>
      <color rgb="FF00B050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1B2A4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9"/>
      <color rgb="FF0000FF"/>
      <name val="Calibri"/>
      <family val="2"/>
    </font>
    <font>
      <sz val="10"/>
      <color rgb="FF008000"/>
      <name val="Calibri"/>
      <family val="2"/>
      <charset val="1"/>
    </font>
    <font>
      <sz val="10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EEF2F8"/>
      </patternFill>
    </fill>
    <fill>
      <patternFill patternType="solid">
        <fgColor rgb="FFEEF2F8"/>
        <bgColor rgb="FFE2EFDA"/>
      </patternFill>
    </fill>
    <fill>
      <patternFill patternType="solid">
        <fgColor rgb="FF1B2A4A"/>
        <bgColor rgb="FF1F3864"/>
      </patternFill>
    </fill>
    <fill>
      <patternFill patternType="solid">
        <fgColor theme="4"/>
        <bgColor rgb="FF1F3864"/>
      </patternFill>
    </fill>
    <fill>
      <patternFill patternType="solid">
        <fgColor rgb="FFD9E2F3"/>
        <bgColor rgb="FFD9E1F2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theme="1" tint="0.34949797051911985"/>
      </left>
      <right style="thin">
        <color rgb="FFCCCCCC"/>
      </right>
      <top style="medium">
        <color theme="1" tint="0.34949797051911985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theme="1" tint="0.34949797051911985"/>
      </top>
      <bottom style="thin">
        <color rgb="FFCCCCCC"/>
      </bottom>
      <diagonal/>
    </border>
    <border>
      <left style="thin">
        <color rgb="FFCCCCCC"/>
      </left>
      <right/>
      <top style="medium">
        <color theme="1" tint="0.34949797051911985"/>
      </top>
      <bottom style="thin">
        <color rgb="FFCCCCCC"/>
      </bottom>
      <diagonal/>
    </border>
    <border>
      <left style="thin">
        <color rgb="FFCCCCCC"/>
      </left>
      <right style="medium">
        <color theme="1" tint="0.34949797051911985"/>
      </right>
      <top style="medium">
        <color theme="1" tint="0.34949797051911985"/>
      </top>
      <bottom style="thin">
        <color rgb="FFCCCCCC"/>
      </bottom>
      <diagonal/>
    </border>
    <border>
      <left style="medium">
        <color theme="1" tint="0.34949797051911985"/>
      </left>
      <right style="medium">
        <color theme="1" tint="0.34949797051911985"/>
      </right>
      <top style="medium">
        <color theme="1" tint="0.34949797051911985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theme="1" tint="0.34949797051911985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theme="1" tint="0.34949797051911985"/>
      </right>
      <top style="thin">
        <color rgb="FFCCCCCC"/>
      </top>
      <bottom style="thin">
        <color rgb="FFCCCCCC"/>
      </bottom>
      <diagonal/>
    </border>
    <border>
      <left style="medium">
        <color theme="1" tint="0.34949797051911985"/>
      </left>
      <right style="medium">
        <color theme="1" tint="0.34949797051911985"/>
      </right>
      <top style="thin">
        <color rgb="FFCCCCCC"/>
      </top>
      <bottom style="thin">
        <color rgb="FFCCCCCC"/>
      </bottom>
      <diagonal/>
    </border>
    <border>
      <left style="medium">
        <color theme="1" tint="0.34949797051911985"/>
      </left>
      <right style="thin">
        <color rgb="FFCCCCCC"/>
      </right>
      <top style="thin">
        <color rgb="FFCCCCCC"/>
      </top>
      <bottom style="medium">
        <color theme="1" tint="0.3494979705191198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1" tint="0.34949797051911985"/>
      </bottom>
      <diagonal/>
    </border>
    <border>
      <left style="thin">
        <color rgb="FFCCCCCC"/>
      </left>
      <right/>
      <top style="thin">
        <color rgb="FFCCCCCC"/>
      </top>
      <bottom style="medium">
        <color theme="1" tint="0.34949797051911985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medium">
        <color theme="1" tint="0.34949797051911985"/>
      </right>
      <top style="thin">
        <color rgb="FFCCCCCC"/>
      </top>
      <bottom style="medium">
        <color theme="1" tint="0.34949797051911985"/>
      </bottom>
      <diagonal/>
    </border>
    <border>
      <left style="medium">
        <color theme="1" tint="0.34949797051911985"/>
      </left>
      <right style="medium">
        <color theme="1" tint="0.34949797051911985"/>
      </right>
      <top style="thin">
        <color rgb="FFCCCCCC"/>
      </top>
      <bottom style="medium">
        <color theme="1" tint="0.34949797051911985"/>
      </bottom>
      <diagonal/>
    </border>
    <border>
      <left style="thin">
        <color rgb="FFCCCCCC"/>
      </left>
      <right style="medium">
        <color theme="0" tint="-0.499984740745262"/>
      </right>
      <top style="medium">
        <color theme="0" tint="-0.499984740745262"/>
      </top>
      <bottom style="thin">
        <color rgb="FFCCCCCC"/>
      </bottom>
      <diagonal/>
    </border>
    <border>
      <left style="thin">
        <color rgb="FFCCCCCC"/>
      </left>
      <right style="medium">
        <color theme="0" tint="-0.499984740745262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7" fontId="8" fillId="2" borderId="1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9" fillId="0" borderId="1" xfId="0" applyFont="1" applyBorder="1"/>
    <xf numFmtId="167" fontId="9" fillId="0" borderId="1" xfId="1" applyNumberFormat="1" applyFont="1" applyBorder="1"/>
    <xf numFmtId="0" fontId="9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7" fontId="2" fillId="0" borderId="0" xfId="1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9" fillId="0" borderId="1" xfId="0" applyNumberFormat="1" applyFont="1" applyBorder="1"/>
    <xf numFmtId="0" fontId="11" fillId="0" borderId="1" xfId="0" applyFont="1" applyBorder="1"/>
    <xf numFmtId="164" fontId="2" fillId="0" borderId="0" xfId="0" applyNumberFormat="1" applyFont="1"/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" fillId="0" borderId="0" xfId="0" applyFont="1"/>
    <xf numFmtId="165" fontId="1" fillId="0" borderId="0" xfId="0" applyNumberFormat="1" applyFont="1"/>
    <xf numFmtId="165" fontId="10" fillId="0" borderId="1" xfId="0" applyNumberFormat="1" applyFont="1" applyBorder="1"/>
    <xf numFmtId="9" fontId="14" fillId="0" borderId="0" xfId="0" applyNumberFormat="1" applyFont="1"/>
    <xf numFmtId="165" fontId="10" fillId="5" borderId="1" xfId="0" applyNumberFormat="1" applyFont="1" applyFill="1" applyBorder="1"/>
    <xf numFmtId="0" fontId="10" fillId="5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7" fillId="0" borderId="0" xfId="0" applyNumberFormat="1" applyFont="1"/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65" fontId="19" fillId="2" borderId="8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/>
    <xf numFmtId="0" fontId="20" fillId="3" borderId="2" xfId="0" applyFont="1" applyFill="1" applyBorder="1"/>
    <xf numFmtId="0" fontId="21" fillId="3" borderId="9" xfId="0" applyFont="1" applyFill="1" applyBorder="1"/>
    <xf numFmtId="0" fontId="21" fillId="3" borderId="1" xfId="0" applyFont="1" applyFill="1" applyBorder="1"/>
    <xf numFmtId="0" fontId="20" fillId="3" borderId="9" xfId="0" applyFont="1" applyFill="1" applyBorder="1"/>
    <xf numFmtId="0" fontId="20" fillId="3" borderId="10" xfId="0" applyFont="1" applyFill="1" applyBorder="1"/>
    <xf numFmtId="0" fontId="20" fillId="3" borderId="11" xfId="0" applyFont="1" applyFill="1" applyBorder="1"/>
    <xf numFmtId="165" fontId="20" fillId="3" borderId="8" xfId="0" applyNumberFormat="1" applyFont="1" applyFill="1" applyBorder="1"/>
    <xf numFmtId="165" fontId="20" fillId="3" borderId="1" xfId="0" applyNumberFormat="1" applyFont="1" applyFill="1" applyBorder="1"/>
    <xf numFmtId="165" fontId="22" fillId="0" borderId="9" xfId="0" applyNumberFormat="1" applyFont="1" applyBorder="1"/>
    <xf numFmtId="165" fontId="22" fillId="0" borderId="1" xfId="0" applyNumberFormat="1" applyFont="1" applyBorder="1"/>
    <xf numFmtId="165" fontId="20" fillId="0" borderId="2" xfId="0" applyNumberFormat="1" applyFont="1" applyBorder="1"/>
    <xf numFmtId="165" fontId="14" fillId="0" borderId="9" xfId="0" applyNumberFormat="1" applyFont="1" applyBorder="1"/>
    <xf numFmtId="165" fontId="14" fillId="0" borderId="1" xfId="0" applyNumberFormat="1" applyFont="1" applyBorder="1"/>
    <xf numFmtId="165" fontId="20" fillId="0" borderId="10" xfId="0" applyNumberFormat="1" applyFont="1" applyBorder="1"/>
    <xf numFmtId="165" fontId="20" fillId="0" borderId="11" xfId="0" applyNumberFormat="1" applyFont="1" applyBorder="1"/>
    <xf numFmtId="165" fontId="14" fillId="0" borderId="8" xfId="0" applyNumberFormat="1" applyFont="1" applyBorder="1"/>
    <xf numFmtId="0" fontId="14" fillId="0" borderId="1" xfId="0" applyFont="1" applyBorder="1"/>
    <xf numFmtId="165" fontId="22" fillId="5" borderId="9" xfId="0" applyNumberFormat="1" applyFont="1" applyFill="1" applyBorder="1"/>
    <xf numFmtId="165" fontId="22" fillId="5" borderId="1" xfId="0" applyNumberFormat="1" applyFont="1" applyFill="1" applyBorder="1"/>
    <xf numFmtId="165" fontId="20" fillId="5" borderId="2" xfId="0" applyNumberFormat="1" applyFont="1" applyFill="1" applyBorder="1"/>
    <xf numFmtId="165" fontId="14" fillId="5" borderId="9" xfId="0" applyNumberFormat="1" applyFont="1" applyFill="1" applyBorder="1"/>
    <xf numFmtId="165" fontId="14" fillId="5" borderId="1" xfId="0" applyNumberFormat="1" applyFont="1" applyFill="1" applyBorder="1"/>
    <xf numFmtId="165" fontId="20" fillId="5" borderId="10" xfId="0" applyNumberFormat="1" applyFont="1" applyFill="1" applyBorder="1"/>
    <xf numFmtId="165" fontId="20" fillId="5" borderId="11" xfId="0" applyNumberFormat="1" applyFont="1" applyFill="1" applyBorder="1"/>
    <xf numFmtId="165" fontId="14" fillId="5" borderId="8" xfId="0" applyNumberFormat="1" applyFont="1" applyFill="1" applyBorder="1"/>
    <xf numFmtId="0" fontId="14" fillId="5" borderId="1" xfId="0" applyFont="1" applyFill="1" applyBorder="1"/>
    <xf numFmtId="165" fontId="21" fillId="3" borderId="9" xfId="0" applyNumberFormat="1" applyFont="1" applyFill="1" applyBorder="1"/>
    <xf numFmtId="165" fontId="21" fillId="3" borderId="1" xfId="0" applyNumberFormat="1" applyFont="1" applyFill="1" applyBorder="1"/>
    <xf numFmtId="165" fontId="20" fillId="3" borderId="2" xfId="0" applyNumberFormat="1" applyFont="1" applyFill="1" applyBorder="1"/>
    <xf numFmtId="165" fontId="20" fillId="3" borderId="9" xfId="0" applyNumberFormat="1" applyFont="1" applyFill="1" applyBorder="1"/>
    <xf numFmtId="165" fontId="20" fillId="3" borderId="10" xfId="0" applyNumberFormat="1" applyFont="1" applyFill="1" applyBorder="1"/>
    <xf numFmtId="165" fontId="20" fillId="3" borderId="11" xfId="0" applyNumberFormat="1" applyFont="1" applyFill="1" applyBorder="1"/>
    <xf numFmtId="165" fontId="22" fillId="5" borderId="12" xfId="0" applyNumberFormat="1" applyFont="1" applyFill="1" applyBorder="1"/>
    <xf numFmtId="165" fontId="22" fillId="5" borderId="13" xfId="0" applyNumberFormat="1" applyFont="1" applyFill="1" applyBorder="1"/>
    <xf numFmtId="165" fontId="20" fillId="5" borderId="14" xfId="0" applyNumberFormat="1" applyFont="1" applyFill="1" applyBorder="1"/>
    <xf numFmtId="0" fontId="19" fillId="2" borderId="1" xfId="0" applyFont="1" applyFill="1" applyBorder="1"/>
    <xf numFmtId="165" fontId="19" fillId="2" borderId="15" xfId="0" applyNumberFormat="1" applyFont="1" applyFill="1" applyBorder="1"/>
    <xf numFmtId="165" fontId="19" fillId="2" borderId="16" xfId="0" applyNumberFormat="1" applyFont="1" applyFill="1" applyBorder="1"/>
    <xf numFmtId="165" fontId="19" fillId="2" borderId="12" xfId="0" applyNumberFormat="1" applyFont="1" applyFill="1" applyBorder="1"/>
    <xf numFmtId="165" fontId="19" fillId="2" borderId="13" xfId="0" applyNumberFormat="1" applyFont="1" applyFill="1" applyBorder="1"/>
    <xf numFmtId="165" fontId="19" fillId="2" borderId="17" xfId="0" applyNumberFormat="1" applyFont="1" applyFill="1" applyBorder="1"/>
    <xf numFmtId="165" fontId="19" fillId="2" borderId="18" xfId="0" applyNumberFormat="1" applyFont="1" applyFill="1" applyBorder="1"/>
    <xf numFmtId="165" fontId="19" fillId="2" borderId="8" xfId="0" applyNumberFormat="1" applyFont="1" applyFill="1" applyBorder="1"/>
    <xf numFmtId="165" fontId="19" fillId="2" borderId="1" xfId="0" applyNumberFormat="1" applyFont="1" applyFill="1" applyBorder="1"/>
    <xf numFmtId="165" fontId="18" fillId="0" borderId="0" xfId="0" applyNumberFormat="1" applyFont="1"/>
    <xf numFmtId="166" fontId="18" fillId="0" borderId="0" xfId="0" applyNumberFormat="1" applyFont="1"/>
    <xf numFmtId="165" fontId="23" fillId="0" borderId="0" xfId="0" applyNumberFormat="1" applyFont="1"/>
    <xf numFmtId="10" fontId="8" fillId="2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/>
    <xf numFmtId="164" fontId="13" fillId="5" borderId="1" xfId="0" applyNumberFormat="1" applyFont="1" applyFill="1" applyBorder="1"/>
    <xf numFmtId="164" fontId="1" fillId="0" borderId="0" xfId="0" applyNumberFormat="1" applyFont="1"/>
    <xf numFmtId="10" fontId="1" fillId="0" borderId="0" xfId="0" applyNumberFormat="1" applyFont="1"/>
    <xf numFmtId="164" fontId="15" fillId="0" borderId="0" xfId="0" applyNumberFormat="1" applyFont="1"/>
    <xf numFmtId="164" fontId="13" fillId="0" borderId="1" xfId="0" applyNumberFormat="1" applyFont="1" applyBorder="1"/>
    <xf numFmtId="164" fontId="10" fillId="0" borderId="1" xfId="0" applyNumberFormat="1" applyFont="1" applyBorder="1"/>
    <xf numFmtId="0" fontId="13" fillId="0" borderId="1" xfId="0" applyFont="1" applyBorder="1"/>
    <xf numFmtId="164" fontId="10" fillId="5" borderId="1" xfId="0" applyNumberFormat="1" applyFont="1" applyFill="1" applyBorder="1"/>
    <xf numFmtId="0" fontId="1" fillId="0" borderId="0" xfId="0" applyFont="1" applyAlignment="1">
      <alignment horizontal="center"/>
    </xf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165" fontId="9" fillId="0" borderId="1" xfId="0" applyNumberFormat="1" applyFont="1" applyBorder="1"/>
    <xf numFmtId="0" fontId="25" fillId="3" borderId="1" xfId="0" applyFont="1" applyFill="1" applyBorder="1"/>
    <xf numFmtId="0" fontId="25" fillId="3" borderId="2" xfId="0" applyFont="1" applyFill="1" applyBorder="1"/>
    <xf numFmtId="2" fontId="24" fillId="0" borderId="1" xfId="0" applyNumberFormat="1" applyFont="1" applyBorder="1"/>
    <xf numFmtId="0" fontId="24" fillId="0" borderId="1" xfId="0" applyFont="1" applyBorder="1"/>
    <xf numFmtId="0" fontId="24" fillId="0" borderId="2" xfId="0" applyFont="1" applyBorder="1"/>
    <xf numFmtId="2" fontId="24" fillId="5" borderId="1" xfId="0" applyNumberFormat="1" applyFont="1" applyFill="1" applyBorder="1"/>
    <xf numFmtId="0" fontId="24" fillId="5" borderId="1" xfId="0" applyFont="1" applyFill="1" applyBorder="1"/>
    <xf numFmtId="0" fontId="24" fillId="5" borderId="2" xfId="0" applyFont="1" applyFill="1" applyBorder="1"/>
    <xf numFmtId="2" fontId="25" fillId="3" borderId="1" xfId="0" applyNumberFormat="1" applyFont="1" applyFill="1" applyBorder="1"/>
    <xf numFmtId="0" fontId="25" fillId="2" borderId="1" xfId="0" applyFont="1" applyFill="1" applyBorder="1"/>
    <xf numFmtId="0" fontId="26" fillId="0" borderId="1" xfId="0" applyFont="1" applyBorder="1"/>
    <xf numFmtId="164" fontId="9" fillId="5" borderId="1" xfId="0" applyNumberFormat="1" applyFont="1" applyFill="1" applyBorder="1"/>
    <xf numFmtId="10" fontId="9" fillId="5" borderId="1" xfId="0" applyNumberFormat="1" applyFont="1" applyFill="1" applyBorder="1"/>
    <xf numFmtId="3" fontId="27" fillId="0" borderId="1" xfId="0" applyNumberFormat="1" applyFont="1" applyBorder="1"/>
    <xf numFmtId="2" fontId="12" fillId="6" borderId="1" xfId="0" applyNumberFormat="1" applyFont="1" applyFill="1" applyBorder="1" applyAlignment="1">
      <alignment horizontal="center" vertical="center" wrapText="1"/>
    </xf>
    <xf numFmtId="2" fontId="27" fillId="0" borderId="1" xfId="0" applyNumberFormat="1" applyFont="1" applyBorder="1"/>
    <xf numFmtId="2" fontId="12" fillId="7" borderId="1" xfId="0" applyNumberFormat="1" applyFont="1" applyFill="1" applyBorder="1" applyAlignment="1">
      <alignment horizontal="center" vertical="center" wrapText="1"/>
    </xf>
    <xf numFmtId="2" fontId="27" fillId="0" borderId="1" xfId="0" applyNumberFormat="1" applyFont="1" applyBorder="1" applyAlignment="1">
      <alignment horizontal="center"/>
    </xf>
    <xf numFmtId="0" fontId="12" fillId="7" borderId="19" xfId="0" applyFont="1" applyFill="1" applyBorder="1" applyAlignment="1">
      <alignment horizontal="center" vertical="center" wrapText="1"/>
    </xf>
    <xf numFmtId="0" fontId="28" fillId="8" borderId="20" xfId="0" applyFont="1" applyFill="1" applyBorder="1"/>
    <xf numFmtId="0" fontId="27" fillId="0" borderId="20" xfId="0" applyFont="1" applyBorder="1"/>
    <xf numFmtId="0" fontId="13" fillId="5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EF2F8"/>
      <rgbColor rgb="FF660066"/>
      <rgbColor rgb="FFFF8080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45" customWidth="1"/>
    <col min="3" max="3" width="14" customWidth="1"/>
    <col min="4" max="4" width="30" customWidth="1"/>
  </cols>
  <sheetData>
    <row r="1" spans="1:4" ht="15" customHeight="1" x14ac:dyDescent="0.35">
      <c r="A1" s="1" t="s">
        <v>485</v>
      </c>
      <c r="B1" s="2"/>
      <c r="C1" s="2"/>
      <c r="D1" s="2"/>
    </row>
    <row r="2" spans="1:4" ht="14.25" customHeight="1" x14ac:dyDescent="0.35">
      <c r="A2" s="2"/>
      <c r="B2" s="2"/>
      <c r="C2" s="2"/>
      <c r="D2" s="2"/>
    </row>
    <row r="3" spans="1:4" ht="14.25" customHeight="1" x14ac:dyDescent="0.35">
      <c r="A3" s="3" t="s">
        <v>486</v>
      </c>
      <c r="B3" s="3" t="s">
        <v>487</v>
      </c>
      <c r="C3" s="3" t="s">
        <v>488</v>
      </c>
      <c r="D3" s="3"/>
    </row>
    <row r="4" spans="1:4" ht="14.25" customHeight="1" x14ac:dyDescent="0.35">
      <c r="A4" s="2" t="s">
        <v>489</v>
      </c>
      <c r="B4" s="2" t="s">
        <v>490</v>
      </c>
      <c r="C4" s="2" t="s">
        <v>491</v>
      </c>
      <c r="D4" s="2"/>
    </row>
    <row r="5" spans="1:4" ht="14.25" customHeight="1" x14ac:dyDescent="0.35">
      <c r="A5" s="2" t="s">
        <v>492</v>
      </c>
      <c r="B5" s="2">
        <v>2025</v>
      </c>
      <c r="C5" s="2"/>
      <c r="D5" s="2"/>
    </row>
    <row r="6" spans="1:4" ht="14.25" customHeight="1" x14ac:dyDescent="0.35">
      <c r="A6" s="2" t="s">
        <v>493</v>
      </c>
      <c r="B6" s="2" t="s">
        <v>494</v>
      </c>
      <c r="C6" s="2"/>
      <c r="D6" s="2"/>
    </row>
    <row r="7" spans="1:4" ht="14.25" customHeight="1" x14ac:dyDescent="0.35">
      <c r="A7" s="2" t="s">
        <v>495</v>
      </c>
      <c r="B7" s="2">
        <v>0</v>
      </c>
      <c r="C7" s="2" t="s">
        <v>496</v>
      </c>
      <c r="D7" s="2"/>
    </row>
    <row r="8" spans="1:4" ht="14.25" customHeight="1" x14ac:dyDescent="0.35">
      <c r="A8" s="2" t="s">
        <v>497</v>
      </c>
      <c r="B8" s="2">
        <v>0</v>
      </c>
      <c r="C8" s="2"/>
      <c r="D8" s="2"/>
    </row>
    <row r="9" spans="1:4" ht="14.25" customHeight="1" x14ac:dyDescent="0.35">
      <c r="A9" s="2" t="s">
        <v>498</v>
      </c>
      <c r="B9" s="2">
        <v>1200</v>
      </c>
      <c r="C9" s="2" t="s">
        <v>499</v>
      </c>
      <c r="D9" s="2"/>
    </row>
    <row r="10" spans="1:4" ht="14.25" customHeight="1" x14ac:dyDescent="0.35">
      <c r="A10" s="2" t="s">
        <v>500</v>
      </c>
      <c r="B10" s="2" t="s">
        <v>501</v>
      </c>
      <c r="C10" s="2"/>
      <c r="D10" s="2"/>
    </row>
    <row r="11" spans="1:4" ht="14.25" customHeight="1" x14ac:dyDescent="0.35">
      <c r="A11" s="2" t="s">
        <v>502</v>
      </c>
      <c r="B11" s="2" t="s">
        <v>503</v>
      </c>
      <c r="C11" s="2"/>
      <c r="D11" s="2"/>
    </row>
    <row r="12" spans="1:4" ht="14.25" customHeight="1" x14ac:dyDescent="0.35">
      <c r="A12" s="2" t="s">
        <v>504</v>
      </c>
      <c r="B12" s="2">
        <v>16000</v>
      </c>
      <c r="C12" s="2" t="s">
        <v>505</v>
      </c>
      <c r="D12" s="2"/>
    </row>
    <row r="13" spans="1:4" ht="14.25" customHeight="1" x14ac:dyDescent="0.35">
      <c r="A13" s="2"/>
      <c r="B13" s="2"/>
      <c r="C13" s="2"/>
      <c r="D13" s="2"/>
    </row>
    <row r="14" spans="1:4" ht="14.25" customHeight="1" x14ac:dyDescent="0.35">
      <c r="A14" s="3" t="s">
        <v>506</v>
      </c>
      <c r="B14" s="3"/>
      <c r="C14" s="3"/>
      <c r="D14" s="3"/>
    </row>
    <row r="15" spans="1:4" ht="14.25" customHeight="1" x14ac:dyDescent="0.35">
      <c r="A15" s="4" t="s">
        <v>507</v>
      </c>
      <c r="B15" s="4" t="s">
        <v>508</v>
      </c>
      <c r="C15" s="4" t="s">
        <v>487</v>
      </c>
      <c r="D15" s="4" t="s">
        <v>20</v>
      </c>
    </row>
    <row r="16" spans="1:4" ht="14.25" customHeight="1" x14ac:dyDescent="0.35">
      <c r="A16" s="2" t="s">
        <v>509</v>
      </c>
      <c r="B16" s="2" t="s">
        <v>510</v>
      </c>
      <c r="C16" s="2">
        <v>0.42</v>
      </c>
      <c r="D16" s="2" t="s">
        <v>511</v>
      </c>
    </row>
    <row r="17" spans="1:4" ht="14.25" customHeight="1" x14ac:dyDescent="0.35">
      <c r="A17" s="2" t="s">
        <v>512</v>
      </c>
      <c r="B17" s="2" t="s">
        <v>510</v>
      </c>
      <c r="C17" s="2">
        <v>8.5000000000000006E-2</v>
      </c>
      <c r="D17" s="2" t="s">
        <v>513</v>
      </c>
    </row>
    <row r="18" spans="1:4" ht="14.25" customHeight="1" x14ac:dyDescent="0.35">
      <c r="A18" s="2" t="s">
        <v>514</v>
      </c>
      <c r="B18" s="2" t="s">
        <v>515</v>
      </c>
      <c r="C18" s="2">
        <v>85000</v>
      </c>
      <c r="D18" s="2" t="s">
        <v>516</v>
      </c>
    </row>
    <row r="19" spans="1:4" ht="14.25" customHeight="1" x14ac:dyDescent="0.35">
      <c r="A19" s="2" t="s">
        <v>517</v>
      </c>
      <c r="B19" s="2" t="s">
        <v>518</v>
      </c>
      <c r="C19" s="2">
        <v>3200</v>
      </c>
      <c r="D19" s="2" t="s">
        <v>511</v>
      </c>
    </row>
    <row r="20" spans="1:4" ht="14.25" customHeight="1" x14ac:dyDescent="0.35">
      <c r="A20" s="2" t="s">
        <v>519</v>
      </c>
      <c r="B20" s="2" t="s">
        <v>510</v>
      </c>
      <c r="C20" s="2">
        <v>0.15</v>
      </c>
      <c r="D20" s="2" t="s">
        <v>520</v>
      </c>
    </row>
    <row r="21" spans="1:4" ht="14.25" customHeight="1" x14ac:dyDescent="0.35">
      <c r="A21" s="2"/>
      <c r="B21" s="2"/>
      <c r="C21" s="2"/>
      <c r="D21" s="2"/>
    </row>
    <row r="22" spans="1:4" ht="14.25" customHeight="1" x14ac:dyDescent="0.35">
      <c r="A22" s="2" t="s">
        <v>521</v>
      </c>
      <c r="B22" s="2" t="s">
        <v>522</v>
      </c>
      <c r="C22" s="5">
        <f>1+C16+C17+C20+(C18/78291/22)+(C19/78291)</f>
        <v>1.7452228399641891</v>
      </c>
      <c r="D22" s="2"/>
    </row>
    <row r="24" spans="1:4" ht="14.25" customHeight="1" x14ac:dyDescent="0.35">
      <c r="A24" t="s">
        <v>523</v>
      </c>
      <c r="B24" t="s">
        <v>524</v>
      </c>
    </row>
    <row r="25" spans="1:4" ht="14.25" customHeight="1" x14ac:dyDescent="0.35">
      <c r="A25" t="s">
        <v>525</v>
      </c>
      <c r="B25" t="s">
        <v>526</v>
      </c>
    </row>
    <row r="26" spans="1:4" ht="14.25" customHeight="1" x14ac:dyDescent="0.35">
      <c r="A26" t="s">
        <v>527</v>
      </c>
      <c r="B26" t="s">
        <v>528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9"/>
  <sheetViews>
    <sheetView zoomScaleNormal="100" workbookViewId="0"/>
  </sheetViews>
  <sheetFormatPr defaultColWidth="8.6328125" defaultRowHeight="14.5" x14ac:dyDescent="0.35"/>
  <cols>
    <col min="1" max="1" width="14" style="11" customWidth="1"/>
    <col min="2" max="2" width="50" style="11" customWidth="1"/>
    <col min="3" max="3" width="6.36328125" style="11" customWidth="1"/>
    <col min="4" max="6" width="14" style="24" customWidth="1"/>
    <col min="7" max="7" width="50" style="11" customWidth="1"/>
    <col min="8" max="16384" width="8.6328125" style="11"/>
  </cols>
  <sheetData>
    <row r="1" spans="1:10" ht="14.25" customHeight="1" x14ac:dyDescent="0.35">
      <c r="A1" s="7" t="s">
        <v>529</v>
      </c>
      <c r="B1" s="7" t="s">
        <v>6</v>
      </c>
      <c r="C1" s="7" t="s">
        <v>530</v>
      </c>
      <c r="D1" s="10" t="s">
        <v>531</v>
      </c>
      <c r="E1" s="25" t="s">
        <v>1985</v>
      </c>
      <c r="F1" s="25" t="s">
        <v>1986</v>
      </c>
      <c r="G1" s="7" t="s">
        <v>532</v>
      </c>
      <c r="H1" s="25" t="s">
        <v>1285</v>
      </c>
      <c r="I1" s="26" t="s">
        <v>1987</v>
      </c>
      <c r="J1" s="7"/>
    </row>
    <row r="2" spans="1:10" ht="14" customHeight="1" x14ac:dyDescent="0.35">
      <c r="A2" s="12" t="s">
        <v>533</v>
      </c>
      <c r="B2" s="12" t="s">
        <v>534</v>
      </c>
      <c r="C2" s="12"/>
      <c r="D2" s="22">
        <v>3620.13</v>
      </c>
      <c r="E2" s="22"/>
      <c r="F2" s="22"/>
      <c r="G2" s="12" t="s">
        <v>535</v>
      </c>
      <c r="H2" s="23"/>
      <c r="I2" s="17"/>
      <c r="J2" s="17"/>
    </row>
    <row r="3" spans="1:10" ht="14" customHeight="1" x14ac:dyDescent="0.35">
      <c r="A3" s="12" t="s">
        <v>536</v>
      </c>
      <c r="B3" s="12" t="s">
        <v>537</v>
      </c>
      <c r="C3" s="12"/>
      <c r="D3" s="22">
        <v>1338.79</v>
      </c>
      <c r="E3" s="22"/>
      <c r="F3" s="22"/>
      <c r="G3" s="12" t="s">
        <v>535</v>
      </c>
      <c r="H3" s="23"/>
      <c r="I3" s="17"/>
      <c r="J3" s="17"/>
    </row>
    <row r="4" spans="1:10" ht="14.25" customHeight="1" x14ac:dyDescent="0.35">
      <c r="A4" s="12" t="s">
        <v>538</v>
      </c>
      <c r="B4" s="12" t="s">
        <v>539</v>
      </c>
      <c r="C4" s="12"/>
      <c r="D4" s="22">
        <v>32620.38</v>
      </c>
      <c r="E4" s="22"/>
      <c r="F4" s="22"/>
      <c r="G4" s="12" t="s">
        <v>535</v>
      </c>
      <c r="H4" s="23"/>
      <c r="I4" s="17"/>
      <c r="J4" s="17"/>
    </row>
    <row r="5" spans="1:10" ht="14.25" customHeight="1" x14ac:dyDescent="0.35">
      <c r="A5" s="12" t="s">
        <v>540</v>
      </c>
      <c r="B5" s="12" t="s">
        <v>541</v>
      </c>
      <c r="C5" s="12"/>
      <c r="D5" s="22">
        <v>7891.74</v>
      </c>
      <c r="E5" s="22"/>
      <c r="F5" s="22"/>
      <c r="G5" s="12" t="s">
        <v>535</v>
      </c>
      <c r="H5" s="23"/>
      <c r="I5" s="17"/>
      <c r="J5" s="17"/>
    </row>
    <row r="6" spans="1:10" ht="14.25" customHeight="1" x14ac:dyDescent="0.35">
      <c r="A6" s="12" t="s">
        <v>542</v>
      </c>
      <c r="B6" s="12" t="s">
        <v>543</v>
      </c>
      <c r="C6" s="12"/>
      <c r="D6" s="22">
        <v>3927.28</v>
      </c>
      <c r="E6" s="22"/>
      <c r="F6" s="22"/>
      <c r="G6" s="12" t="s">
        <v>535</v>
      </c>
      <c r="H6" s="23"/>
      <c r="I6" s="17"/>
      <c r="J6" s="17"/>
    </row>
    <row r="7" spans="1:10" ht="14.25" customHeight="1" x14ac:dyDescent="0.35">
      <c r="A7" s="12" t="s">
        <v>544</v>
      </c>
      <c r="B7" s="12" t="s">
        <v>545</v>
      </c>
      <c r="C7" s="12"/>
      <c r="D7" s="22">
        <v>1363.95</v>
      </c>
      <c r="E7" s="22"/>
      <c r="F7" s="22"/>
      <c r="G7" s="12" t="s">
        <v>546</v>
      </c>
      <c r="H7" s="23"/>
      <c r="I7" s="17"/>
      <c r="J7" s="17"/>
    </row>
    <row r="8" spans="1:10" ht="14.25" customHeight="1" x14ac:dyDescent="0.35">
      <c r="A8" s="12" t="s">
        <v>547</v>
      </c>
      <c r="B8" s="12" t="s">
        <v>548</v>
      </c>
      <c r="C8" s="12"/>
      <c r="D8" s="22">
        <v>148.05000000000001</v>
      </c>
      <c r="E8" s="22"/>
      <c r="F8" s="22"/>
      <c r="G8" s="12" t="s">
        <v>535</v>
      </c>
      <c r="H8" s="23"/>
      <c r="I8" s="17"/>
      <c r="J8" s="17"/>
    </row>
    <row r="9" spans="1:10" ht="14.25" customHeight="1" x14ac:dyDescent="0.35">
      <c r="A9" s="12" t="s">
        <v>549</v>
      </c>
      <c r="B9" s="12" t="s">
        <v>550</v>
      </c>
      <c r="C9" s="12"/>
      <c r="D9" s="22">
        <v>2647.2224999999999</v>
      </c>
      <c r="E9" s="22"/>
      <c r="F9" s="22"/>
      <c r="G9" s="12" t="s">
        <v>535</v>
      </c>
      <c r="H9" s="23"/>
      <c r="I9" s="17"/>
      <c r="J9" s="17"/>
    </row>
    <row r="10" spans="1:10" ht="14.25" customHeight="1" x14ac:dyDescent="0.35">
      <c r="A10" s="12" t="s">
        <v>551</v>
      </c>
      <c r="B10" s="12" t="s">
        <v>552</v>
      </c>
      <c r="C10" s="12"/>
      <c r="D10" s="22">
        <v>2660.68</v>
      </c>
      <c r="E10" s="22"/>
      <c r="F10" s="22"/>
      <c r="G10" s="12" t="s">
        <v>535</v>
      </c>
      <c r="H10" s="23"/>
      <c r="I10" s="17"/>
      <c r="J10" s="17"/>
    </row>
    <row r="11" spans="1:10" ht="14.25" customHeight="1" x14ac:dyDescent="0.35">
      <c r="A11" s="12" t="s">
        <v>553</v>
      </c>
      <c r="B11" s="12" t="s">
        <v>554</v>
      </c>
      <c r="C11" s="12"/>
      <c r="D11" s="22">
        <v>20401.25</v>
      </c>
      <c r="E11" s="22"/>
      <c r="F11" s="22"/>
      <c r="G11" s="12" t="s">
        <v>535</v>
      </c>
      <c r="H11" s="23"/>
      <c r="I11" s="17"/>
      <c r="J11" s="17"/>
    </row>
    <row r="12" spans="1:10" ht="14.25" customHeight="1" x14ac:dyDescent="0.35">
      <c r="A12" s="12" t="s">
        <v>555</v>
      </c>
      <c r="B12" s="12" t="s">
        <v>556</v>
      </c>
      <c r="C12" s="12"/>
      <c r="D12" s="22">
        <v>1270.4831999999999</v>
      </c>
      <c r="E12" s="22"/>
      <c r="F12" s="22"/>
      <c r="G12" s="12" t="s">
        <v>535</v>
      </c>
      <c r="H12" s="23"/>
      <c r="I12" s="17"/>
      <c r="J12" s="17"/>
    </row>
    <row r="13" spans="1:10" ht="14.25" customHeight="1" x14ac:dyDescent="0.35">
      <c r="A13" s="12" t="s">
        <v>557</v>
      </c>
      <c r="B13" s="12" t="s">
        <v>558</v>
      </c>
      <c r="C13" s="12"/>
      <c r="D13" s="22">
        <v>4649.9685120000004</v>
      </c>
      <c r="E13" s="22"/>
      <c r="F13" s="22"/>
      <c r="G13" s="12" t="s">
        <v>535</v>
      </c>
      <c r="H13" s="23"/>
      <c r="I13" s="17"/>
      <c r="J13" s="17"/>
    </row>
    <row r="14" spans="1:10" ht="14.25" customHeight="1" x14ac:dyDescent="0.35">
      <c r="A14" s="12" t="s">
        <v>559</v>
      </c>
      <c r="B14" s="12" t="s">
        <v>560</v>
      </c>
      <c r="C14" s="12" t="s">
        <v>26</v>
      </c>
      <c r="D14" s="22">
        <v>1</v>
      </c>
      <c r="E14" s="22"/>
      <c r="F14" s="22"/>
      <c r="G14" s="12" t="s">
        <v>561</v>
      </c>
      <c r="H14" s="23"/>
      <c r="I14" s="17"/>
      <c r="J14" s="17"/>
    </row>
    <row r="15" spans="1:10" ht="14.25" customHeight="1" x14ac:dyDescent="0.35">
      <c r="A15" s="12" t="s">
        <v>562</v>
      </c>
      <c r="B15" s="12" t="s">
        <v>563</v>
      </c>
      <c r="C15" s="12"/>
      <c r="D15" s="22">
        <v>49748.25</v>
      </c>
      <c r="E15" s="22"/>
      <c r="F15" s="22"/>
      <c r="G15" s="12" t="s">
        <v>535</v>
      </c>
      <c r="H15" s="23"/>
      <c r="I15" s="17"/>
      <c r="J15" s="17"/>
    </row>
    <row r="16" spans="1:10" ht="14.25" customHeight="1" x14ac:dyDescent="0.35">
      <c r="A16" s="12" t="s">
        <v>564</v>
      </c>
      <c r="B16" s="12" t="s">
        <v>565</v>
      </c>
      <c r="C16" s="12"/>
      <c r="D16" s="22">
        <v>506.52</v>
      </c>
      <c r="E16" s="22"/>
      <c r="F16" s="22"/>
      <c r="G16" s="12" t="s">
        <v>535</v>
      </c>
      <c r="H16" s="23"/>
      <c r="I16" s="17"/>
      <c r="J16" s="17"/>
    </row>
    <row r="17" spans="1:10" ht="14.25" customHeight="1" x14ac:dyDescent="0.35">
      <c r="A17" s="12" t="s">
        <v>566</v>
      </c>
      <c r="B17" s="12" t="s">
        <v>567</v>
      </c>
      <c r="C17" s="12"/>
      <c r="D17" s="22">
        <v>624.96</v>
      </c>
      <c r="E17" s="22"/>
      <c r="F17" s="22"/>
      <c r="G17" s="12" t="s">
        <v>535</v>
      </c>
      <c r="H17" s="23"/>
      <c r="I17" s="17"/>
      <c r="J17" s="17"/>
    </row>
    <row r="18" spans="1:10" ht="14.25" customHeight="1" x14ac:dyDescent="0.35">
      <c r="A18" s="12" t="s">
        <v>568</v>
      </c>
      <c r="B18" s="12" t="s">
        <v>569</v>
      </c>
      <c r="C18" s="12"/>
      <c r="D18" s="22">
        <v>894.6</v>
      </c>
      <c r="E18" s="22"/>
      <c r="F18" s="22"/>
      <c r="G18" s="12" t="s">
        <v>535</v>
      </c>
      <c r="H18" s="23"/>
      <c r="I18" s="17"/>
      <c r="J18" s="17"/>
    </row>
    <row r="19" spans="1:10" ht="14.25" customHeight="1" x14ac:dyDescent="0.35">
      <c r="A19" s="12" t="s">
        <v>570</v>
      </c>
      <c r="B19" s="12" t="s">
        <v>571</v>
      </c>
      <c r="C19" s="12"/>
      <c r="D19" s="22">
        <v>977.76</v>
      </c>
      <c r="E19" s="22"/>
      <c r="F19" s="22"/>
      <c r="G19" s="12" t="s">
        <v>535</v>
      </c>
      <c r="H19" s="23"/>
      <c r="I19" s="17"/>
      <c r="J19" s="17"/>
    </row>
    <row r="20" spans="1:10" ht="14.25" customHeight="1" x14ac:dyDescent="0.35">
      <c r="A20" s="12" t="s">
        <v>572</v>
      </c>
      <c r="B20" s="12" t="s">
        <v>573</v>
      </c>
      <c r="C20" s="12"/>
      <c r="D20" s="22">
        <v>35525.949999999997</v>
      </c>
      <c r="E20" s="22"/>
      <c r="F20" s="22"/>
      <c r="G20" s="12" t="s">
        <v>574</v>
      </c>
      <c r="H20" s="23"/>
      <c r="I20" s="17"/>
      <c r="J20" s="17"/>
    </row>
    <row r="21" spans="1:10" ht="14.25" customHeight="1" x14ac:dyDescent="0.35">
      <c r="A21" s="12" t="s">
        <v>575</v>
      </c>
      <c r="B21" s="12" t="s">
        <v>576</v>
      </c>
      <c r="C21" s="12"/>
      <c r="D21" s="22">
        <v>106809.917355372</v>
      </c>
      <c r="E21" s="22"/>
      <c r="F21" s="22"/>
      <c r="G21" s="12" t="s">
        <v>577</v>
      </c>
      <c r="H21" s="23"/>
      <c r="I21" s="17"/>
      <c r="J21" s="17"/>
    </row>
    <row r="22" spans="1:10" ht="14.25" customHeight="1" x14ac:dyDescent="0.35">
      <c r="A22" s="12" t="s">
        <v>578</v>
      </c>
      <c r="B22" s="12" t="s">
        <v>579</v>
      </c>
      <c r="C22" s="12"/>
      <c r="D22" s="22">
        <v>143389.25619834699</v>
      </c>
      <c r="E22" s="22"/>
      <c r="F22" s="22"/>
      <c r="G22" s="12" t="s">
        <v>574</v>
      </c>
      <c r="H22" s="23"/>
      <c r="I22" s="17"/>
      <c r="J22" s="17"/>
    </row>
    <row r="23" spans="1:10" ht="14.25" customHeight="1" x14ac:dyDescent="0.35">
      <c r="A23" s="12" t="s">
        <v>580</v>
      </c>
      <c r="B23" s="12" t="s">
        <v>581</v>
      </c>
      <c r="C23" s="12"/>
      <c r="D23" s="22">
        <v>41314.049586776899</v>
      </c>
      <c r="E23" s="22"/>
      <c r="F23" s="22"/>
      <c r="G23" s="12" t="s">
        <v>574</v>
      </c>
      <c r="H23" s="23"/>
      <c r="I23" s="17"/>
      <c r="J23" s="17"/>
    </row>
    <row r="24" spans="1:10" ht="14.25" customHeight="1" x14ac:dyDescent="0.35">
      <c r="A24" s="12" t="s">
        <v>582</v>
      </c>
      <c r="B24" s="12" t="s">
        <v>583</v>
      </c>
      <c r="C24" s="12"/>
      <c r="D24" s="22">
        <v>7917.3553719008296</v>
      </c>
      <c r="E24" s="22"/>
      <c r="F24" s="22"/>
      <c r="G24" s="12" t="s">
        <v>574</v>
      </c>
      <c r="H24" s="23"/>
      <c r="I24" s="17"/>
      <c r="J24" s="17"/>
    </row>
    <row r="25" spans="1:10" ht="14.25" customHeight="1" x14ac:dyDescent="0.35">
      <c r="A25" s="12" t="s">
        <v>584</v>
      </c>
      <c r="B25" s="12" t="s">
        <v>585</v>
      </c>
      <c r="C25" s="12"/>
      <c r="D25" s="22">
        <v>5885.9504132231395</v>
      </c>
      <c r="E25" s="22"/>
      <c r="F25" s="22"/>
      <c r="G25" s="12" t="s">
        <v>574</v>
      </c>
      <c r="H25" s="23"/>
      <c r="I25" s="17"/>
      <c r="J25" s="17"/>
    </row>
    <row r="26" spans="1:10" ht="14.25" customHeight="1" x14ac:dyDescent="0.35">
      <c r="A26" s="12" t="s">
        <v>586</v>
      </c>
      <c r="B26" s="12" t="s">
        <v>587</v>
      </c>
      <c r="C26" s="12"/>
      <c r="D26" s="22">
        <v>1182.6446280991699</v>
      </c>
      <c r="E26" s="22"/>
      <c r="F26" s="22"/>
      <c r="G26" s="12" t="s">
        <v>574</v>
      </c>
      <c r="H26" s="23"/>
      <c r="I26" s="17"/>
      <c r="J26" s="17"/>
    </row>
    <row r="27" spans="1:10" ht="14.25" customHeight="1" x14ac:dyDescent="0.35">
      <c r="A27" s="12" t="s">
        <v>588</v>
      </c>
      <c r="B27" s="12" t="s">
        <v>589</v>
      </c>
      <c r="C27" s="12"/>
      <c r="D27" s="22">
        <v>42552.892561983499</v>
      </c>
      <c r="E27" s="22"/>
      <c r="F27" s="22"/>
      <c r="G27" s="12" t="s">
        <v>574</v>
      </c>
      <c r="H27" s="23"/>
      <c r="I27" s="17"/>
      <c r="J27" s="17"/>
    </row>
    <row r="28" spans="1:10" ht="14.25" customHeight="1" x14ac:dyDescent="0.35">
      <c r="A28" s="12" t="s">
        <v>590</v>
      </c>
      <c r="B28" s="12" t="s">
        <v>591</v>
      </c>
      <c r="C28" s="12"/>
      <c r="D28" s="22">
        <v>9927.59</v>
      </c>
      <c r="E28" s="22"/>
      <c r="F28" s="22"/>
      <c r="G28" s="12" t="s">
        <v>592</v>
      </c>
      <c r="H28" s="23"/>
      <c r="I28" s="17"/>
      <c r="J28" s="17"/>
    </row>
    <row r="29" spans="1:10" ht="14.25" customHeight="1" x14ac:dyDescent="0.35">
      <c r="A29" s="12" t="s">
        <v>593</v>
      </c>
      <c r="B29" s="12" t="s">
        <v>594</v>
      </c>
      <c r="C29" s="12"/>
      <c r="D29" s="22">
        <v>58016.528925619801</v>
      </c>
      <c r="E29" s="22"/>
      <c r="F29" s="22"/>
      <c r="G29" s="12" t="s">
        <v>574</v>
      </c>
      <c r="H29" s="23"/>
      <c r="I29" s="17"/>
      <c r="J29" s="17"/>
    </row>
    <row r="30" spans="1:10" ht="14.25" customHeight="1" x14ac:dyDescent="0.35">
      <c r="A30" s="12" t="s">
        <v>595</v>
      </c>
      <c r="B30" s="12" t="s">
        <v>596</v>
      </c>
      <c r="C30" s="12" t="s">
        <v>98</v>
      </c>
      <c r="D30" s="22">
        <v>10861.7685950413</v>
      </c>
      <c r="E30" s="22"/>
      <c r="F30" s="22"/>
      <c r="G30" s="12" t="s">
        <v>597</v>
      </c>
      <c r="H30" s="23"/>
      <c r="I30" s="17"/>
      <c r="J30" s="17"/>
    </row>
    <row r="31" spans="1:10" ht="14.25" customHeight="1" x14ac:dyDescent="0.35">
      <c r="A31" s="12" t="s">
        <v>598</v>
      </c>
      <c r="B31" s="12" t="s">
        <v>599</v>
      </c>
      <c r="C31" s="12" t="s">
        <v>98</v>
      </c>
      <c r="D31" s="22">
        <v>271144.89256198402</v>
      </c>
      <c r="E31" s="22"/>
      <c r="F31" s="22"/>
      <c r="G31" s="12" t="s">
        <v>597</v>
      </c>
      <c r="H31" s="23"/>
      <c r="I31" s="17"/>
      <c r="J31" s="17"/>
    </row>
    <row r="32" spans="1:10" ht="14.25" customHeight="1" x14ac:dyDescent="0.35">
      <c r="A32" s="12" t="s">
        <v>600</v>
      </c>
      <c r="B32" s="12" t="s">
        <v>601</v>
      </c>
      <c r="C32" s="12" t="s">
        <v>98</v>
      </c>
      <c r="D32" s="22">
        <v>23523.7520661157</v>
      </c>
      <c r="E32" s="22"/>
      <c r="F32" s="22"/>
      <c r="G32" s="12" t="s">
        <v>597</v>
      </c>
      <c r="H32" s="23"/>
      <c r="I32" s="17"/>
      <c r="J32" s="17"/>
    </row>
    <row r="33" spans="1:10" ht="14.25" customHeight="1" x14ac:dyDescent="0.35">
      <c r="A33" s="12" t="s">
        <v>602</v>
      </c>
      <c r="B33" s="12" t="s">
        <v>603</v>
      </c>
      <c r="C33" s="12" t="s">
        <v>98</v>
      </c>
      <c r="D33" s="22">
        <v>85391.380165289302</v>
      </c>
      <c r="E33" s="22"/>
      <c r="F33" s="22"/>
      <c r="G33" s="12" t="s">
        <v>597</v>
      </c>
      <c r="H33" s="23"/>
      <c r="I33" s="17"/>
      <c r="J33" s="17"/>
    </row>
    <row r="34" spans="1:10" ht="14.25" customHeight="1" x14ac:dyDescent="0.35">
      <c r="A34" s="12" t="s">
        <v>604</v>
      </c>
      <c r="B34" s="12" t="s">
        <v>605</v>
      </c>
      <c r="C34" s="12" t="s">
        <v>98</v>
      </c>
      <c r="D34" s="22">
        <v>11534.743801652899</v>
      </c>
      <c r="E34" s="22"/>
      <c r="F34" s="22"/>
      <c r="G34" s="12" t="s">
        <v>597</v>
      </c>
      <c r="H34" s="23"/>
      <c r="I34" s="17"/>
      <c r="J34" s="17"/>
    </row>
    <row r="35" spans="1:10" ht="14.25" customHeight="1" x14ac:dyDescent="0.35">
      <c r="A35" s="12" t="s">
        <v>606</v>
      </c>
      <c r="B35" s="12" t="s">
        <v>607</v>
      </c>
      <c r="C35" s="12" t="s">
        <v>98</v>
      </c>
      <c r="D35" s="22">
        <v>120</v>
      </c>
      <c r="E35" s="22"/>
      <c r="F35" s="22"/>
      <c r="G35" s="12" t="s">
        <v>608</v>
      </c>
      <c r="H35" s="23"/>
      <c r="I35" s="17"/>
      <c r="J35" s="17"/>
    </row>
    <row r="36" spans="1:10" ht="14.25" customHeight="1" x14ac:dyDescent="0.35">
      <c r="A36" s="12" t="s">
        <v>609</v>
      </c>
      <c r="B36" s="12" t="s">
        <v>610</v>
      </c>
      <c r="C36" s="12" t="s">
        <v>98</v>
      </c>
      <c r="D36" s="22">
        <v>41322.314049586799</v>
      </c>
      <c r="E36" s="22"/>
      <c r="F36" s="22"/>
      <c r="G36" s="12" t="s">
        <v>597</v>
      </c>
      <c r="H36" s="23"/>
      <c r="I36" s="17"/>
      <c r="J36" s="17"/>
    </row>
    <row r="37" spans="1:10" ht="14.25" customHeight="1" x14ac:dyDescent="0.35">
      <c r="A37" s="12" t="s">
        <v>611</v>
      </c>
      <c r="B37" s="12" t="s">
        <v>612</v>
      </c>
      <c r="C37" s="12" t="s">
        <v>98</v>
      </c>
      <c r="D37" s="22">
        <v>4992.1646666666702</v>
      </c>
      <c r="E37" s="22"/>
      <c r="F37" s="22"/>
      <c r="G37" s="12" t="s">
        <v>613</v>
      </c>
      <c r="H37" s="23"/>
      <c r="I37" s="17"/>
      <c r="J37" s="17"/>
    </row>
    <row r="38" spans="1:10" ht="14.25" customHeight="1" x14ac:dyDescent="0.35">
      <c r="A38" s="12" t="s">
        <v>614</v>
      </c>
      <c r="B38" s="12" t="s">
        <v>615</v>
      </c>
      <c r="C38" s="12" t="s">
        <v>98</v>
      </c>
      <c r="D38" s="22">
        <v>5430.8842975206599</v>
      </c>
      <c r="E38" s="22"/>
      <c r="F38" s="22"/>
      <c r="G38" s="12" t="s">
        <v>613</v>
      </c>
      <c r="H38" s="23"/>
      <c r="I38" s="17"/>
      <c r="J38" s="17"/>
    </row>
    <row r="39" spans="1:10" ht="14.25" customHeight="1" x14ac:dyDescent="0.35">
      <c r="A39" s="12" t="s">
        <v>616</v>
      </c>
      <c r="B39" s="12" t="s">
        <v>617</v>
      </c>
      <c r="C39" s="12" t="s">
        <v>98</v>
      </c>
      <c r="D39" s="22">
        <v>13196.9</v>
      </c>
      <c r="E39" s="22"/>
      <c r="F39" s="22"/>
      <c r="G39" s="12" t="s">
        <v>613</v>
      </c>
      <c r="H39" s="23"/>
      <c r="I39" s="17"/>
      <c r="J39" s="17"/>
    </row>
    <row r="40" spans="1:10" ht="14.25" customHeight="1" x14ac:dyDescent="0.35">
      <c r="A40" s="12" t="s">
        <v>618</v>
      </c>
      <c r="B40" s="12" t="s">
        <v>619</v>
      </c>
      <c r="C40" s="12" t="s">
        <v>98</v>
      </c>
      <c r="D40" s="22">
        <v>1109.3689999999999</v>
      </c>
      <c r="E40" s="22"/>
      <c r="F40" s="22"/>
      <c r="G40" s="12" t="s">
        <v>613</v>
      </c>
      <c r="H40" s="23"/>
      <c r="I40" s="17"/>
      <c r="J40" s="17"/>
    </row>
    <row r="41" spans="1:10" ht="14.25" customHeight="1" x14ac:dyDescent="0.35">
      <c r="A41" s="12" t="s">
        <v>620</v>
      </c>
      <c r="B41" s="12" t="s">
        <v>621</v>
      </c>
      <c r="C41" s="12" t="s">
        <v>98</v>
      </c>
      <c r="D41" s="22">
        <v>2496.0823333333301</v>
      </c>
      <c r="E41" s="22"/>
      <c r="F41" s="22"/>
      <c r="G41" s="12" t="s">
        <v>613</v>
      </c>
      <c r="H41" s="23"/>
      <c r="I41" s="17"/>
      <c r="J41" s="17"/>
    </row>
    <row r="42" spans="1:10" ht="14.25" customHeight="1" x14ac:dyDescent="0.35">
      <c r="A42" s="12" t="s">
        <v>622</v>
      </c>
      <c r="B42" s="12" t="s">
        <v>623</v>
      </c>
      <c r="C42" s="12" t="s">
        <v>98</v>
      </c>
      <c r="D42" s="22">
        <v>4992.1646666666702</v>
      </c>
      <c r="E42" s="22"/>
      <c r="F42" s="22"/>
      <c r="G42" s="12" t="s">
        <v>613</v>
      </c>
      <c r="H42" s="23"/>
      <c r="I42" s="17"/>
      <c r="J42" s="17"/>
    </row>
    <row r="43" spans="1:10" ht="14.25" customHeight="1" x14ac:dyDescent="0.35">
      <c r="A43" s="12" t="s">
        <v>624</v>
      </c>
      <c r="B43" s="12" t="s">
        <v>625</v>
      </c>
      <c r="C43" s="12" t="s">
        <v>98</v>
      </c>
      <c r="D43" s="22">
        <v>274291.64566666703</v>
      </c>
      <c r="E43" s="22"/>
      <c r="F43" s="22"/>
      <c r="G43" s="12" t="s">
        <v>613</v>
      </c>
      <c r="H43" s="23"/>
      <c r="I43" s="17"/>
      <c r="J43" s="17"/>
    </row>
    <row r="44" spans="1:10" ht="14.25" customHeight="1" x14ac:dyDescent="0.35">
      <c r="A44" s="12" t="s">
        <v>626</v>
      </c>
      <c r="B44" s="12" t="s">
        <v>627</v>
      </c>
      <c r="C44" s="12" t="s">
        <v>98</v>
      </c>
      <c r="D44" s="22">
        <v>300000</v>
      </c>
      <c r="E44" s="22"/>
      <c r="F44" s="22"/>
      <c r="G44" s="12" t="s">
        <v>535</v>
      </c>
      <c r="H44" s="23"/>
      <c r="I44" s="17"/>
      <c r="J44" s="17"/>
    </row>
    <row r="45" spans="1:10" ht="14.25" customHeight="1" x14ac:dyDescent="0.35">
      <c r="A45" s="12" t="s">
        <v>628</v>
      </c>
      <c r="B45" s="12" t="s">
        <v>629</v>
      </c>
      <c r="C45" s="12" t="s">
        <v>98</v>
      </c>
      <c r="D45" s="22">
        <v>250000</v>
      </c>
      <c r="E45" s="22"/>
      <c r="F45" s="22"/>
      <c r="G45" s="12" t="s">
        <v>577</v>
      </c>
      <c r="H45" s="23"/>
      <c r="I45" s="17"/>
      <c r="J45" s="17"/>
    </row>
    <row r="46" spans="1:10" ht="14.25" customHeight="1" x14ac:dyDescent="0.35">
      <c r="A46" s="12" t="s">
        <v>630</v>
      </c>
      <c r="B46" s="12" t="s">
        <v>631</v>
      </c>
      <c r="C46" s="12" t="s">
        <v>98</v>
      </c>
      <c r="D46" s="22">
        <v>500</v>
      </c>
      <c r="E46" s="22"/>
      <c r="F46" s="22"/>
      <c r="G46" s="12" t="s">
        <v>577</v>
      </c>
      <c r="H46" s="23"/>
      <c r="I46" s="17"/>
      <c r="J46" s="17"/>
    </row>
    <row r="47" spans="1:10" ht="14.25" customHeight="1" x14ac:dyDescent="0.35">
      <c r="A47" s="12" t="s">
        <v>632</v>
      </c>
      <c r="B47" s="12" t="s">
        <v>633</v>
      </c>
      <c r="C47" s="12" t="s">
        <v>98</v>
      </c>
      <c r="D47" s="22">
        <v>3000</v>
      </c>
      <c r="E47" s="22"/>
      <c r="F47" s="22"/>
      <c r="G47" s="12" t="s">
        <v>577</v>
      </c>
      <c r="H47" s="23"/>
      <c r="I47" s="17"/>
      <c r="J47" s="17"/>
    </row>
    <row r="48" spans="1:10" ht="14.25" customHeight="1" x14ac:dyDescent="0.35">
      <c r="A48" s="12" t="s">
        <v>634</v>
      </c>
      <c r="B48" s="12" t="s">
        <v>635</v>
      </c>
      <c r="C48" s="12" t="s">
        <v>98</v>
      </c>
      <c r="D48" s="22">
        <v>285000</v>
      </c>
      <c r="E48" s="22"/>
      <c r="F48" s="22"/>
      <c r="G48" s="12" t="s">
        <v>577</v>
      </c>
      <c r="H48" s="23"/>
      <c r="I48" s="17"/>
      <c r="J48" s="17"/>
    </row>
    <row r="49" spans="1:10" ht="14.25" customHeight="1" x14ac:dyDescent="0.35">
      <c r="A49" s="12" t="s">
        <v>636</v>
      </c>
      <c r="B49" s="12" t="s">
        <v>637</v>
      </c>
      <c r="C49" s="12" t="s">
        <v>98</v>
      </c>
      <c r="D49" s="22">
        <v>300000</v>
      </c>
      <c r="E49" s="22"/>
      <c r="F49" s="22"/>
      <c r="G49" s="12" t="s">
        <v>638</v>
      </c>
      <c r="H49" s="23"/>
      <c r="I49" s="17"/>
      <c r="J49" s="17"/>
    </row>
    <row r="50" spans="1:10" ht="14.25" customHeight="1" x14ac:dyDescent="0.35">
      <c r="A50" s="12" t="s">
        <v>639</v>
      </c>
      <c r="B50" s="12" t="s">
        <v>640</v>
      </c>
      <c r="C50" s="12" t="s">
        <v>98</v>
      </c>
      <c r="D50" s="22">
        <v>150000</v>
      </c>
      <c r="E50" s="22"/>
      <c r="F50" s="22"/>
      <c r="G50" s="12" t="s">
        <v>638</v>
      </c>
      <c r="H50" s="23"/>
      <c r="I50" s="17"/>
      <c r="J50" s="17"/>
    </row>
    <row r="51" spans="1:10" ht="14.25" customHeight="1" x14ac:dyDescent="0.35">
      <c r="A51" s="12" t="s">
        <v>641</v>
      </c>
      <c r="B51" s="12" t="s">
        <v>642</v>
      </c>
      <c r="C51" s="12" t="s">
        <v>98</v>
      </c>
      <c r="D51" s="22">
        <v>25000</v>
      </c>
      <c r="E51" s="22"/>
      <c r="F51" s="22"/>
      <c r="G51" s="12" t="s">
        <v>638</v>
      </c>
      <c r="H51" s="23"/>
      <c r="I51" s="17"/>
      <c r="J51" s="17"/>
    </row>
    <row r="52" spans="1:10" ht="14.25" customHeight="1" x14ac:dyDescent="0.35">
      <c r="A52" s="12" t="s">
        <v>643</v>
      </c>
      <c r="B52" s="12" t="s">
        <v>644</v>
      </c>
      <c r="C52" s="12" t="s">
        <v>98</v>
      </c>
      <c r="D52" s="22">
        <v>30000</v>
      </c>
      <c r="E52" s="22"/>
      <c r="F52" s="22"/>
      <c r="G52" s="12" t="s">
        <v>638</v>
      </c>
      <c r="H52" s="23"/>
      <c r="I52" s="17"/>
      <c r="J52" s="17"/>
    </row>
    <row r="53" spans="1:10" ht="14.25" customHeight="1" x14ac:dyDescent="0.35">
      <c r="A53" s="12" t="s">
        <v>645</v>
      </c>
      <c r="B53" s="12" t="s">
        <v>646</v>
      </c>
      <c r="C53" s="12" t="s">
        <v>98</v>
      </c>
      <c r="D53" s="22">
        <v>300000</v>
      </c>
      <c r="E53" s="22"/>
      <c r="F53" s="22"/>
      <c r="G53" s="12" t="s">
        <v>638</v>
      </c>
      <c r="H53" s="23"/>
      <c r="I53" s="17"/>
      <c r="J53" s="17"/>
    </row>
    <row r="54" spans="1:10" ht="14.25" customHeight="1" x14ac:dyDescent="0.35">
      <c r="A54" s="12" t="s">
        <v>647</v>
      </c>
      <c r="B54" s="12" t="s">
        <v>648</v>
      </c>
      <c r="C54" s="12" t="s">
        <v>98</v>
      </c>
      <c r="D54" s="22">
        <v>50000</v>
      </c>
      <c r="E54" s="22"/>
      <c r="F54" s="22"/>
      <c r="G54" s="12" t="s">
        <v>535</v>
      </c>
      <c r="H54" s="23"/>
      <c r="I54" s="17"/>
      <c r="J54" s="17"/>
    </row>
    <row r="55" spans="1:10" ht="14.25" customHeight="1" x14ac:dyDescent="0.35">
      <c r="A55" s="12" t="s">
        <v>649</v>
      </c>
      <c r="B55" s="12" t="s">
        <v>650</v>
      </c>
      <c r="C55" s="12" t="s">
        <v>98</v>
      </c>
      <c r="D55" s="22">
        <v>150000</v>
      </c>
      <c r="E55" s="22"/>
      <c r="F55" s="22"/>
      <c r="G55" s="12" t="s">
        <v>577</v>
      </c>
      <c r="H55" s="23"/>
      <c r="I55" s="17"/>
      <c r="J55" s="17"/>
    </row>
    <row r="56" spans="1:10" ht="14.25" customHeight="1" x14ac:dyDescent="0.35">
      <c r="A56" s="12" t="s">
        <v>651</v>
      </c>
      <c r="B56" s="12" t="s">
        <v>652</v>
      </c>
      <c r="C56" s="12" t="s">
        <v>98</v>
      </c>
      <c r="D56" s="22">
        <v>15000</v>
      </c>
      <c r="E56" s="22"/>
      <c r="F56" s="22"/>
      <c r="G56" s="12" t="s">
        <v>577</v>
      </c>
      <c r="H56" s="23"/>
      <c r="I56" s="17"/>
      <c r="J56" s="17"/>
    </row>
    <row r="57" spans="1:10" ht="14.25" customHeight="1" x14ac:dyDescent="0.35">
      <c r="A57" s="12" t="s">
        <v>653</v>
      </c>
      <c r="B57" s="12" t="s">
        <v>654</v>
      </c>
      <c r="C57" s="12" t="s">
        <v>98</v>
      </c>
      <c r="D57" s="22">
        <v>16500</v>
      </c>
      <c r="E57" s="22"/>
      <c r="F57" s="22"/>
      <c r="G57" s="12" t="s">
        <v>577</v>
      </c>
      <c r="H57" s="23"/>
      <c r="I57" s="17"/>
      <c r="J57" s="17"/>
    </row>
    <row r="58" spans="1:10" ht="14.25" customHeight="1" x14ac:dyDescent="0.35">
      <c r="A58" s="12" t="s">
        <v>655</v>
      </c>
      <c r="B58" s="12" t="s">
        <v>656</v>
      </c>
      <c r="C58" s="12" t="s">
        <v>98</v>
      </c>
      <c r="D58" s="22">
        <v>300000</v>
      </c>
      <c r="E58" s="22"/>
      <c r="F58" s="22"/>
      <c r="G58" s="12" t="s">
        <v>577</v>
      </c>
      <c r="H58" s="23"/>
      <c r="I58" s="17"/>
      <c r="J58" s="17"/>
    </row>
    <row r="59" spans="1:10" ht="14.25" customHeight="1" x14ac:dyDescent="0.35">
      <c r="A59" s="12" t="s">
        <v>657</v>
      </c>
      <c r="B59" s="12" t="s">
        <v>658</v>
      </c>
      <c r="C59" s="12" t="s">
        <v>98</v>
      </c>
      <c r="D59" s="22">
        <v>200000</v>
      </c>
      <c r="E59" s="22"/>
      <c r="F59" s="22"/>
      <c r="G59" s="12" t="s">
        <v>638</v>
      </c>
      <c r="H59" s="23"/>
      <c r="I59" s="17"/>
      <c r="J59" s="17"/>
    </row>
    <row r="60" spans="1:10" ht="14.25" customHeight="1" x14ac:dyDescent="0.35">
      <c r="A60" s="12" t="s">
        <v>659</v>
      </c>
      <c r="B60" s="12" t="s">
        <v>660</v>
      </c>
      <c r="C60" s="12" t="s">
        <v>98</v>
      </c>
      <c r="D60" s="22">
        <v>200000</v>
      </c>
      <c r="E60" s="22"/>
      <c r="F60" s="22"/>
      <c r="G60" s="12" t="s">
        <v>638</v>
      </c>
      <c r="H60" s="23"/>
      <c r="I60" s="17"/>
      <c r="J60" s="17"/>
    </row>
    <row r="61" spans="1:10" ht="14.25" customHeight="1" x14ac:dyDescent="0.35">
      <c r="A61" s="12" t="s">
        <v>661</v>
      </c>
      <c r="B61" s="12" t="s">
        <v>662</v>
      </c>
      <c r="C61" s="12" t="s">
        <v>98</v>
      </c>
      <c r="D61" s="22">
        <v>50000</v>
      </c>
      <c r="E61" s="22"/>
      <c r="F61" s="22"/>
      <c r="G61" s="12" t="s">
        <v>638</v>
      </c>
      <c r="H61" s="23"/>
      <c r="I61" s="17"/>
      <c r="J61" s="17"/>
    </row>
    <row r="62" spans="1:10" ht="14.25" customHeight="1" x14ac:dyDescent="0.35">
      <c r="A62" s="12" t="s">
        <v>663</v>
      </c>
      <c r="B62" s="12" t="s">
        <v>664</v>
      </c>
      <c r="C62" s="12" t="s">
        <v>98</v>
      </c>
      <c r="D62" s="22">
        <v>10000</v>
      </c>
      <c r="E62" s="22"/>
      <c r="F62" s="22"/>
      <c r="G62" s="12" t="s">
        <v>638</v>
      </c>
      <c r="H62" s="23"/>
      <c r="I62" s="17"/>
      <c r="J62" s="17"/>
    </row>
    <row r="63" spans="1:10" ht="14.25" customHeight="1" x14ac:dyDescent="0.35">
      <c r="A63" s="12" t="s">
        <v>665</v>
      </c>
      <c r="B63" s="12" t="s">
        <v>666</v>
      </c>
      <c r="C63" s="12" t="s">
        <v>98</v>
      </c>
      <c r="D63" s="22">
        <v>15000</v>
      </c>
      <c r="E63" s="22"/>
      <c r="F63" s="22"/>
      <c r="G63" s="12" t="s">
        <v>638</v>
      </c>
      <c r="H63" s="23"/>
      <c r="I63" s="17"/>
      <c r="J63" s="17"/>
    </row>
    <row r="64" spans="1:10" ht="14.25" customHeight="1" x14ac:dyDescent="0.35">
      <c r="A64" s="12" t="s">
        <v>667</v>
      </c>
      <c r="B64" s="12" t="s">
        <v>668</v>
      </c>
      <c r="C64" s="12" t="s">
        <v>98</v>
      </c>
      <c r="D64" s="22">
        <v>15000</v>
      </c>
      <c r="E64" s="22"/>
      <c r="F64" s="22"/>
      <c r="G64" s="12" t="s">
        <v>638</v>
      </c>
      <c r="H64" s="23"/>
      <c r="I64" s="17"/>
      <c r="J64" s="17"/>
    </row>
    <row r="65" spans="1:10" ht="14.25" customHeight="1" x14ac:dyDescent="0.35">
      <c r="A65" s="12" t="s">
        <v>669</v>
      </c>
      <c r="B65" s="12" t="s">
        <v>670</v>
      </c>
      <c r="C65" s="12" t="s">
        <v>98</v>
      </c>
      <c r="D65" s="22">
        <v>2000</v>
      </c>
      <c r="E65" s="22"/>
      <c r="F65" s="22"/>
      <c r="G65" s="12" t="s">
        <v>638</v>
      </c>
      <c r="H65" s="23"/>
      <c r="I65" s="17"/>
      <c r="J65" s="17"/>
    </row>
    <row r="66" spans="1:10" ht="14.25" customHeight="1" x14ac:dyDescent="0.35">
      <c r="A66" s="12" t="s">
        <v>671</v>
      </c>
      <c r="B66" s="12" t="s">
        <v>672</v>
      </c>
      <c r="C66" s="12" t="s">
        <v>98</v>
      </c>
      <c r="D66" s="22">
        <v>780000</v>
      </c>
      <c r="E66" s="22"/>
      <c r="F66" s="22"/>
      <c r="G66" s="12" t="s">
        <v>673</v>
      </c>
      <c r="H66" s="23"/>
      <c r="I66" s="17"/>
      <c r="J66" s="17"/>
    </row>
    <row r="67" spans="1:10" ht="14.25" customHeight="1" x14ac:dyDescent="0.35">
      <c r="A67" s="12" t="s">
        <v>674</v>
      </c>
      <c r="B67" s="12" t="s">
        <v>675</v>
      </c>
      <c r="C67" s="12" t="s">
        <v>98</v>
      </c>
      <c r="D67" s="22">
        <v>115100</v>
      </c>
      <c r="E67" s="22"/>
      <c r="F67" s="22"/>
      <c r="G67" s="12" t="s">
        <v>676</v>
      </c>
      <c r="H67" s="23"/>
      <c r="I67" s="17"/>
      <c r="J67" s="17"/>
    </row>
    <row r="68" spans="1:10" ht="14.25" customHeight="1" x14ac:dyDescent="0.35">
      <c r="A68" s="12" t="s">
        <v>677</v>
      </c>
      <c r="B68" s="12" t="s">
        <v>678</v>
      </c>
      <c r="C68" s="12" t="s">
        <v>98</v>
      </c>
      <c r="D68" s="22">
        <v>5330</v>
      </c>
      <c r="E68" s="22"/>
      <c r="F68" s="22"/>
      <c r="G68" s="12" t="s">
        <v>673</v>
      </c>
      <c r="H68" s="23"/>
      <c r="I68" s="17"/>
      <c r="J68" s="17"/>
    </row>
    <row r="69" spans="1:10" ht="14.25" customHeight="1" x14ac:dyDescent="0.35">
      <c r="A69" s="12" t="s">
        <v>679</v>
      </c>
      <c r="B69" s="12" t="s">
        <v>680</v>
      </c>
      <c r="C69" s="12" t="s">
        <v>98</v>
      </c>
      <c r="D69" s="22">
        <v>533000</v>
      </c>
      <c r="E69" s="22"/>
      <c r="F69" s="22"/>
      <c r="G69" s="12" t="s">
        <v>673</v>
      </c>
      <c r="H69" s="23"/>
      <c r="I69" s="17"/>
      <c r="J69" s="17"/>
    </row>
    <row r="70" spans="1:10" ht="14.25" customHeight="1" x14ac:dyDescent="0.35">
      <c r="A70" s="12" t="s">
        <v>681</v>
      </c>
      <c r="B70" s="12" t="s">
        <v>682</v>
      </c>
      <c r="C70" s="12" t="s">
        <v>98</v>
      </c>
      <c r="D70" s="22">
        <v>7809.92</v>
      </c>
      <c r="E70" s="22"/>
      <c r="F70" s="22"/>
      <c r="G70" s="12" t="s">
        <v>535</v>
      </c>
      <c r="H70" s="23"/>
      <c r="I70" s="17"/>
      <c r="J70" s="17"/>
    </row>
    <row r="71" spans="1:10" ht="14.25" customHeight="1" x14ac:dyDescent="0.35">
      <c r="A71" s="12" t="s">
        <v>683</v>
      </c>
      <c r="B71" s="12" t="s">
        <v>684</v>
      </c>
      <c r="C71" s="12" t="s">
        <v>98</v>
      </c>
      <c r="D71" s="22">
        <v>1338.79</v>
      </c>
      <c r="E71" s="22"/>
      <c r="F71" s="22"/>
      <c r="G71" s="12" t="s">
        <v>535</v>
      </c>
      <c r="H71" s="23"/>
      <c r="I71" s="17"/>
      <c r="J71" s="17"/>
    </row>
    <row r="72" spans="1:10" ht="14.25" customHeight="1" x14ac:dyDescent="0.35">
      <c r="A72" s="12" t="s">
        <v>685</v>
      </c>
      <c r="B72" s="12" t="s">
        <v>686</v>
      </c>
      <c r="C72" s="12" t="s">
        <v>98</v>
      </c>
      <c r="D72" s="22">
        <v>150000</v>
      </c>
      <c r="E72" s="22"/>
      <c r="F72" s="22"/>
      <c r="G72" s="12" t="s">
        <v>535</v>
      </c>
      <c r="H72" s="23"/>
      <c r="I72" s="17"/>
      <c r="J72" s="17"/>
    </row>
    <row r="73" spans="1:10" ht="14.25" customHeight="1" x14ac:dyDescent="0.35">
      <c r="A73" s="12" t="s">
        <v>687</v>
      </c>
      <c r="B73" s="12" t="s">
        <v>688</v>
      </c>
      <c r="C73" s="12" t="s">
        <v>98</v>
      </c>
      <c r="D73" s="22">
        <v>357146.16970278003</v>
      </c>
      <c r="E73" s="22"/>
      <c r="F73" s="22"/>
      <c r="G73" s="12" t="s">
        <v>535</v>
      </c>
      <c r="H73" s="23"/>
      <c r="I73" s="17"/>
      <c r="J73" s="17"/>
    </row>
    <row r="74" spans="1:10" ht="14.25" customHeight="1" x14ac:dyDescent="0.35">
      <c r="A74" s="12" t="s">
        <v>689</v>
      </c>
      <c r="B74" s="12" t="s">
        <v>690</v>
      </c>
      <c r="C74" s="12" t="s">
        <v>98</v>
      </c>
      <c r="D74" s="22">
        <v>537813.28786424501</v>
      </c>
      <c r="E74" s="22"/>
      <c r="F74" s="22"/>
      <c r="G74" s="12" t="s">
        <v>535</v>
      </c>
      <c r="H74" s="23"/>
      <c r="I74" s="17"/>
      <c r="J74" s="17"/>
    </row>
    <row r="75" spans="1:10" ht="14.25" customHeight="1" x14ac:dyDescent="0.35">
      <c r="A75" s="12" t="s">
        <v>691</v>
      </c>
      <c r="B75" s="12" t="s">
        <v>692</v>
      </c>
      <c r="C75" s="12" t="s">
        <v>98</v>
      </c>
      <c r="D75" s="22">
        <v>357146.16970278003</v>
      </c>
      <c r="E75" s="22"/>
      <c r="F75" s="22"/>
      <c r="G75" s="12" t="s">
        <v>535</v>
      </c>
      <c r="H75" s="23"/>
      <c r="I75" s="17"/>
      <c r="J75" s="17"/>
    </row>
    <row r="76" spans="1:10" ht="14.25" customHeight="1" x14ac:dyDescent="0.35">
      <c r="A76" s="12" t="s">
        <v>693</v>
      </c>
      <c r="B76" s="12" t="s">
        <v>694</v>
      </c>
      <c r="C76" s="12" t="s">
        <v>98</v>
      </c>
      <c r="D76" s="22">
        <v>392586.16970278003</v>
      </c>
      <c r="E76" s="22"/>
      <c r="F76" s="22"/>
      <c r="G76" s="12" t="s">
        <v>535</v>
      </c>
      <c r="H76" s="23"/>
      <c r="I76" s="17"/>
      <c r="J76" s="17"/>
    </row>
    <row r="77" spans="1:10" ht="14.25" customHeight="1" x14ac:dyDescent="0.35">
      <c r="A77" s="12" t="s">
        <v>695</v>
      </c>
      <c r="B77" s="12" t="s">
        <v>696</v>
      </c>
      <c r="C77" s="12" t="s">
        <v>98</v>
      </c>
      <c r="D77" s="22">
        <v>537813.28786424501</v>
      </c>
      <c r="E77" s="22"/>
      <c r="F77" s="22"/>
      <c r="G77" s="12" t="s">
        <v>535</v>
      </c>
      <c r="H77" s="23"/>
      <c r="I77" s="17"/>
      <c r="J77" s="17"/>
    </row>
    <row r="78" spans="1:10" ht="14.25" customHeight="1" x14ac:dyDescent="0.35">
      <c r="A78" s="12" t="s">
        <v>697</v>
      </c>
      <c r="B78" s="12" t="s">
        <v>698</v>
      </c>
      <c r="C78" s="12" t="s">
        <v>98</v>
      </c>
      <c r="D78" s="22">
        <v>394401.88571428601</v>
      </c>
      <c r="E78" s="22"/>
      <c r="F78" s="22"/>
      <c r="G78" s="12" t="s">
        <v>535</v>
      </c>
      <c r="H78" s="23"/>
      <c r="I78" s="17"/>
      <c r="J78" s="17"/>
    </row>
    <row r="79" spans="1:10" ht="14.25" customHeight="1" x14ac:dyDescent="0.35">
      <c r="A79" s="12" t="s">
        <v>699</v>
      </c>
      <c r="B79" s="12" t="s">
        <v>700</v>
      </c>
      <c r="C79" s="12" t="s">
        <v>98</v>
      </c>
      <c r="D79" s="22">
        <v>542036.05081495701</v>
      </c>
      <c r="E79" s="22"/>
      <c r="F79" s="22"/>
      <c r="G79" s="12" t="s">
        <v>535</v>
      </c>
      <c r="H79" s="23"/>
      <c r="I79" s="17"/>
      <c r="J79" s="17"/>
    </row>
    <row r="80" spans="1:10" ht="14.25" customHeight="1" x14ac:dyDescent="0.35">
      <c r="A80" s="12" t="s">
        <v>701</v>
      </c>
      <c r="B80" s="12" t="s">
        <v>702</v>
      </c>
      <c r="C80" s="12" t="s">
        <v>98</v>
      </c>
      <c r="D80" s="22">
        <v>648356.05081495701</v>
      </c>
      <c r="E80" s="22"/>
      <c r="F80" s="22"/>
      <c r="G80" s="12" t="s">
        <v>535</v>
      </c>
      <c r="H80" s="23"/>
      <c r="I80" s="17"/>
      <c r="J80" s="17"/>
    </row>
    <row r="81" spans="1:10" ht="14.25" customHeight="1" x14ac:dyDescent="0.35">
      <c r="A81" s="12" t="s">
        <v>703</v>
      </c>
      <c r="B81" s="12" t="s">
        <v>704</v>
      </c>
      <c r="C81" s="12" t="s">
        <v>98</v>
      </c>
      <c r="D81" s="22">
        <v>447561.88571428601</v>
      </c>
      <c r="E81" s="22"/>
      <c r="F81" s="22"/>
      <c r="G81" s="12" t="s">
        <v>535</v>
      </c>
      <c r="H81" s="23"/>
      <c r="I81" s="17"/>
      <c r="J81" s="17"/>
    </row>
    <row r="82" spans="1:10" ht="14.25" customHeight="1" x14ac:dyDescent="0.35">
      <c r="A82" s="12" t="s">
        <v>705</v>
      </c>
      <c r="B82" s="12" t="s">
        <v>706</v>
      </c>
      <c r="C82" s="12" t="s">
        <v>98</v>
      </c>
      <c r="D82" s="22">
        <v>466389.29851905297</v>
      </c>
      <c r="E82" s="22"/>
      <c r="F82" s="22"/>
      <c r="G82" s="12" t="s">
        <v>535</v>
      </c>
      <c r="H82" s="23"/>
      <c r="I82" s="17"/>
      <c r="J82" s="17"/>
    </row>
    <row r="83" spans="1:10" ht="14.25" customHeight="1" x14ac:dyDescent="0.35">
      <c r="A83" s="12" t="s">
        <v>707</v>
      </c>
      <c r="B83" s="12" t="s">
        <v>708</v>
      </c>
      <c r="C83" s="12" t="s">
        <v>98</v>
      </c>
      <c r="D83" s="22">
        <v>578369.50878875004</v>
      </c>
      <c r="E83" s="22"/>
      <c r="F83" s="22"/>
      <c r="G83" s="12" t="s">
        <v>535</v>
      </c>
      <c r="H83" s="23"/>
      <c r="I83" s="17"/>
      <c r="J83" s="17"/>
    </row>
    <row r="84" spans="1:10" ht="14.25" customHeight="1" x14ac:dyDescent="0.35">
      <c r="A84" s="12" t="s">
        <v>709</v>
      </c>
      <c r="B84" s="12" t="s">
        <v>710</v>
      </c>
      <c r="C84" s="12" t="s">
        <v>98</v>
      </c>
      <c r="D84" s="22">
        <v>472049.50878874998</v>
      </c>
      <c r="E84" s="22"/>
      <c r="F84" s="22"/>
      <c r="G84" s="12" t="s">
        <v>535</v>
      </c>
      <c r="H84" s="23"/>
      <c r="I84" s="17"/>
      <c r="J84" s="17"/>
    </row>
    <row r="85" spans="1:10" ht="14.25" customHeight="1" x14ac:dyDescent="0.35">
      <c r="A85" s="12" t="s">
        <v>711</v>
      </c>
      <c r="B85" s="12" t="s">
        <v>712</v>
      </c>
      <c r="C85" s="12" t="s">
        <v>98</v>
      </c>
      <c r="D85" s="22">
        <v>361563.22243528301</v>
      </c>
      <c r="E85" s="22"/>
      <c r="F85" s="22"/>
      <c r="G85" s="12" t="s">
        <v>535</v>
      </c>
      <c r="H85" s="23"/>
      <c r="I85" s="17"/>
      <c r="J85" s="17"/>
    </row>
    <row r="86" spans="1:10" ht="14.25" customHeight="1" x14ac:dyDescent="0.35">
      <c r="A86" s="12" t="s">
        <v>713</v>
      </c>
      <c r="B86" s="12" t="s">
        <v>714</v>
      </c>
      <c r="C86" s="12" t="s">
        <v>98</v>
      </c>
      <c r="D86" s="22">
        <v>367994.55172222498</v>
      </c>
      <c r="E86" s="22"/>
      <c r="F86" s="22"/>
      <c r="G86" s="12" t="s">
        <v>535</v>
      </c>
      <c r="H86" s="23"/>
      <c r="I86" s="17"/>
      <c r="J86" s="17"/>
    </row>
    <row r="87" spans="1:10" ht="14.25" customHeight="1" x14ac:dyDescent="0.35">
      <c r="A87" s="12" t="s">
        <v>715</v>
      </c>
      <c r="B87" s="12" t="s">
        <v>716</v>
      </c>
      <c r="C87" s="12" t="s">
        <v>98</v>
      </c>
      <c r="D87" s="22">
        <v>404870.23328859097</v>
      </c>
      <c r="E87" s="22"/>
      <c r="F87" s="22"/>
      <c r="G87" s="12" t="s">
        <v>676</v>
      </c>
      <c r="H87" s="23"/>
      <c r="I87" s="17"/>
      <c r="J87" s="17"/>
    </row>
    <row r="88" spans="1:10" ht="14.25" customHeight="1" x14ac:dyDescent="0.35">
      <c r="A88" s="12" t="s">
        <v>717</v>
      </c>
      <c r="B88" s="12" t="s">
        <v>718</v>
      </c>
      <c r="C88" s="12" t="s">
        <v>98</v>
      </c>
      <c r="D88" s="22">
        <v>466389.29851905297</v>
      </c>
      <c r="E88" s="22"/>
      <c r="F88" s="22"/>
      <c r="G88" s="12" t="s">
        <v>535</v>
      </c>
      <c r="H88" s="23"/>
      <c r="I88" s="17"/>
      <c r="J88" s="17"/>
    </row>
    <row r="89" spans="1:10" ht="14.25" customHeight="1" x14ac:dyDescent="0.35">
      <c r="A89" s="12" t="s">
        <v>719</v>
      </c>
      <c r="B89" s="12" t="s">
        <v>100</v>
      </c>
      <c r="C89" s="12" t="s">
        <v>98</v>
      </c>
      <c r="D89" s="22">
        <v>55000</v>
      </c>
      <c r="E89" s="22"/>
      <c r="F89" s="22"/>
      <c r="G89" s="12" t="s">
        <v>673</v>
      </c>
      <c r="H89" s="23"/>
      <c r="I89" s="17"/>
      <c r="J89" s="17"/>
    </row>
    <row r="90" spans="1:10" ht="14.25" customHeight="1" x14ac:dyDescent="0.35">
      <c r="A90" s="12" t="s">
        <v>720</v>
      </c>
      <c r="B90" s="12" t="s">
        <v>414</v>
      </c>
      <c r="C90" s="12" t="s">
        <v>98</v>
      </c>
      <c r="D90" s="22">
        <v>100000</v>
      </c>
      <c r="E90" s="22"/>
      <c r="F90" s="22"/>
      <c r="G90" s="12" t="s">
        <v>673</v>
      </c>
      <c r="H90" s="23"/>
      <c r="I90" s="17"/>
      <c r="J90" s="17"/>
    </row>
    <row r="91" spans="1:10" ht="14.25" customHeight="1" x14ac:dyDescent="0.35">
      <c r="A91" s="12" t="s">
        <v>721</v>
      </c>
      <c r="B91" s="12" t="s">
        <v>722</v>
      </c>
      <c r="C91" s="12" t="s">
        <v>98</v>
      </c>
      <c r="D91" s="22">
        <v>100000</v>
      </c>
      <c r="E91" s="22"/>
      <c r="F91" s="22"/>
      <c r="G91" s="12" t="s">
        <v>673</v>
      </c>
      <c r="H91" s="23"/>
      <c r="I91" s="17"/>
      <c r="J91" s="17"/>
    </row>
    <row r="92" spans="1:10" ht="14.25" customHeight="1" x14ac:dyDescent="0.35">
      <c r="A92" s="12" t="s">
        <v>723</v>
      </c>
      <c r="B92" s="12" t="s">
        <v>724</v>
      </c>
      <c r="C92" s="12" t="s">
        <v>98</v>
      </c>
      <c r="D92" s="22">
        <v>125000</v>
      </c>
      <c r="E92" s="22"/>
      <c r="F92" s="22"/>
      <c r="G92" s="12" t="s">
        <v>676</v>
      </c>
      <c r="H92" s="23"/>
      <c r="I92" s="17"/>
      <c r="J92" s="17"/>
    </row>
    <row r="93" spans="1:10" ht="14.25" customHeight="1" x14ac:dyDescent="0.35">
      <c r="A93" s="12" t="s">
        <v>725</v>
      </c>
      <c r="B93" s="12" t="s">
        <v>726</v>
      </c>
      <c r="C93" s="12" t="s">
        <v>98</v>
      </c>
      <c r="D93" s="22">
        <v>10053.788111207799</v>
      </c>
      <c r="E93" s="22"/>
      <c r="F93" s="22"/>
      <c r="G93" s="12" t="s">
        <v>535</v>
      </c>
      <c r="H93" s="23"/>
      <c r="I93" s="17"/>
      <c r="J93" s="17"/>
    </row>
    <row r="94" spans="1:10" ht="14.25" customHeight="1" x14ac:dyDescent="0.35">
      <c r="A94" s="12" t="s">
        <v>727</v>
      </c>
      <c r="B94" s="12" t="s">
        <v>728</v>
      </c>
      <c r="C94" s="12" t="s">
        <v>98</v>
      </c>
      <c r="D94" s="22">
        <v>4061.165094</v>
      </c>
      <c r="E94" s="22"/>
      <c r="F94" s="22"/>
      <c r="G94" s="12" t="s">
        <v>535</v>
      </c>
      <c r="H94" s="23"/>
      <c r="I94" s="17"/>
      <c r="J94" s="17"/>
    </row>
    <row r="95" spans="1:10" ht="14.25" customHeight="1" x14ac:dyDescent="0.35">
      <c r="A95" s="12" t="s">
        <v>729</v>
      </c>
      <c r="B95" s="12" t="s">
        <v>730</v>
      </c>
      <c r="C95" s="12" t="s">
        <v>98</v>
      </c>
      <c r="D95" s="22">
        <v>15000</v>
      </c>
      <c r="E95" s="22"/>
      <c r="F95" s="22"/>
      <c r="G95" s="12" t="s">
        <v>546</v>
      </c>
      <c r="H95" s="23"/>
      <c r="I95" s="17"/>
      <c r="J95" s="17"/>
    </row>
    <row r="96" spans="1:10" ht="14.25" customHeight="1" x14ac:dyDescent="0.35">
      <c r="A96" s="12" t="s">
        <v>731</v>
      </c>
      <c r="B96" s="12" t="s">
        <v>732</v>
      </c>
      <c r="C96" s="12" t="s">
        <v>98</v>
      </c>
      <c r="D96" s="22">
        <v>45000</v>
      </c>
      <c r="E96" s="22"/>
      <c r="F96" s="22"/>
      <c r="G96" s="12" t="s">
        <v>535</v>
      </c>
      <c r="H96" s="23"/>
      <c r="I96" s="17"/>
      <c r="J96" s="17"/>
    </row>
    <row r="97" spans="1:10" ht="14.25" customHeight="1" x14ac:dyDescent="0.35">
      <c r="A97" s="12" t="s">
        <v>733</v>
      </c>
      <c r="B97" s="12" t="s">
        <v>128</v>
      </c>
      <c r="C97" s="12" t="s">
        <v>98</v>
      </c>
      <c r="D97" s="22">
        <v>3538.08</v>
      </c>
      <c r="E97" s="22"/>
      <c r="F97" s="22"/>
      <c r="G97" s="12" t="s">
        <v>535</v>
      </c>
      <c r="H97" s="23"/>
      <c r="I97" s="17"/>
      <c r="J97" s="17"/>
    </row>
    <row r="98" spans="1:10" ht="14.25" customHeight="1" x14ac:dyDescent="0.35">
      <c r="A98" s="12" t="s">
        <v>734</v>
      </c>
      <c r="B98" s="12" t="s">
        <v>735</v>
      </c>
      <c r="C98" s="12" t="s">
        <v>98</v>
      </c>
      <c r="D98" s="22">
        <v>21485.39</v>
      </c>
      <c r="E98" s="22"/>
      <c r="F98" s="22"/>
      <c r="G98" s="12" t="s">
        <v>597</v>
      </c>
      <c r="H98" s="23"/>
      <c r="I98" s="17"/>
      <c r="J98" s="17"/>
    </row>
    <row r="99" spans="1:10" ht="14.25" customHeight="1" x14ac:dyDescent="0.35">
      <c r="A99" s="12" t="s">
        <v>736</v>
      </c>
      <c r="B99" s="12" t="s">
        <v>737</v>
      </c>
      <c r="C99" s="12" t="s">
        <v>98</v>
      </c>
      <c r="D99" s="22">
        <v>24676.900826446301</v>
      </c>
      <c r="E99" s="22"/>
      <c r="F99" s="22"/>
      <c r="G99" s="12" t="s">
        <v>546</v>
      </c>
      <c r="H99" s="23"/>
      <c r="I99" s="17"/>
      <c r="J99" s="17"/>
    </row>
    <row r="100" spans="1:10" ht="14.25" customHeight="1" x14ac:dyDescent="0.35">
      <c r="A100" s="12" t="s">
        <v>738</v>
      </c>
      <c r="B100" s="12" t="s">
        <v>739</v>
      </c>
      <c r="C100" s="12" t="s">
        <v>98</v>
      </c>
      <c r="D100" s="22">
        <v>7524.72</v>
      </c>
      <c r="E100" s="22"/>
      <c r="F100" s="22"/>
      <c r="G100" s="12" t="s">
        <v>535</v>
      </c>
      <c r="H100" s="23"/>
      <c r="I100" s="17"/>
      <c r="J100" s="17"/>
    </row>
    <row r="101" spans="1:10" ht="14.25" customHeight="1" x14ac:dyDescent="0.35">
      <c r="A101" s="12" t="s">
        <v>740</v>
      </c>
      <c r="B101" s="12" t="s">
        <v>741</v>
      </c>
      <c r="C101" s="12" t="s">
        <v>98</v>
      </c>
      <c r="D101" s="22">
        <v>152600</v>
      </c>
      <c r="E101" s="22"/>
      <c r="F101" s="22"/>
      <c r="G101" s="12" t="s">
        <v>535</v>
      </c>
      <c r="H101" s="23"/>
      <c r="I101" s="17"/>
      <c r="J101" s="17"/>
    </row>
    <row r="102" spans="1:10" ht="14.25" customHeight="1" x14ac:dyDescent="0.35">
      <c r="A102" s="12" t="s">
        <v>742</v>
      </c>
      <c r="B102" s="12" t="s">
        <v>743</v>
      </c>
      <c r="C102" s="12" t="s">
        <v>98</v>
      </c>
      <c r="D102" s="22">
        <v>42850.080000000002</v>
      </c>
      <c r="E102" s="22"/>
      <c r="F102" s="22"/>
      <c r="G102" s="12" t="s">
        <v>535</v>
      </c>
      <c r="H102" s="23"/>
      <c r="I102" s="17"/>
      <c r="J102" s="17"/>
    </row>
    <row r="103" spans="1:10" ht="14.25" customHeight="1" x14ac:dyDescent="0.35">
      <c r="A103" s="12" t="s">
        <v>744</v>
      </c>
      <c r="B103" s="12" t="s">
        <v>745</v>
      </c>
      <c r="C103" s="12" t="s">
        <v>98</v>
      </c>
      <c r="D103" s="22">
        <v>1566</v>
      </c>
      <c r="E103" s="22"/>
      <c r="F103" s="22"/>
      <c r="G103" s="12" t="s">
        <v>535</v>
      </c>
      <c r="H103" s="23"/>
      <c r="I103" s="17"/>
      <c r="J103" s="17"/>
    </row>
    <row r="104" spans="1:10" ht="14.25" customHeight="1" x14ac:dyDescent="0.35">
      <c r="A104" s="12" t="s">
        <v>746</v>
      </c>
      <c r="B104" s="12" t="s">
        <v>747</v>
      </c>
      <c r="C104" s="12" t="s">
        <v>98</v>
      </c>
      <c r="D104" s="22">
        <v>115100</v>
      </c>
      <c r="E104" s="22"/>
      <c r="F104" s="22"/>
      <c r="G104" s="12" t="s">
        <v>535</v>
      </c>
      <c r="H104" s="23"/>
      <c r="I104" s="17"/>
      <c r="J104" s="17"/>
    </row>
    <row r="105" spans="1:10" ht="14.25" customHeight="1" x14ac:dyDescent="0.35">
      <c r="A105" s="12" t="s">
        <v>748</v>
      </c>
      <c r="B105" s="12" t="s">
        <v>749</v>
      </c>
      <c r="C105" s="12" t="s">
        <v>98</v>
      </c>
      <c r="D105" s="22">
        <v>533000</v>
      </c>
      <c r="E105" s="22"/>
      <c r="F105" s="22"/>
      <c r="G105" s="12" t="s">
        <v>673</v>
      </c>
      <c r="H105" s="23"/>
      <c r="I105" s="17"/>
      <c r="J105" s="17"/>
    </row>
    <row r="106" spans="1:10" ht="14.25" customHeight="1" x14ac:dyDescent="0.35">
      <c r="A106" s="12" t="s">
        <v>750</v>
      </c>
      <c r="B106" s="12" t="s">
        <v>751</v>
      </c>
      <c r="C106" s="12" t="s">
        <v>98</v>
      </c>
      <c r="D106" s="22">
        <v>10716.59</v>
      </c>
      <c r="E106" s="22"/>
      <c r="F106" s="22"/>
      <c r="G106" s="12" t="s">
        <v>535</v>
      </c>
      <c r="H106" s="23"/>
      <c r="I106" s="17"/>
      <c r="J106" s="17"/>
    </row>
    <row r="107" spans="1:10" ht="14.25" customHeight="1" x14ac:dyDescent="0.35">
      <c r="A107" s="12" t="s">
        <v>752</v>
      </c>
      <c r="B107" s="12" t="s">
        <v>753</v>
      </c>
      <c r="C107" s="12" t="s">
        <v>98</v>
      </c>
      <c r="D107" s="22">
        <v>27000</v>
      </c>
      <c r="E107" s="22"/>
      <c r="F107" s="22"/>
      <c r="G107" s="12" t="s">
        <v>535</v>
      </c>
      <c r="H107" s="23"/>
      <c r="I107" s="17"/>
      <c r="J107" s="17"/>
    </row>
    <row r="108" spans="1:10" ht="14.25" customHeight="1" x14ac:dyDescent="0.35">
      <c r="A108" s="12" t="s">
        <v>754</v>
      </c>
      <c r="B108" s="12" t="s">
        <v>755</v>
      </c>
      <c r="C108" s="12" t="s">
        <v>98</v>
      </c>
      <c r="D108" s="22">
        <v>67976.634462000002</v>
      </c>
      <c r="E108" s="22"/>
      <c r="F108" s="22"/>
      <c r="G108" s="12" t="s">
        <v>535</v>
      </c>
      <c r="H108" s="23"/>
      <c r="I108" s="17"/>
      <c r="J108" s="17"/>
    </row>
    <row r="109" spans="1:10" ht="14.25" customHeight="1" x14ac:dyDescent="0.35">
      <c r="A109" s="12" t="s">
        <v>756</v>
      </c>
      <c r="B109" s="12" t="s">
        <v>757</v>
      </c>
      <c r="C109" s="12" t="s">
        <v>98</v>
      </c>
      <c r="D109" s="22">
        <v>3420.3193200000001</v>
      </c>
      <c r="E109" s="22"/>
      <c r="F109" s="22"/>
      <c r="G109" s="12" t="s">
        <v>535</v>
      </c>
      <c r="H109" s="23"/>
      <c r="I109" s="17"/>
      <c r="J109" s="17"/>
    </row>
    <row r="110" spans="1:10" ht="14.25" customHeight="1" x14ac:dyDescent="0.35">
      <c r="A110" s="12" t="s">
        <v>758</v>
      </c>
      <c r="B110" s="12" t="s">
        <v>759</v>
      </c>
      <c r="C110" s="12" t="s">
        <v>98</v>
      </c>
      <c r="D110" s="22">
        <v>371746.29812443198</v>
      </c>
      <c r="E110" s="22"/>
      <c r="F110" s="22"/>
      <c r="G110" s="12" t="s">
        <v>561</v>
      </c>
      <c r="H110" s="23"/>
      <c r="I110" s="17"/>
      <c r="J110" s="17"/>
    </row>
    <row r="111" spans="1:10" ht="14.25" customHeight="1" x14ac:dyDescent="0.35">
      <c r="A111" s="12" t="s">
        <v>760</v>
      </c>
      <c r="B111" s="12" t="s">
        <v>761</v>
      </c>
      <c r="C111" s="12" t="s">
        <v>98</v>
      </c>
      <c r="D111" s="22">
        <v>10308.9504132231</v>
      </c>
      <c r="E111" s="22"/>
      <c r="F111" s="22"/>
      <c r="G111" s="12" t="s">
        <v>597</v>
      </c>
      <c r="H111" s="23"/>
      <c r="I111" s="17"/>
      <c r="J111" s="17"/>
    </row>
    <row r="112" spans="1:10" ht="14.25" customHeight="1" x14ac:dyDescent="0.35">
      <c r="A112" s="12" t="s">
        <v>762</v>
      </c>
      <c r="B112" s="12" t="s">
        <v>763</v>
      </c>
      <c r="C112" s="12" t="s">
        <v>98</v>
      </c>
      <c r="D112" s="22">
        <v>309268.51239669399</v>
      </c>
      <c r="E112" s="22"/>
      <c r="F112" s="22"/>
      <c r="G112" s="12" t="s">
        <v>561</v>
      </c>
      <c r="H112" s="23"/>
      <c r="I112" s="17"/>
      <c r="J112" s="17"/>
    </row>
    <row r="113" spans="1:10" ht="14.25" customHeight="1" x14ac:dyDescent="0.35">
      <c r="A113" s="12" t="s">
        <v>764</v>
      </c>
      <c r="B113" s="12" t="s">
        <v>765</v>
      </c>
      <c r="C113" s="12" t="s">
        <v>98</v>
      </c>
      <c r="D113" s="22">
        <v>250000</v>
      </c>
      <c r="E113" s="22"/>
      <c r="F113" s="22"/>
      <c r="G113" s="12" t="s">
        <v>561</v>
      </c>
      <c r="H113" s="23"/>
      <c r="I113" s="17"/>
      <c r="J113" s="17"/>
    </row>
    <row r="114" spans="1:10" ht="14.25" customHeight="1" x14ac:dyDescent="0.35">
      <c r="A114" s="12" t="s">
        <v>766</v>
      </c>
      <c r="B114" s="12" t="s">
        <v>767</v>
      </c>
      <c r="C114" s="12" t="s">
        <v>98</v>
      </c>
      <c r="D114" s="22">
        <v>150</v>
      </c>
      <c r="E114" s="22"/>
      <c r="F114" s="22"/>
      <c r="G114" s="12" t="s">
        <v>608</v>
      </c>
      <c r="H114" s="23"/>
      <c r="I114" s="17"/>
      <c r="J114" s="17"/>
    </row>
    <row r="115" spans="1:10" ht="14.25" customHeight="1" x14ac:dyDescent="0.35">
      <c r="A115" s="12" t="s">
        <v>768</v>
      </c>
      <c r="B115" s="12" t="s">
        <v>769</v>
      </c>
      <c r="C115" s="12" t="s">
        <v>98</v>
      </c>
      <c r="D115" s="22">
        <v>185338.30578512399</v>
      </c>
      <c r="E115" s="22"/>
      <c r="F115" s="22"/>
      <c r="G115" s="12" t="s">
        <v>535</v>
      </c>
      <c r="H115" s="23"/>
      <c r="I115" s="17"/>
      <c r="J115" s="17"/>
    </row>
    <row r="116" spans="1:10" ht="14.25" customHeight="1" x14ac:dyDescent="0.35">
      <c r="A116" s="12" t="s">
        <v>770</v>
      </c>
      <c r="B116" s="12" t="s">
        <v>771</v>
      </c>
      <c r="C116" s="12" t="s">
        <v>98</v>
      </c>
      <c r="D116" s="22">
        <v>4640.4958677686</v>
      </c>
      <c r="E116" s="22"/>
      <c r="F116" s="22"/>
      <c r="G116" s="12" t="s">
        <v>592</v>
      </c>
      <c r="H116" s="23"/>
      <c r="I116" s="17"/>
      <c r="J116" s="17"/>
    </row>
    <row r="117" spans="1:10" ht="14.25" customHeight="1" x14ac:dyDescent="0.35">
      <c r="A117" s="12" t="s">
        <v>772</v>
      </c>
      <c r="B117" s="12" t="s">
        <v>773</v>
      </c>
      <c r="C117" s="12" t="s">
        <v>98</v>
      </c>
      <c r="D117" s="22">
        <v>53719.008264462798</v>
      </c>
      <c r="E117" s="22"/>
      <c r="F117" s="22"/>
      <c r="G117" s="12" t="s">
        <v>535</v>
      </c>
      <c r="H117" s="23"/>
      <c r="I117" s="17"/>
      <c r="J117" s="17"/>
    </row>
    <row r="118" spans="1:10" ht="14.25" customHeight="1" x14ac:dyDescent="0.35">
      <c r="A118" s="12" t="s">
        <v>774</v>
      </c>
      <c r="B118" s="12" t="s">
        <v>775</v>
      </c>
      <c r="C118" s="12" t="s">
        <v>98</v>
      </c>
      <c r="D118" s="22">
        <v>2363636.36363636</v>
      </c>
      <c r="E118" s="22"/>
      <c r="F118" s="22"/>
      <c r="G118" s="12" t="s">
        <v>535</v>
      </c>
      <c r="H118" s="23"/>
      <c r="I118" s="17"/>
      <c r="J118" s="17"/>
    </row>
    <row r="119" spans="1:10" ht="14.25" customHeight="1" x14ac:dyDescent="0.35">
      <c r="A119" s="12" t="s">
        <v>776</v>
      </c>
      <c r="B119" s="12" t="s">
        <v>777</v>
      </c>
      <c r="C119" s="12" t="s">
        <v>98</v>
      </c>
      <c r="D119" s="22">
        <v>66115.702479338797</v>
      </c>
      <c r="E119" s="22"/>
      <c r="F119" s="22"/>
      <c r="G119" s="12" t="s">
        <v>592</v>
      </c>
      <c r="H119" s="23"/>
      <c r="I119" s="17"/>
      <c r="J119" s="17"/>
    </row>
    <row r="120" spans="1:10" ht="14.25" customHeight="1" x14ac:dyDescent="0.35">
      <c r="A120" s="12" t="s">
        <v>778</v>
      </c>
      <c r="B120" s="12" t="s">
        <v>779</v>
      </c>
      <c r="C120" s="12" t="s">
        <v>98</v>
      </c>
      <c r="D120" s="22">
        <v>35000</v>
      </c>
      <c r="E120" s="22"/>
      <c r="F120" s="22"/>
      <c r="G120" s="12" t="s">
        <v>592</v>
      </c>
      <c r="H120" s="23"/>
      <c r="I120" s="17"/>
      <c r="J120" s="17"/>
    </row>
    <row r="121" spans="1:10" ht="14.25" customHeight="1" x14ac:dyDescent="0.35">
      <c r="A121" s="12" t="s">
        <v>780</v>
      </c>
      <c r="B121" s="12" t="s">
        <v>781</v>
      </c>
      <c r="C121" s="12" t="s">
        <v>98</v>
      </c>
      <c r="D121" s="22">
        <v>4460.73119834711</v>
      </c>
      <c r="E121" s="22"/>
      <c r="F121" s="22"/>
      <c r="G121" s="12" t="s">
        <v>574</v>
      </c>
      <c r="H121" s="23"/>
      <c r="I121" s="17"/>
      <c r="J121" s="17"/>
    </row>
    <row r="122" spans="1:10" ht="14.25" customHeight="1" x14ac:dyDescent="0.35">
      <c r="A122" s="12" t="s">
        <v>782</v>
      </c>
      <c r="B122" s="12" t="s">
        <v>50</v>
      </c>
      <c r="C122" s="12" t="s">
        <v>98</v>
      </c>
      <c r="D122" s="22">
        <v>2676.4387190082598</v>
      </c>
      <c r="E122" s="22"/>
      <c r="F122" s="22"/>
      <c r="G122" s="12" t="s">
        <v>783</v>
      </c>
      <c r="H122" s="23"/>
      <c r="I122" s="17"/>
      <c r="J122" s="17"/>
    </row>
    <row r="123" spans="1:10" ht="14.25" customHeight="1" x14ac:dyDescent="0.35">
      <c r="A123" s="12" t="s">
        <v>784</v>
      </c>
      <c r="B123" s="12" t="s">
        <v>276</v>
      </c>
      <c r="C123" s="12" t="s">
        <v>98</v>
      </c>
      <c r="D123" s="22">
        <v>4104.3831840000003</v>
      </c>
      <c r="E123" s="22"/>
      <c r="F123" s="22"/>
      <c r="G123" s="12" t="s">
        <v>783</v>
      </c>
      <c r="H123" s="23"/>
      <c r="I123" s="17"/>
      <c r="J123" s="17"/>
    </row>
    <row r="124" spans="1:10" ht="14.25" customHeight="1" x14ac:dyDescent="0.35">
      <c r="A124" s="12" t="s">
        <v>785</v>
      </c>
      <c r="B124" s="12" t="s">
        <v>786</v>
      </c>
      <c r="C124" s="12" t="s">
        <v>98</v>
      </c>
      <c r="D124" s="22">
        <v>1409151.07525831</v>
      </c>
      <c r="E124" s="22"/>
      <c r="F124" s="22"/>
      <c r="G124" s="12" t="s">
        <v>787</v>
      </c>
      <c r="H124" s="23"/>
      <c r="I124" s="17"/>
      <c r="J124" s="17"/>
    </row>
    <row r="125" spans="1:10" ht="14.25" customHeight="1" x14ac:dyDescent="0.35">
      <c r="A125" s="12" t="s">
        <v>788</v>
      </c>
      <c r="B125" s="12" t="s">
        <v>789</v>
      </c>
      <c r="C125" s="12" t="s">
        <v>98</v>
      </c>
      <c r="D125" s="22">
        <v>610540.33970065799</v>
      </c>
      <c r="E125" s="22"/>
      <c r="F125" s="22"/>
      <c r="G125" s="12" t="s">
        <v>535</v>
      </c>
      <c r="H125" s="23"/>
      <c r="I125" s="17"/>
      <c r="J125" s="17"/>
    </row>
    <row r="126" spans="1:10" ht="14.25" customHeight="1" x14ac:dyDescent="0.35">
      <c r="A126" s="12" t="s">
        <v>790</v>
      </c>
      <c r="B126" s="12" t="s">
        <v>791</v>
      </c>
      <c r="C126" s="12" t="s">
        <v>98</v>
      </c>
      <c r="D126" s="22">
        <v>290879.99749432702</v>
      </c>
      <c r="E126" s="22"/>
      <c r="F126" s="22"/>
      <c r="G126" s="12" t="s">
        <v>535</v>
      </c>
      <c r="H126" s="23"/>
      <c r="I126" s="17"/>
      <c r="J126" s="17"/>
    </row>
    <row r="127" spans="1:10" ht="14.25" customHeight="1" x14ac:dyDescent="0.35">
      <c r="A127" s="12" t="s">
        <v>792</v>
      </c>
      <c r="B127" s="12" t="s">
        <v>793</v>
      </c>
      <c r="C127" s="12" t="s">
        <v>98</v>
      </c>
      <c r="D127" s="22">
        <v>502957.66935238999</v>
      </c>
      <c r="E127" s="22"/>
      <c r="F127" s="22"/>
      <c r="G127" s="12" t="s">
        <v>535</v>
      </c>
      <c r="H127" s="23"/>
      <c r="I127" s="17"/>
      <c r="J127" s="17"/>
    </row>
    <row r="128" spans="1:10" ht="14.25" customHeight="1" x14ac:dyDescent="0.35">
      <c r="A128" s="12" t="s">
        <v>794</v>
      </c>
      <c r="B128" s="12" t="s">
        <v>795</v>
      </c>
      <c r="C128" s="12" t="s">
        <v>98</v>
      </c>
      <c r="D128" s="22">
        <v>136527.374387219</v>
      </c>
      <c r="E128" s="22"/>
      <c r="F128" s="22"/>
      <c r="G128" s="12" t="s">
        <v>787</v>
      </c>
      <c r="H128" s="23"/>
      <c r="I128" s="17"/>
      <c r="J128" s="17"/>
    </row>
    <row r="129" spans="1:10" ht="14.25" customHeight="1" x14ac:dyDescent="0.35">
      <c r="A129" s="12" t="s">
        <v>796</v>
      </c>
      <c r="B129" s="12" t="s">
        <v>797</v>
      </c>
      <c r="C129" s="12" t="s">
        <v>98</v>
      </c>
      <c r="D129" s="22">
        <v>210979.27800769999</v>
      </c>
      <c r="E129" s="22"/>
      <c r="F129" s="22"/>
      <c r="G129" s="12" t="s">
        <v>535</v>
      </c>
      <c r="H129" s="23"/>
      <c r="I129" s="17"/>
      <c r="J129" s="17"/>
    </row>
    <row r="130" spans="1:10" ht="14.25" customHeight="1" x14ac:dyDescent="0.35">
      <c r="A130" s="12" t="s">
        <v>798</v>
      </c>
      <c r="B130" s="12" t="s">
        <v>799</v>
      </c>
      <c r="C130" s="12" t="s">
        <v>98</v>
      </c>
      <c r="D130" s="22">
        <v>6941648.2775357002</v>
      </c>
      <c r="E130" s="22"/>
      <c r="F130" s="22"/>
      <c r="G130" s="12" t="s">
        <v>783</v>
      </c>
      <c r="H130" s="23"/>
      <c r="I130" s="17"/>
      <c r="J130" s="17"/>
    </row>
    <row r="131" spans="1:10" ht="14.25" customHeight="1" x14ac:dyDescent="0.35">
      <c r="A131" s="12" t="s">
        <v>800</v>
      </c>
      <c r="B131" s="12" t="s">
        <v>801</v>
      </c>
      <c r="C131" s="12" t="s">
        <v>98</v>
      </c>
      <c r="D131" s="22">
        <v>6991302.4321481204</v>
      </c>
      <c r="E131" s="22"/>
      <c r="F131" s="22"/>
      <c r="G131" s="12" t="s">
        <v>783</v>
      </c>
      <c r="H131" s="23"/>
      <c r="I131" s="17"/>
      <c r="J131" s="17"/>
    </row>
    <row r="132" spans="1:10" ht="14.25" customHeight="1" x14ac:dyDescent="0.35">
      <c r="A132" s="12" t="s">
        <v>802</v>
      </c>
      <c r="B132" s="12" t="s">
        <v>803</v>
      </c>
      <c r="C132" s="12" t="s">
        <v>98</v>
      </c>
      <c r="D132" s="22">
        <v>559930.45499047101</v>
      </c>
      <c r="E132" s="22"/>
      <c r="F132" s="22"/>
      <c r="G132" s="12" t="s">
        <v>638</v>
      </c>
      <c r="H132" s="23"/>
      <c r="I132" s="17"/>
      <c r="J132" s="17"/>
    </row>
    <row r="133" spans="1:10" ht="14.25" customHeight="1" x14ac:dyDescent="0.35">
      <c r="A133" s="12" t="s">
        <v>804</v>
      </c>
      <c r="B133" s="12" t="s">
        <v>805</v>
      </c>
      <c r="C133" s="12" t="s">
        <v>98</v>
      </c>
      <c r="D133" s="22">
        <v>4309627.8633777499</v>
      </c>
      <c r="E133" s="22"/>
      <c r="F133" s="22"/>
      <c r="G133" s="12" t="s">
        <v>638</v>
      </c>
      <c r="H133" s="23"/>
      <c r="I133" s="17"/>
      <c r="J133" s="17"/>
    </row>
    <row r="134" spans="1:10" ht="14.25" customHeight="1" x14ac:dyDescent="0.35">
      <c r="A134" s="12" t="s">
        <v>806</v>
      </c>
      <c r="B134" s="12" t="s">
        <v>807</v>
      </c>
      <c r="C134" s="12" t="s">
        <v>98</v>
      </c>
      <c r="D134" s="22">
        <v>1446561.6458157499</v>
      </c>
      <c r="E134" s="22"/>
      <c r="F134" s="22"/>
      <c r="G134" s="12" t="s">
        <v>638</v>
      </c>
      <c r="H134" s="23"/>
      <c r="I134" s="17"/>
      <c r="J134" s="17"/>
    </row>
    <row r="135" spans="1:10" ht="14.25" customHeight="1" x14ac:dyDescent="0.35">
      <c r="A135" s="12" t="s">
        <v>808</v>
      </c>
      <c r="B135" s="12" t="s">
        <v>809</v>
      </c>
      <c r="C135" s="12" t="s">
        <v>98</v>
      </c>
      <c r="D135" s="22">
        <v>460664.73864557099</v>
      </c>
      <c r="E135" s="22"/>
      <c r="F135" s="22"/>
      <c r="G135" s="12" t="s">
        <v>638</v>
      </c>
      <c r="H135" s="23"/>
      <c r="I135" s="17"/>
      <c r="J135" s="17"/>
    </row>
    <row r="136" spans="1:10" ht="14.25" customHeight="1" x14ac:dyDescent="0.35">
      <c r="A136" s="12" t="s">
        <v>810</v>
      </c>
      <c r="B136" s="12" t="s">
        <v>811</v>
      </c>
      <c r="C136" s="12" t="s">
        <v>98</v>
      </c>
      <c r="D136" s="22">
        <v>2104760.5606523599</v>
      </c>
      <c r="E136" s="22"/>
      <c r="F136" s="22"/>
      <c r="G136" s="12" t="s">
        <v>638</v>
      </c>
      <c r="H136" s="23"/>
      <c r="I136" s="17"/>
      <c r="J136" s="17"/>
    </row>
    <row r="137" spans="1:10" ht="14.25" customHeight="1" x14ac:dyDescent="0.35">
      <c r="A137" s="12" t="s">
        <v>812</v>
      </c>
      <c r="B137" s="12" t="s">
        <v>813</v>
      </c>
      <c r="C137" s="12" t="s">
        <v>98</v>
      </c>
      <c r="D137" s="22">
        <v>809170.17674968601</v>
      </c>
      <c r="E137" s="22"/>
      <c r="F137" s="22"/>
      <c r="G137" s="12" t="s">
        <v>638</v>
      </c>
      <c r="H137" s="23"/>
      <c r="I137" s="17"/>
      <c r="J137" s="17"/>
    </row>
    <row r="138" spans="1:10" ht="14.25" customHeight="1" x14ac:dyDescent="0.35">
      <c r="A138" s="12" t="s">
        <v>814</v>
      </c>
      <c r="B138" s="12" t="s">
        <v>815</v>
      </c>
      <c r="C138" s="12" t="s">
        <v>98</v>
      </c>
      <c r="D138" s="22">
        <v>1906561.77476009</v>
      </c>
      <c r="E138" s="22"/>
      <c r="F138" s="22"/>
      <c r="G138" s="12" t="s">
        <v>638</v>
      </c>
      <c r="H138" s="23"/>
      <c r="I138" s="17"/>
      <c r="J138" s="17"/>
    </row>
    <row r="139" spans="1:10" ht="14.25" customHeight="1" x14ac:dyDescent="0.35">
      <c r="A139" s="12" t="s">
        <v>816</v>
      </c>
      <c r="B139" s="12" t="s">
        <v>817</v>
      </c>
      <c r="C139" s="12" t="s">
        <v>98</v>
      </c>
      <c r="D139" s="22">
        <v>1435578.0647120301</v>
      </c>
      <c r="E139" s="22"/>
      <c r="F139" s="22"/>
      <c r="G139" s="12" t="s">
        <v>638</v>
      </c>
      <c r="H139" s="23"/>
      <c r="I139" s="17"/>
      <c r="J139" s="17"/>
    </row>
    <row r="140" spans="1:10" ht="14.25" customHeight="1" x14ac:dyDescent="0.35">
      <c r="A140" s="12" t="s">
        <v>818</v>
      </c>
      <c r="B140" s="12" t="s">
        <v>819</v>
      </c>
      <c r="C140" s="12" t="s">
        <v>98</v>
      </c>
      <c r="D140" s="22">
        <v>609036.01399088604</v>
      </c>
      <c r="E140" s="22"/>
      <c r="F140" s="22"/>
      <c r="G140" s="12" t="s">
        <v>638</v>
      </c>
      <c r="H140" s="23"/>
      <c r="I140" s="17"/>
      <c r="J140" s="17"/>
    </row>
    <row r="141" spans="1:10" ht="14.25" customHeight="1" x14ac:dyDescent="0.35">
      <c r="A141" s="12" t="s">
        <v>820</v>
      </c>
      <c r="B141" s="12" t="s">
        <v>821</v>
      </c>
      <c r="C141" s="12" t="s">
        <v>98</v>
      </c>
      <c r="D141" s="22">
        <v>2840582.8064988302</v>
      </c>
      <c r="E141" s="22"/>
      <c r="F141" s="22"/>
      <c r="G141" s="12" t="s">
        <v>638</v>
      </c>
      <c r="H141" s="23"/>
      <c r="I141" s="17"/>
      <c r="J141" s="17"/>
    </row>
    <row r="142" spans="1:10" ht="14.25" customHeight="1" x14ac:dyDescent="0.35">
      <c r="A142" s="12" t="s">
        <v>822</v>
      </c>
      <c r="B142" s="12" t="s">
        <v>823</v>
      </c>
      <c r="C142" s="12" t="s">
        <v>98</v>
      </c>
      <c r="D142" s="22">
        <v>2501139.9349345602</v>
      </c>
      <c r="E142" s="22"/>
      <c r="F142" s="22"/>
      <c r="G142" s="12" t="s">
        <v>638</v>
      </c>
      <c r="H142" s="23"/>
      <c r="I142" s="17"/>
      <c r="J142" s="17"/>
    </row>
    <row r="143" spans="1:10" ht="14.25" customHeight="1" x14ac:dyDescent="0.35">
      <c r="A143" s="12" t="s">
        <v>824</v>
      </c>
      <c r="B143" s="12" t="s">
        <v>825</v>
      </c>
      <c r="C143" s="12" t="s">
        <v>98</v>
      </c>
      <c r="D143" s="22">
        <v>358894.516178007</v>
      </c>
      <c r="E143" s="22"/>
      <c r="F143" s="22"/>
      <c r="G143" s="12" t="s">
        <v>826</v>
      </c>
      <c r="H143" s="23"/>
      <c r="I143" s="17"/>
      <c r="J143" s="17"/>
    </row>
    <row r="144" spans="1:10" ht="14.25" customHeight="1" x14ac:dyDescent="0.35">
      <c r="A144" s="12" t="s">
        <v>827</v>
      </c>
      <c r="B144" s="12" t="s">
        <v>828</v>
      </c>
      <c r="C144" s="12" t="s">
        <v>98</v>
      </c>
      <c r="D144" s="22">
        <v>638103.51348571596</v>
      </c>
      <c r="E144" s="22"/>
      <c r="F144" s="22"/>
      <c r="G144" s="12" t="s">
        <v>826</v>
      </c>
      <c r="H144" s="23"/>
      <c r="I144" s="17"/>
      <c r="J144" s="17"/>
    </row>
    <row r="145" spans="1:10" ht="14.25" customHeight="1" x14ac:dyDescent="0.35">
      <c r="A145" s="12" t="s">
        <v>829</v>
      </c>
      <c r="B145" s="12" t="s">
        <v>830</v>
      </c>
      <c r="C145" s="12" t="s">
        <v>98</v>
      </c>
      <c r="D145" s="22">
        <v>3702330.1060249</v>
      </c>
      <c r="E145" s="22"/>
      <c r="F145" s="22"/>
      <c r="G145" s="12" t="s">
        <v>439</v>
      </c>
      <c r="H145" s="23"/>
      <c r="I145" s="17"/>
      <c r="J145" s="17"/>
    </row>
    <row r="146" spans="1:10" ht="14.25" customHeight="1" x14ac:dyDescent="0.35">
      <c r="A146" s="12" t="s">
        <v>831</v>
      </c>
      <c r="B146" s="12" t="s">
        <v>832</v>
      </c>
      <c r="C146" s="12" t="s">
        <v>98</v>
      </c>
      <c r="D146" s="22">
        <v>1540056.2655049199</v>
      </c>
      <c r="E146" s="22"/>
      <c r="F146" s="22"/>
      <c r="G146" s="12" t="s">
        <v>833</v>
      </c>
      <c r="H146" s="23"/>
      <c r="I146" s="17"/>
      <c r="J146" s="17"/>
    </row>
    <row r="147" spans="1:10" ht="14.25" customHeight="1" x14ac:dyDescent="0.35">
      <c r="A147" s="12" t="s">
        <v>834</v>
      </c>
      <c r="B147" s="12" t="s">
        <v>835</v>
      </c>
      <c r="C147" s="12" t="s">
        <v>98</v>
      </c>
      <c r="D147" s="22">
        <v>43707.030007852401</v>
      </c>
      <c r="E147" s="22"/>
      <c r="F147" s="22"/>
      <c r="G147" s="12" t="s">
        <v>833</v>
      </c>
      <c r="H147" s="23"/>
      <c r="I147" s="17"/>
      <c r="J147" s="17"/>
    </row>
    <row r="148" spans="1:10" ht="14.25" customHeight="1" x14ac:dyDescent="0.35">
      <c r="A148" s="12" t="s">
        <v>836</v>
      </c>
      <c r="B148" s="12" t="s">
        <v>837</v>
      </c>
      <c r="C148" s="12" t="s">
        <v>98</v>
      </c>
      <c r="D148" s="22">
        <v>15000</v>
      </c>
      <c r="E148" s="22"/>
      <c r="F148" s="22"/>
      <c r="G148" s="12" t="s">
        <v>597</v>
      </c>
      <c r="H148" s="23"/>
      <c r="I148" s="17"/>
      <c r="J148" s="17"/>
    </row>
    <row r="149" spans="1:10" ht="14.25" customHeight="1" x14ac:dyDescent="0.35">
      <c r="A149" s="12" t="s">
        <v>838</v>
      </c>
      <c r="B149" s="12" t="s">
        <v>839</v>
      </c>
      <c r="C149" s="12" t="s">
        <v>98</v>
      </c>
      <c r="D149" s="22">
        <v>60000</v>
      </c>
      <c r="E149" s="22"/>
      <c r="F149" s="22"/>
      <c r="G149" s="12" t="s">
        <v>561</v>
      </c>
      <c r="H149" s="23"/>
      <c r="I149" s="17"/>
      <c r="J149" s="17"/>
    </row>
    <row r="150" spans="1:10" ht="14.25" customHeight="1" x14ac:dyDescent="0.35">
      <c r="A150" s="12" t="s">
        <v>840</v>
      </c>
      <c r="B150" s="12" t="s">
        <v>841</v>
      </c>
      <c r="C150" s="12" t="s">
        <v>98</v>
      </c>
      <c r="D150" s="22">
        <v>40000</v>
      </c>
      <c r="E150" s="22"/>
      <c r="F150" s="22"/>
      <c r="G150" s="12" t="s">
        <v>597</v>
      </c>
      <c r="H150" s="23"/>
      <c r="I150" s="17"/>
      <c r="J150" s="17"/>
    </row>
    <row r="151" spans="1:10" ht="14.25" customHeight="1" x14ac:dyDescent="0.35">
      <c r="A151" s="12" t="s">
        <v>842</v>
      </c>
      <c r="B151" s="12" t="s">
        <v>843</v>
      </c>
      <c r="C151" s="12" t="s">
        <v>98</v>
      </c>
      <c r="D151" s="22">
        <v>20000</v>
      </c>
      <c r="E151" s="22"/>
      <c r="F151" s="22"/>
      <c r="G151" s="12" t="s">
        <v>597</v>
      </c>
      <c r="H151" s="23"/>
      <c r="I151" s="17"/>
      <c r="J151" s="17"/>
    </row>
    <row r="152" spans="1:10" ht="14.25" customHeight="1" x14ac:dyDescent="0.35">
      <c r="A152" s="12" t="s">
        <v>844</v>
      </c>
      <c r="B152" s="12" t="s">
        <v>845</v>
      </c>
      <c r="C152" s="12" t="s">
        <v>98</v>
      </c>
      <c r="D152" s="22">
        <v>27437.106666666699</v>
      </c>
      <c r="E152" s="22"/>
      <c r="F152" s="22"/>
      <c r="G152" s="12" t="s">
        <v>608</v>
      </c>
      <c r="H152" s="23"/>
      <c r="I152" s="17"/>
      <c r="J152" s="17"/>
    </row>
    <row r="153" spans="1:10" ht="14.25" customHeight="1" x14ac:dyDescent="0.35">
      <c r="A153" s="12" t="s">
        <v>846</v>
      </c>
      <c r="B153" s="12" t="s">
        <v>847</v>
      </c>
      <c r="C153" s="12" t="s">
        <v>98</v>
      </c>
      <c r="D153" s="22">
        <v>1109.3689999999999</v>
      </c>
      <c r="E153" s="22"/>
      <c r="F153" s="22"/>
      <c r="G153" s="12" t="s">
        <v>535</v>
      </c>
      <c r="H153" s="23"/>
      <c r="I153" s="17"/>
      <c r="J153" s="17"/>
    </row>
    <row r="154" spans="1:10" ht="14.25" customHeight="1" x14ac:dyDescent="0.35">
      <c r="A154" s="12" t="s">
        <v>848</v>
      </c>
      <c r="B154" s="12" t="s">
        <v>849</v>
      </c>
      <c r="C154" s="12" t="s">
        <v>98</v>
      </c>
      <c r="D154" s="22">
        <v>2496.0823333333301</v>
      </c>
      <c r="E154" s="22"/>
      <c r="F154" s="22"/>
      <c r="G154" s="12" t="s">
        <v>535</v>
      </c>
      <c r="H154" s="23"/>
      <c r="I154" s="17"/>
      <c r="J154" s="17"/>
    </row>
    <row r="155" spans="1:10" ht="14.25" customHeight="1" x14ac:dyDescent="0.35">
      <c r="A155" s="12" t="s">
        <v>850</v>
      </c>
      <c r="B155" s="12" t="s">
        <v>851</v>
      </c>
      <c r="C155" s="12" t="s">
        <v>98</v>
      </c>
      <c r="D155" s="22">
        <v>50000</v>
      </c>
      <c r="E155" s="22"/>
      <c r="F155" s="22"/>
      <c r="G155" s="12" t="s">
        <v>535</v>
      </c>
      <c r="H155" s="23"/>
      <c r="I155" s="17"/>
      <c r="J155" s="17"/>
    </row>
    <row r="156" spans="1:10" ht="14.25" customHeight="1" x14ac:dyDescent="0.35">
      <c r="A156" s="12" t="s">
        <v>852</v>
      </c>
      <c r="B156" s="12" t="s">
        <v>853</v>
      </c>
      <c r="C156" s="12" t="s">
        <v>98</v>
      </c>
      <c r="D156" s="22">
        <v>100000</v>
      </c>
      <c r="E156" s="22"/>
      <c r="F156" s="22"/>
      <c r="G156" s="12" t="s">
        <v>673</v>
      </c>
      <c r="H156" s="23"/>
      <c r="I156" s="17"/>
      <c r="J156" s="17"/>
    </row>
    <row r="157" spans="1:10" ht="14.25" customHeight="1" x14ac:dyDescent="0.35">
      <c r="A157" s="12" t="s">
        <v>854</v>
      </c>
      <c r="B157" s="12" t="s">
        <v>420</v>
      </c>
      <c r="C157" s="12" t="s">
        <v>98</v>
      </c>
      <c r="D157" s="22">
        <v>300000</v>
      </c>
      <c r="E157" s="22"/>
      <c r="F157" s="22"/>
      <c r="G157" s="12" t="s">
        <v>597</v>
      </c>
      <c r="H157" s="23"/>
      <c r="I157" s="17"/>
      <c r="J157" s="17"/>
    </row>
    <row r="158" spans="1:10" ht="14.25" customHeight="1" x14ac:dyDescent="0.35">
      <c r="A158" s="12" t="s">
        <v>855</v>
      </c>
      <c r="B158" s="12" t="s">
        <v>856</v>
      </c>
      <c r="C158" s="12" t="s">
        <v>98</v>
      </c>
      <c r="D158" s="22">
        <v>228642</v>
      </c>
      <c r="E158" s="22"/>
      <c r="F158" s="22"/>
      <c r="G158" s="12" t="s">
        <v>826</v>
      </c>
      <c r="H158" s="23"/>
      <c r="I158" s="17"/>
      <c r="J158" s="17"/>
    </row>
    <row r="159" spans="1:10" ht="14.25" customHeight="1" x14ac:dyDescent="0.35">
      <c r="A159" s="12" t="s">
        <v>857</v>
      </c>
      <c r="B159" s="12" t="s">
        <v>425</v>
      </c>
      <c r="C159" s="12" t="s">
        <v>98</v>
      </c>
      <c r="D159" s="22">
        <v>550000</v>
      </c>
      <c r="E159" s="22"/>
      <c r="F159" s="22"/>
      <c r="G159" s="12" t="s">
        <v>535</v>
      </c>
      <c r="H159" s="23"/>
      <c r="I159" s="17"/>
      <c r="J159" s="17"/>
    </row>
    <row r="160" spans="1:10" ht="14.25" customHeight="1" x14ac:dyDescent="0.35">
      <c r="A160" s="12" t="s">
        <v>858</v>
      </c>
      <c r="B160" s="12" t="s">
        <v>859</v>
      </c>
      <c r="C160" s="12" t="s">
        <v>98</v>
      </c>
      <c r="D160" s="22">
        <v>550000</v>
      </c>
      <c r="E160" s="22"/>
      <c r="F160" s="22"/>
      <c r="G160" s="12" t="s">
        <v>535</v>
      </c>
      <c r="H160" s="23"/>
      <c r="I160" s="17"/>
      <c r="J160" s="17"/>
    </row>
    <row r="161" spans="1:10" ht="14.25" customHeight="1" x14ac:dyDescent="0.35">
      <c r="A161" s="12" t="s">
        <v>860</v>
      </c>
      <c r="B161" s="12" t="s">
        <v>861</v>
      </c>
      <c r="C161" s="12" t="s">
        <v>98</v>
      </c>
      <c r="D161" s="22">
        <v>125000</v>
      </c>
      <c r="E161" s="22"/>
      <c r="F161" s="22"/>
      <c r="G161" s="12" t="s">
        <v>638</v>
      </c>
      <c r="H161" s="23"/>
      <c r="I161" s="17"/>
      <c r="J161" s="17"/>
    </row>
    <row r="162" spans="1:10" ht="14.25" customHeight="1" x14ac:dyDescent="0.35">
      <c r="A162" s="12" t="s">
        <v>862</v>
      </c>
      <c r="B162" s="12" t="s">
        <v>863</v>
      </c>
      <c r="C162" s="12" t="s">
        <v>98</v>
      </c>
      <c r="D162" s="22">
        <v>135000</v>
      </c>
      <c r="E162" s="22"/>
      <c r="F162" s="22"/>
      <c r="G162" s="12" t="s">
        <v>638</v>
      </c>
      <c r="H162" s="23"/>
      <c r="I162" s="17"/>
      <c r="J162" s="17"/>
    </row>
    <row r="163" spans="1:10" ht="14.25" customHeight="1" x14ac:dyDescent="0.35">
      <c r="A163" s="12" t="s">
        <v>864</v>
      </c>
      <c r="B163" s="12" t="s">
        <v>433</v>
      </c>
      <c r="C163" s="12" t="s">
        <v>98</v>
      </c>
      <c r="D163" s="22">
        <v>300000</v>
      </c>
      <c r="E163" s="22"/>
      <c r="F163" s="22"/>
      <c r="G163" s="12" t="s">
        <v>535</v>
      </c>
      <c r="H163" s="23"/>
      <c r="I163" s="17"/>
      <c r="J163" s="17"/>
    </row>
    <row r="164" spans="1:10" ht="14.25" customHeight="1" x14ac:dyDescent="0.35">
      <c r="A164" s="12" t="s">
        <v>865</v>
      </c>
      <c r="B164" s="12" t="s">
        <v>866</v>
      </c>
      <c r="C164" s="12" t="s">
        <v>98</v>
      </c>
      <c r="D164" s="22">
        <v>700000</v>
      </c>
      <c r="E164" s="22"/>
      <c r="F164" s="22"/>
      <c r="G164" s="12" t="s">
        <v>833</v>
      </c>
      <c r="H164" s="23"/>
      <c r="I164" s="17"/>
      <c r="J164" s="17"/>
    </row>
    <row r="165" spans="1:10" ht="14.25" customHeight="1" x14ac:dyDescent="0.35">
      <c r="A165" s="12" t="s">
        <v>867</v>
      </c>
      <c r="B165" s="12" t="s">
        <v>437</v>
      </c>
      <c r="C165" s="12" t="s">
        <v>98</v>
      </c>
      <c r="D165" s="22">
        <v>65000</v>
      </c>
      <c r="E165" s="22"/>
      <c r="F165" s="22"/>
      <c r="G165" s="12" t="s">
        <v>638</v>
      </c>
      <c r="H165" s="23"/>
      <c r="I165" s="17"/>
      <c r="J165" s="17"/>
    </row>
    <row r="166" spans="1:10" ht="14.25" customHeight="1" x14ac:dyDescent="0.35">
      <c r="A166" s="12" t="s">
        <v>868</v>
      </c>
      <c r="B166" s="12" t="s">
        <v>869</v>
      </c>
      <c r="C166" s="12" t="s">
        <v>98</v>
      </c>
      <c r="D166" s="22">
        <v>51214.714802856899</v>
      </c>
      <c r="E166" s="22"/>
      <c r="F166" s="22"/>
      <c r="G166" s="12" t="s">
        <v>439</v>
      </c>
      <c r="H166" s="23"/>
      <c r="I166" s="17"/>
      <c r="J166" s="17"/>
    </row>
    <row r="167" spans="1:10" ht="14.25" customHeight="1" x14ac:dyDescent="0.35">
      <c r="A167" s="12" t="s">
        <v>870</v>
      </c>
      <c r="B167" s="12" t="s">
        <v>871</v>
      </c>
      <c r="C167" s="12" t="s">
        <v>98</v>
      </c>
      <c r="D167" s="22">
        <v>56938.712339646801</v>
      </c>
      <c r="E167" s="22"/>
      <c r="F167" s="22"/>
      <c r="G167" s="12" t="s">
        <v>439</v>
      </c>
      <c r="H167" s="23"/>
      <c r="I167" s="17"/>
      <c r="J167" s="17"/>
    </row>
    <row r="168" spans="1:10" ht="14.25" customHeight="1" x14ac:dyDescent="0.35">
      <c r="A168" s="12" t="s">
        <v>872</v>
      </c>
      <c r="B168" s="12" t="s">
        <v>873</v>
      </c>
      <c r="C168" s="12" t="s">
        <v>98</v>
      </c>
      <c r="D168" s="22">
        <v>286985.31259172299</v>
      </c>
      <c r="E168" s="22"/>
      <c r="F168" s="22"/>
      <c r="G168" s="12" t="s">
        <v>439</v>
      </c>
      <c r="H168" s="23"/>
      <c r="I168" s="17"/>
      <c r="J168" s="17"/>
    </row>
    <row r="169" spans="1:10" ht="14.25" customHeight="1" x14ac:dyDescent="0.35">
      <c r="A169" s="12" t="s">
        <v>874</v>
      </c>
      <c r="B169" s="12" t="s">
        <v>875</v>
      </c>
      <c r="C169" s="12" t="s">
        <v>98</v>
      </c>
      <c r="D169" s="22">
        <v>47125.768554935901</v>
      </c>
      <c r="E169" s="22"/>
      <c r="F169" s="22"/>
      <c r="G169" s="12" t="s">
        <v>439</v>
      </c>
      <c r="H169" s="23"/>
      <c r="I169" s="17"/>
      <c r="J169" s="17"/>
    </row>
    <row r="170" spans="1:10" ht="14.25" customHeight="1" x14ac:dyDescent="0.35">
      <c r="A170" s="12" t="s">
        <v>876</v>
      </c>
      <c r="B170" s="12" t="s">
        <v>877</v>
      </c>
      <c r="C170" s="12" t="s">
        <v>98</v>
      </c>
      <c r="D170" s="22">
        <v>137686.18800508801</v>
      </c>
      <c r="E170" s="22"/>
      <c r="F170" s="22"/>
      <c r="G170" s="12" t="s">
        <v>439</v>
      </c>
      <c r="H170" s="23"/>
      <c r="I170" s="17"/>
      <c r="J170" s="17"/>
    </row>
    <row r="171" spans="1:10" ht="14.25" customHeight="1" x14ac:dyDescent="0.35">
      <c r="A171" s="12" t="s">
        <v>878</v>
      </c>
      <c r="B171" s="12" t="s">
        <v>879</v>
      </c>
      <c r="C171" s="12" t="s">
        <v>98</v>
      </c>
      <c r="D171" s="22">
        <v>48000.991448977598</v>
      </c>
      <c r="E171" s="22"/>
      <c r="F171" s="22"/>
      <c r="G171" s="12" t="s">
        <v>439</v>
      </c>
      <c r="H171" s="23"/>
      <c r="I171" s="17"/>
      <c r="J171" s="17"/>
    </row>
    <row r="172" spans="1:10" ht="14.25" customHeight="1" x14ac:dyDescent="0.35">
      <c r="A172" s="12" t="s">
        <v>880</v>
      </c>
      <c r="B172" s="12" t="s">
        <v>881</v>
      </c>
      <c r="C172" s="12" t="s">
        <v>98</v>
      </c>
      <c r="D172" s="22">
        <v>63187.068936503303</v>
      </c>
      <c r="E172" s="22"/>
      <c r="F172" s="22"/>
      <c r="G172" s="12" t="s">
        <v>439</v>
      </c>
      <c r="H172" s="23"/>
      <c r="I172" s="17"/>
      <c r="J172" s="17"/>
    </row>
    <row r="173" spans="1:10" ht="14.25" customHeight="1" x14ac:dyDescent="0.35">
      <c r="A173" s="12" t="s">
        <v>882</v>
      </c>
      <c r="B173" s="12" t="s">
        <v>883</v>
      </c>
      <c r="C173" s="12" t="s">
        <v>98</v>
      </c>
      <c r="D173" s="22">
        <v>288770.79096623498</v>
      </c>
      <c r="E173" s="22"/>
      <c r="F173" s="22"/>
      <c r="G173" s="12" t="s">
        <v>439</v>
      </c>
      <c r="H173" s="23"/>
      <c r="I173" s="17"/>
      <c r="J173" s="17"/>
    </row>
    <row r="174" spans="1:10" ht="14.25" customHeight="1" x14ac:dyDescent="0.35">
      <c r="A174" s="12" t="s">
        <v>884</v>
      </c>
      <c r="B174" s="12" t="s">
        <v>885</v>
      </c>
      <c r="C174" s="12" t="s">
        <v>98</v>
      </c>
      <c r="D174" s="22">
        <v>285491.67201643699</v>
      </c>
      <c r="E174" s="22"/>
      <c r="F174" s="22"/>
      <c r="G174" s="12" t="s">
        <v>826</v>
      </c>
      <c r="H174" s="23"/>
      <c r="I174" s="17"/>
      <c r="J174" s="17"/>
    </row>
    <row r="175" spans="1:10" ht="14.25" customHeight="1" x14ac:dyDescent="0.35">
      <c r="A175" s="12" t="s">
        <v>886</v>
      </c>
      <c r="B175" s="12" t="s">
        <v>887</v>
      </c>
      <c r="C175" s="12" t="s">
        <v>98</v>
      </c>
      <c r="D175" s="22">
        <v>326160.39477108797</v>
      </c>
      <c r="E175" s="22"/>
      <c r="F175" s="22"/>
      <c r="G175" s="12" t="s">
        <v>826</v>
      </c>
      <c r="H175" s="23"/>
      <c r="I175" s="17"/>
      <c r="J175" s="17"/>
    </row>
    <row r="176" spans="1:10" ht="14.25" customHeight="1" x14ac:dyDescent="0.35">
      <c r="A176" s="12" t="s">
        <v>888</v>
      </c>
      <c r="B176" s="12" t="s">
        <v>889</v>
      </c>
      <c r="C176" s="12" t="s">
        <v>98</v>
      </c>
      <c r="D176" s="22">
        <v>78983.161018664003</v>
      </c>
      <c r="E176" s="22"/>
      <c r="F176" s="22"/>
      <c r="G176" s="12" t="s">
        <v>826</v>
      </c>
      <c r="H176" s="23"/>
      <c r="I176" s="17"/>
      <c r="J176" s="17"/>
    </row>
    <row r="177" spans="1:10" ht="14.25" customHeight="1" x14ac:dyDescent="0.35">
      <c r="A177" s="12" t="s">
        <v>890</v>
      </c>
      <c r="B177" s="12" t="s">
        <v>891</v>
      </c>
      <c r="C177" s="12" t="s">
        <v>98</v>
      </c>
      <c r="D177" s="22">
        <v>100197.178160304</v>
      </c>
      <c r="E177" s="22"/>
      <c r="F177" s="22"/>
      <c r="G177" s="12" t="s">
        <v>826</v>
      </c>
      <c r="H177" s="23"/>
      <c r="I177" s="17"/>
      <c r="J177" s="17"/>
    </row>
    <row r="178" spans="1:10" ht="14.25" customHeight="1" x14ac:dyDescent="0.35">
      <c r="A178" s="12" t="s">
        <v>892</v>
      </c>
      <c r="B178" s="12" t="s">
        <v>893</v>
      </c>
      <c r="C178" s="12" t="s">
        <v>98</v>
      </c>
      <c r="D178" s="22">
        <v>30601.781958942702</v>
      </c>
      <c r="E178" s="22"/>
      <c r="F178" s="22"/>
      <c r="G178" s="12" t="s">
        <v>826</v>
      </c>
      <c r="H178" s="23"/>
      <c r="I178" s="17"/>
      <c r="J178" s="17"/>
    </row>
    <row r="179" spans="1:10" ht="14.25" customHeight="1" x14ac:dyDescent="0.35">
      <c r="A179" s="12" t="s">
        <v>894</v>
      </c>
      <c r="B179" s="12" t="s">
        <v>895</v>
      </c>
      <c r="C179" s="12" t="s">
        <v>98</v>
      </c>
      <c r="D179" s="22">
        <v>2020800</v>
      </c>
      <c r="E179" s="22"/>
      <c r="F179" s="22"/>
      <c r="G179" s="12" t="s">
        <v>826</v>
      </c>
      <c r="H179" s="23"/>
      <c r="I179" s="17"/>
      <c r="J179" s="17"/>
    </row>
    <row r="180" spans="1:10" ht="14.25" customHeight="1" x14ac:dyDescent="0.35">
      <c r="A180" s="12" t="s">
        <v>896</v>
      </c>
      <c r="B180" s="12" t="s">
        <v>897</v>
      </c>
      <c r="C180" s="12" t="s">
        <v>98</v>
      </c>
      <c r="D180" s="22">
        <v>66000</v>
      </c>
      <c r="E180" s="22"/>
      <c r="F180" s="22"/>
      <c r="G180" s="12" t="s">
        <v>826</v>
      </c>
      <c r="H180" s="23"/>
      <c r="I180" s="17"/>
      <c r="J180" s="17"/>
    </row>
    <row r="181" spans="1:10" ht="14.25" customHeight="1" x14ac:dyDescent="0.35">
      <c r="A181" s="12" t="s">
        <v>898</v>
      </c>
      <c r="B181" s="12" t="s">
        <v>899</v>
      </c>
      <c r="C181" s="12" t="s">
        <v>98</v>
      </c>
      <c r="D181" s="22">
        <v>5892.0807877668303</v>
      </c>
      <c r="E181" s="22"/>
      <c r="F181" s="22"/>
      <c r="G181" s="12" t="s">
        <v>577</v>
      </c>
      <c r="H181" s="23"/>
      <c r="I181" s="17"/>
      <c r="J181" s="17"/>
    </row>
    <row r="182" spans="1:10" ht="14.25" customHeight="1" x14ac:dyDescent="0.35">
      <c r="A182" s="12" t="s">
        <v>900</v>
      </c>
      <c r="B182" s="12" t="s">
        <v>901</v>
      </c>
      <c r="C182" s="12" t="s">
        <v>98</v>
      </c>
      <c r="D182" s="22">
        <v>1885.5105394124801</v>
      </c>
      <c r="E182" s="22"/>
      <c r="F182" s="22"/>
      <c r="G182" s="12" t="s">
        <v>577</v>
      </c>
      <c r="H182" s="23"/>
      <c r="I182" s="17"/>
      <c r="J182" s="17"/>
    </row>
    <row r="183" spans="1:10" ht="14.25" customHeight="1" x14ac:dyDescent="0.35">
      <c r="A183" s="12" t="s">
        <v>902</v>
      </c>
      <c r="B183" s="12" t="s">
        <v>903</v>
      </c>
      <c r="C183" s="12" t="s">
        <v>98</v>
      </c>
      <c r="D183" s="22">
        <v>3839.53452028022</v>
      </c>
      <c r="E183" s="22"/>
      <c r="F183" s="22"/>
      <c r="G183" s="12" t="s">
        <v>577</v>
      </c>
      <c r="H183" s="23"/>
      <c r="I183" s="17"/>
      <c r="J183" s="17"/>
    </row>
    <row r="184" spans="1:10" ht="14.25" customHeight="1" x14ac:dyDescent="0.35">
      <c r="A184" s="12" t="s">
        <v>904</v>
      </c>
      <c r="B184" s="12" t="s">
        <v>905</v>
      </c>
      <c r="C184" s="12" t="s">
        <v>98</v>
      </c>
      <c r="D184" s="22">
        <v>6314.6459338307404</v>
      </c>
      <c r="E184" s="22"/>
      <c r="F184" s="22"/>
      <c r="G184" s="12" t="s">
        <v>577</v>
      </c>
      <c r="H184" s="23"/>
      <c r="I184" s="17"/>
      <c r="J184" s="17"/>
    </row>
    <row r="185" spans="1:10" ht="14.25" customHeight="1" x14ac:dyDescent="0.35">
      <c r="A185" s="12" t="s">
        <v>906</v>
      </c>
      <c r="B185" s="12" t="s">
        <v>907</v>
      </c>
      <c r="C185" s="12" t="s">
        <v>98</v>
      </c>
      <c r="D185" s="22">
        <v>4996.5593136686502</v>
      </c>
      <c r="E185" s="22"/>
      <c r="F185" s="22"/>
      <c r="G185" s="12" t="s">
        <v>577</v>
      </c>
      <c r="H185" s="23"/>
      <c r="I185" s="17"/>
      <c r="J185" s="17"/>
    </row>
    <row r="186" spans="1:10" ht="14.25" customHeight="1" x14ac:dyDescent="0.35">
      <c r="A186" s="12" t="s">
        <v>908</v>
      </c>
      <c r="B186" s="12" t="s">
        <v>909</v>
      </c>
      <c r="C186" s="12" t="s">
        <v>98</v>
      </c>
      <c r="D186" s="22">
        <v>12629.291867661501</v>
      </c>
      <c r="E186" s="22"/>
      <c r="F186" s="22"/>
      <c r="G186" s="12" t="s">
        <v>577</v>
      </c>
      <c r="H186" s="23"/>
      <c r="I186" s="17"/>
      <c r="J186" s="17"/>
    </row>
    <row r="187" spans="1:10" ht="14.25" customHeight="1" x14ac:dyDescent="0.35">
      <c r="A187" s="12" t="s">
        <v>910</v>
      </c>
      <c r="B187" s="12" t="s">
        <v>911</v>
      </c>
      <c r="C187" s="12" t="s">
        <v>98</v>
      </c>
      <c r="D187" s="22">
        <v>2203.1708839165899</v>
      </c>
      <c r="E187" s="22"/>
      <c r="F187" s="22"/>
      <c r="G187" s="12" t="s">
        <v>577</v>
      </c>
      <c r="H187" s="23"/>
      <c r="I187" s="17"/>
      <c r="J187" s="17"/>
    </row>
    <row r="188" spans="1:10" ht="14.25" customHeight="1" x14ac:dyDescent="0.35">
      <c r="A188" s="12" t="s">
        <v>912</v>
      </c>
      <c r="B188" s="12" t="s">
        <v>913</v>
      </c>
      <c r="C188" s="12"/>
      <c r="D188" s="22">
        <v>895.33241596022003</v>
      </c>
      <c r="E188" s="22"/>
      <c r="F188" s="22"/>
      <c r="G188" s="12" t="s">
        <v>577</v>
      </c>
      <c r="H188" s="23"/>
      <c r="I188" s="17"/>
      <c r="J188" s="17"/>
    </row>
    <row r="189" spans="1:10" ht="14.25" customHeight="1" x14ac:dyDescent="0.35">
      <c r="A189" s="12" t="s">
        <v>914</v>
      </c>
      <c r="B189" s="12" t="s">
        <v>915</v>
      </c>
      <c r="C189" s="12"/>
      <c r="D189" s="22">
        <v>100000</v>
      </c>
      <c r="E189" s="22"/>
      <c r="F189" s="22"/>
      <c r="G189" s="12" t="s">
        <v>546</v>
      </c>
      <c r="H189" s="23"/>
      <c r="I189" s="17"/>
      <c r="J189" s="17"/>
    </row>
    <row r="190" spans="1:10" ht="14.25" customHeight="1" x14ac:dyDescent="0.35">
      <c r="A190" s="12" t="s">
        <v>916</v>
      </c>
      <c r="B190" s="12" t="s">
        <v>917</v>
      </c>
      <c r="C190" s="12"/>
      <c r="D190" s="22">
        <v>50027.272727272699</v>
      </c>
      <c r="E190" s="22"/>
      <c r="F190" s="22"/>
      <c r="G190" s="12" t="s">
        <v>574</v>
      </c>
      <c r="H190" s="23"/>
      <c r="I190" s="17"/>
      <c r="J190" s="17"/>
    </row>
    <row r="191" spans="1:10" ht="14.25" customHeight="1" x14ac:dyDescent="0.35">
      <c r="A191" s="12" t="s">
        <v>918</v>
      </c>
      <c r="B191" s="12" t="s">
        <v>919</v>
      </c>
      <c r="C191" s="12" t="s">
        <v>98</v>
      </c>
      <c r="D191" s="22">
        <v>233.44</v>
      </c>
      <c r="E191" s="22"/>
      <c r="F191" s="22"/>
      <c r="G191" s="12" t="s">
        <v>535</v>
      </c>
      <c r="H191" s="23"/>
      <c r="I191" s="17"/>
      <c r="J191" s="17"/>
    </row>
    <row r="192" spans="1:10" ht="14.25" customHeight="1" x14ac:dyDescent="0.35">
      <c r="A192" s="12" t="s">
        <v>920</v>
      </c>
      <c r="B192" s="12" t="s">
        <v>921</v>
      </c>
      <c r="C192" s="12" t="s">
        <v>98</v>
      </c>
      <c r="D192" s="22">
        <v>0</v>
      </c>
      <c r="E192" s="22"/>
      <c r="F192" s="22"/>
      <c r="G192" s="12" t="s">
        <v>535</v>
      </c>
    </row>
    <row r="193" spans="1:7" ht="14.25" customHeight="1" x14ac:dyDescent="0.35">
      <c r="A193" s="12" t="s">
        <v>922</v>
      </c>
      <c r="B193" s="12" t="s">
        <v>923</v>
      </c>
      <c r="C193" s="12" t="s">
        <v>98</v>
      </c>
      <c r="D193" s="22">
        <v>6442.15</v>
      </c>
      <c r="E193" s="22"/>
      <c r="F193" s="22"/>
      <c r="G193" s="12" t="s">
        <v>574</v>
      </c>
    </row>
    <row r="194" spans="1:7" ht="14.25" customHeight="1" x14ac:dyDescent="0.35">
      <c r="A194" s="12" t="s">
        <v>924</v>
      </c>
      <c r="B194" s="12" t="s">
        <v>925</v>
      </c>
      <c r="C194" s="12" t="s">
        <v>98</v>
      </c>
      <c r="D194" s="22">
        <v>3084.79</v>
      </c>
      <c r="E194" s="22"/>
      <c r="F194" s="22"/>
      <c r="G194" s="12" t="s">
        <v>926</v>
      </c>
    </row>
    <row r="195" spans="1:7" ht="14.25" customHeight="1" x14ac:dyDescent="0.35">
      <c r="A195" s="12" t="s">
        <v>927</v>
      </c>
      <c r="B195" s="12" t="s">
        <v>928</v>
      </c>
      <c r="C195" s="12" t="s">
        <v>98</v>
      </c>
      <c r="D195" s="22">
        <v>3385.62</v>
      </c>
      <c r="E195" s="22"/>
      <c r="F195" s="22"/>
      <c r="G195" s="12" t="s">
        <v>926</v>
      </c>
    </row>
    <row r="196" spans="1:7" ht="14.25" customHeight="1" x14ac:dyDescent="0.35">
      <c r="A196" s="12" t="s">
        <v>929</v>
      </c>
      <c r="B196" s="12" t="s">
        <v>930</v>
      </c>
      <c r="C196" s="12" t="s">
        <v>98</v>
      </c>
      <c r="D196" s="22">
        <v>2244.87</v>
      </c>
      <c r="E196" s="22"/>
      <c r="F196" s="22"/>
      <c r="G196" s="12" t="s">
        <v>926</v>
      </c>
    </row>
    <row r="197" spans="1:7" ht="14.25" customHeight="1" x14ac:dyDescent="0.35">
      <c r="A197" s="12" t="s">
        <v>931</v>
      </c>
      <c r="B197" s="12" t="s">
        <v>932</v>
      </c>
      <c r="C197" s="12" t="s">
        <v>98</v>
      </c>
      <c r="D197" s="22">
        <v>2574.7199999999998</v>
      </c>
      <c r="E197" s="22"/>
      <c r="F197" s="22"/>
      <c r="G197" s="12" t="s">
        <v>926</v>
      </c>
    </row>
    <row r="198" spans="1:7" ht="14.25" customHeight="1" x14ac:dyDescent="0.35">
      <c r="A198" s="12" t="s">
        <v>933</v>
      </c>
      <c r="B198" s="12" t="s">
        <v>934</v>
      </c>
      <c r="C198" s="12" t="s">
        <v>98</v>
      </c>
      <c r="D198" s="22">
        <v>26.153884000000001</v>
      </c>
      <c r="E198" s="22"/>
      <c r="F198" s="22"/>
      <c r="G198" s="12" t="s">
        <v>926</v>
      </c>
    </row>
    <row r="199" spans="1:7" ht="14.25" customHeight="1" x14ac:dyDescent="0.35">
      <c r="A199" s="12" t="s">
        <v>935</v>
      </c>
      <c r="B199" s="12" t="s">
        <v>936</v>
      </c>
      <c r="C199" s="12" t="s">
        <v>98</v>
      </c>
      <c r="D199" s="22">
        <v>9.1146919999999998</v>
      </c>
      <c r="E199" s="22"/>
      <c r="F199" s="22"/>
      <c r="G199" s="12" t="s">
        <v>926</v>
      </c>
    </row>
    <row r="200" spans="1:7" ht="14.25" customHeight="1" x14ac:dyDescent="0.35">
      <c r="A200" s="12" t="s">
        <v>937</v>
      </c>
      <c r="B200" s="12" t="s">
        <v>938</v>
      </c>
      <c r="C200" s="12" t="s">
        <v>98</v>
      </c>
      <c r="D200" s="22">
        <v>18.832004000000001</v>
      </c>
      <c r="E200" s="22"/>
      <c r="F200" s="22"/>
      <c r="G200" s="12" t="s">
        <v>926</v>
      </c>
    </row>
    <row r="201" spans="1:7" ht="14.25" customHeight="1" x14ac:dyDescent="0.35">
      <c r="A201" s="12" t="s">
        <v>939</v>
      </c>
      <c r="B201" s="12" t="s">
        <v>940</v>
      </c>
      <c r="C201" s="12" t="s">
        <v>98</v>
      </c>
      <c r="D201" s="22">
        <v>63.381982999999998</v>
      </c>
      <c r="E201" s="22"/>
      <c r="F201" s="22"/>
      <c r="G201" s="12" t="s">
        <v>926</v>
      </c>
    </row>
    <row r="202" spans="1:7" ht="14.25" customHeight="1" x14ac:dyDescent="0.35">
      <c r="A202" s="12" t="s">
        <v>941</v>
      </c>
      <c r="B202" s="12" t="s">
        <v>942</v>
      </c>
      <c r="C202" s="12" t="s">
        <v>98</v>
      </c>
      <c r="D202" s="22">
        <v>4734.07</v>
      </c>
      <c r="E202" s="22"/>
      <c r="F202" s="22"/>
      <c r="G202" s="12" t="s">
        <v>926</v>
      </c>
    </row>
    <row r="203" spans="1:7" ht="14.25" customHeight="1" x14ac:dyDescent="0.35">
      <c r="A203" s="12" t="s">
        <v>943</v>
      </c>
      <c r="B203" s="12" t="s">
        <v>944</v>
      </c>
      <c r="C203" s="12" t="s">
        <v>98</v>
      </c>
      <c r="D203" s="22">
        <v>23166.59</v>
      </c>
      <c r="E203" s="22"/>
      <c r="F203" s="22"/>
      <c r="G203" s="12" t="s">
        <v>926</v>
      </c>
    </row>
    <row r="204" spans="1:7" ht="14.25" customHeight="1" x14ac:dyDescent="0.35">
      <c r="A204" s="12" t="s">
        <v>945</v>
      </c>
      <c r="B204" s="12" t="s">
        <v>946</v>
      </c>
      <c r="C204" s="12" t="s">
        <v>98</v>
      </c>
      <c r="D204" s="22">
        <v>77226.259999999995</v>
      </c>
      <c r="E204" s="22"/>
      <c r="F204" s="22"/>
      <c r="G204" s="12" t="s">
        <v>926</v>
      </c>
    </row>
    <row r="205" spans="1:7" ht="14.25" customHeight="1" x14ac:dyDescent="0.35">
      <c r="A205" s="12" t="s">
        <v>947</v>
      </c>
      <c r="B205" s="12" t="s">
        <v>948</v>
      </c>
      <c r="C205" s="12" t="s">
        <v>98</v>
      </c>
      <c r="D205" s="22">
        <v>10458</v>
      </c>
      <c r="E205" s="22"/>
      <c r="F205" s="22"/>
      <c r="G205" s="12" t="s">
        <v>592</v>
      </c>
    </row>
    <row r="206" spans="1:7" ht="14.25" customHeight="1" x14ac:dyDescent="0.35">
      <c r="A206" s="12" t="s">
        <v>949</v>
      </c>
      <c r="B206" s="12" t="s">
        <v>950</v>
      </c>
      <c r="C206" s="12" t="s">
        <v>98</v>
      </c>
      <c r="D206" s="22">
        <v>16808.400000000001</v>
      </c>
      <c r="E206" s="22"/>
      <c r="F206" s="22"/>
      <c r="G206" s="12" t="s">
        <v>592</v>
      </c>
    </row>
    <row r="207" spans="1:7" ht="14.25" customHeight="1" x14ac:dyDescent="0.35">
      <c r="A207" s="12" t="s">
        <v>951</v>
      </c>
      <c r="B207" s="12" t="s">
        <v>952</v>
      </c>
      <c r="C207" s="12" t="s">
        <v>98</v>
      </c>
      <c r="D207" s="22">
        <v>14786.1</v>
      </c>
      <c r="E207" s="22"/>
      <c r="F207" s="22"/>
      <c r="G207" s="12" t="s">
        <v>592</v>
      </c>
    </row>
    <row r="208" spans="1:7" ht="14.25" customHeight="1" x14ac:dyDescent="0.35">
      <c r="A208" s="12" t="s">
        <v>953</v>
      </c>
      <c r="B208" s="12" t="s">
        <v>954</v>
      </c>
      <c r="C208" s="12" t="s">
        <v>98</v>
      </c>
      <c r="D208" s="22">
        <v>2234.1799999999998</v>
      </c>
      <c r="E208" s="22"/>
      <c r="F208" s="22"/>
      <c r="G208" s="12" t="s">
        <v>926</v>
      </c>
    </row>
    <row r="209" spans="1:7" ht="14.25" customHeight="1" x14ac:dyDescent="0.35">
      <c r="A209" s="12" t="s">
        <v>955</v>
      </c>
      <c r="B209" s="12" t="s">
        <v>956</v>
      </c>
      <c r="C209" s="12" t="s">
        <v>98</v>
      </c>
      <c r="D209" s="22">
        <v>3028.942149</v>
      </c>
      <c r="E209" s="22"/>
      <c r="F209" s="22"/>
      <c r="G209" s="12" t="s">
        <v>926</v>
      </c>
    </row>
    <row r="210" spans="1:7" ht="14.25" customHeight="1" x14ac:dyDescent="0.35">
      <c r="A210" s="12" t="s">
        <v>957</v>
      </c>
      <c r="B210" s="12" t="s">
        <v>958</v>
      </c>
      <c r="C210" s="12" t="s">
        <v>98</v>
      </c>
      <c r="D210" s="22">
        <v>4774.9090910000004</v>
      </c>
      <c r="E210" s="22"/>
      <c r="F210" s="22"/>
      <c r="G210" s="12" t="s">
        <v>926</v>
      </c>
    </row>
    <row r="211" spans="1:7" ht="14.25" customHeight="1" x14ac:dyDescent="0.35">
      <c r="A211" s="12" t="s">
        <v>959</v>
      </c>
      <c r="B211" s="12" t="s">
        <v>960</v>
      </c>
      <c r="C211" s="12" t="s">
        <v>98</v>
      </c>
      <c r="D211" s="22">
        <v>1547.4380169999999</v>
      </c>
      <c r="E211" s="22"/>
      <c r="F211" s="22"/>
      <c r="G211" s="12" t="s">
        <v>926</v>
      </c>
    </row>
    <row r="212" spans="1:7" ht="14.25" customHeight="1" x14ac:dyDescent="0.35">
      <c r="A212" s="12" t="s">
        <v>961</v>
      </c>
      <c r="B212" s="12" t="s">
        <v>962</v>
      </c>
      <c r="C212" s="12" t="s">
        <v>98</v>
      </c>
      <c r="D212" s="22">
        <v>793.53719000000001</v>
      </c>
      <c r="E212" s="22"/>
      <c r="F212" s="22"/>
      <c r="G212" s="12" t="s">
        <v>926</v>
      </c>
    </row>
    <row r="213" spans="1:7" ht="14.25" customHeight="1" x14ac:dyDescent="0.35">
      <c r="A213" s="12" t="s">
        <v>963</v>
      </c>
      <c r="B213" s="12" t="s">
        <v>964</v>
      </c>
      <c r="C213" s="12" t="s">
        <v>965</v>
      </c>
      <c r="D213" s="22">
        <v>2755.61157</v>
      </c>
      <c r="E213" s="22"/>
      <c r="F213" s="22"/>
      <c r="G213" s="12" t="s">
        <v>535</v>
      </c>
    </row>
    <row r="214" spans="1:7" ht="14.25" customHeight="1" x14ac:dyDescent="0.35">
      <c r="A214" s="12" t="s">
        <v>966</v>
      </c>
      <c r="B214" s="12" t="s">
        <v>967</v>
      </c>
      <c r="C214" s="12" t="s">
        <v>98</v>
      </c>
      <c r="D214" s="22">
        <v>4751.7078769999998</v>
      </c>
      <c r="E214" s="22"/>
      <c r="F214" s="22"/>
      <c r="G214" s="12" t="s">
        <v>926</v>
      </c>
    </row>
    <row r="215" spans="1:7" ht="14.25" customHeight="1" x14ac:dyDescent="0.35">
      <c r="A215" s="12" t="s">
        <v>968</v>
      </c>
      <c r="B215" s="12" t="s">
        <v>969</v>
      </c>
      <c r="C215" s="12" t="s">
        <v>98</v>
      </c>
      <c r="D215" s="22">
        <v>504.29656699999998</v>
      </c>
      <c r="E215" s="22"/>
      <c r="F215" s="22"/>
      <c r="G215" s="12" t="s">
        <v>577</v>
      </c>
    </row>
    <row r="216" spans="1:7" ht="14.25" customHeight="1" x14ac:dyDescent="0.35">
      <c r="A216" s="12" t="s">
        <v>970</v>
      </c>
      <c r="B216" s="12" t="s">
        <v>971</v>
      </c>
      <c r="C216" s="12" t="s">
        <v>98</v>
      </c>
      <c r="D216" s="22">
        <v>250.31899999999999</v>
      </c>
      <c r="E216" s="22"/>
      <c r="F216" s="22"/>
      <c r="G216" s="12" t="s">
        <v>535</v>
      </c>
    </row>
    <row r="217" spans="1:7" ht="14.25" customHeight="1" x14ac:dyDescent="0.35">
      <c r="A217" s="12" t="s">
        <v>972</v>
      </c>
      <c r="B217" s="12" t="s">
        <v>973</v>
      </c>
      <c r="C217" s="12" t="s">
        <v>98</v>
      </c>
      <c r="D217" s="22">
        <v>110.121</v>
      </c>
      <c r="E217" s="22"/>
      <c r="F217" s="22"/>
      <c r="G217" s="12" t="s">
        <v>577</v>
      </c>
    </row>
    <row r="218" spans="1:7" ht="14.25" customHeight="1" x14ac:dyDescent="0.35">
      <c r="A218" s="12" t="s">
        <v>974</v>
      </c>
      <c r="B218" s="12" t="s">
        <v>975</v>
      </c>
      <c r="C218" s="12" t="s">
        <v>976</v>
      </c>
      <c r="D218" s="22">
        <v>546.37687500000004</v>
      </c>
      <c r="E218" s="22"/>
      <c r="F218" s="22"/>
      <c r="G218" s="12" t="s">
        <v>577</v>
      </c>
    </row>
    <row r="219" spans="1:7" ht="14.25" customHeight="1" x14ac:dyDescent="0.35">
      <c r="A219" s="12" t="s">
        <v>977</v>
      </c>
      <c r="B219" s="12" t="s">
        <v>978</v>
      </c>
      <c r="C219" s="12" t="s">
        <v>98</v>
      </c>
      <c r="D219" s="22">
        <v>217.14975799999999</v>
      </c>
      <c r="E219" s="22"/>
      <c r="F219" s="22"/>
      <c r="G219" s="12" t="s">
        <v>577</v>
      </c>
    </row>
    <row r="220" spans="1:7" ht="14.25" customHeight="1" x14ac:dyDescent="0.35">
      <c r="A220" s="12" t="s">
        <v>979</v>
      </c>
      <c r="B220" s="12" t="s">
        <v>980</v>
      </c>
      <c r="C220" s="12" t="s">
        <v>53</v>
      </c>
      <c r="D220" s="22">
        <v>9811.2871799999994</v>
      </c>
      <c r="E220" s="22"/>
      <c r="F220" s="22"/>
      <c r="G220" s="12" t="s">
        <v>535</v>
      </c>
    </row>
    <row r="221" spans="1:7" ht="14.25" customHeight="1" x14ac:dyDescent="0.35">
      <c r="A221" s="12" t="s">
        <v>981</v>
      </c>
      <c r="B221" s="12" t="s">
        <v>982</v>
      </c>
      <c r="C221" s="12" t="s">
        <v>98</v>
      </c>
      <c r="D221" s="22">
        <v>66598.347106999994</v>
      </c>
      <c r="E221" s="22"/>
      <c r="F221" s="22"/>
      <c r="G221" s="12" t="s">
        <v>592</v>
      </c>
    </row>
    <row r="222" spans="1:7" ht="14.25" customHeight="1" x14ac:dyDescent="0.35">
      <c r="A222" s="12" t="s">
        <v>983</v>
      </c>
      <c r="B222" s="12" t="s">
        <v>984</v>
      </c>
      <c r="C222" s="12" t="s">
        <v>98</v>
      </c>
      <c r="D222" s="22">
        <v>102070.247934</v>
      </c>
      <c r="E222" s="22"/>
      <c r="F222" s="22"/>
      <c r="G222" s="12" t="s">
        <v>592</v>
      </c>
    </row>
    <row r="223" spans="1:7" ht="14.25" customHeight="1" x14ac:dyDescent="0.35">
      <c r="A223" s="12" t="s">
        <v>985</v>
      </c>
      <c r="B223" s="12" t="s">
        <v>986</v>
      </c>
      <c r="C223" s="12" t="s">
        <v>98</v>
      </c>
      <c r="D223" s="22">
        <v>13876.033058000001</v>
      </c>
      <c r="E223" s="22"/>
      <c r="F223" s="22"/>
      <c r="G223" s="12" t="s">
        <v>926</v>
      </c>
    </row>
    <row r="224" spans="1:7" ht="14.25" customHeight="1" x14ac:dyDescent="0.35">
      <c r="A224" s="12" t="s">
        <v>987</v>
      </c>
      <c r="B224" s="12" t="s">
        <v>988</v>
      </c>
      <c r="C224" s="12" t="s">
        <v>98</v>
      </c>
      <c r="D224" s="22">
        <v>25108.056037999999</v>
      </c>
      <c r="E224" s="22"/>
      <c r="F224" s="22"/>
      <c r="G224" s="12" t="s">
        <v>577</v>
      </c>
    </row>
    <row r="225" spans="1:7" ht="14.25" customHeight="1" x14ac:dyDescent="0.35">
      <c r="A225" s="12" t="s">
        <v>989</v>
      </c>
      <c r="B225" s="12" t="s">
        <v>990</v>
      </c>
      <c r="C225" s="12" t="s">
        <v>98</v>
      </c>
      <c r="D225" s="22">
        <v>16853.812063000001</v>
      </c>
      <c r="E225" s="22"/>
      <c r="F225" s="22"/>
      <c r="G225" s="12" t="s">
        <v>577</v>
      </c>
    </row>
    <row r="226" spans="1:7" ht="14.25" customHeight="1" x14ac:dyDescent="0.35">
      <c r="A226" s="12" t="s">
        <v>991</v>
      </c>
      <c r="B226" s="12" t="s">
        <v>992</v>
      </c>
      <c r="C226" s="12" t="s">
        <v>98</v>
      </c>
      <c r="D226" s="22">
        <v>14030.017728000001</v>
      </c>
      <c r="E226" s="22"/>
      <c r="F226" s="22"/>
      <c r="G226" s="12" t="s">
        <v>577</v>
      </c>
    </row>
    <row r="227" spans="1:7" ht="14.25" customHeight="1" x14ac:dyDescent="0.35">
      <c r="A227" s="12" t="s">
        <v>993</v>
      </c>
      <c r="B227" s="12" t="s">
        <v>994</v>
      </c>
      <c r="C227" s="12" t="s">
        <v>98</v>
      </c>
      <c r="D227" s="22">
        <v>2124.5317799999998</v>
      </c>
      <c r="E227" s="22"/>
      <c r="F227" s="22"/>
      <c r="G227" s="12" t="s">
        <v>577</v>
      </c>
    </row>
    <row r="228" spans="1:7" ht="14.25" customHeight="1" x14ac:dyDescent="0.35">
      <c r="A228" s="12" t="s">
        <v>995</v>
      </c>
      <c r="B228" s="12" t="s">
        <v>996</v>
      </c>
      <c r="C228" s="12" t="s">
        <v>98</v>
      </c>
      <c r="D228" s="22">
        <v>6773.5984509999998</v>
      </c>
      <c r="E228" s="22"/>
      <c r="F228" s="22"/>
      <c r="G228" s="12" t="s">
        <v>577</v>
      </c>
    </row>
    <row r="229" spans="1:7" ht="14.25" customHeight="1" x14ac:dyDescent="0.35">
      <c r="A229" s="12" t="s">
        <v>997</v>
      </c>
      <c r="B229" s="12" t="s">
        <v>998</v>
      </c>
      <c r="C229" s="12" t="s">
        <v>98</v>
      </c>
      <c r="D229" s="22">
        <v>6773.5984509999998</v>
      </c>
      <c r="E229" s="22"/>
      <c r="F229" s="22"/>
      <c r="G229" s="12" t="s">
        <v>577</v>
      </c>
    </row>
    <row r="230" spans="1:7" ht="14.25" customHeight="1" x14ac:dyDescent="0.35">
      <c r="A230" s="12" t="s">
        <v>999</v>
      </c>
      <c r="B230" s="12" t="s">
        <v>1000</v>
      </c>
      <c r="C230" s="12" t="s">
        <v>98</v>
      </c>
      <c r="D230" s="22">
        <v>1979.042944</v>
      </c>
      <c r="E230" s="22"/>
      <c r="F230" s="22"/>
      <c r="G230" s="12" t="s">
        <v>577</v>
      </c>
    </row>
    <row r="231" spans="1:7" ht="14.25" customHeight="1" x14ac:dyDescent="0.35">
      <c r="A231" s="12" t="s">
        <v>1001</v>
      </c>
      <c r="B231" s="12" t="s">
        <v>1002</v>
      </c>
      <c r="C231" s="12" t="s">
        <v>98</v>
      </c>
      <c r="D231" s="22">
        <v>1069.6694210000001</v>
      </c>
      <c r="E231" s="22"/>
      <c r="F231" s="22"/>
      <c r="G231" s="12" t="s">
        <v>577</v>
      </c>
    </row>
    <row r="232" spans="1:7" ht="14.25" customHeight="1" x14ac:dyDescent="0.35">
      <c r="A232" s="12" t="s">
        <v>1003</v>
      </c>
      <c r="B232" s="12" t="s">
        <v>1004</v>
      </c>
      <c r="C232" s="12" t="s">
        <v>98</v>
      </c>
      <c r="D232" s="22">
        <v>33.299999999999997</v>
      </c>
      <c r="E232" s="22"/>
      <c r="F232" s="22"/>
      <c r="G232" s="12" t="s">
        <v>608</v>
      </c>
    </row>
    <row r="233" spans="1:7" ht="14.25" customHeight="1" x14ac:dyDescent="0.35">
      <c r="A233" s="12" t="s">
        <v>1005</v>
      </c>
      <c r="B233" s="12" t="s">
        <v>1006</v>
      </c>
      <c r="C233" s="12" t="s">
        <v>98</v>
      </c>
      <c r="D233" s="22">
        <v>57227.91</v>
      </c>
      <c r="E233" s="22"/>
      <c r="F233" s="22"/>
      <c r="G233" s="12" t="s">
        <v>546</v>
      </c>
    </row>
    <row r="234" spans="1:7" ht="14.25" customHeight="1" x14ac:dyDescent="0.35">
      <c r="A234" s="12" t="s">
        <v>1007</v>
      </c>
      <c r="B234" s="12" t="s">
        <v>1008</v>
      </c>
      <c r="C234" s="12" t="s">
        <v>98</v>
      </c>
      <c r="D234" s="22">
        <v>4418.1818181818198</v>
      </c>
      <c r="E234" s="22"/>
      <c r="F234" s="22"/>
      <c r="G234" s="12" t="s">
        <v>574</v>
      </c>
    </row>
    <row r="235" spans="1:7" ht="14.25" customHeight="1" x14ac:dyDescent="0.35">
      <c r="A235" s="12" t="s">
        <v>1009</v>
      </c>
      <c r="B235" s="12" t="s">
        <v>1010</v>
      </c>
      <c r="C235" s="12" t="s">
        <v>98</v>
      </c>
      <c r="D235" s="22">
        <v>3600</v>
      </c>
      <c r="E235" s="22"/>
      <c r="F235" s="22"/>
      <c r="G235" s="12" t="s">
        <v>608</v>
      </c>
    </row>
    <row r="236" spans="1:7" ht="14.25" customHeight="1" x14ac:dyDescent="0.35">
      <c r="A236" s="12" t="s">
        <v>1011</v>
      </c>
      <c r="B236" s="12" t="s">
        <v>1012</v>
      </c>
      <c r="C236" s="12" t="s">
        <v>98</v>
      </c>
      <c r="D236" s="22">
        <v>15000</v>
      </c>
      <c r="E236" s="22"/>
      <c r="F236" s="22"/>
      <c r="G236" s="12" t="s">
        <v>608</v>
      </c>
    </row>
    <row r="237" spans="1:7" ht="14.25" customHeight="1" x14ac:dyDescent="0.35">
      <c r="A237" s="12" t="s">
        <v>1013</v>
      </c>
      <c r="B237" s="12" t="s">
        <v>1014</v>
      </c>
      <c r="C237" s="12" t="s">
        <v>26</v>
      </c>
      <c r="D237" s="22">
        <v>1</v>
      </c>
      <c r="E237" s="22"/>
      <c r="F237" s="22"/>
      <c r="G237" s="12" t="s">
        <v>561</v>
      </c>
    </row>
    <row r="238" spans="1:7" ht="14.25" customHeight="1" x14ac:dyDescent="0.35">
      <c r="A238" s="12" t="s">
        <v>1015</v>
      </c>
      <c r="B238" s="12" t="s">
        <v>1016</v>
      </c>
      <c r="C238" s="12" t="s">
        <v>26</v>
      </c>
      <c r="D238" s="22">
        <v>1</v>
      </c>
      <c r="E238" s="22"/>
      <c r="F238" s="22"/>
      <c r="G238" s="12" t="s">
        <v>561</v>
      </c>
    </row>
    <row r="239" spans="1:7" ht="14.25" customHeight="1" x14ac:dyDescent="0.35">
      <c r="A239" s="12" t="s">
        <v>1017</v>
      </c>
      <c r="B239" s="12" t="s">
        <v>1018</v>
      </c>
      <c r="C239" s="12" t="s">
        <v>1019</v>
      </c>
      <c r="D239" s="22">
        <v>17106.768</v>
      </c>
      <c r="E239" s="22"/>
      <c r="F239" s="22"/>
      <c r="G239" s="12" t="s">
        <v>1020</v>
      </c>
    </row>
    <row r="240" spans="1:7" ht="14.25" customHeight="1" x14ac:dyDescent="0.35">
      <c r="A240" s="12" t="s">
        <v>1021</v>
      </c>
      <c r="B240" s="12" t="s">
        <v>1022</v>
      </c>
      <c r="C240" s="12" t="s">
        <v>1019</v>
      </c>
      <c r="D240" s="22">
        <v>3720.15</v>
      </c>
      <c r="E240" s="22"/>
      <c r="F240" s="22"/>
      <c r="G240" s="12" t="s">
        <v>1020</v>
      </c>
    </row>
    <row r="241" spans="1:7" ht="14.25" customHeight="1" x14ac:dyDescent="0.35">
      <c r="A241" s="12" t="s">
        <v>1023</v>
      </c>
      <c r="B241" s="12" t="s">
        <v>1024</v>
      </c>
      <c r="C241" s="12" t="s">
        <v>98</v>
      </c>
      <c r="D241" s="22">
        <v>11376</v>
      </c>
      <c r="E241" s="22"/>
      <c r="F241" s="22"/>
      <c r="G241" s="12" t="s">
        <v>608</v>
      </c>
    </row>
    <row r="242" spans="1:7" ht="14.25" customHeight="1" x14ac:dyDescent="0.35">
      <c r="A242" s="12" t="s">
        <v>1025</v>
      </c>
      <c r="B242" s="12" t="s">
        <v>1026</v>
      </c>
      <c r="C242" s="12" t="s">
        <v>1019</v>
      </c>
      <c r="D242" s="22">
        <v>47272.727272727301</v>
      </c>
      <c r="E242" s="22"/>
      <c r="F242" s="22"/>
      <c r="G242" s="12" t="s">
        <v>592</v>
      </c>
    </row>
    <row r="243" spans="1:7" ht="14.25" customHeight="1" x14ac:dyDescent="0.35">
      <c r="A243" s="12" t="s">
        <v>1027</v>
      </c>
      <c r="B243" s="12" t="s">
        <v>1028</v>
      </c>
      <c r="C243" s="12" t="s">
        <v>98</v>
      </c>
      <c r="D243" s="22">
        <v>808.61</v>
      </c>
      <c r="E243" s="22"/>
      <c r="F243" s="22"/>
      <c r="G243" s="12" t="s">
        <v>535</v>
      </c>
    </row>
    <row r="244" spans="1:7" ht="14.25" customHeight="1" x14ac:dyDescent="0.35">
      <c r="A244" s="12" t="s">
        <v>1029</v>
      </c>
      <c r="B244" s="12" t="s">
        <v>1030</v>
      </c>
      <c r="C244" s="12" t="s">
        <v>98</v>
      </c>
      <c r="D244" s="22">
        <v>1204.43</v>
      </c>
      <c r="E244" s="22"/>
      <c r="F244" s="22"/>
      <c r="G244" s="12" t="s">
        <v>535</v>
      </c>
    </row>
    <row r="245" spans="1:7" ht="14.25" customHeight="1" x14ac:dyDescent="0.35">
      <c r="A245" s="12" t="s">
        <v>1031</v>
      </c>
      <c r="B245" s="12" t="s">
        <v>1032</v>
      </c>
      <c r="C245" s="12" t="s">
        <v>53</v>
      </c>
      <c r="D245" s="22">
        <v>34246.800000000003</v>
      </c>
      <c r="E245" s="22"/>
      <c r="F245" s="22"/>
      <c r="G245" s="12" t="s">
        <v>535</v>
      </c>
    </row>
    <row r="246" spans="1:7" ht="14.25" customHeight="1" x14ac:dyDescent="0.35">
      <c r="A246" s="12" t="s">
        <v>1033</v>
      </c>
      <c r="B246" s="12" t="s">
        <v>1034</v>
      </c>
      <c r="C246" s="12" t="s">
        <v>98</v>
      </c>
      <c r="D246" s="22">
        <v>8173.5537190082696</v>
      </c>
      <c r="E246" s="22"/>
      <c r="F246" s="22"/>
      <c r="G246" s="12" t="s">
        <v>926</v>
      </c>
    </row>
    <row r="247" spans="1:7" ht="14.25" customHeight="1" x14ac:dyDescent="0.35">
      <c r="A247" s="12" t="s">
        <v>1035</v>
      </c>
      <c r="B247" s="12" t="s">
        <v>1036</v>
      </c>
      <c r="C247" s="12" t="s">
        <v>1019</v>
      </c>
      <c r="D247" s="22">
        <v>12798.14</v>
      </c>
      <c r="E247" s="22"/>
      <c r="F247" s="22"/>
      <c r="G247" s="12" t="s">
        <v>535</v>
      </c>
    </row>
    <row r="248" spans="1:7" ht="14.25" customHeight="1" x14ac:dyDescent="0.35">
      <c r="A248" s="12" t="s">
        <v>1037</v>
      </c>
      <c r="B248" s="12" t="s">
        <v>1038</v>
      </c>
      <c r="C248" s="12" t="s">
        <v>98</v>
      </c>
      <c r="D248" s="22">
        <v>1190.7</v>
      </c>
      <c r="E248" s="22"/>
      <c r="F248" s="22"/>
      <c r="G248" s="12" t="s">
        <v>535</v>
      </c>
    </row>
    <row r="249" spans="1:7" ht="14.25" customHeight="1" x14ac:dyDescent="0.35">
      <c r="A249" s="12" t="s">
        <v>1039</v>
      </c>
      <c r="B249" s="12" t="s">
        <v>1040</v>
      </c>
      <c r="C249" s="12" t="s">
        <v>98</v>
      </c>
      <c r="D249" s="22">
        <v>529.85400000000004</v>
      </c>
      <c r="E249" s="22"/>
      <c r="F249" s="22"/>
      <c r="G249" s="12" t="s">
        <v>577</v>
      </c>
    </row>
    <row r="250" spans="1:7" ht="14.25" customHeight="1" x14ac:dyDescent="0.35">
      <c r="A250" s="12" t="s">
        <v>1041</v>
      </c>
      <c r="B250" s="12" t="s">
        <v>1042</v>
      </c>
      <c r="C250" s="12" t="s">
        <v>98</v>
      </c>
      <c r="D250" s="22">
        <v>310.65199999999999</v>
      </c>
      <c r="E250" s="22"/>
      <c r="F250" s="22"/>
      <c r="G250" s="12" t="s">
        <v>535</v>
      </c>
    </row>
    <row r="251" spans="1:7" ht="14.25" customHeight="1" x14ac:dyDescent="0.35">
      <c r="A251" s="12" t="s">
        <v>1043</v>
      </c>
      <c r="B251" s="12" t="s">
        <v>1044</v>
      </c>
      <c r="C251" s="12" t="s">
        <v>98</v>
      </c>
      <c r="D251" s="22">
        <v>119.32</v>
      </c>
      <c r="E251" s="22"/>
      <c r="F251" s="22"/>
      <c r="G251" s="12" t="s">
        <v>577</v>
      </c>
    </row>
    <row r="252" spans="1:7" ht="14.25" customHeight="1" x14ac:dyDescent="0.35">
      <c r="A252" s="12" t="s">
        <v>1045</v>
      </c>
      <c r="B252" s="12" t="s">
        <v>1046</v>
      </c>
      <c r="C252" s="12" t="s">
        <v>1047</v>
      </c>
      <c r="D252" s="22">
        <v>176000</v>
      </c>
      <c r="E252" s="22"/>
      <c r="F252" s="22"/>
      <c r="G252" s="12" t="s">
        <v>574</v>
      </c>
    </row>
    <row r="253" spans="1:7" ht="14.25" customHeight="1" x14ac:dyDescent="0.35">
      <c r="A253" s="12" t="s">
        <v>1048</v>
      </c>
      <c r="B253" s="12" t="s">
        <v>1049</v>
      </c>
      <c r="C253" s="12" t="s">
        <v>1047</v>
      </c>
      <c r="D253" s="22">
        <v>239668.595041322</v>
      </c>
      <c r="E253" s="22"/>
      <c r="F253" s="22"/>
      <c r="G253" s="12" t="s">
        <v>574</v>
      </c>
    </row>
    <row r="254" spans="1:7" ht="14.25" customHeight="1" x14ac:dyDescent="0.35">
      <c r="A254" s="12" t="s">
        <v>1050</v>
      </c>
      <c r="B254" s="12" t="s">
        <v>1051</v>
      </c>
      <c r="C254" s="12" t="s">
        <v>98</v>
      </c>
      <c r="D254" s="22">
        <v>6933.12</v>
      </c>
      <c r="E254" s="22"/>
      <c r="F254" s="22"/>
      <c r="G254" s="12" t="s">
        <v>926</v>
      </c>
    </row>
    <row r="255" spans="1:7" ht="14.25" customHeight="1" x14ac:dyDescent="0.35">
      <c r="A255" s="12" t="s">
        <v>1052</v>
      </c>
      <c r="B255" s="12" t="s">
        <v>1053</v>
      </c>
      <c r="C255" s="12" t="s">
        <v>98</v>
      </c>
      <c r="D255" s="22">
        <v>7918.8099173553701</v>
      </c>
      <c r="E255" s="22"/>
      <c r="F255" s="22"/>
      <c r="G255" s="12" t="s">
        <v>926</v>
      </c>
    </row>
    <row r="256" spans="1:7" ht="14.25" customHeight="1" x14ac:dyDescent="0.35">
      <c r="A256" s="12" t="s">
        <v>1054</v>
      </c>
      <c r="B256" s="12" t="s">
        <v>1055</v>
      </c>
      <c r="C256" s="12" t="s">
        <v>1019</v>
      </c>
      <c r="D256" s="22">
        <v>7607.88</v>
      </c>
      <c r="E256" s="22"/>
      <c r="F256" s="22"/>
      <c r="G256" s="12" t="s">
        <v>592</v>
      </c>
    </row>
    <row r="257" spans="1:7" ht="14.25" customHeight="1" x14ac:dyDescent="0.35">
      <c r="A257" s="12" t="s">
        <v>1056</v>
      </c>
      <c r="B257" s="12" t="s">
        <v>1057</v>
      </c>
      <c r="C257" s="12" t="s">
        <v>98</v>
      </c>
      <c r="D257" s="22">
        <v>465850</v>
      </c>
      <c r="E257" s="22"/>
      <c r="F257" s="22"/>
      <c r="G257" s="12" t="s">
        <v>592</v>
      </c>
    </row>
    <row r="258" spans="1:7" ht="14.25" customHeight="1" x14ac:dyDescent="0.35">
      <c r="A258" s="12" t="s">
        <v>1058</v>
      </c>
      <c r="B258" s="12" t="s">
        <v>1059</v>
      </c>
      <c r="C258" s="12" t="s">
        <v>98</v>
      </c>
      <c r="D258" s="22">
        <v>529.85400000000004</v>
      </c>
      <c r="E258" s="22"/>
      <c r="F258" s="22"/>
      <c r="G258" s="12" t="s">
        <v>577</v>
      </c>
    </row>
    <row r="259" spans="1:7" ht="14.25" customHeight="1" x14ac:dyDescent="0.35">
      <c r="A259" s="12" t="s">
        <v>1060</v>
      </c>
      <c r="B259" s="12" t="s">
        <v>1061</v>
      </c>
      <c r="C259" s="12" t="s">
        <v>1019</v>
      </c>
      <c r="D259" s="22">
        <v>66598.347107438007</v>
      </c>
      <c r="E259" s="22"/>
      <c r="F259" s="22"/>
      <c r="G259" s="12" t="s">
        <v>592</v>
      </c>
    </row>
    <row r="260" spans="1:7" ht="14.25" customHeight="1" x14ac:dyDescent="0.35">
      <c r="A260" s="12" t="s">
        <v>1062</v>
      </c>
      <c r="B260" s="12" t="s">
        <v>1063</v>
      </c>
      <c r="C260" s="12" t="s">
        <v>1019</v>
      </c>
      <c r="D260" s="22">
        <v>102070.24793388401</v>
      </c>
      <c r="E260" s="22"/>
      <c r="F260" s="22"/>
      <c r="G260" s="12" t="s">
        <v>592</v>
      </c>
    </row>
    <row r="261" spans="1:7" ht="14.25" customHeight="1" x14ac:dyDescent="0.35">
      <c r="A261" s="12" t="s">
        <v>1064</v>
      </c>
      <c r="B261" s="12" t="s">
        <v>1065</v>
      </c>
      <c r="C261" s="12" t="s">
        <v>98</v>
      </c>
      <c r="D261" s="22">
        <v>13876.0330578512</v>
      </c>
      <c r="E261" s="22"/>
      <c r="F261" s="22"/>
      <c r="G261" s="12" t="s">
        <v>926</v>
      </c>
    </row>
    <row r="262" spans="1:7" ht="14.25" customHeight="1" x14ac:dyDescent="0.35">
      <c r="A262" s="12" t="s">
        <v>1066</v>
      </c>
      <c r="B262" s="12" t="s">
        <v>1067</v>
      </c>
      <c r="C262" s="12" t="s">
        <v>98</v>
      </c>
      <c r="D262" s="22">
        <v>514.58833333333303</v>
      </c>
      <c r="E262" s="22"/>
      <c r="F262" s="22"/>
      <c r="G262" s="12" t="s">
        <v>577</v>
      </c>
    </row>
    <row r="263" spans="1:7" ht="14.25" customHeight="1" x14ac:dyDescent="0.35">
      <c r="A263" s="12" t="s">
        <v>1068</v>
      </c>
      <c r="B263" s="12" t="s">
        <v>1069</v>
      </c>
      <c r="C263" s="12" t="s">
        <v>36</v>
      </c>
      <c r="D263" s="22">
        <v>339.47162557191899</v>
      </c>
      <c r="E263" s="22"/>
      <c r="F263" s="22"/>
      <c r="G263" s="12" t="s">
        <v>577</v>
      </c>
    </row>
    <row r="264" spans="1:7" ht="14.25" customHeight="1" x14ac:dyDescent="0.35">
      <c r="A264" s="12" t="s">
        <v>1070</v>
      </c>
      <c r="B264" s="12" t="s">
        <v>1071</v>
      </c>
      <c r="C264" s="12" t="s">
        <v>98</v>
      </c>
      <c r="D264" s="22">
        <v>1152.752</v>
      </c>
      <c r="E264" s="22"/>
      <c r="F264" s="22"/>
      <c r="G264" s="12" t="s">
        <v>577</v>
      </c>
    </row>
    <row r="265" spans="1:7" ht="14.25" customHeight="1" x14ac:dyDescent="0.35">
      <c r="A265" s="12" t="s">
        <v>1072</v>
      </c>
      <c r="B265" s="12" t="s">
        <v>1073</v>
      </c>
      <c r="C265" s="12" t="s">
        <v>98</v>
      </c>
      <c r="D265" s="22">
        <v>250.31899999999999</v>
      </c>
      <c r="E265" s="22"/>
      <c r="F265" s="22"/>
      <c r="G265" s="12" t="s">
        <v>535</v>
      </c>
    </row>
    <row r="266" spans="1:7" ht="14.25" customHeight="1" x14ac:dyDescent="0.35">
      <c r="A266" s="12" t="s">
        <v>1074</v>
      </c>
      <c r="B266" s="12" t="s">
        <v>1075</v>
      </c>
      <c r="C266" s="12" t="s">
        <v>98</v>
      </c>
      <c r="D266" s="22">
        <v>110.121</v>
      </c>
      <c r="E266" s="22"/>
      <c r="F266" s="22"/>
      <c r="G266" s="12" t="s">
        <v>577</v>
      </c>
    </row>
    <row r="267" spans="1:7" ht="14.25" customHeight="1" x14ac:dyDescent="0.35">
      <c r="A267" s="12" t="s">
        <v>1076</v>
      </c>
      <c r="B267" s="12" t="s">
        <v>1077</v>
      </c>
      <c r="C267" s="12" t="s">
        <v>98</v>
      </c>
      <c r="D267" s="22">
        <v>217.14975799999999</v>
      </c>
      <c r="E267" s="22"/>
      <c r="F267" s="22"/>
      <c r="G267" s="12" t="s">
        <v>577</v>
      </c>
    </row>
    <row r="268" spans="1:7" ht="14.25" customHeight="1" x14ac:dyDescent="0.35">
      <c r="A268" s="12" t="s">
        <v>1078</v>
      </c>
      <c r="B268" s="12" t="s">
        <v>1079</v>
      </c>
      <c r="C268" s="12" t="s">
        <v>1080</v>
      </c>
      <c r="D268" s="22">
        <v>129090.91</v>
      </c>
      <c r="E268" s="22"/>
      <c r="F268" s="22"/>
      <c r="G268" s="12" t="s">
        <v>546</v>
      </c>
    </row>
    <row r="269" spans="1:7" ht="14.25" customHeight="1" x14ac:dyDescent="0.35">
      <c r="A269" s="12" t="s">
        <v>1081</v>
      </c>
      <c r="B269" s="12" t="s">
        <v>1082</v>
      </c>
      <c r="C269" s="12" t="s">
        <v>26</v>
      </c>
      <c r="D269" s="22">
        <v>896755.59</v>
      </c>
      <c r="E269" s="22"/>
      <c r="F269" s="22"/>
      <c r="G269" s="12" t="s">
        <v>577</v>
      </c>
    </row>
    <row r="270" spans="1:7" ht="14.25" customHeight="1" x14ac:dyDescent="0.35">
      <c r="A270" s="12" t="s">
        <v>1083</v>
      </c>
      <c r="B270" s="12" t="s">
        <v>1084</v>
      </c>
      <c r="C270" s="12" t="s">
        <v>26</v>
      </c>
      <c r="D270" s="22">
        <v>1057994.98</v>
      </c>
      <c r="E270" s="22"/>
      <c r="F270" s="22"/>
      <c r="G270" s="12" t="s">
        <v>577</v>
      </c>
    </row>
    <row r="271" spans="1:7" ht="14.25" customHeight="1" x14ac:dyDescent="0.35">
      <c r="A271" s="12" t="s">
        <v>1085</v>
      </c>
      <c r="B271" s="12" t="s">
        <v>1086</v>
      </c>
      <c r="C271" s="12" t="s">
        <v>26</v>
      </c>
      <c r="D271" s="22">
        <v>500000</v>
      </c>
      <c r="E271" s="22"/>
      <c r="F271" s="22"/>
      <c r="G271" s="12" t="s">
        <v>673</v>
      </c>
    </row>
    <row r="272" spans="1:7" ht="14.25" customHeight="1" x14ac:dyDescent="0.35">
      <c r="A272" s="12" t="s">
        <v>1087</v>
      </c>
      <c r="B272" s="12" t="s">
        <v>1088</v>
      </c>
      <c r="C272" s="12" t="s">
        <v>1019</v>
      </c>
      <c r="D272" s="22">
        <v>17106.77</v>
      </c>
      <c r="E272" s="22"/>
      <c r="F272" s="22"/>
      <c r="G272" s="12" t="s">
        <v>1020</v>
      </c>
    </row>
    <row r="273" spans="1:7" ht="14.25" customHeight="1" x14ac:dyDescent="0.35">
      <c r="A273" s="12" t="s">
        <v>1089</v>
      </c>
      <c r="B273" s="12" t="s">
        <v>1090</v>
      </c>
      <c r="C273" s="12" t="s">
        <v>98</v>
      </c>
      <c r="D273" s="22">
        <v>11376</v>
      </c>
      <c r="E273" s="22"/>
      <c r="F273" s="22"/>
      <c r="G273" s="12" t="s">
        <v>608</v>
      </c>
    </row>
    <row r="274" spans="1:7" ht="14.25" customHeight="1" x14ac:dyDescent="0.35">
      <c r="A274" s="12" t="s">
        <v>1091</v>
      </c>
      <c r="B274" s="12" t="s">
        <v>1092</v>
      </c>
      <c r="C274" s="12" t="s">
        <v>1019</v>
      </c>
      <c r="D274" s="22">
        <v>47272.73</v>
      </c>
      <c r="E274" s="22"/>
      <c r="F274" s="22"/>
      <c r="G274" s="12" t="s">
        <v>592</v>
      </c>
    </row>
    <row r="275" spans="1:7" ht="14.25" customHeight="1" x14ac:dyDescent="0.35">
      <c r="A275" s="12" t="s">
        <v>1093</v>
      </c>
      <c r="B275" s="12" t="s">
        <v>1094</v>
      </c>
      <c r="C275" s="12" t="s">
        <v>50</v>
      </c>
      <c r="D275" s="22">
        <v>4251.3981882128101</v>
      </c>
      <c r="E275" s="22"/>
      <c r="F275" s="22"/>
      <c r="G275" s="12" t="s">
        <v>592</v>
      </c>
    </row>
    <row r="276" spans="1:7" ht="14.25" customHeight="1" x14ac:dyDescent="0.35">
      <c r="A276" s="12" t="s">
        <v>1095</v>
      </c>
      <c r="B276" s="12" t="s">
        <v>1096</v>
      </c>
      <c r="C276" s="12" t="s">
        <v>98</v>
      </c>
      <c r="D276" s="22">
        <v>20196.092406751999</v>
      </c>
      <c r="E276" s="22"/>
      <c r="F276" s="22"/>
      <c r="G276" s="12" t="s">
        <v>577</v>
      </c>
    </row>
    <row r="277" spans="1:7" ht="14.25" customHeight="1" x14ac:dyDescent="0.35">
      <c r="A277" s="12" t="s">
        <v>1097</v>
      </c>
      <c r="B277" s="12" t="s">
        <v>1098</v>
      </c>
      <c r="C277" s="12" t="s">
        <v>98</v>
      </c>
      <c r="D277" s="22">
        <v>38605.985559603403</v>
      </c>
      <c r="E277" s="22"/>
      <c r="F277" s="22"/>
      <c r="G277" s="12" t="s">
        <v>577</v>
      </c>
    </row>
    <row r="278" spans="1:7" ht="14.25" customHeight="1" x14ac:dyDescent="0.35">
      <c r="A278" s="12" t="s">
        <v>1099</v>
      </c>
      <c r="B278" s="12" t="s">
        <v>1100</v>
      </c>
      <c r="C278" s="12" t="s">
        <v>98</v>
      </c>
      <c r="D278" s="22">
        <v>46757.409946534499</v>
      </c>
      <c r="E278" s="22"/>
      <c r="F278" s="22"/>
      <c r="G278" s="12" t="s">
        <v>577</v>
      </c>
    </row>
    <row r="279" spans="1:7" ht="14.25" customHeight="1" x14ac:dyDescent="0.35">
      <c r="A279" s="12" t="s">
        <v>1101</v>
      </c>
      <c r="B279" s="12" t="s">
        <v>1102</v>
      </c>
      <c r="C279" s="12" t="s">
        <v>98</v>
      </c>
      <c r="D279" s="22">
        <v>5688.7390030904999</v>
      </c>
      <c r="E279" s="22"/>
      <c r="F279" s="22"/>
      <c r="G279" s="12" t="s">
        <v>577</v>
      </c>
    </row>
    <row r="280" spans="1:7" ht="14.25" customHeight="1" x14ac:dyDescent="0.35">
      <c r="A280" s="12" t="s">
        <v>1103</v>
      </c>
      <c r="B280" s="12" t="s">
        <v>1104</v>
      </c>
      <c r="C280" s="12" t="s">
        <v>98</v>
      </c>
      <c r="D280" s="22">
        <v>5688.7390030904999</v>
      </c>
      <c r="E280" s="22"/>
      <c r="F280" s="22"/>
      <c r="G280" s="12" t="s">
        <v>577</v>
      </c>
    </row>
    <row r="281" spans="1:7" ht="14.25" customHeight="1" x14ac:dyDescent="0.35">
      <c r="A281" s="12" t="s">
        <v>1105</v>
      </c>
      <c r="B281" s="12" t="s">
        <v>1106</v>
      </c>
      <c r="C281" s="12" t="s">
        <v>98</v>
      </c>
      <c r="D281" s="22">
        <v>12011.3461770173</v>
      </c>
      <c r="E281" s="22"/>
      <c r="F281" s="22"/>
      <c r="G281" s="12" t="s">
        <v>577</v>
      </c>
    </row>
    <row r="282" spans="1:7" ht="14.25" customHeight="1" x14ac:dyDescent="0.35">
      <c r="A282" s="12" t="s">
        <v>1107</v>
      </c>
      <c r="B282" s="12" t="s">
        <v>1108</v>
      </c>
      <c r="C282" s="12" t="s">
        <v>98</v>
      </c>
      <c r="D282" s="22">
        <v>12869.106574814299</v>
      </c>
      <c r="E282" s="22"/>
      <c r="F282" s="22"/>
      <c r="G282" s="12" t="s">
        <v>577</v>
      </c>
    </row>
    <row r="283" spans="1:7" ht="14.25" customHeight="1" x14ac:dyDescent="0.35">
      <c r="A283" s="12" t="s">
        <v>1109</v>
      </c>
      <c r="B283" s="12" t="s">
        <v>1110</v>
      </c>
      <c r="C283" s="12" t="s">
        <v>98</v>
      </c>
      <c r="D283" s="22">
        <v>287817.56246666302</v>
      </c>
      <c r="E283" s="22"/>
      <c r="F283" s="22"/>
      <c r="G283" s="12" t="s">
        <v>577</v>
      </c>
    </row>
    <row r="284" spans="1:7" ht="14.25" customHeight="1" x14ac:dyDescent="0.35">
      <c r="A284" s="12" t="s">
        <v>1111</v>
      </c>
      <c r="B284" s="12" t="s">
        <v>1112</v>
      </c>
      <c r="C284" s="12" t="s">
        <v>98</v>
      </c>
      <c r="D284" s="22">
        <v>103423.565320764</v>
      </c>
      <c r="E284" s="22"/>
      <c r="F284" s="22"/>
      <c r="G284" s="12" t="s">
        <v>577</v>
      </c>
    </row>
    <row r="285" spans="1:7" ht="14.25" customHeight="1" x14ac:dyDescent="0.35">
      <c r="A285" s="12" t="s">
        <v>1113</v>
      </c>
      <c r="B285" s="12" t="s">
        <v>1114</v>
      </c>
      <c r="C285" s="12" t="s">
        <v>98</v>
      </c>
      <c r="D285" s="22">
        <v>5486.8604959800005</v>
      </c>
      <c r="E285" s="22"/>
      <c r="F285" s="22"/>
      <c r="G285" s="12" t="s">
        <v>577</v>
      </c>
    </row>
    <row r="286" spans="1:7" ht="14.25" customHeight="1" x14ac:dyDescent="0.35">
      <c r="A286" s="12" t="s">
        <v>1115</v>
      </c>
      <c r="B286" s="12" t="s">
        <v>1116</v>
      </c>
      <c r="C286" s="12" t="s">
        <v>98</v>
      </c>
      <c r="D286" s="22">
        <v>15819.5260420012</v>
      </c>
      <c r="E286" s="22"/>
      <c r="F286" s="22"/>
      <c r="G286" s="12" t="s">
        <v>577</v>
      </c>
    </row>
    <row r="287" spans="1:7" ht="14.25" customHeight="1" x14ac:dyDescent="0.35">
      <c r="A287" s="12" t="s">
        <v>1117</v>
      </c>
      <c r="B287" s="12" t="s">
        <v>1118</v>
      </c>
      <c r="C287" s="12" t="s">
        <v>98</v>
      </c>
      <c r="D287" s="22">
        <v>10003.040755537901</v>
      </c>
      <c r="E287" s="22"/>
      <c r="F287" s="22"/>
      <c r="G287" s="12" t="s">
        <v>577</v>
      </c>
    </row>
    <row r="288" spans="1:7" ht="14.25" customHeight="1" x14ac:dyDescent="0.35">
      <c r="A288" s="12" t="s">
        <v>1119</v>
      </c>
      <c r="B288" s="12" t="s">
        <v>1120</v>
      </c>
      <c r="C288" s="12" t="s">
        <v>98</v>
      </c>
      <c r="D288" s="22">
        <v>130403.91821405799</v>
      </c>
      <c r="E288" s="22"/>
      <c r="F288" s="22"/>
      <c r="G288" s="12" t="s">
        <v>577</v>
      </c>
    </row>
    <row r="289" spans="1:7" ht="14.25" customHeight="1" x14ac:dyDescent="0.35">
      <c r="A289" s="12" t="s">
        <v>1121</v>
      </c>
      <c r="B289" s="12" t="s">
        <v>1122</v>
      </c>
      <c r="C289" s="12" t="s">
        <v>98</v>
      </c>
      <c r="D289" s="22">
        <v>122237.774976318</v>
      </c>
      <c r="E289" s="22"/>
      <c r="F289" s="22"/>
      <c r="G289" s="12" t="s">
        <v>577</v>
      </c>
    </row>
    <row r="290" spans="1:7" ht="14.25" customHeight="1" x14ac:dyDescent="0.35">
      <c r="A290" s="12" t="s">
        <v>1123</v>
      </c>
      <c r="B290" s="12" t="s">
        <v>1124</v>
      </c>
      <c r="C290" s="12" t="s">
        <v>98</v>
      </c>
      <c r="D290" s="22">
        <v>5542.2928931783999</v>
      </c>
      <c r="E290" s="22"/>
      <c r="F290" s="22"/>
      <c r="G290" s="12" t="s">
        <v>577</v>
      </c>
    </row>
    <row r="291" spans="1:7" ht="14.25" customHeight="1" x14ac:dyDescent="0.35">
      <c r="A291" s="12" t="s">
        <v>1125</v>
      </c>
      <c r="B291" s="12" t="s">
        <v>1126</v>
      </c>
      <c r="C291" s="12" t="s">
        <v>98</v>
      </c>
      <c r="D291" s="22">
        <v>3933.8478069282</v>
      </c>
      <c r="E291" s="22"/>
      <c r="F291" s="22"/>
      <c r="G291" s="12" t="s">
        <v>577</v>
      </c>
    </row>
    <row r="292" spans="1:7" ht="14.25" customHeight="1" x14ac:dyDescent="0.35">
      <c r="A292" s="12" t="s">
        <v>1127</v>
      </c>
      <c r="B292" s="12" t="s">
        <v>1128</v>
      </c>
      <c r="C292" s="12" t="s">
        <v>98</v>
      </c>
      <c r="D292" s="22">
        <v>103147.908138263</v>
      </c>
      <c r="E292" s="22"/>
      <c r="F292" s="22"/>
      <c r="G292" s="12" t="s">
        <v>577</v>
      </c>
    </row>
    <row r="293" spans="1:7" ht="14.25" customHeight="1" x14ac:dyDescent="0.35">
      <c r="A293" s="12" t="s">
        <v>1129</v>
      </c>
      <c r="B293" s="12" t="s">
        <v>1130</v>
      </c>
      <c r="C293" s="12" t="s">
        <v>98</v>
      </c>
      <c r="D293" s="22">
        <v>92416.985139936805</v>
      </c>
      <c r="E293" s="22"/>
      <c r="F293" s="22"/>
      <c r="G293" s="12" t="s">
        <v>577</v>
      </c>
    </row>
    <row r="294" spans="1:7" ht="14.25" customHeight="1" x14ac:dyDescent="0.35">
      <c r="A294" s="12" t="s">
        <v>1131</v>
      </c>
      <c r="B294" s="12" t="s">
        <v>1132</v>
      </c>
      <c r="C294" s="12" t="s">
        <v>98</v>
      </c>
      <c r="D294" s="22">
        <v>139000.404928262</v>
      </c>
      <c r="E294" s="22"/>
      <c r="F294" s="22"/>
      <c r="G294" s="12" t="s">
        <v>577</v>
      </c>
    </row>
    <row r="295" spans="1:7" ht="14.25" customHeight="1" x14ac:dyDescent="0.35">
      <c r="A295" s="12" t="s">
        <v>1133</v>
      </c>
      <c r="B295" s="12" t="s">
        <v>1134</v>
      </c>
      <c r="C295" s="12" t="s">
        <v>98</v>
      </c>
      <c r="D295" s="22">
        <v>127056.057496849</v>
      </c>
      <c r="E295" s="22"/>
      <c r="F295" s="22"/>
      <c r="G295" s="12" t="s">
        <v>577</v>
      </c>
    </row>
    <row r="296" spans="1:7" ht="14.25" customHeight="1" x14ac:dyDescent="0.35">
      <c r="A296" s="12" t="s">
        <v>1135</v>
      </c>
      <c r="B296" s="12" t="s">
        <v>1136</v>
      </c>
      <c r="C296" s="12" t="s">
        <v>98</v>
      </c>
      <c r="D296" s="22">
        <v>62950.082527207502</v>
      </c>
      <c r="E296" s="22"/>
      <c r="F296" s="22"/>
      <c r="G296" s="12" t="s">
        <v>577</v>
      </c>
    </row>
    <row r="297" spans="1:7" ht="14.25" customHeight="1" x14ac:dyDescent="0.35">
      <c r="A297" s="12" t="s">
        <v>1137</v>
      </c>
      <c r="B297" s="12" t="s">
        <v>1138</v>
      </c>
      <c r="C297" s="12" t="s">
        <v>98</v>
      </c>
      <c r="D297" s="22">
        <v>55782.002183278899</v>
      </c>
      <c r="E297" s="22"/>
      <c r="F297" s="22"/>
      <c r="G297" s="12" t="s">
        <v>577</v>
      </c>
    </row>
    <row r="298" spans="1:7" ht="14.25" customHeight="1" x14ac:dyDescent="0.35">
      <c r="A298" s="12" t="s">
        <v>1139</v>
      </c>
      <c r="B298" s="12" t="s">
        <v>1140</v>
      </c>
      <c r="C298" s="12" t="s">
        <v>98</v>
      </c>
      <c r="D298" s="22">
        <v>36421.710251443103</v>
      </c>
      <c r="E298" s="22"/>
      <c r="F298" s="22"/>
      <c r="G298" s="12" t="s">
        <v>577</v>
      </c>
    </row>
    <row r="299" spans="1:7" ht="14.25" customHeight="1" x14ac:dyDescent="0.35">
      <c r="A299" s="12" t="s">
        <v>1141</v>
      </c>
      <c r="B299" s="12" t="s">
        <v>1142</v>
      </c>
      <c r="C299" s="12" t="s">
        <v>98</v>
      </c>
      <c r="D299" s="22">
        <v>29395.083658672698</v>
      </c>
      <c r="E299" s="22"/>
      <c r="F299" s="22"/>
      <c r="G299" s="12" t="s">
        <v>577</v>
      </c>
    </row>
    <row r="300" spans="1:7" ht="14.25" customHeight="1" x14ac:dyDescent="0.35">
      <c r="A300" s="12" t="s">
        <v>1143</v>
      </c>
      <c r="B300" s="12" t="s">
        <v>1144</v>
      </c>
      <c r="C300" s="12" t="s">
        <v>98</v>
      </c>
      <c r="D300" s="22">
        <v>12011.3461770173</v>
      </c>
      <c r="E300" s="22"/>
      <c r="F300" s="22"/>
      <c r="G300" s="12" t="s">
        <v>577</v>
      </c>
    </row>
    <row r="301" spans="1:7" ht="14.25" customHeight="1" x14ac:dyDescent="0.35">
      <c r="A301" s="12" t="s">
        <v>1145</v>
      </c>
      <c r="B301" s="12" t="s">
        <v>1146</v>
      </c>
      <c r="C301" s="12" t="s">
        <v>98</v>
      </c>
      <c r="D301" s="22">
        <v>15376.594074713499</v>
      </c>
      <c r="E301" s="22"/>
      <c r="F301" s="22"/>
      <c r="G301" s="12" t="s">
        <v>638</v>
      </c>
    </row>
    <row r="302" spans="1:7" ht="14.25" customHeight="1" x14ac:dyDescent="0.35">
      <c r="A302" s="12" t="s">
        <v>1147</v>
      </c>
      <c r="B302" s="12" t="s">
        <v>1148</v>
      </c>
      <c r="C302" s="12" t="s">
        <v>98</v>
      </c>
      <c r="D302" s="22">
        <v>2245.1196804732999</v>
      </c>
      <c r="E302" s="22"/>
      <c r="F302" s="22"/>
      <c r="G302" s="12" t="s">
        <v>638</v>
      </c>
    </row>
    <row r="303" spans="1:7" ht="14.25" customHeight="1" x14ac:dyDescent="0.35">
      <c r="A303" s="12" t="s">
        <v>1149</v>
      </c>
      <c r="B303" s="12" t="s">
        <v>1150</v>
      </c>
      <c r="C303" s="12" t="s">
        <v>98</v>
      </c>
      <c r="D303" s="22">
        <v>2066.7612083541999</v>
      </c>
      <c r="E303" s="22"/>
      <c r="F303" s="22"/>
      <c r="G303" s="12" t="s">
        <v>638</v>
      </c>
    </row>
    <row r="304" spans="1:7" ht="14.25" customHeight="1" x14ac:dyDescent="0.35">
      <c r="A304" s="12" t="s">
        <v>1151</v>
      </c>
      <c r="B304" s="12" t="s">
        <v>1152</v>
      </c>
      <c r="C304" s="12" t="s">
        <v>98</v>
      </c>
      <c r="D304" s="22">
        <v>4732.8959708098</v>
      </c>
      <c r="E304" s="22"/>
      <c r="F304" s="22"/>
      <c r="G304" s="12" t="s">
        <v>638</v>
      </c>
    </row>
    <row r="305" spans="1:7" ht="14.25" customHeight="1" x14ac:dyDescent="0.35">
      <c r="A305" s="12" t="s">
        <v>1153</v>
      </c>
      <c r="B305" s="12" t="s">
        <v>1154</v>
      </c>
      <c r="C305" s="12" t="s">
        <v>98</v>
      </c>
      <c r="D305" s="22">
        <v>696.15430192739996</v>
      </c>
      <c r="E305" s="22"/>
      <c r="F305" s="22"/>
      <c r="G305" s="12" t="s">
        <v>638</v>
      </c>
    </row>
    <row r="306" spans="1:7" ht="14.25" customHeight="1" x14ac:dyDescent="0.35">
      <c r="A306" s="12" t="s">
        <v>1155</v>
      </c>
      <c r="B306" s="12" t="s">
        <v>1156</v>
      </c>
      <c r="C306" s="12" t="s">
        <v>98</v>
      </c>
      <c r="D306" s="22">
        <v>4922.6056034577005</v>
      </c>
      <c r="E306" s="22"/>
      <c r="F306" s="22"/>
      <c r="G306" s="12" t="s">
        <v>638</v>
      </c>
    </row>
    <row r="307" spans="1:7" ht="14.25" customHeight="1" x14ac:dyDescent="0.35">
      <c r="A307" s="12" t="s">
        <v>1157</v>
      </c>
      <c r="B307" s="12" t="s">
        <v>1158</v>
      </c>
      <c r="C307" s="12" t="s">
        <v>98</v>
      </c>
      <c r="D307" s="22">
        <v>2137.1599224204001</v>
      </c>
      <c r="E307" s="22"/>
      <c r="F307" s="22"/>
      <c r="G307" s="12" t="s">
        <v>638</v>
      </c>
    </row>
    <row r="308" spans="1:7" ht="14.25" customHeight="1" x14ac:dyDescent="0.35">
      <c r="A308" s="12" t="s">
        <v>1159</v>
      </c>
      <c r="B308" s="12" t="s">
        <v>1160</v>
      </c>
      <c r="C308" s="12" t="s">
        <v>98</v>
      </c>
      <c r="D308" s="22">
        <v>4518.7194765103004</v>
      </c>
      <c r="E308" s="22"/>
      <c r="F308" s="22"/>
      <c r="G308" s="12" t="s">
        <v>638</v>
      </c>
    </row>
    <row r="309" spans="1:7" ht="14.25" customHeight="1" x14ac:dyDescent="0.35">
      <c r="A309" s="12" t="s">
        <v>1161</v>
      </c>
      <c r="B309" s="12" t="s">
        <v>1162</v>
      </c>
      <c r="C309" s="12" t="s">
        <v>98</v>
      </c>
      <c r="D309" s="22">
        <v>6417.2898399489004</v>
      </c>
      <c r="E309" s="22"/>
      <c r="F309" s="22"/>
      <c r="G309" s="12" t="s">
        <v>638</v>
      </c>
    </row>
    <row r="310" spans="1:7" ht="14.25" customHeight="1" x14ac:dyDescent="0.35">
      <c r="A310" s="12" t="s">
        <v>1163</v>
      </c>
      <c r="B310" s="12" t="s">
        <v>1164</v>
      </c>
      <c r="C310" s="12" t="s">
        <v>98</v>
      </c>
      <c r="D310" s="22">
        <v>84474.579940818905</v>
      </c>
      <c r="E310" s="22"/>
      <c r="F310" s="22"/>
      <c r="G310" s="12" t="s">
        <v>638</v>
      </c>
    </row>
    <row r="311" spans="1:7" ht="14.25" customHeight="1" x14ac:dyDescent="0.35">
      <c r="A311" s="12" t="s">
        <v>1165</v>
      </c>
      <c r="B311" s="12" t="s">
        <v>1166</v>
      </c>
      <c r="C311" s="12" t="s">
        <v>98</v>
      </c>
      <c r="D311" s="22">
        <v>1603.0205733293999</v>
      </c>
      <c r="E311" s="22"/>
      <c r="F311" s="22"/>
      <c r="G311" s="12" t="s">
        <v>638</v>
      </c>
    </row>
    <row r="312" spans="1:7" ht="14.25" customHeight="1" x14ac:dyDescent="0.35">
      <c r="A312" s="12" t="s">
        <v>1167</v>
      </c>
      <c r="B312" s="12" t="s">
        <v>1168</v>
      </c>
      <c r="C312" s="12" t="s">
        <v>98</v>
      </c>
      <c r="D312" s="22">
        <v>8313.6868058265009</v>
      </c>
      <c r="E312" s="22"/>
      <c r="F312" s="22"/>
      <c r="G312" s="12" t="s">
        <v>638</v>
      </c>
    </row>
    <row r="313" spans="1:7" ht="14.25" customHeight="1" x14ac:dyDescent="0.35">
      <c r="A313" s="12" t="s">
        <v>1169</v>
      </c>
      <c r="B313" s="12" t="s">
        <v>1170</v>
      </c>
      <c r="C313" s="12" t="s">
        <v>98</v>
      </c>
      <c r="D313" s="22">
        <v>960.65248133889997</v>
      </c>
      <c r="E313" s="22"/>
      <c r="F313" s="22"/>
      <c r="G313" s="12" t="s">
        <v>638</v>
      </c>
    </row>
    <row r="314" spans="1:7" ht="14.25" customHeight="1" x14ac:dyDescent="0.35">
      <c r="A314" s="12" t="s">
        <v>1171</v>
      </c>
      <c r="B314" s="12" t="s">
        <v>1172</v>
      </c>
      <c r="C314" s="12" t="s">
        <v>98</v>
      </c>
      <c r="D314" s="22">
        <v>960.65248133889997</v>
      </c>
      <c r="E314" s="22"/>
      <c r="F314" s="22"/>
      <c r="G314" s="12" t="s">
        <v>638</v>
      </c>
    </row>
    <row r="315" spans="1:7" ht="14.25" customHeight="1" x14ac:dyDescent="0.35">
      <c r="A315" s="12" t="s">
        <v>1173</v>
      </c>
      <c r="B315" s="12" t="s">
        <v>1174</v>
      </c>
      <c r="C315" s="12" t="s">
        <v>98</v>
      </c>
      <c r="D315" s="22">
        <v>6715.658591251</v>
      </c>
      <c r="E315" s="22"/>
      <c r="F315" s="22"/>
      <c r="G315" s="12" t="s">
        <v>638</v>
      </c>
    </row>
    <row r="316" spans="1:7" ht="14.25" customHeight="1" x14ac:dyDescent="0.35">
      <c r="A316" s="12" t="s">
        <v>1175</v>
      </c>
      <c r="B316" s="12" t="s">
        <v>1176</v>
      </c>
      <c r="C316" s="12" t="s">
        <v>98</v>
      </c>
      <c r="D316" s="22">
        <v>571.84026519789995</v>
      </c>
      <c r="E316" s="22"/>
      <c r="F316" s="22"/>
      <c r="G316" s="12" t="s">
        <v>638</v>
      </c>
    </row>
    <row r="317" spans="1:7" ht="14.25" customHeight="1" x14ac:dyDescent="0.35">
      <c r="A317" s="12" t="s">
        <v>1177</v>
      </c>
      <c r="B317" s="12" t="s">
        <v>1178</v>
      </c>
      <c r="C317" s="12" t="s">
        <v>98</v>
      </c>
      <c r="D317" s="22">
        <v>723.32177143939998</v>
      </c>
      <c r="E317" s="22"/>
      <c r="F317" s="22"/>
      <c r="G317" s="12" t="s">
        <v>638</v>
      </c>
    </row>
    <row r="318" spans="1:7" ht="14.25" customHeight="1" x14ac:dyDescent="0.35">
      <c r="A318" s="12" t="s">
        <v>1179</v>
      </c>
      <c r="B318" s="12" t="s">
        <v>1180</v>
      </c>
      <c r="C318" s="12" t="s">
        <v>98</v>
      </c>
      <c r="D318" s="22">
        <v>586.21481540310003</v>
      </c>
      <c r="E318" s="22"/>
      <c r="F318" s="22"/>
      <c r="G318" s="12" t="s">
        <v>638</v>
      </c>
    </row>
    <row r="319" spans="1:7" ht="14.25" customHeight="1" x14ac:dyDescent="0.35">
      <c r="A319" s="12" t="s">
        <v>1181</v>
      </c>
      <c r="B319" s="12" t="s">
        <v>1182</v>
      </c>
      <c r="C319" s="12" t="s">
        <v>98</v>
      </c>
      <c r="D319" s="22">
        <v>5296.1072021271002</v>
      </c>
      <c r="E319" s="22"/>
      <c r="F319" s="22"/>
      <c r="G319" s="12" t="s">
        <v>638</v>
      </c>
    </row>
    <row r="320" spans="1:7" ht="14.25" customHeight="1" x14ac:dyDescent="0.35">
      <c r="A320" s="12" t="s">
        <v>1183</v>
      </c>
      <c r="B320" s="12" t="s">
        <v>1184</v>
      </c>
      <c r="C320" s="12" t="s">
        <v>98</v>
      </c>
      <c r="D320" s="22">
        <v>432.16181402759997</v>
      </c>
      <c r="E320" s="22"/>
      <c r="F320" s="22"/>
      <c r="G320" s="12" t="s">
        <v>638</v>
      </c>
    </row>
    <row r="321" spans="1:7" ht="14.25" customHeight="1" x14ac:dyDescent="0.35">
      <c r="A321" s="12" t="s">
        <v>1185</v>
      </c>
      <c r="B321" s="12" t="s">
        <v>1186</v>
      </c>
      <c r="C321" s="12" t="s">
        <v>98</v>
      </c>
      <c r="D321" s="22">
        <v>399.55009121929999</v>
      </c>
      <c r="E321" s="22"/>
      <c r="F321" s="22"/>
      <c r="G321" s="12" t="s">
        <v>638</v>
      </c>
    </row>
    <row r="322" spans="1:7" ht="14.25" customHeight="1" x14ac:dyDescent="0.35">
      <c r="A322" s="12" t="s">
        <v>1187</v>
      </c>
      <c r="B322" s="12" t="s">
        <v>1188</v>
      </c>
      <c r="C322" s="12" t="s">
        <v>98</v>
      </c>
      <c r="D322" s="22">
        <v>658.67933309160003</v>
      </c>
      <c r="E322" s="22"/>
      <c r="F322" s="22"/>
      <c r="G322" s="12" t="s">
        <v>638</v>
      </c>
    </row>
    <row r="323" spans="1:7" ht="14.25" customHeight="1" x14ac:dyDescent="0.35">
      <c r="A323" s="12" t="s">
        <v>1189</v>
      </c>
      <c r="B323" s="12" t="s">
        <v>1190</v>
      </c>
      <c r="C323" s="12" t="s">
        <v>98</v>
      </c>
      <c r="D323" s="22">
        <v>361.83841571850002</v>
      </c>
      <c r="E323" s="22"/>
      <c r="F323" s="22"/>
      <c r="G323" s="12" t="s">
        <v>638</v>
      </c>
    </row>
    <row r="324" spans="1:7" ht="14.25" customHeight="1" x14ac:dyDescent="0.35">
      <c r="A324" s="12" t="s">
        <v>1191</v>
      </c>
      <c r="B324" s="12" t="s">
        <v>1192</v>
      </c>
      <c r="C324" s="12" t="s">
        <v>98</v>
      </c>
      <c r="D324" s="22">
        <v>424.1891031728</v>
      </c>
      <c r="E324" s="22"/>
      <c r="F324" s="22"/>
      <c r="G324" s="12" t="s">
        <v>638</v>
      </c>
    </row>
    <row r="325" spans="1:7" ht="14.25" customHeight="1" x14ac:dyDescent="0.35">
      <c r="A325" s="12" t="s">
        <v>1193</v>
      </c>
      <c r="B325" s="12" t="s">
        <v>1194</v>
      </c>
      <c r="C325" s="12" t="s">
        <v>98</v>
      </c>
      <c r="D325" s="22">
        <v>653.42874888489996</v>
      </c>
      <c r="E325" s="22"/>
      <c r="F325" s="22"/>
      <c r="G325" s="12" t="s">
        <v>638</v>
      </c>
    </row>
    <row r="326" spans="1:7" ht="14.25" customHeight="1" x14ac:dyDescent="0.35">
      <c r="A326" s="12" t="s">
        <v>1195</v>
      </c>
      <c r="B326" s="12" t="s">
        <v>1196</v>
      </c>
      <c r="C326" s="12" t="s">
        <v>98</v>
      </c>
      <c r="D326" s="22">
        <v>3362.0093201425002</v>
      </c>
      <c r="E326" s="22"/>
      <c r="F326" s="22"/>
      <c r="G326" s="12" t="s">
        <v>638</v>
      </c>
    </row>
    <row r="327" spans="1:7" ht="14.25" customHeight="1" x14ac:dyDescent="0.35">
      <c r="A327" s="12" t="s">
        <v>1197</v>
      </c>
      <c r="B327" s="12" t="s">
        <v>1198</v>
      </c>
      <c r="C327" s="12" t="s">
        <v>98</v>
      </c>
      <c r="D327" s="22">
        <v>5000</v>
      </c>
      <c r="E327" s="22"/>
      <c r="F327" s="22"/>
      <c r="G327" s="12" t="s">
        <v>638</v>
      </c>
    </row>
    <row r="328" spans="1:7" ht="14.25" customHeight="1" x14ac:dyDescent="0.35">
      <c r="A328" s="12" t="s">
        <v>1199</v>
      </c>
      <c r="B328" s="12" t="s">
        <v>1200</v>
      </c>
      <c r="C328" s="12" t="s">
        <v>98</v>
      </c>
      <c r="D328" s="22">
        <v>4507.7018571914004</v>
      </c>
      <c r="E328" s="22"/>
      <c r="F328" s="22"/>
      <c r="G328" s="12" t="s">
        <v>638</v>
      </c>
    </row>
    <row r="329" spans="1:7" ht="14.25" customHeight="1" x14ac:dyDescent="0.35">
      <c r="A329" s="12" t="s">
        <v>1201</v>
      </c>
      <c r="B329" s="12" t="s">
        <v>1202</v>
      </c>
      <c r="C329" s="12" t="s">
        <v>98</v>
      </c>
      <c r="D329" s="22">
        <v>9878.3824182046992</v>
      </c>
      <c r="E329" s="22"/>
      <c r="F329" s="22"/>
      <c r="G329" s="12" t="s">
        <v>638</v>
      </c>
    </row>
    <row r="330" spans="1:7" ht="14.25" customHeight="1" x14ac:dyDescent="0.35">
      <c r="A330" s="12" t="s">
        <v>1203</v>
      </c>
      <c r="B330" s="12" t="s">
        <v>1204</v>
      </c>
      <c r="C330" s="12" t="s">
        <v>98</v>
      </c>
      <c r="D330" s="22">
        <v>9863.9863492118002</v>
      </c>
      <c r="E330" s="22"/>
      <c r="F330" s="22"/>
      <c r="G330" s="12" t="s">
        <v>638</v>
      </c>
    </row>
    <row r="331" spans="1:7" ht="14.25" customHeight="1" x14ac:dyDescent="0.35">
      <c r="A331" s="12" t="s">
        <v>1205</v>
      </c>
      <c r="B331" s="12" t="s">
        <v>1206</v>
      </c>
      <c r="C331" s="12" t="s">
        <v>98</v>
      </c>
      <c r="D331" s="22">
        <v>3447.2882759255999</v>
      </c>
      <c r="E331" s="22"/>
      <c r="F331" s="22"/>
      <c r="G331" s="12" t="s">
        <v>638</v>
      </c>
    </row>
    <row r="332" spans="1:7" ht="14.25" customHeight="1" x14ac:dyDescent="0.35">
      <c r="A332" s="12" t="s">
        <v>1207</v>
      </c>
      <c r="B332" s="12" t="s">
        <v>1208</v>
      </c>
      <c r="C332" s="12" t="s">
        <v>98</v>
      </c>
      <c r="D332" s="22">
        <v>76135.192499870507</v>
      </c>
      <c r="E332" s="22"/>
      <c r="F332" s="22"/>
      <c r="G332" s="12" t="s">
        <v>577</v>
      </c>
    </row>
    <row r="333" spans="1:7" ht="14.25" customHeight="1" x14ac:dyDescent="0.35">
      <c r="A333" s="12" t="s">
        <v>1209</v>
      </c>
      <c r="B333" s="12" t="s">
        <v>1210</v>
      </c>
      <c r="C333" s="12" t="s">
        <v>98</v>
      </c>
      <c r="D333" s="22">
        <v>337.95256133570001</v>
      </c>
      <c r="E333" s="22"/>
      <c r="F333" s="22"/>
      <c r="G333" s="12" t="s">
        <v>638</v>
      </c>
    </row>
    <row r="334" spans="1:7" ht="14.25" customHeight="1" x14ac:dyDescent="0.35">
      <c r="A334" s="12" t="s">
        <v>1211</v>
      </c>
      <c r="B334" s="12" t="s">
        <v>1212</v>
      </c>
      <c r="C334" s="12" t="s">
        <v>98</v>
      </c>
      <c r="D334" s="22">
        <v>3243.9464912492999</v>
      </c>
      <c r="E334" s="22"/>
      <c r="F334" s="22"/>
      <c r="G334" s="12" t="s">
        <v>638</v>
      </c>
    </row>
    <row r="335" spans="1:7" ht="14.25" customHeight="1" x14ac:dyDescent="0.35">
      <c r="A335" s="12" t="s">
        <v>1213</v>
      </c>
      <c r="B335" s="12" t="s">
        <v>1214</v>
      </c>
      <c r="C335" s="12" t="s">
        <v>98</v>
      </c>
      <c r="D335" s="22">
        <v>452.99200055249997</v>
      </c>
      <c r="E335" s="22"/>
      <c r="F335" s="22"/>
      <c r="G335" s="12" t="s">
        <v>638</v>
      </c>
    </row>
    <row r="336" spans="1:7" ht="14.25" customHeight="1" x14ac:dyDescent="0.35">
      <c r="A336" s="12" t="s">
        <v>1215</v>
      </c>
      <c r="B336" s="12" t="s">
        <v>1216</v>
      </c>
      <c r="C336" s="12" t="s">
        <v>98</v>
      </c>
      <c r="D336" s="22">
        <v>452.99200055249997</v>
      </c>
      <c r="E336" s="22"/>
      <c r="F336" s="22"/>
      <c r="G336" s="12" t="s">
        <v>638</v>
      </c>
    </row>
    <row r="337" spans="1:7" ht="14.25" customHeight="1" x14ac:dyDescent="0.35">
      <c r="A337" s="12" t="s">
        <v>1217</v>
      </c>
      <c r="B337" s="12" t="s">
        <v>1218</v>
      </c>
      <c r="C337" s="12" t="s">
        <v>98</v>
      </c>
      <c r="D337" s="22">
        <v>2240.2994720213001</v>
      </c>
      <c r="E337" s="22"/>
      <c r="F337" s="22"/>
      <c r="G337" s="12" t="s">
        <v>638</v>
      </c>
    </row>
    <row r="338" spans="1:7" ht="14.25" customHeight="1" x14ac:dyDescent="0.35">
      <c r="A338" s="12" t="s">
        <v>1219</v>
      </c>
      <c r="B338" s="12" t="s">
        <v>1220</v>
      </c>
      <c r="C338" s="12" t="s">
        <v>1221</v>
      </c>
      <c r="D338" s="22">
        <v>85882.267275332793</v>
      </c>
      <c r="E338" s="22"/>
      <c r="F338" s="22"/>
      <c r="G338" s="12" t="s">
        <v>833</v>
      </c>
    </row>
    <row r="339" spans="1:7" ht="14.25" customHeight="1" x14ac:dyDescent="0.35">
      <c r="A339" s="12" t="s">
        <v>1222</v>
      </c>
      <c r="B339" s="12" t="s">
        <v>1223</v>
      </c>
      <c r="C339" s="12" t="s">
        <v>98</v>
      </c>
      <c r="D339" s="22">
        <v>5407.9080637901998</v>
      </c>
      <c r="E339" s="22"/>
      <c r="F339" s="22"/>
      <c r="G339" s="12" t="s">
        <v>833</v>
      </c>
    </row>
    <row r="340" spans="1:7" ht="14.25" customHeight="1" x14ac:dyDescent="0.35">
      <c r="A340" s="12" t="s">
        <v>1224</v>
      </c>
      <c r="B340" s="12" t="s">
        <v>1225</v>
      </c>
      <c r="C340" s="12" t="s">
        <v>98</v>
      </c>
      <c r="D340" s="22">
        <v>3865.0109833848001</v>
      </c>
      <c r="E340" s="22"/>
      <c r="F340" s="22"/>
      <c r="G340" s="12" t="s">
        <v>833</v>
      </c>
    </row>
    <row r="341" spans="1:7" ht="14.25" customHeight="1" x14ac:dyDescent="0.35">
      <c r="A341" s="12" t="s">
        <v>1226</v>
      </c>
      <c r="B341" s="12" t="s">
        <v>1227</v>
      </c>
      <c r="C341" s="12" t="s">
        <v>98</v>
      </c>
      <c r="D341" s="22">
        <v>4313.6239106337998</v>
      </c>
      <c r="E341" s="22"/>
      <c r="F341" s="22"/>
      <c r="G341" s="12" t="s">
        <v>833</v>
      </c>
    </row>
    <row r="342" spans="1:7" ht="14.25" customHeight="1" x14ac:dyDescent="0.35">
      <c r="A342" s="12" t="s">
        <v>1228</v>
      </c>
      <c r="B342" s="12" t="s">
        <v>1229</v>
      </c>
      <c r="C342" s="12" t="s">
        <v>98</v>
      </c>
      <c r="D342" s="22">
        <v>94942.042730019501</v>
      </c>
      <c r="E342" s="22"/>
      <c r="F342" s="22"/>
      <c r="G342" s="12" t="s">
        <v>833</v>
      </c>
    </row>
    <row r="343" spans="1:7" ht="14.25" customHeight="1" x14ac:dyDescent="0.35">
      <c r="A343" s="12" t="s">
        <v>1230</v>
      </c>
      <c r="B343" s="12" t="s">
        <v>1231</v>
      </c>
      <c r="C343" s="12" t="s">
        <v>98</v>
      </c>
      <c r="D343" s="22">
        <v>4426.9741250137004</v>
      </c>
      <c r="E343" s="22"/>
      <c r="F343" s="22"/>
      <c r="G343" s="12" t="s">
        <v>833</v>
      </c>
    </row>
    <row r="344" spans="1:7" ht="14.25" customHeight="1" x14ac:dyDescent="0.35">
      <c r="A344" s="12" t="s">
        <v>1232</v>
      </c>
      <c r="B344" s="12" t="s">
        <v>1233</v>
      </c>
      <c r="C344" s="12" t="s">
        <v>98</v>
      </c>
      <c r="D344" s="22">
        <v>139939.36647156699</v>
      </c>
      <c r="E344" s="22"/>
      <c r="F344" s="22"/>
      <c r="G344" s="12" t="s">
        <v>833</v>
      </c>
    </row>
    <row r="345" spans="1:7" ht="14.25" customHeight="1" x14ac:dyDescent="0.35">
      <c r="A345" s="12" t="s">
        <v>1234</v>
      </c>
      <c r="B345" s="12" t="s">
        <v>1235</v>
      </c>
      <c r="C345" s="12" t="s">
        <v>1221</v>
      </c>
      <c r="D345" s="22">
        <v>23660.6495098327</v>
      </c>
      <c r="E345" s="22"/>
      <c r="F345" s="22"/>
      <c r="G345" s="12" t="s">
        <v>833</v>
      </c>
    </row>
    <row r="346" spans="1:7" ht="14.25" customHeight="1" x14ac:dyDescent="0.35">
      <c r="A346" s="12" t="s">
        <v>1236</v>
      </c>
      <c r="B346" s="12" t="s">
        <v>1237</v>
      </c>
      <c r="C346" s="12" t="s">
        <v>1221</v>
      </c>
      <c r="D346" s="22">
        <v>34177.774104295102</v>
      </c>
      <c r="E346" s="22"/>
      <c r="F346" s="22"/>
      <c r="G346" s="12" t="s">
        <v>833</v>
      </c>
    </row>
    <row r="347" spans="1:7" ht="14.25" customHeight="1" x14ac:dyDescent="0.35">
      <c r="A347" s="12" t="s">
        <v>1238</v>
      </c>
      <c r="B347" s="12" t="s">
        <v>1239</v>
      </c>
      <c r="C347" s="12" t="s">
        <v>98</v>
      </c>
      <c r="D347" s="22">
        <v>1372.2208155067001</v>
      </c>
      <c r="E347" s="22"/>
      <c r="F347" s="22"/>
      <c r="G347" s="12" t="s">
        <v>833</v>
      </c>
    </row>
    <row r="348" spans="1:7" ht="14.25" customHeight="1" x14ac:dyDescent="0.35">
      <c r="A348" s="12" t="s">
        <v>1240</v>
      </c>
      <c r="B348" s="12" t="s">
        <v>1241</v>
      </c>
      <c r="C348" s="12" t="s">
        <v>98</v>
      </c>
      <c r="D348" s="22">
        <v>6565.6080843936998</v>
      </c>
      <c r="E348" s="22"/>
      <c r="F348" s="22"/>
      <c r="G348" s="12" t="s">
        <v>833</v>
      </c>
    </row>
    <row r="349" spans="1:7" ht="14.25" customHeight="1" x14ac:dyDescent="0.35">
      <c r="A349" s="12" t="s">
        <v>1242</v>
      </c>
      <c r="B349" s="12" t="s">
        <v>1243</v>
      </c>
      <c r="C349" s="12" t="s">
        <v>98</v>
      </c>
      <c r="D349" s="22">
        <v>13292.8868210202</v>
      </c>
      <c r="E349" s="22"/>
      <c r="F349" s="22"/>
      <c r="G349" s="12" t="s">
        <v>833</v>
      </c>
    </row>
    <row r="350" spans="1:7" ht="14.25" customHeight="1" x14ac:dyDescent="0.35">
      <c r="A350" s="12" t="s">
        <v>1244</v>
      </c>
      <c r="B350" s="12" t="s">
        <v>1245</v>
      </c>
      <c r="C350" s="12" t="s">
        <v>98</v>
      </c>
      <c r="D350" s="22">
        <v>2394.2448794581001</v>
      </c>
      <c r="E350" s="22"/>
      <c r="F350" s="22"/>
      <c r="G350" s="12" t="s">
        <v>833</v>
      </c>
    </row>
    <row r="351" spans="1:7" ht="14.25" customHeight="1" x14ac:dyDescent="0.35">
      <c r="A351" s="12" t="s">
        <v>1246</v>
      </c>
      <c r="B351" s="12" t="s">
        <v>1247</v>
      </c>
      <c r="C351" s="12" t="s">
        <v>98</v>
      </c>
      <c r="D351" s="22">
        <v>9913.7915834182004</v>
      </c>
      <c r="E351" s="22"/>
      <c r="F351" s="22"/>
      <c r="G351" s="12" t="s">
        <v>833</v>
      </c>
    </row>
    <row r="352" spans="1:7" ht="14.25" customHeight="1" x14ac:dyDescent="0.35">
      <c r="A352" s="12" t="s">
        <v>1248</v>
      </c>
      <c r="B352" s="12" t="s">
        <v>1249</v>
      </c>
      <c r="C352" s="12" t="s">
        <v>98</v>
      </c>
      <c r="D352" s="22">
        <v>1022.6158306139999</v>
      </c>
      <c r="E352" s="22"/>
      <c r="F352" s="22"/>
      <c r="G352" s="12" t="s">
        <v>833</v>
      </c>
    </row>
    <row r="353" spans="1:7" ht="14.25" customHeight="1" x14ac:dyDescent="0.35">
      <c r="A353" s="12" t="s">
        <v>1250</v>
      </c>
      <c r="B353" s="12" t="s">
        <v>1251</v>
      </c>
      <c r="C353" s="12" t="s">
        <v>98</v>
      </c>
      <c r="D353" s="22">
        <v>1203.9331360463</v>
      </c>
      <c r="E353" s="22"/>
      <c r="F353" s="22"/>
      <c r="G353" s="12" t="s">
        <v>833</v>
      </c>
    </row>
    <row r="354" spans="1:7" ht="14.25" customHeight="1" x14ac:dyDescent="0.35">
      <c r="A354" s="12" t="s">
        <v>1252</v>
      </c>
      <c r="B354" s="12" t="s">
        <v>1253</v>
      </c>
      <c r="C354" s="12" t="s">
        <v>98</v>
      </c>
      <c r="D354" s="22">
        <v>6447.6098118637001</v>
      </c>
      <c r="E354" s="22"/>
      <c r="F354" s="22"/>
      <c r="G354" s="12" t="s">
        <v>833</v>
      </c>
    </row>
    <row r="355" spans="1:7" ht="14.25" customHeight="1" x14ac:dyDescent="0.35">
      <c r="A355" s="12" t="s">
        <v>1254</v>
      </c>
      <c r="B355" s="12" t="s">
        <v>1255</v>
      </c>
      <c r="C355" s="12" t="s">
        <v>98</v>
      </c>
      <c r="D355" s="22">
        <v>2873.9524549801999</v>
      </c>
      <c r="E355" s="22"/>
      <c r="F355" s="22"/>
      <c r="G355" s="12" t="s">
        <v>833</v>
      </c>
    </row>
    <row r="356" spans="1:7" ht="14.25" customHeight="1" x14ac:dyDescent="0.35">
      <c r="A356" s="12" t="s">
        <v>1256</v>
      </c>
      <c r="B356" s="12" t="s">
        <v>1257</v>
      </c>
      <c r="C356" s="12" t="s">
        <v>98</v>
      </c>
      <c r="D356" s="22">
        <v>36808.069325782599</v>
      </c>
      <c r="E356" s="22"/>
      <c r="F356" s="22"/>
      <c r="G356" s="12" t="s">
        <v>833</v>
      </c>
    </row>
    <row r="357" spans="1:7" ht="14.25" customHeight="1" x14ac:dyDescent="0.35">
      <c r="A357" s="12" t="s">
        <v>1258</v>
      </c>
      <c r="B357" s="12" t="s">
        <v>1259</v>
      </c>
      <c r="C357" s="12" t="s">
        <v>26</v>
      </c>
      <c r="D357" s="22">
        <v>70000</v>
      </c>
      <c r="E357" s="22"/>
      <c r="F357" s="22"/>
      <c r="G357" s="12" t="s">
        <v>833</v>
      </c>
    </row>
    <row r="358" spans="1:7" ht="14.25" customHeight="1" x14ac:dyDescent="0.35">
      <c r="A358" s="12" t="s">
        <v>1260</v>
      </c>
      <c r="B358" s="12" t="s">
        <v>1261</v>
      </c>
      <c r="C358" s="12" t="s">
        <v>965</v>
      </c>
      <c r="D358" s="22">
        <v>1772</v>
      </c>
      <c r="E358" s="22"/>
      <c r="F358" s="22"/>
      <c r="G358" s="12" t="s">
        <v>535</v>
      </c>
    </row>
    <row r="359" spans="1:7" ht="14.25" customHeight="1" x14ac:dyDescent="0.35">
      <c r="A359" s="12" t="s">
        <v>1262</v>
      </c>
      <c r="B359" s="12" t="s">
        <v>1263</v>
      </c>
      <c r="C359" s="12" t="s">
        <v>53</v>
      </c>
      <c r="D359" s="22">
        <v>159547</v>
      </c>
      <c r="E359" s="22"/>
      <c r="F359" s="22"/>
      <c r="G359" s="12" t="s">
        <v>676</v>
      </c>
    </row>
    <row r="360" spans="1:7" ht="14.25" customHeight="1" x14ac:dyDescent="0.35">
      <c r="A360" s="12" t="s">
        <v>1264</v>
      </c>
      <c r="B360" s="12" t="s">
        <v>1265</v>
      </c>
      <c r="C360" s="12" t="s">
        <v>53</v>
      </c>
      <c r="D360" s="22">
        <v>2679.1697027803998</v>
      </c>
      <c r="E360" s="22"/>
      <c r="F360" s="22"/>
      <c r="G360" s="12" t="s">
        <v>613</v>
      </c>
    </row>
    <row r="361" spans="1:7" ht="14.25" customHeight="1" x14ac:dyDescent="0.35">
      <c r="A361" s="12" t="s">
        <v>1266</v>
      </c>
      <c r="B361" s="12" t="s">
        <v>1267</v>
      </c>
      <c r="C361" s="12" t="s">
        <v>53</v>
      </c>
      <c r="D361" s="22">
        <v>59306.287864245402</v>
      </c>
      <c r="E361" s="22"/>
      <c r="F361" s="22"/>
      <c r="G361" s="12" t="s">
        <v>613</v>
      </c>
    </row>
    <row r="362" spans="1:7" ht="14.25" customHeight="1" x14ac:dyDescent="0.35">
      <c r="A362" s="12" t="s">
        <v>1268</v>
      </c>
      <c r="B362" s="12" t="s">
        <v>1269</v>
      </c>
      <c r="C362" s="12" t="s">
        <v>53</v>
      </c>
      <c r="D362" s="22">
        <v>63529.0508149569</v>
      </c>
      <c r="E362" s="22"/>
      <c r="F362" s="22"/>
      <c r="G362" s="12" t="s">
        <v>613</v>
      </c>
    </row>
    <row r="363" spans="1:7" ht="14.25" customHeight="1" x14ac:dyDescent="0.35">
      <c r="A363" s="12" t="s">
        <v>1270</v>
      </c>
      <c r="B363" s="12" t="s">
        <v>1271</v>
      </c>
      <c r="C363" s="12" t="s">
        <v>53</v>
      </c>
      <c r="D363" s="22">
        <v>75374.885714285701</v>
      </c>
      <c r="E363" s="22"/>
      <c r="F363" s="22"/>
      <c r="G363" s="12" t="s">
        <v>613</v>
      </c>
    </row>
    <row r="364" spans="1:7" ht="14.25" customHeight="1" x14ac:dyDescent="0.35">
      <c r="A364" s="12" t="s">
        <v>1272</v>
      </c>
      <c r="B364" s="12" t="s">
        <v>1273</v>
      </c>
      <c r="C364" s="12" t="s">
        <v>53</v>
      </c>
      <c r="D364" s="22">
        <v>94202.298519052696</v>
      </c>
      <c r="E364" s="22"/>
      <c r="F364" s="22"/>
      <c r="G364" s="12" t="s">
        <v>613</v>
      </c>
    </row>
    <row r="365" spans="1:7" ht="14.25" customHeight="1" x14ac:dyDescent="0.35">
      <c r="A365" s="12" t="s">
        <v>1274</v>
      </c>
      <c r="B365" s="12" t="s">
        <v>1275</v>
      </c>
      <c r="C365" s="12" t="s">
        <v>53</v>
      </c>
      <c r="D365" s="22">
        <v>99862.508788750405</v>
      </c>
      <c r="E365" s="22"/>
      <c r="F365" s="22"/>
      <c r="G365" s="12" t="s">
        <v>613</v>
      </c>
    </row>
    <row r="366" spans="1:7" ht="14.25" customHeight="1" x14ac:dyDescent="0.35">
      <c r="A366" s="12" t="s">
        <v>1276</v>
      </c>
      <c r="B366" s="12" t="s">
        <v>1277</v>
      </c>
      <c r="C366" s="12" t="s">
        <v>53</v>
      </c>
      <c r="D366" s="22">
        <v>33676.222435282798</v>
      </c>
      <c r="E366" s="22"/>
      <c r="F366" s="22"/>
      <c r="G366" s="12" t="s">
        <v>613</v>
      </c>
    </row>
    <row r="367" spans="1:7" ht="14.25" customHeight="1" x14ac:dyDescent="0.35">
      <c r="A367" s="12" t="s">
        <v>1278</v>
      </c>
      <c r="B367" s="12" t="s">
        <v>1279</v>
      </c>
      <c r="C367" s="12" t="s">
        <v>53</v>
      </c>
      <c r="D367" s="22">
        <v>40107.551722225297</v>
      </c>
      <c r="E367" s="22"/>
      <c r="F367" s="22"/>
      <c r="G367" s="12" t="s">
        <v>613</v>
      </c>
    </row>
    <row r="368" spans="1:7" ht="14.25" customHeight="1" x14ac:dyDescent="0.35">
      <c r="A368" s="12" t="s">
        <v>1280</v>
      </c>
      <c r="B368" s="12" t="s">
        <v>1281</v>
      </c>
      <c r="C368" s="12" t="s">
        <v>53</v>
      </c>
      <c r="D368" s="22">
        <v>59263.2332885906</v>
      </c>
      <c r="E368" s="22"/>
      <c r="F368" s="22"/>
      <c r="G368" s="12" t="s">
        <v>613</v>
      </c>
    </row>
    <row r="369" ht="14.25" customHeight="1" x14ac:dyDescent="0.35"/>
  </sheetData>
  <autoFilter ref="A1:D27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"/>
  <sheetViews>
    <sheetView zoomScaleNormal="100" workbookViewId="0">
      <selection activeCell="G1" sqref="G1"/>
    </sheetView>
  </sheetViews>
  <sheetFormatPr defaultColWidth="8.6328125" defaultRowHeight="14.5" x14ac:dyDescent="0.35"/>
  <cols>
    <col min="1" max="1" width="14" style="11" customWidth="1"/>
    <col min="2" max="2" width="50" style="11" customWidth="1"/>
    <col min="3" max="3" width="18" style="18" customWidth="1"/>
    <col min="4" max="4" width="10" style="19" customWidth="1"/>
    <col min="5" max="5" width="10" style="20" customWidth="1"/>
    <col min="6" max="6" width="14" style="21" customWidth="1"/>
    <col min="7" max="7" width="25.08984375" style="11" bestFit="1" customWidth="1"/>
    <col min="8" max="16384" width="8.6328125" style="11"/>
  </cols>
  <sheetData>
    <row r="1" spans="1:7" ht="14.25" customHeight="1" x14ac:dyDescent="0.35">
      <c r="A1" s="7" t="s">
        <v>529</v>
      </c>
      <c r="B1" s="7" t="s">
        <v>6</v>
      </c>
      <c r="C1" s="8" t="s">
        <v>1308</v>
      </c>
      <c r="D1" s="7" t="s">
        <v>1309</v>
      </c>
      <c r="E1" s="9" t="s">
        <v>1310</v>
      </c>
      <c r="F1" s="10" t="s">
        <v>518</v>
      </c>
      <c r="G1" s="6" t="s">
        <v>532</v>
      </c>
    </row>
    <row r="2" spans="1:7" ht="14.25" customHeight="1" x14ac:dyDescent="0.35">
      <c r="A2" s="12" t="s">
        <v>1311</v>
      </c>
      <c r="B2" s="12" t="s">
        <v>1312</v>
      </c>
      <c r="C2" s="13">
        <v>219427.59495418301</v>
      </c>
      <c r="D2" s="14">
        <v>4</v>
      </c>
      <c r="E2" s="15">
        <f t="shared" ref="E2:E11" si="0">D2*360</f>
        <v>1440</v>
      </c>
      <c r="F2" s="16">
        <f t="shared" ref="F2:F33" si="1">IF(E2=0,0,C2/E2)</f>
        <v>152.38027427373819</v>
      </c>
      <c r="G2" s="17" t="s">
        <v>1988</v>
      </c>
    </row>
    <row r="3" spans="1:7" ht="14.25" customHeight="1" x14ac:dyDescent="0.35">
      <c r="A3" s="12" t="s">
        <v>1313</v>
      </c>
      <c r="B3" s="12" t="s">
        <v>1314</v>
      </c>
      <c r="C3" s="13">
        <v>1117459.4075589301</v>
      </c>
      <c r="D3" s="14">
        <v>5</v>
      </c>
      <c r="E3" s="15">
        <f t="shared" si="0"/>
        <v>1800</v>
      </c>
      <c r="F3" s="16">
        <f t="shared" si="1"/>
        <v>620.81078197718341</v>
      </c>
      <c r="G3" s="17" t="s">
        <v>1988</v>
      </c>
    </row>
    <row r="4" spans="1:7" ht="14.25" customHeight="1" x14ac:dyDescent="0.35">
      <c r="A4" s="12" t="s">
        <v>1315</v>
      </c>
      <c r="B4" s="12" t="s">
        <v>1316</v>
      </c>
      <c r="C4" s="13">
        <v>12170160</v>
      </c>
      <c r="D4" s="14">
        <v>10</v>
      </c>
      <c r="E4" s="15">
        <f t="shared" si="0"/>
        <v>3600</v>
      </c>
      <c r="F4" s="16">
        <f t="shared" si="1"/>
        <v>3380.6</v>
      </c>
      <c r="G4" s="17" t="s">
        <v>1988</v>
      </c>
    </row>
    <row r="5" spans="1:7" ht="14.25" customHeight="1" x14ac:dyDescent="0.35">
      <c r="A5" s="12" t="s">
        <v>1317</v>
      </c>
      <c r="B5" s="12" t="s">
        <v>1318</v>
      </c>
      <c r="C5" s="13">
        <v>583838.41982261103</v>
      </c>
      <c r="D5" s="14">
        <v>5</v>
      </c>
      <c r="E5" s="15">
        <f t="shared" si="0"/>
        <v>1800</v>
      </c>
      <c r="F5" s="16">
        <f t="shared" si="1"/>
        <v>324.35467767922836</v>
      </c>
      <c r="G5" s="17" t="s">
        <v>1988</v>
      </c>
    </row>
    <row r="6" spans="1:7" ht="14.25" customHeight="1" x14ac:dyDescent="0.35">
      <c r="A6" s="12" t="s">
        <v>1319</v>
      </c>
      <c r="B6" s="12" t="s">
        <v>1320</v>
      </c>
      <c r="C6" s="13">
        <v>2684740.6761761499</v>
      </c>
      <c r="D6" s="14">
        <v>3</v>
      </c>
      <c r="E6" s="15">
        <f t="shared" si="0"/>
        <v>1080</v>
      </c>
      <c r="F6" s="16">
        <f t="shared" si="1"/>
        <v>2485.8709964593982</v>
      </c>
      <c r="G6" s="17" t="s">
        <v>1988</v>
      </c>
    </row>
    <row r="7" spans="1:7" ht="14.25" customHeight="1" x14ac:dyDescent="0.35">
      <c r="A7" s="12" t="s">
        <v>1321</v>
      </c>
      <c r="B7" s="12" t="s">
        <v>1322</v>
      </c>
      <c r="C7" s="13">
        <v>1547796.62596034</v>
      </c>
      <c r="D7" s="14">
        <v>1.5</v>
      </c>
      <c r="E7" s="15">
        <f t="shared" si="0"/>
        <v>540</v>
      </c>
      <c r="F7" s="16">
        <f t="shared" si="1"/>
        <v>2866.2900480747039</v>
      </c>
      <c r="G7" s="17" t="s">
        <v>1988</v>
      </c>
    </row>
    <row r="8" spans="1:7" ht="14.25" customHeight="1" x14ac:dyDescent="0.35">
      <c r="A8" s="12" t="s">
        <v>1323</v>
      </c>
      <c r="B8" s="12" t="s">
        <v>1324</v>
      </c>
      <c r="C8" s="13">
        <v>2237101.1042378899</v>
      </c>
      <c r="D8" s="14">
        <v>2</v>
      </c>
      <c r="E8" s="15">
        <f t="shared" si="0"/>
        <v>720</v>
      </c>
      <c r="F8" s="16">
        <f t="shared" si="1"/>
        <v>3107.0848669970692</v>
      </c>
      <c r="G8" s="17" t="s">
        <v>1988</v>
      </c>
    </row>
    <row r="9" spans="1:7" ht="14.25" customHeight="1" x14ac:dyDescent="0.35">
      <c r="A9" s="12" t="s">
        <v>1325</v>
      </c>
      <c r="B9" s="12" t="s">
        <v>1326</v>
      </c>
      <c r="C9" s="13">
        <v>2971641.83698866</v>
      </c>
      <c r="D9" s="14">
        <v>1.5</v>
      </c>
      <c r="E9" s="15">
        <f t="shared" si="0"/>
        <v>540</v>
      </c>
      <c r="F9" s="16">
        <f t="shared" si="1"/>
        <v>5503.040438867889</v>
      </c>
      <c r="G9" s="17" t="s">
        <v>1988</v>
      </c>
    </row>
    <row r="10" spans="1:7" ht="14.25" customHeight="1" x14ac:dyDescent="0.35">
      <c r="A10" s="12" t="s">
        <v>1327</v>
      </c>
      <c r="B10" s="12" t="s">
        <v>1328</v>
      </c>
      <c r="C10" s="13">
        <v>1348845.3798016901</v>
      </c>
      <c r="D10" s="14">
        <v>2</v>
      </c>
      <c r="E10" s="15">
        <f t="shared" si="0"/>
        <v>720</v>
      </c>
      <c r="F10" s="16">
        <f t="shared" si="1"/>
        <v>1873.3963608356808</v>
      </c>
      <c r="G10" s="17" t="s">
        <v>1988</v>
      </c>
    </row>
    <row r="11" spans="1:7" ht="14.25" customHeight="1" x14ac:dyDescent="0.35">
      <c r="A11" s="12" t="s">
        <v>1329</v>
      </c>
      <c r="B11" s="12" t="s">
        <v>1330</v>
      </c>
      <c r="C11" s="13">
        <v>4064822.6512932898</v>
      </c>
      <c r="D11" s="14">
        <v>1.5</v>
      </c>
      <c r="E11" s="15">
        <f t="shared" si="0"/>
        <v>540</v>
      </c>
      <c r="F11" s="16">
        <f t="shared" si="1"/>
        <v>7527.4493542468326</v>
      </c>
      <c r="G11" s="17" t="s">
        <v>1988</v>
      </c>
    </row>
    <row r="12" spans="1:7" ht="14.25" customHeight="1" x14ac:dyDescent="0.35">
      <c r="A12" s="12" t="s">
        <v>1331</v>
      </c>
      <c r="B12" s="12" t="s">
        <v>1332</v>
      </c>
      <c r="C12" s="13">
        <v>4599.51840951549</v>
      </c>
      <c r="D12" s="14">
        <v>1</v>
      </c>
      <c r="E12" s="15">
        <v>1</v>
      </c>
      <c r="F12" s="16">
        <f t="shared" si="1"/>
        <v>4599.51840951549</v>
      </c>
      <c r="G12" s="17" t="s">
        <v>1989</v>
      </c>
    </row>
    <row r="13" spans="1:7" ht="14.25" customHeight="1" x14ac:dyDescent="0.35">
      <c r="A13" s="12" t="s">
        <v>1333</v>
      </c>
      <c r="B13" s="12" t="s">
        <v>1334</v>
      </c>
      <c r="C13" s="13">
        <v>3162.1221469041102</v>
      </c>
      <c r="D13" s="14">
        <v>1</v>
      </c>
      <c r="E13" s="15">
        <v>1</v>
      </c>
      <c r="F13" s="16">
        <f t="shared" si="1"/>
        <v>3162.1221469041102</v>
      </c>
      <c r="G13" s="17" t="s">
        <v>1989</v>
      </c>
    </row>
    <row r="14" spans="1:7" ht="14.25" customHeight="1" x14ac:dyDescent="0.35">
      <c r="A14" s="12" t="s">
        <v>1335</v>
      </c>
      <c r="B14" s="12" t="s">
        <v>1336</v>
      </c>
      <c r="C14" s="13">
        <v>128918.42293534501</v>
      </c>
      <c r="D14" s="14">
        <v>1</v>
      </c>
      <c r="E14" s="15">
        <v>1</v>
      </c>
      <c r="F14" s="16">
        <f t="shared" si="1"/>
        <v>128918.42293534501</v>
      </c>
      <c r="G14" s="17" t="s">
        <v>1989</v>
      </c>
    </row>
    <row r="15" spans="1:7" ht="14.25" customHeight="1" x14ac:dyDescent="0.35">
      <c r="A15" s="12" t="s">
        <v>1337</v>
      </c>
      <c r="B15" s="12" t="s">
        <v>1338</v>
      </c>
      <c r="C15" s="13">
        <v>30769.279864888202</v>
      </c>
      <c r="D15" s="14">
        <v>1</v>
      </c>
      <c r="E15" s="15">
        <v>1</v>
      </c>
      <c r="F15" s="16">
        <f t="shared" si="1"/>
        <v>30769.279864888202</v>
      </c>
      <c r="G15" s="17" t="s">
        <v>1989</v>
      </c>
    </row>
    <row r="16" spans="1:7" ht="14.25" customHeight="1" x14ac:dyDescent="0.35">
      <c r="A16" s="12" t="s">
        <v>1339</v>
      </c>
      <c r="B16" s="12" t="s">
        <v>1340</v>
      </c>
      <c r="C16" s="13">
        <v>22085.534276689701</v>
      </c>
      <c r="D16" s="14">
        <v>1</v>
      </c>
      <c r="E16" s="15">
        <v>1</v>
      </c>
      <c r="F16" s="16">
        <f t="shared" si="1"/>
        <v>22085.534276689701</v>
      </c>
      <c r="G16" s="17" t="s">
        <v>1989</v>
      </c>
    </row>
    <row r="17" spans="1:7" ht="14.25" customHeight="1" x14ac:dyDescent="0.35">
      <c r="A17" s="12" t="s">
        <v>1341</v>
      </c>
      <c r="B17" s="12" t="s">
        <v>1342</v>
      </c>
      <c r="C17" s="13">
        <v>467.460748290401</v>
      </c>
      <c r="D17" s="14">
        <v>1</v>
      </c>
      <c r="E17" s="15">
        <v>1</v>
      </c>
      <c r="F17" s="16">
        <f t="shared" si="1"/>
        <v>467.460748290401</v>
      </c>
      <c r="G17" s="17" t="s">
        <v>1989</v>
      </c>
    </row>
    <row r="18" spans="1:7" ht="14.25" customHeight="1" x14ac:dyDescent="0.35">
      <c r="A18" s="12" t="s">
        <v>1343</v>
      </c>
      <c r="B18" s="12" t="s">
        <v>1344</v>
      </c>
      <c r="C18" s="13">
        <v>4132.0682994173703</v>
      </c>
      <c r="D18" s="14">
        <v>1</v>
      </c>
      <c r="E18" s="15">
        <v>1</v>
      </c>
      <c r="F18" s="16">
        <f t="shared" si="1"/>
        <v>4132.0682994173703</v>
      </c>
      <c r="G18" s="17" t="s">
        <v>1990</v>
      </c>
    </row>
    <row r="19" spans="1:7" ht="14.25" customHeight="1" x14ac:dyDescent="0.35">
      <c r="A19" s="12" t="s">
        <v>1345</v>
      </c>
      <c r="B19" s="12" t="s">
        <v>1346</v>
      </c>
      <c r="C19" s="13">
        <v>718505.14041800599</v>
      </c>
      <c r="D19" s="14">
        <v>1</v>
      </c>
      <c r="E19" s="15">
        <v>1</v>
      </c>
      <c r="F19" s="16">
        <f t="shared" si="1"/>
        <v>718505.14041800599</v>
      </c>
      <c r="G19" s="17" t="s">
        <v>1990</v>
      </c>
    </row>
    <row r="20" spans="1:7" ht="14.25" customHeight="1" x14ac:dyDescent="0.35">
      <c r="A20" s="12" t="s">
        <v>1347</v>
      </c>
      <c r="B20" s="12" t="s">
        <v>1348</v>
      </c>
      <c r="C20" s="13">
        <v>8701.11194359402</v>
      </c>
      <c r="D20" s="14">
        <v>1</v>
      </c>
      <c r="E20" s="15">
        <v>1</v>
      </c>
      <c r="F20" s="16">
        <f t="shared" si="1"/>
        <v>8701.11194359402</v>
      </c>
      <c r="G20" s="17" t="s">
        <v>1990</v>
      </c>
    </row>
    <row r="21" spans="1:7" ht="14.25" customHeight="1" x14ac:dyDescent="0.35">
      <c r="A21" s="12" t="s">
        <v>1349</v>
      </c>
      <c r="B21" s="12" t="s">
        <v>1350</v>
      </c>
      <c r="C21" s="13">
        <v>12913.459315141001</v>
      </c>
      <c r="D21" s="14">
        <v>1</v>
      </c>
      <c r="E21" s="15">
        <v>1</v>
      </c>
      <c r="F21" s="16">
        <f t="shared" si="1"/>
        <v>12913.459315141001</v>
      </c>
      <c r="G21" s="17" t="s">
        <v>1990</v>
      </c>
    </row>
    <row r="22" spans="1:7" ht="14.25" customHeight="1" x14ac:dyDescent="0.35">
      <c r="A22" s="12" t="s">
        <v>1351</v>
      </c>
      <c r="B22" s="12" t="s">
        <v>1352</v>
      </c>
      <c r="C22" s="13">
        <v>8701.11194359402</v>
      </c>
      <c r="D22" s="14">
        <v>1</v>
      </c>
      <c r="E22" s="15">
        <v>1</v>
      </c>
      <c r="F22" s="16">
        <f t="shared" si="1"/>
        <v>8701.11194359402</v>
      </c>
      <c r="G22" s="17" t="s">
        <v>1990</v>
      </c>
    </row>
    <row r="23" spans="1:7" ht="14.25" customHeight="1" x14ac:dyDescent="0.35">
      <c r="A23" s="12" t="s">
        <v>1353</v>
      </c>
      <c r="B23" s="12" t="s">
        <v>1354</v>
      </c>
      <c r="C23" s="13">
        <v>9232.7119435940203</v>
      </c>
      <c r="D23" s="14">
        <v>1</v>
      </c>
      <c r="E23" s="15">
        <v>1</v>
      </c>
      <c r="F23" s="16">
        <f t="shared" si="1"/>
        <v>9232.7119435940203</v>
      </c>
      <c r="G23" s="17" t="s">
        <v>1990</v>
      </c>
    </row>
    <row r="24" spans="1:7" ht="14.25" customHeight="1" x14ac:dyDescent="0.35">
      <c r="A24" s="12" t="s">
        <v>1355</v>
      </c>
      <c r="B24" s="12" t="s">
        <v>1356</v>
      </c>
      <c r="C24" s="13">
        <v>12913.459315141001</v>
      </c>
      <c r="D24" s="14">
        <v>1</v>
      </c>
      <c r="E24" s="15">
        <v>1</v>
      </c>
      <c r="F24" s="16">
        <f t="shared" si="1"/>
        <v>12913.459315141001</v>
      </c>
      <c r="G24" s="17" t="s">
        <v>1990</v>
      </c>
    </row>
    <row r="25" spans="1:7" ht="14.25" customHeight="1" x14ac:dyDescent="0.35">
      <c r="A25" s="12" t="s">
        <v>1357</v>
      </c>
      <c r="B25" s="12" t="s">
        <v>1358</v>
      </c>
      <c r="C25" s="13">
        <v>11806.2092972475</v>
      </c>
      <c r="D25" s="14">
        <v>1</v>
      </c>
      <c r="E25" s="15">
        <v>1</v>
      </c>
      <c r="F25" s="16">
        <f t="shared" si="1"/>
        <v>11806.2092972475</v>
      </c>
      <c r="G25" s="17" t="s">
        <v>1990</v>
      </c>
    </row>
    <row r="26" spans="1:7" ht="14.25" customHeight="1" x14ac:dyDescent="0.35">
      <c r="A26" s="12" t="s">
        <v>1359</v>
      </c>
      <c r="B26" s="12" t="s">
        <v>1360</v>
      </c>
      <c r="C26" s="13">
        <v>13563.684874668799</v>
      </c>
      <c r="D26" s="14">
        <v>1</v>
      </c>
      <c r="E26" s="15">
        <v>1</v>
      </c>
      <c r="F26" s="16">
        <f t="shared" si="1"/>
        <v>13563.684874668799</v>
      </c>
      <c r="G26" s="17" t="s">
        <v>1990</v>
      </c>
    </row>
    <row r="27" spans="1:7" ht="14.25" customHeight="1" x14ac:dyDescent="0.35">
      <c r="A27" s="12" t="s">
        <v>1361</v>
      </c>
      <c r="B27" s="12" t="s">
        <v>1362</v>
      </c>
      <c r="C27" s="13">
        <v>15158.4848746688</v>
      </c>
      <c r="D27" s="14">
        <v>1</v>
      </c>
      <c r="E27" s="15">
        <v>1</v>
      </c>
      <c r="F27" s="16">
        <f t="shared" si="1"/>
        <v>15158.4848746688</v>
      </c>
      <c r="G27" s="17" t="s">
        <v>1990</v>
      </c>
    </row>
    <row r="28" spans="1:7" ht="14.25" customHeight="1" x14ac:dyDescent="0.35">
      <c r="A28" s="12" t="s">
        <v>1363</v>
      </c>
      <c r="B28" s="12" t="s">
        <v>1364</v>
      </c>
      <c r="C28" s="13">
        <v>12603.6092972475</v>
      </c>
      <c r="D28" s="14">
        <v>1</v>
      </c>
      <c r="E28" s="15">
        <v>1</v>
      </c>
      <c r="F28" s="16">
        <f t="shared" si="1"/>
        <v>12603.6092972475</v>
      </c>
      <c r="G28" s="17" t="s">
        <v>1990</v>
      </c>
    </row>
    <row r="29" spans="1:7" ht="14.25" customHeight="1" x14ac:dyDescent="0.35">
      <c r="A29" s="12" t="s">
        <v>1365</v>
      </c>
      <c r="B29" s="12" t="s">
        <v>1366</v>
      </c>
      <c r="C29" s="13">
        <v>18800.546137111702</v>
      </c>
      <c r="D29" s="14">
        <v>1</v>
      </c>
      <c r="E29" s="15">
        <v>1</v>
      </c>
      <c r="F29" s="16">
        <f t="shared" si="1"/>
        <v>18800.546137111702</v>
      </c>
      <c r="G29" s="17" t="s">
        <v>1990</v>
      </c>
    </row>
    <row r="30" spans="1:7" ht="14.25" customHeight="1" x14ac:dyDescent="0.35">
      <c r="A30" s="12" t="s">
        <v>1367</v>
      </c>
      <c r="B30" s="12" t="s">
        <v>1368</v>
      </c>
      <c r="C30" s="13">
        <v>20480.249291157201</v>
      </c>
      <c r="D30" s="14">
        <v>1</v>
      </c>
      <c r="E30" s="15">
        <v>1</v>
      </c>
      <c r="F30" s="16">
        <f t="shared" si="1"/>
        <v>20480.249291157201</v>
      </c>
      <c r="G30" s="17" t="s">
        <v>1990</v>
      </c>
    </row>
    <row r="31" spans="1:7" ht="14.25" customHeight="1" x14ac:dyDescent="0.35">
      <c r="A31" s="12" t="s">
        <v>1369</v>
      </c>
      <c r="B31" s="12" t="s">
        <v>1370</v>
      </c>
      <c r="C31" s="13">
        <v>16524.507959292001</v>
      </c>
      <c r="D31" s="14">
        <v>1</v>
      </c>
      <c r="E31" s="15">
        <v>1</v>
      </c>
      <c r="F31" s="16">
        <f t="shared" si="1"/>
        <v>16524.507959292001</v>
      </c>
      <c r="G31" s="17" t="s">
        <v>1990</v>
      </c>
    </row>
    <row r="32" spans="1:7" ht="14.25" customHeight="1" x14ac:dyDescent="0.35">
      <c r="A32" s="12" t="s">
        <v>1371</v>
      </c>
      <c r="B32" s="12" t="s">
        <v>1372</v>
      </c>
      <c r="C32" s="13">
        <v>9227.9350954860201</v>
      </c>
      <c r="D32" s="14">
        <v>1</v>
      </c>
      <c r="E32" s="15">
        <v>1</v>
      </c>
      <c r="F32" s="16">
        <f t="shared" si="1"/>
        <v>9227.9350954860201</v>
      </c>
      <c r="G32" s="17" t="s">
        <v>1990</v>
      </c>
    </row>
    <row r="33" spans="1:7" ht="14.25" customHeight="1" x14ac:dyDescent="0.35">
      <c r="A33" s="12" t="s">
        <v>1373</v>
      </c>
      <c r="B33" s="12" t="s">
        <v>1374</v>
      </c>
      <c r="C33" s="13">
        <v>10275.5267245294</v>
      </c>
      <c r="D33" s="14">
        <v>1</v>
      </c>
      <c r="E33" s="15">
        <v>1</v>
      </c>
      <c r="F33" s="16">
        <f t="shared" si="1"/>
        <v>10275.5267245294</v>
      </c>
      <c r="G33" s="17" t="s">
        <v>1990</v>
      </c>
    </row>
    <row r="34" spans="1:7" ht="14.25" customHeight="1" x14ac:dyDescent="0.35">
      <c r="A34" s="12" t="s">
        <v>1375</v>
      </c>
      <c r="B34" s="12" t="s">
        <v>1376</v>
      </c>
      <c r="C34" s="13">
        <v>11629.8657612729</v>
      </c>
      <c r="D34" s="14">
        <v>1</v>
      </c>
      <c r="E34" s="15">
        <v>1</v>
      </c>
      <c r="F34" s="16">
        <f t="shared" ref="F34:F65" si="2">IF(E34=0,0,C34/E34)</f>
        <v>11629.8657612729</v>
      </c>
      <c r="G34" s="17" t="s">
        <v>1990</v>
      </c>
    </row>
    <row r="35" spans="1:7" ht="14.25" customHeight="1" x14ac:dyDescent="0.35">
      <c r="A35" s="12" t="s">
        <v>1377</v>
      </c>
      <c r="B35" s="12" t="s">
        <v>1378</v>
      </c>
      <c r="C35" s="13">
        <v>18800.546137111702</v>
      </c>
      <c r="D35" s="14">
        <v>1</v>
      </c>
      <c r="E35" s="15">
        <v>1</v>
      </c>
      <c r="F35" s="16">
        <f t="shared" si="2"/>
        <v>18800.546137111702</v>
      </c>
      <c r="G35" s="17" t="s">
        <v>1990</v>
      </c>
    </row>
    <row r="36" spans="1:7" ht="14.25" customHeight="1" x14ac:dyDescent="0.35">
      <c r="A36" s="12" t="s">
        <v>1379</v>
      </c>
      <c r="B36" s="12" t="s">
        <v>1380</v>
      </c>
      <c r="C36" s="13">
        <v>10584987.9932345</v>
      </c>
      <c r="D36" s="14">
        <v>1</v>
      </c>
      <c r="E36" s="15">
        <v>1</v>
      </c>
      <c r="F36" s="16">
        <f t="shared" si="2"/>
        <v>10584987.9932345</v>
      </c>
      <c r="G36" s="17" t="s">
        <v>1990</v>
      </c>
    </row>
    <row r="37" spans="1:7" ht="14.25" customHeight="1" x14ac:dyDescent="0.35">
      <c r="A37" s="12" t="s">
        <v>1381</v>
      </c>
      <c r="B37" s="12" t="s">
        <v>1382</v>
      </c>
      <c r="C37" s="13">
        <v>441.82178367244802</v>
      </c>
      <c r="D37" s="14">
        <v>1</v>
      </c>
      <c r="E37" s="15">
        <v>1</v>
      </c>
      <c r="F37" s="16">
        <f t="shared" si="2"/>
        <v>441.82178367244802</v>
      </c>
      <c r="G37" s="17" t="s">
        <v>1990</v>
      </c>
    </row>
    <row r="38" spans="1:7" ht="14.25" customHeight="1" x14ac:dyDescent="0.35">
      <c r="A38" s="12" t="s">
        <v>1383</v>
      </c>
      <c r="B38" s="12" t="s">
        <v>1384</v>
      </c>
      <c r="C38" s="13">
        <v>896.43232880040898</v>
      </c>
      <c r="D38" s="14">
        <v>1</v>
      </c>
      <c r="E38" s="15">
        <v>1</v>
      </c>
      <c r="F38" s="16">
        <f t="shared" si="2"/>
        <v>896.43232880040898</v>
      </c>
      <c r="G38" s="17" t="s">
        <v>1990</v>
      </c>
    </row>
    <row r="39" spans="1:7" ht="14.25" customHeight="1" x14ac:dyDescent="0.35">
      <c r="A39" s="12" t="s">
        <v>1385</v>
      </c>
      <c r="B39" s="12" t="s">
        <v>1386</v>
      </c>
      <c r="C39" s="13">
        <v>366.32699978455503</v>
      </c>
      <c r="D39" s="14">
        <v>1</v>
      </c>
      <c r="E39" s="15">
        <v>1</v>
      </c>
      <c r="F39" s="16">
        <f t="shared" si="2"/>
        <v>366.32699978455503</v>
      </c>
      <c r="G39" s="17" t="s">
        <v>1991</v>
      </c>
    </row>
    <row r="40" spans="1:7" ht="14.25" customHeight="1" x14ac:dyDescent="0.35">
      <c r="A40" s="12" t="s">
        <v>1387</v>
      </c>
      <c r="B40" s="12" t="s">
        <v>1388</v>
      </c>
      <c r="C40" s="13">
        <v>270.50123209204202</v>
      </c>
      <c r="D40" s="14">
        <v>1</v>
      </c>
      <c r="E40" s="15">
        <v>1</v>
      </c>
      <c r="F40" s="16">
        <f t="shared" si="2"/>
        <v>270.50123209204202</v>
      </c>
      <c r="G40" s="17" t="s">
        <v>1991</v>
      </c>
    </row>
    <row r="41" spans="1:7" ht="14.25" customHeight="1" x14ac:dyDescent="0.35">
      <c r="A41" s="12" t="s">
        <v>1389</v>
      </c>
      <c r="B41" s="12" t="s">
        <v>1390</v>
      </c>
      <c r="C41" s="13">
        <v>197.16873965596</v>
      </c>
      <c r="D41" s="14">
        <v>1</v>
      </c>
      <c r="E41" s="15">
        <v>1</v>
      </c>
      <c r="F41" s="16">
        <f t="shared" si="2"/>
        <v>197.16873965596</v>
      </c>
      <c r="G41" s="17" t="s">
        <v>1991</v>
      </c>
    </row>
    <row r="42" spans="1:7" ht="14.25" customHeight="1" x14ac:dyDescent="0.35">
      <c r="A42" s="12" t="s">
        <v>1391</v>
      </c>
      <c r="B42" s="12" t="s">
        <v>1392</v>
      </c>
      <c r="C42" s="13">
        <v>233.63866551807499</v>
      </c>
      <c r="D42" s="14">
        <v>1</v>
      </c>
      <c r="E42" s="15">
        <v>1</v>
      </c>
      <c r="F42" s="16">
        <f t="shared" si="2"/>
        <v>233.63866551807499</v>
      </c>
      <c r="G42" s="17" t="s">
        <v>1991</v>
      </c>
    </row>
    <row r="43" spans="1:7" ht="14.25" customHeight="1" x14ac:dyDescent="0.35">
      <c r="A43" s="12" t="s">
        <v>1393</v>
      </c>
      <c r="B43" s="12" t="s">
        <v>1394</v>
      </c>
      <c r="C43" s="13">
        <v>595.85224768735895</v>
      </c>
      <c r="D43" s="14">
        <v>1</v>
      </c>
      <c r="E43" s="15">
        <v>1</v>
      </c>
      <c r="F43" s="16">
        <f t="shared" si="2"/>
        <v>595.85224768735895</v>
      </c>
      <c r="G43" s="17" t="s">
        <v>1991</v>
      </c>
    </row>
    <row r="44" spans="1:7" ht="14.25" customHeight="1" x14ac:dyDescent="0.35">
      <c r="A44" s="12" t="s">
        <v>1395</v>
      </c>
      <c r="B44" s="12" t="s">
        <v>1396</v>
      </c>
      <c r="C44" s="13">
        <v>5957.8657009641702</v>
      </c>
      <c r="D44" s="14">
        <v>1</v>
      </c>
      <c r="E44" s="15">
        <v>1</v>
      </c>
      <c r="F44" s="16">
        <f t="shared" si="2"/>
        <v>5957.8657009641702</v>
      </c>
      <c r="G44" s="17" t="s">
        <v>1991</v>
      </c>
    </row>
    <row r="45" spans="1:7" ht="14.25" customHeight="1" x14ac:dyDescent="0.35">
      <c r="A45" s="12" t="s">
        <v>1397</v>
      </c>
      <c r="B45" s="12" t="s">
        <v>1398</v>
      </c>
      <c r="C45" s="13">
        <v>37083.9965979279</v>
      </c>
      <c r="D45" s="14">
        <v>1</v>
      </c>
      <c r="E45" s="15">
        <v>1</v>
      </c>
      <c r="F45" s="16">
        <f t="shared" si="2"/>
        <v>37083.9965979279</v>
      </c>
      <c r="G45" s="17" t="s">
        <v>1991</v>
      </c>
    </row>
    <row r="46" spans="1:7" ht="14.25" customHeight="1" x14ac:dyDescent="0.35">
      <c r="A46" s="12" t="s">
        <v>1399</v>
      </c>
      <c r="B46" s="12" t="s">
        <v>1400</v>
      </c>
      <c r="C46" s="13">
        <v>33595.484552590999</v>
      </c>
      <c r="D46" s="14">
        <v>1</v>
      </c>
      <c r="E46" s="15">
        <v>1</v>
      </c>
      <c r="F46" s="16">
        <f t="shared" si="2"/>
        <v>33595.484552590999</v>
      </c>
      <c r="G46" s="17" t="s">
        <v>1991</v>
      </c>
    </row>
    <row r="47" spans="1:7" ht="14.25" customHeight="1" x14ac:dyDescent="0.35">
      <c r="A47" s="12" t="s">
        <v>1401</v>
      </c>
      <c r="B47" s="12" t="s">
        <v>1402</v>
      </c>
      <c r="C47" s="13">
        <v>28696.391437369301</v>
      </c>
      <c r="D47" s="14">
        <v>1</v>
      </c>
      <c r="E47" s="15">
        <v>1</v>
      </c>
      <c r="F47" s="16">
        <f t="shared" si="2"/>
        <v>28696.391437369301</v>
      </c>
      <c r="G47" s="17" t="s">
        <v>1991</v>
      </c>
    </row>
    <row r="48" spans="1:7" ht="14.25" customHeight="1" x14ac:dyDescent="0.35">
      <c r="A48" s="12" t="s">
        <v>1403</v>
      </c>
      <c r="B48" s="12" t="s">
        <v>1404</v>
      </c>
      <c r="C48" s="13">
        <v>28696.391437369301</v>
      </c>
      <c r="D48" s="14">
        <v>1</v>
      </c>
      <c r="E48" s="15">
        <v>1</v>
      </c>
      <c r="F48" s="16">
        <f t="shared" si="2"/>
        <v>28696.391437369301</v>
      </c>
      <c r="G48" s="17" t="s">
        <v>1991</v>
      </c>
    </row>
    <row r="49" spans="1:7" ht="14.25" customHeight="1" x14ac:dyDescent="0.35">
      <c r="A49" s="12" t="s">
        <v>1405</v>
      </c>
      <c r="B49" s="12" t="s">
        <v>1406</v>
      </c>
      <c r="C49" s="13">
        <v>1902.09229701142</v>
      </c>
      <c r="D49" s="14">
        <v>1</v>
      </c>
      <c r="E49" s="15">
        <v>1</v>
      </c>
      <c r="F49" s="16">
        <f t="shared" si="2"/>
        <v>1902.09229701142</v>
      </c>
      <c r="G49" s="17" t="s">
        <v>1991</v>
      </c>
    </row>
    <row r="50" spans="1:7" ht="14.25" customHeight="1" x14ac:dyDescent="0.35">
      <c r="A50" s="12" t="s">
        <v>1407</v>
      </c>
      <c r="B50" s="12" t="s">
        <v>1408</v>
      </c>
      <c r="C50" s="13">
        <v>142.08512790120599</v>
      </c>
      <c r="D50" s="14">
        <v>1</v>
      </c>
      <c r="E50" s="15">
        <v>1</v>
      </c>
      <c r="F50" s="16">
        <f t="shared" si="2"/>
        <v>142.08512790120599</v>
      </c>
      <c r="G50" s="17" t="s">
        <v>1991</v>
      </c>
    </row>
    <row r="51" spans="1:7" ht="14.25" customHeight="1" x14ac:dyDescent="0.35">
      <c r="A51" s="12" t="s">
        <v>1409</v>
      </c>
      <c r="B51" s="12" t="s">
        <v>1410</v>
      </c>
      <c r="C51" s="13">
        <v>281.51932381538398</v>
      </c>
      <c r="D51" s="14">
        <v>1</v>
      </c>
      <c r="E51" s="15">
        <v>1</v>
      </c>
      <c r="F51" s="16">
        <f t="shared" si="2"/>
        <v>281.51932381538398</v>
      </c>
      <c r="G51" s="17" t="s">
        <v>1991</v>
      </c>
    </row>
    <row r="52" spans="1:7" ht="14.25" customHeight="1" x14ac:dyDescent="0.35">
      <c r="A52" s="12" t="s">
        <v>1411</v>
      </c>
      <c r="B52" s="12" t="s">
        <v>1412</v>
      </c>
      <c r="C52" s="13">
        <v>197.16873965596</v>
      </c>
      <c r="D52" s="14">
        <v>1</v>
      </c>
      <c r="E52" s="15">
        <v>1</v>
      </c>
      <c r="F52" s="16">
        <f t="shared" si="2"/>
        <v>197.16873965596</v>
      </c>
      <c r="G52" s="17" t="s">
        <v>1991</v>
      </c>
    </row>
    <row r="53" spans="1:7" ht="14.25" customHeight="1" x14ac:dyDescent="0.35">
      <c r="A53" s="12" t="s">
        <v>1413</v>
      </c>
      <c r="B53" s="12" t="s">
        <v>1414</v>
      </c>
      <c r="C53" s="13">
        <v>85.709852733975595</v>
      </c>
      <c r="D53" s="14">
        <v>1</v>
      </c>
      <c r="E53" s="15">
        <v>1</v>
      </c>
      <c r="F53" s="16">
        <f t="shared" si="2"/>
        <v>85.709852733975595</v>
      </c>
      <c r="G53" s="17" t="s">
        <v>1991</v>
      </c>
    </row>
    <row r="54" spans="1:7" ht="14.25" customHeight="1" x14ac:dyDescent="0.35">
      <c r="A54" s="12" t="s">
        <v>1415</v>
      </c>
      <c r="B54" s="12" t="s">
        <v>1416</v>
      </c>
      <c r="C54" s="13">
        <v>314.77474760202398</v>
      </c>
      <c r="D54" s="14">
        <v>1</v>
      </c>
      <c r="E54" s="15">
        <v>1</v>
      </c>
      <c r="F54" s="16">
        <f t="shared" si="2"/>
        <v>314.77474760202398</v>
      </c>
      <c r="G54" s="17" t="s">
        <v>1992</v>
      </c>
    </row>
    <row r="55" spans="1:7" ht="14.25" customHeight="1" x14ac:dyDescent="0.35">
      <c r="A55" s="12" t="s">
        <v>1417</v>
      </c>
      <c r="B55" s="12" t="s">
        <v>1418</v>
      </c>
      <c r="C55" s="13">
        <v>191.13501684180801</v>
      </c>
      <c r="D55" s="14">
        <v>1</v>
      </c>
      <c r="E55" s="15">
        <v>1</v>
      </c>
      <c r="F55" s="16">
        <f t="shared" si="2"/>
        <v>191.13501684180801</v>
      </c>
      <c r="G55" s="17" t="s">
        <v>1992</v>
      </c>
    </row>
    <row r="56" spans="1:7" ht="14.25" customHeight="1" x14ac:dyDescent="0.35">
      <c r="A56" s="12" t="s">
        <v>1419</v>
      </c>
      <c r="B56" s="12" t="s">
        <v>1420</v>
      </c>
      <c r="C56" s="13">
        <v>1604.9614296013699</v>
      </c>
      <c r="D56" s="14">
        <v>1</v>
      </c>
      <c r="E56" s="15">
        <v>1</v>
      </c>
      <c r="F56" s="16">
        <f t="shared" si="2"/>
        <v>1604.9614296013699</v>
      </c>
      <c r="G56" s="17" t="s">
        <v>1992</v>
      </c>
    </row>
    <row r="57" spans="1:7" ht="14.25" customHeight="1" x14ac:dyDescent="0.35">
      <c r="A57" s="12" t="s">
        <v>1421</v>
      </c>
      <c r="B57" s="12" t="s">
        <v>1422</v>
      </c>
      <c r="C57" s="13">
        <v>104413.959483149</v>
      </c>
      <c r="D57" s="14">
        <v>1</v>
      </c>
      <c r="E57" s="15">
        <v>1</v>
      </c>
      <c r="F57" s="16">
        <f t="shared" si="2"/>
        <v>104413.959483149</v>
      </c>
      <c r="G57" s="17" t="s">
        <v>1992</v>
      </c>
    </row>
    <row r="58" spans="1:7" ht="14.25" customHeight="1" x14ac:dyDescent="0.35">
      <c r="A58" s="12" t="s">
        <v>1423</v>
      </c>
      <c r="B58" s="12" t="s">
        <v>1424</v>
      </c>
      <c r="C58" s="13">
        <v>440.78780564124003</v>
      </c>
      <c r="D58" s="14">
        <v>1</v>
      </c>
      <c r="E58" s="15">
        <v>1</v>
      </c>
      <c r="F58" s="16">
        <f t="shared" si="2"/>
        <v>440.78780564124003</v>
      </c>
      <c r="G58" s="17" t="s">
        <v>1992</v>
      </c>
    </row>
    <row r="59" spans="1:7" ht="14.25" customHeight="1" x14ac:dyDescent="0.35">
      <c r="A59" s="12" t="s">
        <v>1425</v>
      </c>
      <c r="B59" s="12" t="s">
        <v>1426</v>
      </c>
      <c r="C59" s="13">
        <v>27650.867628874701</v>
      </c>
      <c r="D59" s="14">
        <v>1</v>
      </c>
      <c r="E59" s="15">
        <v>1</v>
      </c>
      <c r="F59" s="16">
        <f t="shared" si="2"/>
        <v>27650.867628874701</v>
      </c>
      <c r="G59" s="17" t="s">
        <v>1993</v>
      </c>
    </row>
    <row r="60" spans="1:7" ht="14.25" customHeight="1" x14ac:dyDescent="0.35">
      <c r="A60" s="12" t="s">
        <v>1427</v>
      </c>
      <c r="B60" s="12" t="s">
        <v>1428</v>
      </c>
      <c r="C60" s="13">
        <v>13500.7040955099</v>
      </c>
      <c r="D60" s="14">
        <v>1</v>
      </c>
      <c r="E60" s="15">
        <v>1</v>
      </c>
      <c r="F60" s="16">
        <f t="shared" si="2"/>
        <v>13500.7040955099</v>
      </c>
      <c r="G60" s="17" t="s">
        <v>1993</v>
      </c>
    </row>
    <row r="61" spans="1:7" ht="14.25" customHeight="1" x14ac:dyDescent="0.35">
      <c r="A61" s="12" t="s">
        <v>1429</v>
      </c>
      <c r="B61" s="12" t="s">
        <v>1430</v>
      </c>
      <c r="C61" s="13">
        <v>8705.7989624149104</v>
      </c>
      <c r="D61" s="14">
        <v>1</v>
      </c>
      <c r="E61" s="15">
        <v>1</v>
      </c>
      <c r="F61" s="16">
        <f t="shared" si="2"/>
        <v>8705.7989624149104</v>
      </c>
      <c r="G61" s="17" t="s">
        <v>1993</v>
      </c>
    </row>
    <row r="62" spans="1:7" ht="14.25" customHeight="1" x14ac:dyDescent="0.35">
      <c r="A62" s="12" t="s">
        <v>1431</v>
      </c>
      <c r="B62" s="12" t="s">
        <v>1432</v>
      </c>
      <c r="C62" s="13">
        <v>11886.9640402859</v>
      </c>
      <c r="D62" s="14">
        <v>1</v>
      </c>
      <c r="E62" s="15">
        <v>1</v>
      </c>
      <c r="F62" s="16">
        <f t="shared" si="2"/>
        <v>11886.9640402859</v>
      </c>
      <c r="G62" s="17" t="s">
        <v>1993</v>
      </c>
    </row>
    <row r="63" spans="1:7" ht="14.25" customHeight="1" x14ac:dyDescent="0.35">
      <c r="A63" s="12" t="s">
        <v>1433</v>
      </c>
      <c r="B63" s="12" t="s">
        <v>1434</v>
      </c>
      <c r="C63" s="13">
        <v>6390.5096158082797</v>
      </c>
      <c r="D63" s="14">
        <v>1</v>
      </c>
      <c r="E63" s="15">
        <v>1</v>
      </c>
      <c r="F63" s="16">
        <f t="shared" si="2"/>
        <v>6390.5096158082797</v>
      </c>
      <c r="G63" s="17" t="s">
        <v>1993</v>
      </c>
    </row>
    <row r="64" spans="1:7" ht="14.25" customHeight="1" x14ac:dyDescent="0.35">
      <c r="A64" s="12" t="s">
        <v>1435</v>
      </c>
      <c r="B64" s="12" t="s">
        <v>1436</v>
      </c>
      <c r="C64" s="13">
        <v>7507.2881701155102</v>
      </c>
      <c r="D64" s="14">
        <v>1</v>
      </c>
      <c r="E64" s="15">
        <v>1</v>
      </c>
      <c r="F64" s="16">
        <f t="shared" si="2"/>
        <v>7507.2881701155102</v>
      </c>
      <c r="G64" s="17" t="s">
        <v>1993</v>
      </c>
    </row>
    <row r="65" spans="1:7" ht="14.25" customHeight="1" x14ac:dyDescent="0.35">
      <c r="A65" s="12" t="s">
        <v>1437</v>
      </c>
      <c r="B65" s="12" t="s">
        <v>1438</v>
      </c>
      <c r="C65" s="13">
        <v>153170.176936009</v>
      </c>
      <c r="D65" s="14">
        <v>1</v>
      </c>
      <c r="E65" s="15">
        <v>1</v>
      </c>
      <c r="F65" s="16">
        <f t="shared" si="2"/>
        <v>153170.176936009</v>
      </c>
      <c r="G65" s="17" t="s">
        <v>1993</v>
      </c>
    </row>
    <row r="66" spans="1:7" ht="14.25" customHeight="1" x14ac:dyDescent="0.35">
      <c r="A66" s="12" t="s">
        <v>1439</v>
      </c>
      <c r="B66" s="12" t="s">
        <v>1440</v>
      </c>
      <c r="C66" s="13">
        <v>37974.0602915403</v>
      </c>
      <c r="D66" s="14">
        <v>1</v>
      </c>
      <c r="E66" s="15">
        <v>1</v>
      </c>
      <c r="F66" s="16">
        <f t="shared" ref="F66:F97" si="3">IF(E66=0,0,C66/E66)</f>
        <v>37974.0602915403</v>
      </c>
      <c r="G66" s="17" t="s">
        <v>1993</v>
      </c>
    </row>
    <row r="67" spans="1:7" ht="14.25" customHeight="1" x14ac:dyDescent="0.35">
      <c r="A67" s="12" t="s">
        <v>1441</v>
      </c>
      <c r="B67" s="12" t="s">
        <v>1442</v>
      </c>
      <c r="C67" s="13">
        <v>143.62950000000001</v>
      </c>
      <c r="D67" s="14">
        <v>1</v>
      </c>
      <c r="E67" s="15">
        <v>1</v>
      </c>
      <c r="F67" s="16">
        <f t="shared" si="3"/>
        <v>143.62950000000001</v>
      </c>
      <c r="G67" s="17" t="s">
        <v>1993</v>
      </c>
    </row>
    <row r="68" spans="1:7" ht="14.25" customHeight="1" x14ac:dyDescent="0.35">
      <c r="A68" s="12" t="s">
        <v>1443</v>
      </c>
      <c r="B68" s="12" t="s">
        <v>1444</v>
      </c>
      <c r="C68" s="13">
        <v>143.62950000000001</v>
      </c>
      <c r="D68" s="14">
        <v>1</v>
      </c>
      <c r="E68" s="15">
        <v>1</v>
      </c>
      <c r="F68" s="16">
        <f t="shared" si="3"/>
        <v>143.62950000000001</v>
      </c>
      <c r="G68" s="17" t="s">
        <v>1993</v>
      </c>
    </row>
    <row r="69" spans="1:7" ht="14.25" customHeight="1" x14ac:dyDescent="0.35">
      <c r="A69" s="12" t="s">
        <v>1445</v>
      </c>
      <c r="B69" s="12" t="s">
        <v>1446</v>
      </c>
      <c r="C69" s="13">
        <v>143.62950000000001</v>
      </c>
      <c r="D69" s="14">
        <v>1</v>
      </c>
      <c r="E69" s="15">
        <v>1</v>
      </c>
      <c r="F69" s="16">
        <f t="shared" si="3"/>
        <v>143.62950000000001</v>
      </c>
      <c r="G69" s="17" t="s">
        <v>1993</v>
      </c>
    </row>
    <row r="70" spans="1:7" ht="14.25" customHeight="1" x14ac:dyDescent="0.35">
      <c r="A70" s="12" t="s">
        <v>1447</v>
      </c>
      <c r="B70" s="12" t="s">
        <v>1448</v>
      </c>
      <c r="C70" s="13">
        <v>220.40549999999999</v>
      </c>
      <c r="D70" s="14">
        <v>1</v>
      </c>
      <c r="E70" s="15">
        <v>1</v>
      </c>
      <c r="F70" s="16">
        <f t="shared" si="3"/>
        <v>220.40549999999999</v>
      </c>
      <c r="G70" s="17" t="s">
        <v>1993</v>
      </c>
    </row>
    <row r="71" spans="1:7" ht="14.25" customHeight="1" x14ac:dyDescent="0.35">
      <c r="A71" s="12" t="s">
        <v>1449</v>
      </c>
      <c r="B71" s="12" t="s">
        <v>1450</v>
      </c>
      <c r="C71" s="13">
        <v>220.40549999999999</v>
      </c>
      <c r="D71" s="14">
        <v>1</v>
      </c>
      <c r="E71" s="15">
        <v>1</v>
      </c>
      <c r="F71" s="16">
        <f t="shared" si="3"/>
        <v>220.40549999999999</v>
      </c>
      <c r="G71" s="17" t="s">
        <v>1993</v>
      </c>
    </row>
    <row r="72" spans="1:7" ht="14.25" customHeight="1" x14ac:dyDescent="0.35">
      <c r="A72" s="12" t="s">
        <v>1451</v>
      </c>
      <c r="B72" s="12" t="s">
        <v>1452</v>
      </c>
      <c r="C72" s="13">
        <v>153510.53448222199</v>
      </c>
      <c r="D72" s="14">
        <v>1</v>
      </c>
      <c r="E72" s="15">
        <v>1</v>
      </c>
      <c r="F72" s="16">
        <f t="shared" si="3"/>
        <v>153510.53448222199</v>
      </c>
      <c r="G72" s="17" t="s">
        <v>1993</v>
      </c>
    </row>
    <row r="73" spans="1:7" ht="14.25" customHeight="1" x14ac:dyDescent="0.35">
      <c r="A73" s="12" t="s">
        <v>1453</v>
      </c>
      <c r="B73" s="12" t="s">
        <v>1454</v>
      </c>
      <c r="C73" s="13">
        <v>21899.707259482599</v>
      </c>
      <c r="D73" s="14">
        <v>1</v>
      </c>
      <c r="E73" s="15">
        <v>1</v>
      </c>
      <c r="F73" s="16">
        <f t="shared" si="3"/>
        <v>21899.707259482599</v>
      </c>
      <c r="G73" s="17" t="s">
        <v>1993</v>
      </c>
    </row>
    <row r="74" spans="1:7" ht="14.25" customHeight="1" x14ac:dyDescent="0.35">
      <c r="A74" s="12" t="s">
        <v>1455</v>
      </c>
      <c r="B74" s="12" t="s">
        <v>1456</v>
      </c>
      <c r="C74" s="13">
        <v>22374.766708971001</v>
      </c>
      <c r="D74" s="14">
        <v>1</v>
      </c>
      <c r="E74" s="15">
        <v>1</v>
      </c>
      <c r="F74" s="16">
        <f t="shared" si="3"/>
        <v>22374.766708971001</v>
      </c>
      <c r="G74" s="17" t="s">
        <v>1993</v>
      </c>
    </row>
    <row r="75" spans="1:7" ht="14.25" customHeight="1" x14ac:dyDescent="0.35">
      <c r="A75" s="12" t="s">
        <v>1457</v>
      </c>
      <c r="B75" s="12" t="s">
        <v>1458</v>
      </c>
      <c r="C75" s="13">
        <v>176237.56103145599</v>
      </c>
      <c r="D75" s="14">
        <v>1</v>
      </c>
      <c r="E75" s="15">
        <v>1</v>
      </c>
      <c r="F75" s="16">
        <f t="shared" si="3"/>
        <v>176237.56103145599</v>
      </c>
      <c r="G75" s="17" t="s">
        <v>1993</v>
      </c>
    </row>
    <row r="76" spans="1:7" ht="14.25" customHeight="1" x14ac:dyDescent="0.35">
      <c r="A76" s="12" t="s">
        <v>1459</v>
      </c>
      <c r="B76" s="12" t="s">
        <v>1460</v>
      </c>
      <c r="C76" s="13">
        <v>54384.028149377104</v>
      </c>
      <c r="D76" s="14">
        <v>1</v>
      </c>
      <c r="E76" s="15">
        <v>1</v>
      </c>
      <c r="F76" s="16">
        <f t="shared" si="3"/>
        <v>54384.028149377104</v>
      </c>
      <c r="G76" s="17" t="s">
        <v>1993</v>
      </c>
    </row>
    <row r="77" spans="1:7" ht="14.25" customHeight="1" x14ac:dyDescent="0.35">
      <c r="A77" s="12" t="s">
        <v>1461</v>
      </c>
      <c r="B77" s="12" t="s">
        <v>1462</v>
      </c>
      <c r="C77" s="13">
        <v>20885.780963797501</v>
      </c>
      <c r="D77" s="14">
        <v>1</v>
      </c>
      <c r="E77" s="15">
        <v>1</v>
      </c>
      <c r="F77" s="16">
        <f t="shared" si="3"/>
        <v>20885.780963797501</v>
      </c>
      <c r="G77" s="17" t="s">
        <v>1993</v>
      </c>
    </row>
    <row r="78" spans="1:7" ht="14.25" customHeight="1" x14ac:dyDescent="0.35">
      <c r="A78" s="12" t="s">
        <v>1463</v>
      </c>
      <c r="B78" s="12" t="s">
        <v>1464</v>
      </c>
      <c r="C78" s="13">
        <v>84635.381339109605</v>
      </c>
      <c r="D78" s="14">
        <v>1</v>
      </c>
      <c r="E78" s="15">
        <v>1</v>
      </c>
      <c r="F78" s="16">
        <f t="shared" si="3"/>
        <v>84635.381339109605</v>
      </c>
      <c r="G78" s="17" t="s">
        <v>1993</v>
      </c>
    </row>
    <row r="79" spans="1:7" ht="14.25" customHeight="1" x14ac:dyDescent="0.35">
      <c r="A79" s="12" t="s">
        <v>1465</v>
      </c>
      <c r="B79" s="12" t="s">
        <v>1466</v>
      </c>
      <c r="C79" s="13">
        <v>38331.263660483099</v>
      </c>
      <c r="D79" s="14">
        <v>1</v>
      </c>
      <c r="E79" s="15">
        <v>1</v>
      </c>
      <c r="F79" s="16">
        <f t="shared" si="3"/>
        <v>38331.263660483099</v>
      </c>
      <c r="G79" s="17" t="s">
        <v>1993</v>
      </c>
    </row>
    <row r="80" spans="1:7" ht="14.25" customHeight="1" x14ac:dyDescent="0.35">
      <c r="A80" s="12" t="s">
        <v>1467</v>
      </c>
      <c r="B80" s="12" t="s">
        <v>1468</v>
      </c>
      <c r="C80" s="13">
        <v>82579.398554802203</v>
      </c>
      <c r="D80" s="14">
        <v>1</v>
      </c>
      <c r="E80" s="15">
        <v>1</v>
      </c>
      <c r="F80" s="16">
        <f t="shared" si="3"/>
        <v>82579.398554802203</v>
      </c>
      <c r="G80" s="17" t="s">
        <v>1993</v>
      </c>
    </row>
    <row r="81" spans="1:7" ht="14.25" customHeight="1" x14ac:dyDescent="0.35">
      <c r="A81" s="12" t="s">
        <v>1469</v>
      </c>
      <c r="B81" s="12" t="s">
        <v>1470</v>
      </c>
      <c r="C81" s="13">
        <v>59033.896817303801</v>
      </c>
      <c r="D81" s="14">
        <v>1</v>
      </c>
      <c r="E81" s="15">
        <v>1</v>
      </c>
      <c r="F81" s="16">
        <f t="shared" si="3"/>
        <v>59033.896817303801</v>
      </c>
      <c r="G81" s="17" t="s">
        <v>1993</v>
      </c>
    </row>
    <row r="82" spans="1:7" ht="14.25" customHeight="1" x14ac:dyDescent="0.35">
      <c r="A82" s="12" t="s">
        <v>1471</v>
      </c>
      <c r="B82" s="12" t="s">
        <v>1472</v>
      </c>
      <c r="C82" s="13">
        <v>27129.197520996899</v>
      </c>
      <c r="D82" s="14">
        <v>1</v>
      </c>
      <c r="E82" s="15">
        <v>1</v>
      </c>
      <c r="F82" s="16">
        <f t="shared" si="3"/>
        <v>27129.197520996899</v>
      </c>
      <c r="G82" s="17" t="s">
        <v>1993</v>
      </c>
    </row>
    <row r="83" spans="1:7" ht="14.25" customHeight="1" x14ac:dyDescent="0.35">
      <c r="A83" s="12" t="s">
        <v>1473</v>
      </c>
      <c r="B83" s="12" t="s">
        <v>1474</v>
      </c>
      <c r="C83" s="13">
        <v>180429.330098951</v>
      </c>
      <c r="D83" s="14">
        <v>1</v>
      </c>
      <c r="E83" s="15">
        <v>1</v>
      </c>
      <c r="F83" s="16">
        <f t="shared" si="3"/>
        <v>180429.330098951</v>
      </c>
      <c r="G83" s="17" t="s">
        <v>1993</v>
      </c>
    </row>
    <row r="84" spans="1:7" ht="14.25" customHeight="1" x14ac:dyDescent="0.35">
      <c r="A84" s="12" t="s">
        <v>1475</v>
      </c>
      <c r="B84" s="12" t="s">
        <v>1476</v>
      </c>
      <c r="C84" s="13">
        <v>113709.375157824</v>
      </c>
      <c r="D84" s="14">
        <v>1</v>
      </c>
      <c r="E84" s="15">
        <v>1</v>
      </c>
      <c r="F84" s="16">
        <f t="shared" si="3"/>
        <v>113709.375157824</v>
      </c>
      <c r="G84" s="17" t="s">
        <v>1993</v>
      </c>
    </row>
    <row r="85" spans="1:7" ht="14.25" customHeight="1" x14ac:dyDescent="0.35">
      <c r="A85" s="12" t="s">
        <v>1477</v>
      </c>
      <c r="B85" s="12" t="s">
        <v>1478</v>
      </c>
      <c r="C85" s="13">
        <v>14758.474204325899</v>
      </c>
      <c r="D85" s="14">
        <v>1</v>
      </c>
      <c r="E85" s="15">
        <v>1</v>
      </c>
      <c r="F85" s="16">
        <f t="shared" si="3"/>
        <v>14758.474204325899</v>
      </c>
      <c r="G85" s="17" t="s">
        <v>1993</v>
      </c>
    </row>
    <row r="86" spans="1:7" ht="14.25" customHeight="1" x14ac:dyDescent="0.35">
      <c r="A86" s="12" t="s">
        <v>1479</v>
      </c>
      <c r="B86" s="12" t="s">
        <v>1480</v>
      </c>
      <c r="C86" s="13">
        <v>35765.263711523599</v>
      </c>
      <c r="D86" s="14">
        <v>1</v>
      </c>
      <c r="E86" s="15">
        <v>1</v>
      </c>
      <c r="F86" s="16">
        <f t="shared" si="3"/>
        <v>35765.263711523599</v>
      </c>
      <c r="G86" s="17" t="s">
        <v>1993</v>
      </c>
    </row>
    <row r="87" spans="1:7" ht="14.25" customHeight="1" x14ac:dyDescent="0.35">
      <c r="A87" s="12" t="s">
        <v>1481</v>
      </c>
      <c r="B87" s="12" t="s">
        <v>1482</v>
      </c>
      <c r="C87" s="13">
        <v>107892.95041054901</v>
      </c>
      <c r="D87" s="14">
        <v>1</v>
      </c>
      <c r="E87" s="15">
        <v>1</v>
      </c>
      <c r="F87" s="16">
        <f t="shared" si="3"/>
        <v>107892.95041054901</v>
      </c>
      <c r="G87" s="17" t="s">
        <v>1993</v>
      </c>
    </row>
    <row r="88" spans="1:7" ht="14.25" customHeight="1" x14ac:dyDescent="0.35">
      <c r="A88" s="12" t="s">
        <v>1483</v>
      </c>
      <c r="B88" s="12" t="s">
        <v>1484</v>
      </c>
      <c r="C88" s="13">
        <v>97657.093521783696</v>
      </c>
      <c r="D88" s="14">
        <v>1</v>
      </c>
      <c r="E88" s="15">
        <v>1</v>
      </c>
      <c r="F88" s="16">
        <f t="shared" si="3"/>
        <v>97657.093521783696</v>
      </c>
      <c r="G88" s="17" t="s">
        <v>1993</v>
      </c>
    </row>
    <row r="89" spans="1:7" ht="14.25" customHeight="1" x14ac:dyDescent="0.35">
      <c r="A89" s="12" t="s">
        <v>1485</v>
      </c>
      <c r="B89" s="12" t="s">
        <v>1486</v>
      </c>
      <c r="C89" s="13">
        <v>8139.5228813285903</v>
      </c>
      <c r="D89" s="14">
        <v>1</v>
      </c>
      <c r="E89" s="15">
        <v>1</v>
      </c>
      <c r="F89" s="16">
        <f t="shared" si="3"/>
        <v>8139.5228813285903</v>
      </c>
      <c r="G89" s="17" t="s">
        <v>1993</v>
      </c>
    </row>
    <row r="90" spans="1:7" ht="14.25" customHeight="1" x14ac:dyDescent="0.35">
      <c r="A90" s="12" t="s">
        <v>1487</v>
      </c>
      <c r="B90" s="12" t="s">
        <v>1488</v>
      </c>
      <c r="C90" s="13">
        <v>2938.53543989844</v>
      </c>
      <c r="D90" s="14">
        <v>1</v>
      </c>
      <c r="E90" s="15">
        <v>1</v>
      </c>
      <c r="F90" s="16">
        <f t="shared" si="3"/>
        <v>2938.53543989844</v>
      </c>
      <c r="G90" s="17" t="s">
        <v>1993</v>
      </c>
    </row>
    <row r="91" spans="1:7" ht="14.25" customHeight="1" x14ac:dyDescent="0.35">
      <c r="A91" s="12" t="s">
        <v>1489</v>
      </c>
      <c r="B91" s="12" t="s">
        <v>1490</v>
      </c>
      <c r="C91" s="13">
        <v>6650.8824291152696</v>
      </c>
      <c r="D91" s="14">
        <v>1</v>
      </c>
      <c r="E91" s="15">
        <v>1</v>
      </c>
      <c r="F91" s="16">
        <f t="shared" si="3"/>
        <v>6650.8824291152696</v>
      </c>
      <c r="G91" s="17" t="s">
        <v>1993</v>
      </c>
    </row>
    <row r="92" spans="1:7" ht="14.25" customHeight="1" x14ac:dyDescent="0.35">
      <c r="A92" s="12" t="s">
        <v>1491</v>
      </c>
      <c r="B92" s="12" t="s">
        <v>1492</v>
      </c>
      <c r="C92" s="13">
        <v>35362.5</v>
      </c>
      <c r="D92" s="14">
        <v>1</v>
      </c>
      <c r="E92" s="15">
        <v>1</v>
      </c>
      <c r="F92" s="16">
        <f t="shared" si="3"/>
        <v>35362.5</v>
      </c>
      <c r="G92" s="17" t="s">
        <v>1992</v>
      </c>
    </row>
    <row r="93" spans="1:7" ht="14.25" customHeight="1" x14ac:dyDescent="0.35">
      <c r="A93" s="12" t="s">
        <v>1493</v>
      </c>
      <c r="B93" s="12" t="s">
        <v>1494</v>
      </c>
      <c r="C93" s="13">
        <v>145145.841208642</v>
      </c>
      <c r="D93" s="14">
        <v>1</v>
      </c>
      <c r="E93" s="15">
        <v>1</v>
      </c>
      <c r="F93" s="16">
        <f t="shared" si="3"/>
        <v>145145.841208642</v>
      </c>
      <c r="G93" s="17" t="s">
        <v>1992</v>
      </c>
    </row>
    <row r="94" spans="1:7" ht="14.25" customHeight="1" x14ac:dyDescent="0.35">
      <c r="A94" s="12" t="s">
        <v>1495</v>
      </c>
      <c r="B94" s="12" t="s">
        <v>1496</v>
      </c>
      <c r="C94" s="13">
        <v>10609.2079693546</v>
      </c>
      <c r="D94" s="14">
        <v>1</v>
      </c>
      <c r="E94" s="15">
        <v>1</v>
      </c>
      <c r="F94" s="16">
        <f t="shared" si="3"/>
        <v>10609.2079693546</v>
      </c>
      <c r="G94" s="17" t="s">
        <v>1992</v>
      </c>
    </row>
    <row r="95" spans="1:7" ht="14.25" customHeight="1" x14ac:dyDescent="0.35">
      <c r="A95" s="12" t="s">
        <v>1497</v>
      </c>
      <c r="B95" s="12" t="s">
        <v>1498</v>
      </c>
      <c r="C95" s="13">
        <v>9625.7458495553292</v>
      </c>
      <c r="D95" s="14">
        <v>1</v>
      </c>
      <c r="E95" s="15">
        <v>1</v>
      </c>
      <c r="F95" s="16">
        <f t="shared" si="3"/>
        <v>9625.7458495553292</v>
      </c>
      <c r="G95" s="17" t="s">
        <v>1992</v>
      </c>
    </row>
    <row r="96" spans="1:7" ht="14.25" customHeight="1" x14ac:dyDescent="0.35">
      <c r="A96" s="12" t="s">
        <v>1499</v>
      </c>
      <c r="B96" s="12" t="s">
        <v>1500</v>
      </c>
      <c r="C96" s="13">
        <v>68016.448974240906</v>
      </c>
      <c r="D96" s="14">
        <v>1</v>
      </c>
      <c r="E96" s="15">
        <v>1</v>
      </c>
      <c r="F96" s="16">
        <f t="shared" si="3"/>
        <v>68016.448974240906</v>
      </c>
      <c r="G96" s="17" t="s">
        <v>1992</v>
      </c>
    </row>
    <row r="97" spans="1:7" ht="14.25" customHeight="1" x14ac:dyDescent="0.35">
      <c r="A97" s="12" t="s">
        <v>1501</v>
      </c>
      <c r="B97" s="12" t="s">
        <v>1502</v>
      </c>
      <c r="C97" s="13">
        <v>4008.6074829040099</v>
      </c>
      <c r="D97" s="14">
        <v>1</v>
      </c>
      <c r="E97" s="15">
        <v>1</v>
      </c>
      <c r="F97" s="16">
        <f t="shared" si="3"/>
        <v>4008.6074829040099</v>
      </c>
      <c r="G97" s="17" t="s">
        <v>1993</v>
      </c>
    </row>
    <row r="98" spans="1:7" ht="14.25" customHeight="1" x14ac:dyDescent="0.35">
      <c r="A98" s="12" t="s">
        <v>1503</v>
      </c>
      <c r="B98" s="12" t="s">
        <v>1504</v>
      </c>
      <c r="C98" s="13">
        <v>743114.74543540005</v>
      </c>
      <c r="D98" s="14">
        <v>1</v>
      </c>
      <c r="E98" s="15">
        <f t="shared" ref="E98:E104" si="4">D98*360</f>
        <v>360</v>
      </c>
      <c r="F98" s="16">
        <f t="shared" ref="F98:F104" si="5">IF(E98=0,0,C98/E98)</f>
        <v>2064.2076262094447</v>
      </c>
      <c r="G98" s="17" t="s">
        <v>1988</v>
      </c>
    </row>
    <row r="99" spans="1:7" ht="14.25" customHeight="1" x14ac:dyDescent="0.35">
      <c r="A99" s="12" t="s">
        <v>1505</v>
      </c>
      <c r="B99" s="12" t="s">
        <v>1506</v>
      </c>
      <c r="C99" s="13">
        <v>629576.14042428904</v>
      </c>
      <c r="D99" s="14">
        <v>2</v>
      </c>
      <c r="E99" s="15">
        <f t="shared" si="4"/>
        <v>720</v>
      </c>
      <c r="F99" s="16">
        <f t="shared" si="5"/>
        <v>874.41130614484587</v>
      </c>
      <c r="G99" s="17" t="s">
        <v>1988</v>
      </c>
    </row>
    <row r="100" spans="1:7" ht="14.25" customHeight="1" x14ac:dyDescent="0.35">
      <c r="A100" s="12" t="s">
        <v>1507</v>
      </c>
      <c r="B100" s="12" t="s">
        <v>1508</v>
      </c>
      <c r="C100" s="13">
        <v>749110.64304277697</v>
      </c>
      <c r="D100" s="14">
        <v>2</v>
      </c>
      <c r="E100" s="15">
        <f t="shared" si="4"/>
        <v>720</v>
      </c>
      <c r="F100" s="16">
        <f t="shared" si="5"/>
        <v>1040.4314486705237</v>
      </c>
      <c r="G100" s="17" t="s">
        <v>1988</v>
      </c>
    </row>
    <row r="101" spans="1:7" ht="14.25" customHeight="1" x14ac:dyDescent="0.35">
      <c r="A101" s="12" t="s">
        <v>1509</v>
      </c>
      <c r="B101" s="12" t="s">
        <v>1510</v>
      </c>
      <c r="C101" s="13">
        <v>78355.294990121503</v>
      </c>
      <c r="D101" s="14">
        <v>1</v>
      </c>
      <c r="E101" s="15">
        <f t="shared" si="4"/>
        <v>360</v>
      </c>
      <c r="F101" s="16">
        <f t="shared" si="5"/>
        <v>217.65359719478195</v>
      </c>
      <c r="G101" s="17" t="s">
        <v>1988</v>
      </c>
    </row>
    <row r="102" spans="1:7" ht="14.25" customHeight="1" x14ac:dyDescent="0.35">
      <c r="A102" s="12" t="s">
        <v>1511</v>
      </c>
      <c r="B102" s="12" t="s">
        <v>1512</v>
      </c>
      <c r="C102" s="13">
        <v>1005000</v>
      </c>
      <c r="D102" s="14">
        <v>2.7777778000000002E-3</v>
      </c>
      <c r="E102" s="15">
        <f t="shared" si="4"/>
        <v>1.000000008</v>
      </c>
      <c r="F102" s="16">
        <f t="shared" si="5"/>
        <v>1004999.99196</v>
      </c>
      <c r="G102" s="17" t="s">
        <v>1994</v>
      </c>
    </row>
    <row r="103" spans="1:7" ht="14.25" customHeight="1" x14ac:dyDescent="0.35">
      <c r="A103" s="12" t="s">
        <v>1513</v>
      </c>
      <c r="B103" s="12" t="s">
        <v>1514</v>
      </c>
      <c r="C103" s="13">
        <v>1850947.14</v>
      </c>
      <c r="D103" s="14">
        <v>2</v>
      </c>
      <c r="E103" s="15">
        <f t="shared" si="4"/>
        <v>720</v>
      </c>
      <c r="F103" s="16">
        <f t="shared" si="5"/>
        <v>2570.7599166666664</v>
      </c>
      <c r="G103" s="17" t="s">
        <v>1988</v>
      </c>
    </row>
    <row r="104" spans="1:7" ht="14.25" customHeight="1" x14ac:dyDescent="0.35">
      <c r="A104" s="12" t="s">
        <v>1515</v>
      </c>
      <c r="B104" s="12" t="s">
        <v>1516</v>
      </c>
      <c r="C104" s="13">
        <v>1230000</v>
      </c>
      <c r="D104" s="14">
        <v>8.3333333300000006E-2</v>
      </c>
      <c r="E104" s="15">
        <f t="shared" si="4"/>
        <v>29.999999988000003</v>
      </c>
      <c r="F104" s="16">
        <f t="shared" si="5"/>
        <v>41000.000016399994</v>
      </c>
      <c r="G104" s="17" t="s">
        <v>1988</v>
      </c>
    </row>
    <row r="105" spans="1:7" ht="14.25" customHeight="1" x14ac:dyDescent="0.35"/>
  </sheetData>
  <autoFilter ref="A1:G104" xr:uid="{00000000-0001-0000-03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5"/>
  <sheetViews>
    <sheetView zoomScaleNormal="100" workbookViewId="0"/>
  </sheetViews>
  <sheetFormatPr defaultColWidth="8.6328125" defaultRowHeight="14.5" x14ac:dyDescent="0.35"/>
  <cols>
    <col min="1" max="1" width="14" style="27" customWidth="1"/>
    <col min="2" max="2" width="50" style="27" customWidth="1"/>
    <col min="3" max="3" width="8" style="27" customWidth="1"/>
    <col min="4" max="4" width="18" style="27" customWidth="1"/>
    <col min="5" max="5" width="50" style="27" customWidth="1"/>
    <col min="6" max="16384" width="8.6328125" style="27"/>
  </cols>
  <sheetData>
    <row r="1" spans="1:6" ht="14.25" customHeight="1" x14ac:dyDescent="0.35">
      <c r="A1" s="7" t="s">
        <v>529</v>
      </c>
      <c r="B1" s="7" t="s">
        <v>6</v>
      </c>
      <c r="C1" s="7" t="s">
        <v>1517</v>
      </c>
      <c r="D1" s="7" t="s">
        <v>1518</v>
      </c>
      <c r="E1" s="7" t="s">
        <v>532</v>
      </c>
      <c r="F1" s="7" t="s">
        <v>488</v>
      </c>
    </row>
    <row r="2" spans="1:6" ht="14.25" customHeight="1" x14ac:dyDescent="0.35">
      <c r="A2" s="12" t="s">
        <v>1519</v>
      </c>
      <c r="B2" s="12" t="s">
        <v>1520</v>
      </c>
      <c r="C2" s="12" t="s">
        <v>1521</v>
      </c>
      <c r="D2" s="13">
        <v>214394.06177409799</v>
      </c>
      <c r="E2" s="12" t="s">
        <v>390</v>
      </c>
      <c r="F2" s="17"/>
    </row>
    <row r="3" spans="1:6" ht="14.25" customHeight="1" x14ac:dyDescent="0.35">
      <c r="A3" s="12" t="s">
        <v>1522</v>
      </c>
      <c r="B3" s="12" t="s">
        <v>1523</v>
      </c>
      <c r="C3" s="12" t="s">
        <v>98</v>
      </c>
      <c r="D3" s="13">
        <v>250000</v>
      </c>
      <c r="E3" s="12" t="s">
        <v>390</v>
      </c>
      <c r="F3" s="17"/>
    </row>
    <row r="4" spans="1:6" ht="14.25" customHeight="1" x14ac:dyDescent="0.35">
      <c r="A4" s="12" t="s">
        <v>1524</v>
      </c>
      <c r="B4" s="12" t="s">
        <v>1525</v>
      </c>
      <c r="C4" s="12" t="s">
        <v>41</v>
      </c>
      <c r="D4" s="13">
        <v>80000</v>
      </c>
      <c r="E4" s="12" t="s">
        <v>390</v>
      </c>
      <c r="F4" s="17"/>
    </row>
    <row r="5" spans="1:6" ht="14.25" customHeight="1" x14ac:dyDescent="0.35">
      <c r="A5" s="12" t="s">
        <v>1526</v>
      </c>
      <c r="B5" s="12" t="s">
        <v>1527</v>
      </c>
      <c r="C5" s="12" t="s">
        <v>41</v>
      </c>
      <c r="D5" s="13">
        <v>80000</v>
      </c>
      <c r="E5" s="12" t="s">
        <v>390</v>
      </c>
      <c r="F5" s="17"/>
    </row>
    <row r="6" spans="1:6" ht="14.25" customHeight="1" x14ac:dyDescent="0.35">
      <c r="A6" s="12" t="s">
        <v>1528</v>
      </c>
      <c r="B6" s="12" t="s">
        <v>1529</v>
      </c>
      <c r="C6" s="12" t="s">
        <v>41</v>
      </c>
      <c r="D6" s="13">
        <v>80000</v>
      </c>
      <c r="E6" s="12" t="s">
        <v>390</v>
      </c>
      <c r="F6" s="17"/>
    </row>
    <row r="7" spans="1:6" ht="14.25" customHeight="1" x14ac:dyDescent="0.35">
      <c r="A7" s="12" t="s">
        <v>1530</v>
      </c>
      <c r="B7" s="12" t="s">
        <v>1531</v>
      </c>
      <c r="C7" s="12" t="s">
        <v>98</v>
      </c>
      <c r="D7" s="13">
        <v>20000</v>
      </c>
      <c r="E7" s="12" t="s">
        <v>390</v>
      </c>
      <c r="F7" s="17"/>
    </row>
    <row r="8" spans="1:6" ht="14.25" customHeight="1" x14ac:dyDescent="0.35">
      <c r="A8" s="12" t="s">
        <v>1532</v>
      </c>
      <c r="B8" s="12" t="s">
        <v>1533</v>
      </c>
      <c r="C8" s="12" t="s">
        <v>98</v>
      </c>
      <c r="D8" s="13">
        <v>157327.46103959001</v>
      </c>
      <c r="E8" s="12" t="s">
        <v>1995</v>
      </c>
      <c r="F8" s="17"/>
    </row>
    <row r="9" spans="1:6" ht="14.25" customHeight="1" x14ac:dyDescent="0.35">
      <c r="A9" s="12" t="s">
        <v>1534</v>
      </c>
      <c r="B9" s="12" t="s">
        <v>1535</v>
      </c>
      <c r="C9" s="12" t="s">
        <v>98</v>
      </c>
      <c r="D9" s="13">
        <v>113275.771948505</v>
      </c>
      <c r="E9" s="12" t="s">
        <v>1995</v>
      </c>
      <c r="F9" s="17"/>
    </row>
    <row r="10" spans="1:6" ht="14.25" customHeight="1" x14ac:dyDescent="0.35">
      <c r="A10" s="12" t="s">
        <v>1536</v>
      </c>
      <c r="B10" s="12" t="s">
        <v>1537</v>
      </c>
      <c r="C10" s="12" t="s">
        <v>98</v>
      </c>
      <c r="D10" s="13">
        <v>99116.300454941505</v>
      </c>
      <c r="E10" s="12" t="s">
        <v>1995</v>
      </c>
      <c r="F10" s="17"/>
    </row>
    <row r="11" spans="1:6" ht="14.25" customHeight="1" x14ac:dyDescent="0.35">
      <c r="A11" s="12" t="s">
        <v>1538</v>
      </c>
      <c r="B11" s="12" t="s">
        <v>1539</v>
      </c>
      <c r="C11" s="12" t="s">
        <v>50</v>
      </c>
      <c r="D11" s="13">
        <v>23552.222222222201</v>
      </c>
      <c r="E11" s="12" t="s">
        <v>1996</v>
      </c>
      <c r="F11" s="17"/>
    </row>
    <row r="12" spans="1:6" ht="14.25" customHeight="1" x14ac:dyDescent="0.35">
      <c r="A12" s="12" t="s">
        <v>1540</v>
      </c>
      <c r="B12" s="12" t="s">
        <v>1541</v>
      </c>
      <c r="C12" s="12" t="s">
        <v>1521</v>
      </c>
      <c r="D12" s="13">
        <v>528000</v>
      </c>
      <c r="E12" s="12" t="s">
        <v>1996</v>
      </c>
      <c r="F12" s="17"/>
    </row>
    <row r="13" spans="1:6" ht="14.25" customHeight="1" x14ac:dyDescent="0.35">
      <c r="A13" s="12" t="s">
        <v>1542</v>
      </c>
      <c r="B13" s="12" t="s">
        <v>1543</v>
      </c>
      <c r="C13" s="12" t="s">
        <v>98</v>
      </c>
      <c r="D13" s="13">
        <v>140000</v>
      </c>
      <c r="E13" s="12" t="s">
        <v>1996</v>
      </c>
      <c r="F13" s="17"/>
    </row>
    <row r="14" spans="1:6" ht="14.25" customHeight="1" x14ac:dyDescent="0.35">
      <c r="A14" s="12" t="s">
        <v>1544</v>
      </c>
      <c r="B14" s="12" t="s">
        <v>1545</v>
      </c>
      <c r="C14" s="12" t="s">
        <v>98</v>
      </c>
      <c r="D14" s="13">
        <v>80000</v>
      </c>
      <c r="E14" s="12" t="s">
        <v>1996</v>
      </c>
      <c r="F14" s="17"/>
    </row>
    <row r="15" spans="1:6" ht="14.25" customHeight="1" x14ac:dyDescent="0.35">
      <c r="A15" s="12" t="s">
        <v>1546</v>
      </c>
      <c r="B15" s="12" t="s">
        <v>1547</v>
      </c>
      <c r="C15" s="12" t="s">
        <v>53</v>
      </c>
      <c r="D15" s="13">
        <v>67240.498860267602</v>
      </c>
      <c r="E15" s="12" t="s">
        <v>1996</v>
      </c>
      <c r="F15" s="17"/>
    </row>
    <row r="16" spans="1:6" ht="14.25" customHeight="1" x14ac:dyDescent="0.35">
      <c r="A16" s="12" t="s">
        <v>1548</v>
      </c>
      <c r="B16" s="12" t="s">
        <v>1549</v>
      </c>
      <c r="C16" s="12" t="s">
        <v>26</v>
      </c>
      <c r="D16" s="13">
        <v>34350000</v>
      </c>
      <c r="E16" s="12" t="s">
        <v>1996</v>
      </c>
      <c r="F16" s="17"/>
    </row>
    <row r="17" spans="1:6" ht="14.25" customHeight="1" x14ac:dyDescent="0.35">
      <c r="A17" s="12" t="s">
        <v>1550</v>
      </c>
      <c r="B17" s="12" t="s">
        <v>1551</v>
      </c>
      <c r="C17" s="12" t="s">
        <v>26</v>
      </c>
      <c r="D17" s="13">
        <v>950000</v>
      </c>
      <c r="E17" s="12" t="s">
        <v>1996</v>
      </c>
      <c r="F17" s="17"/>
    </row>
    <row r="18" spans="1:6" ht="14.25" customHeight="1" x14ac:dyDescent="0.35">
      <c r="A18" s="12" t="s">
        <v>1552</v>
      </c>
      <c r="B18" s="12" t="s">
        <v>1553</v>
      </c>
      <c r="C18" s="12" t="s">
        <v>53</v>
      </c>
      <c r="D18" s="13">
        <v>222927.95987015401</v>
      </c>
      <c r="E18" s="12" t="s">
        <v>1997</v>
      </c>
      <c r="F18" s="17"/>
    </row>
    <row r="19" spans="1:6" ht="14.25" customHeight="1" x14ac:dyDescent="0.35">
      <c r="A19" s="12" t="s">
        <v>1554</v>
      </c>
      <c r="B19" s="12" t="s">
        <v>1555</v>
      </c>
      <c r="C19" s="12" t="s">
        <v>53</v>
      </c>
      <c r="D19" s="13">
        <v>323083.99981181801</v>
      </c>
      <c r="E19" s="12" t="s">
        <v>1997</v>
      </c>
      <c r="F19" s="17"/>
    </row>
    <row r="20" spans="1:6" ht="14.25" customHeight="1" x14ac:dyDescent="0.35">
      <c r="A20" s="12" t="s">
        <v>1556</v>
      </c>
      <c r="B20" s="12" t="s">
        <v>1557</v>
      </c>
      <c r="C20" s="12" t="s">
        <v>53</v>
      </c>
      <c r="D20" s="13">
        <v>222927.95987015401</v>
      </c>
      <c r="E20" s="12" t="s">
        <v>1997</v>
      </c>
      <c r="F20" s="17"/>
    </row>
    <row r="21" spans="1:6" ht="14.25" customHeight="1" x14ac:dyDescent="0.35">
      <c r="A21" s="12" t="s">
        <v>1558</v>
      </c>
      <c r="B21" s="12" t="s">
        <v>1559</v>
      </c>
      <c r="C21" s="12" t="s">
        <v>53</v>
      </c>
      <c r="D21" s="13">
        <v>222927.95987015401</v>
      </c>
      <c r="E21" s="12" t="s">
        <v>1997</v>
      </c>
      <c r="F21" s="17"/>
    </row>
    <row r="22" spans="1:6" ht="14.25" customHeight="1" x14ac:dyDescent="0.35">
      <c r="A22" s="12" t="s">
        <v>1560</v>
      </c>
      <c r="B22" s="12" t="s">
        <v>1561</v>
      </c>
      <c r="C22" s="12" t="s">
        <v>53</v>
      </c>
      <c r="D22" s="13">
        <v>323083.99981181801</v>
      </c>
      <c r="E22" s="12" t="s">
        <v>1997</v>
      </c>
      <c r="F22" s="17"/>
    </row>
    <row r="23" spans="1:6" ht="14.25" customHeight="1" x14ac:dyDescent="0.35">
      <c r="A23" s="12" t="s">
        <v>1562</v>
      </c>
      <c r="B23" s="12" t="s">
        <v>1563</v>
      </c>
      <c r="C23" s="12" t="s">
        <v>53</v>
      </c>
      <c r="D23" s="13">
        <v>392678.734102213</v>
      </c>
      <c r="E23" s="12" t="s">
        <v>1997</v>
      </c>
      <c r="F23" s="17"/>
    </row>
    <row r="24" spans="1:6" ht="14.25" customHeight="1" x14ac:dyDescent="0.35">
      <c r="A24" s="12" t="s">
        <v>1564</v>
      </c>
      <c r="B24" s="12" t="s">
        <v>1565</v>
      </c>
      <c r="C24" s="12" t="s">
        <v>53</v>
      </c>
      <c r="D24" s="13">
        <v>362209.60749629402</v>
      </c>
      <c r="E24" s="12" t="s">
        <v>1997</v>
      </c>
      <c r="F24" s="17"/>
    </row>
    <row r="25" spans="1:6" ht="14.25" customHeight="1" x14ac:dyDescent="0.35">
      <c r="A25" s="12" t="s">
        <v>1566</v>
      </c>
      <c r="B25" s="12" t="s">
        <v>1567</v>
      </c>
      <c r="C25" s="12" t="s">
        <v>53</v>
      </c>
      <c r="D25" s="13">
        <v>362209.60749629402</v>
      </c>
      <c r="E25" s="12" t="s">
        <v>1997</v>
      </c>
      <c r="F25" s="17"/>
    </row>
    <row r="26" spans="1:6" ht="14.25" customHeight="1" x14ac:dyDescent="0.35">
      <c r="A26" s="12" t="s">
        <v>1568</v>
      </c>
      <c r="B26" s="12" t="s">
        <v>1569</v>
      </c>
      <c r="C26" s="12" t="s">
        <v>53</v>
      </c>
      <c r="D26" s="13">
        <v>392678.734102213</v>
      </c>
      <c r="E26" s="12" t="s">
        <v>1997</v>
      </c>
      <c r="F26" s="17"/>
    </row>
    <row r="27" spans="1:6" ht="14.25" customHeight="1" x14ac:dyDescent="0.35">
      <c r="A27" s="12" t="s">
        <v>1570</v>
      </c>
      <c r="B27" s="12" t="s">
        <v>1571</v>
      </c>
      <c r="C27" s="12" t="s">
        <v>53</v>
      </c>
      <c r="D27" s="13">
        <v>629584.35516405001</v>
      </c>
      <c r="E27" s="12" t="s">
        <v>1997</v>
      </c>
      <c r="F27" s="17"/>
    </row>
    <row r="28" spans="1:6" ht="14.25" customHeight="1" x14ac:dyDescent="0.35">
      <c r="A28" s="12" t="s">
        <v>1572</v>
      </c>
      <c r="B28" s="12" t="s">
        <v>1573</v>
      </c>
      <c r="C28" s="12" t="s">
        <v>53</v>
      </c>
      <c r="D28" s="13">
        <v>629584.35516405001</v>
      </c>
      <c r="E28" s="12" t="s">
        <v>1997</v>
      </c>
      <c r="F28" s="17"/>
    </row>
    <row r="29" spans="1:6" ht="14.25" customHeight="1" x14ac:dyDescent="0.35">
      <c r="A29" s="12" t="s">
        <v>1574</v>
      </c>
      <c r="B29" s="12" t="s">
        <v>1575</v>
      </c>
      <c r="C29" s="12" t="s">
        <v>53</v>
      </c>
      <c r="D29" s="13">
        <v>629584.35516405001</v>
      </c>
      <c r="E29" s="12" t="s">
        <v>1997</v>
      </c>
      <c r="F29" s="17"/>
    </row>
    <row r="30" spans="1:6" ht="14.25" customHeight="1" x14ac:dyDescent="0.35">
      <c r="A30" s="12" t="s">
        <v>1576</v>
      </c>
      <c r="B30" s="12" t="s">
        <v>1577</v>
      </c>
      <c r="C30" s="12" t="s">
        <v>53</v>
      </c>
      <c r="D30" s="13">
        <v>253632.45059711899</v>
      </c>
      <c r="E30" s="12" t="s">
        <v>1997</v>
      </c>
      <c r="F30" s="17"/>
    </row>
    <row r="31" spans="1:6" ht="14.25" customHeight="1" x14ac:dyDescent="0.35">
      <c r="A31" s="12" t="s">
        <v>1578</v>
      </c>
      <c r="B31" s="12" t="s">
        <v>1579</v>
      </c>
      <c r="C31" s="12" t="s">
        <v>53</v>
      </c>
      <c r="D31" s="13">
        <v>253632.45059711899</v>
      </c>
      <c r="E31" s="12" t="s">
        <v>1997</v>
      </c>
      <c r="F31" s="17"/>
    </row>
    <row r="32" spans="1:6" ht="14.25" customHeight="1" x14ac:dyDescent="0.35">
      <c r="A32" s="12" t="s">
        <v>1580</v>
      </c>
      <c r="B32" s="12" t="s">
        <v>1581</v>
      </c>
      <c r="C32" s="12" t="s">
        <v>53</v>
      </c>
      <c r="D32" s="13">
        <v>370454.15079626901</v>
      </c>
      <c r="E32" s="12" t="s">
        <v>1997</v>
      </c>
      <c r="F32" s="17"/>
    </row>
    <row r="33" spans="1:6" ht="14.25" customHeight="1" x14ac:dyDescent="0.35">
      <c r="A33" s="12" t="s">
        <v>1582</v>
      </c>
      <c r="B33" s="12" t="s">
        <v>1583</v>
      </c>
      <c r="C33" s="12" t="s">
        <v>53</v>
      </c>
      <c r="D33" s="13">
        <v>629584.35516405001</v>
      </c>
      <c r="E33" s="12" t="s">
        <v>1997</v>
      </c>
      <c r="F33" s="17"/>
    </row>
    <row r="34" spans="1:6" ht="14.25" customHeight="1" x14ac:dyDescent="0.35">
      <c r="A34" s="12" t="s">
        <v>1584</v>
      </c>
      <c r="B34" s="12" t="s">
        <v>1585</v>
      </c>
      <c r="C34" s="12" t="s">
        <v>98</v>
      </c>
      <c r="D34" s="13">
        <v>246942.14876033101</v>
      </c>
      <c r="E34" s="12" t="s">
        <v>1998</v>
      </c>
      <c r="F34" s="17"/>
    </row>
    <row r="35" spans="1:6" ht="14.25" customHeight="1" x14ac:dyDescent="0.35">
      <c r="A35" s="12" t="s">
        <v>1586</v>
      </c>
      <c r="B35" s="12" t="s">
        <v>1587</v>
      </c>
      <c r="C35" s="12" t="s">
        <v>36</v>
      </c>
      <c r="D35" s="13">
        <v>11122.3391600798</v>
      </c>
      <c r="E35" s="12" t="s">
        <v>592</v>
      </c>
      <c r="F35" s="17"/>
    </row>
    <row r="36" spans="1:6" ht="14.25" customHeight="1" x14ac:dyDescent="0.35">
      <c r="A36" s="12" t="s">
        <v>1588</v>
      </c>
      <c r="B36" s="12" t="s">
        <v>220</v>
      </c>
      <c r="C36" s="12" t="s">
        <v>50</v>
      </c>
      <c r="D36" s="13">
        <v>12252.5485737202</v>
      </c>
      <c r="E36" s="12" t="s">
        <v>592</v>
      </c>
      <c r="F36" s="17"/>
    </row>
    <row r="37" spans="1:6" ht="14.25" customHeight="1" x14ac:dyDescent="0.35">
      <c r="A37" s="12" t="s">
        <v>1589</v>
      </c>
      <c r="B37" s="12" t="s">
        <v>1590</v>
      </c>
      <c r="C37" s="12" t="s">
        <v>36</v>
      </c>
      <c r="D37" s="13">
        <v>13144.582643730701</v>
      </c>
      <c r="E37" s="12" t="s">
        <v>592</v>
      </c>
      <c r="F37" s="17"/>
    </row>
    <row r="38" spans="1:6" ht="14.25" customHeight="1" x14ac:dyDescent="0.35">
      <c r="A38" s="12" t="s">
        <v>1591</v>
      </c>
      <c r="B38" s="12" t="s">
        <v>745</v>
      </c>
      <c r="C38" s="12" t="s">
        <v>98</v>
      </c>
      <c r="D38" s="13">
        <v>13144.582643730701</v>
      </c>
      <c r="E38" s="12" t="s">
        <v>592</v>
      </c>
      <c r="F38" s="17"/>
    </row>
    <row r="39" spans="1:6" ht="14.25" customHeight="1" x14ac:dyDescent="0.35">
      <c r="A39" s="12" t="s">
        <v>1592</v>
      </c>
      <c r="B39" s="12" t="s">
        <v>1593</v>
      </c>
      <c r="C39" s="12" t="s">
        <v>98</v>
      </c>
      <c r="D39" s="13">
        <v>13144.582643730701</v>
      </c>
      <c r="E39" s="12" t="s">
        <v>592</v>
      </c>
      <c r="F39" s="17"/>
    </row>
    <row r="40" spans="1:6" ht="14.25" customHeight="1" x14ac:dyDescent="0.35">
      <c r="A40" s="12" t="s">
        <v>1594</v>
      </c>
      <c r="B40" s="12" t="s">
        <v>1595</v>
      </c>
      <c r="C40" s="12" t="s">
        <v>50</v>
      </c>
      <c r="D40" s="13">
        <v>6075.9443795831503</v>
      </c>
      <c r="E40" s="12" t="s">
        <v>592</v>
      </c>
      <c r="F40" s="17"/>
    </row>
    <row r="41" spans="1:6" ht="14.25" customHeight="1" x14ac:dyDescent="0.35">
      <c r="A41" s="12" t="s">
        <v>1596</v>
      </c>
      <c r="B41" s="12" t="s">
        <v>1597</v>
      </c>
      <c r="C41" s="12" t="s">
        <v>50</v>
      </c>
      <c r="D41" s="13">
        <v>2430.3777518332599</v>
      </c>
      <c r="E41" s="12" t="s">
        <v>592</v>
      </c>
      <c r="F41" s="17"/>
    </row>
    <row r="42" spans="1:6" ht="14.25" customHeight="1" x14ac:dyDescent="0.35">
      <c r="A42" s="12" t="s">
        <v>1598</v>
      </c>
      <c r="B42" s="12" t="s">
        <v>1599</v>
      </c>
      <c r="C42" s="12" t="s">
        <v>41</v>
      </c>
      <c r="D42" s="13">
        <v>672000</v>
      </c>
      <c r="E42" s="12" t="s">
        <v>592</v>
      </c>
      <c r="F42" s="17"/>
    </row>
    <row r="43" spans="1:6" ht="14.25" customHeight="1" x14ac:dyDescent="0.35">
      <c r="A43" s="12" t="s">
        <v>1600</v>
      </c>
      <c r="B43" s="12" t="s">
        <v>781</v>
      </c>
      <c r="C43" s="12" t="s">
        <v>50</v>
      </c>
      <c r="D43" s="13">
        <v>12033.5234801962</v>
      </c>
      <c r="E43" s="12" t="s">
        <v>574</v>
      </c>
      <c r="F43" s="17"/>
    </row>
    <row r="44" spans="1:6" ht="14.25" customHeight="1" x14ac:dyDescent="0.35">
      <c r="A44" s="12" t="s">
        <v>1601</v>
      </c>
      <c r="B44" s="12" t="s">
        <v>50</v>
      </c>
      <c r="C44" s="12" t="s">
        <v>50</v>
      </c>
      <c r="D44" s="13">
        <v>12033.5234801962</v>
      </c>
      <c r="E44" s="12" t="s">
        <v>574</v>
      </c>
      <c r="F44" s="17"/>
    </row>
    <row r="45" spans="1:6" ht="14.25" customHeight="1" x14ac:dyDescent="0.35">
      <c r="A45" s="12" t="s">
        <v>1602</v>
      </c>
      <c r="B45" s="12" t="s">
        <v>1603</v>
      </c>
      <c r="C45" s="12" t="s">
        <v>98</v>
      </c>
      <c r="D45" s="13">
        <v>90797.420668391205</v>
      </c>
      <c r="E45" s="12" t="s">
        <v>390</v>
      </c>
      <c r="F45" s="17"/>
    </row>
    <row r="46" spans="1:6" ht="14.25" customHeight="1" x14ac:dyDescent="0.35">
      <c r="A46" s="12" t="s">
        <v>1604</v>
      </c>
      <c r="B46" s="12" t="s">
        <v>1605</v>
      </c>
      <c r="C46" s="12" t="s">
        <v>98</v>
      </c>
      <c r="D46" s="13">
        <v>434240.1</v>
      </c>
      <c r="E46" s="12" t="s">
        <v>1999</v>
      </c>
      <c r="F46" s="17"/>
    </row>
    <row r="47" spans="1:6" ht="14.25" customHeight="1" x14ac:dyDescent="0.35">
      <c r="A47" s="12" t="s">
        <v>1606</v>
      </c>
      <c r="B47" s="12" t="s">
        <v>1607</v>
      </c>
      <c r="C47" s="12" t="s">
        <v>98</v>
      </c>
      <c r="D47" s="13">
        <v>289506.59999999998</v>
      </c>
      <c r="E47" s="12" t="s">
        <v>1999</v>
      </c>
      <c r="F47" s="17"/>
    </row>
    <row r="48" spans="1:6" ht="14.25" customHeight="1" x14ac:dyDescent="0.35">
      <c r="A48" s="12" t="s">
        <v>1608</v>
      </c>
      <c r="B48" s="12" t="s">
        <v>1609</v>
      </c>
      <c r="C48" s="12" t="s">
        <v>1047</v>
      </c>
      <c r="D48" s="13">
        <v>9575.2999999999993</v>
      </c>
      <c r="E48" s="12" t="s">
        <v>1999</v>
      </c>
      <c r="F48" s="17"/>
    </row>
    <row r="49" spans="1:6" ht="14.25" customHeight="1" x14ac:dyDescent="0.35">
      <c r="A49" s="12" t="s">
        <v>1610</v>
      </c>
      <c r="B49" s="12" t="s">
        <v>1611</v>
      </c>
      <c r="C49" s="12" t="s">
        <v>98</v>
      </c>
      <c r="D49" s="13">
        <v>14693.7</v>
      </c>
      <c r="E49" s="12" t="s">
        <v>1999</v>
      </c>
      <c r="F49" s="17"/>
    </row>
    <row r="50" spans="1:6" ht="14.25" customHeight="1" x14ac:dyDescent="0.35">
      <c r="A50" s="12" t="s">
        <v>1612</v>
      </c>
      <c r="B50" s="12" t="s">
        <v>1613</v>
      </c>
      <c r="C50" s="12" t="s">
        <v>98</v>
      </c>
      <c r="D50" s="13">
        <v>428925</v>
      </c>
      <c r="E50" s="12" t="s">
        <v>1999</v>
      </c>
      <c r="F50" s="17"/>
    </row>
    <row r="51" spans="1:6" ht="14.25" customHeight="1" x14ac:dyDescent="0.35">
      <c r="A51" s="12" t="s">
        <v>1614</v>
      </c>
      <c r="B51" s="12" t="s">
        <v>1615</v>
      </c>
      <c r="C51" s="12" t="s">
        <v>98</v>
      </c>
      <c r="D51" s="13">
        <v>112571.9</v>
      </c>
      <c r="E51" s="12" t="s">
        <v>1999</v>
      </c>
      <c r="F51" s="17"/>
    </row>
    <row r="52" spans="1:6" ht="14.25" customHeight="1" x14ac:dyDescent="0.35">
      <c r="A52" s="12" t="s">
        <v>1616</v>
      </c>
      <c r="B52" s="12" t="s">
        <v>1617</v>
      </c>
      <c r="C52" s="12" t="s">
        <v>98</v>
      </c>
      <c r="D52" s="13">
        <v>428925</v>
      </c>
      <c r="E52" s="12" t="s">
        <v>1999</v>
      </c>
      <c r="F52" s="17"/>
    </row>
    <row r="53" spans="1:6" ht="14.25" customHeight="1" x14ac:dyDescent="0.35">
      <c r="A53" s="12" t="s">
        <v>1618</v>
      </c>
      <c r="B53" s="12" t="s">
        <v>1619</v>
      </c>
      <c r="C53" s="12" t="s">
        <v>98</v>
      </c>
      <c r="D53" s="13">
        <v>26460</v>
      </c>
      <c r="E53" s="12" t="s">
        <v>1999</v>
      </c>
      <c r="F53" s="17"/>
    </row>
    <row r="54" spans="1:6" ht="14.25" customHeight="1" x14ac:dyDescent="0.35">
      <c r="A54" s="12" t="s">
        <v>1620</v>
      </c>
      <c r="B54" s="12" t="s">
        <v>1621</v>
      </c>
      <c r="C54" s="12" t="s">
        <v>98</v>
      </c>
      <c r="D54" s="13">
        <v>160878.20000000001</v>
      </c>
      <c r="E54" s="12" t="s">
        <v>1999</v>
      </c>
      <c r="F54" s="17"/>
    </row>
    <row r="55" spans="1:6" ht="14.25" customHeight="1" x14ac:dyDescent="0.35">
      <c r="A55" s="12" t="s">
        <v>1622</v>
      </c>
      <c r="B55" s="12" t="s">
        <v>1623</v>
      </c>
      <c r="C55" s="12" t="s">
        <v>98</v>
      </c>
      <c r="D55" s="13">
        <v>80397.100000000006</v>
      </c>
      <c r="E55" s="12" t="s">
        <v>1999</v>
      </c>
      <c r="F55" s="17"/>
    </row>
    <row r="56" spans="1:6" ht="14.25" customHeight="1" x14ac:dyDescent="0.35">
      <c r="A56" s="12" t="s">
        <v>1624</v>
      </c>
      <c r="B56" s="12" t="s">
        <v>1625</v>
      </c>
      <c r="C56" s="12" t="s">
        <v>98</v>
      </c>
      <c r="D56" s="13">
        <v>113275.771948505</v>
      </c>
      <c r="E56" s="12" t="s">
        <v>1995</v>
      </c>
      <c r="F56" s="17"/>
    </row>
    <row r="57" spans="1:6" ht="14.25" customHeight="1" x14ac:dyDescent="0.35">
      <c r="A57" s="12" t="s">
        <v>1626</v>
      </c>
      <c r="B57" s="12" t="s">
        <v>1627</v>
      </c>
      <c r="C57" s="12" t="s">
        <v>26</v>
      </c>
      <c r="D57" s="13">
        <v>625003.76411038905</v>
      </c>
      <c r="E57" s="12" t="s">
        <v>2000</v>
      </c>
      <c r="F57" s="17"/>
    </row>
    <row r="58" spans="1:6" ht="14.25" customHeight="1" x14ac:dyDescent="0.35">
      <c r="A58" s="12" t="s">
        <v>1628</v>
      </c>
      <c r="B58" s="12" t="s">
        <v>1629</v>
      </c>
      <c r="C58" s="12" t="s">
        <v>26</v>
      </c>
      <c r="D58" s="13">
        <v>450000</v>
      </c>
      <c r="E58" s="12" t="s">
        <v>833</v>
      </c>
      <c r="F58" s="17"/>
    </row>
    <row r="59" spans="1:6" ht="14.25" customHeight="1" x14ac:dyDescent="0.35">
      <c r="A59" s="12" t="s">
        <v>1630</v>
      </c>
      <c r="B59" s="12" t="s">
        <v>1631</v>
      </c>
      <c r="C59" s="12" t="s">
        <v>26</v>
      </c>
      <c r="D59" s="13">
        <v>1400000</v>
      </c>
      <c r="E59" s="12" t="s">
        <v>833</v>
      </c>
      <c r="F59" s="17"/>
    </row>
    <row r="60" spans="1:6" ht="14.25" customHeight="1" x14ac:dyDescent="0.35">
      <c r="A60" s="12" t="s">
        <v>1632</v>
      </c>
      <c r="B60" s="12" t="s">
        <v>1633</v>
      </c>
      <c r="C60" s="12" t="s">
        <v>98</v>
      </c>
      <c r="D60" s="13">
        <v>230000</v>
      </c>
      <c r="E60" s="12" t="s">
        <v>2000</v>
      </c>
      <c r="F60" s="17"/>
    </row>
    <row r="61" spans="1:6" ht="14.25" customHeight="1" x14ac:dyDescent="0.35">
      <c r="A61" s="12" t="s">
        <v>1634</v>
      </c>
      <c r="B61" s="12" t="s">
        <v>1635</v>
      </c>
      <c r="C61" s="12" t="s">
        <v>98</v>
      </c>
      <c r="D61" s="13">
        <v>0</v>
      </c>
      <c r="E61" s="12" t="s">
        <v>2000</v>
      </c>
      <c r="F61" s="17"/>
    </row>
    <row r="62" spans="1:6" ht="14.25" customHeight="1" x14ac:dyDescent="0.35">
      <c r="A62" s="12" t="s">
        <v>1636</v>
      </c>
      <c r="B62" s="12" t="s">
        <v>1637</v>
      </c>
      <c r="C62" s="12" t="s">
        <v>98</v>
      </c>
      <c r="D62" s="13">
        <v>59550</v>
      </c>
      <c r="E62" s="12" t="s">
        <v>1999</v>
      </c>
      <c r="F62" s="17"/>
    </row>
    <row r="63" spans="1:6" ht="14.25" customHeight="1" x14ac:dyDescent="0.35">
      <c r="A63" s="12" t="s">
        <v>1638</v>
      </c>
      <c r="B63" s="12" t="s">
        <v>1639</v>
      </c>
      <c r="C63" s="12" t="s">
        <v>98</v>
      </c>
      <c r="D63" s="13">
        <v>40000</v>
      </c>
      <c r="E63" s="12" t="s">
        <v>390</v>
      </c>
      <c r="F63" s="17"/>
    </row>
    <row r="64" spans="1:6" ht="14.25" customHeight="1" x14ac:dyDescent="0.35">
      <c r="A64" s="12" t="s">
        <v>1640</v>
      </c>
      <c r="B64" s="12" t="s">
        <v>843</v>
      </c>
      <c r="C64" s="12" t="s">
        <v>98</v>
      </c>
      <c r="D64" s="13">
        <v>7500</v>
      </c>
      <c r="E64" s="12" t="s">
        <v>390</v>
      </c>
      <c r="F64" s="17"/>
    </row>
    <row r="65" spans="1:6" ht="14.25" customHeight="1" x14ac:dyDescent="0.35">
      <c r="A65" s="12" t="s">
        <v>1641</v>
      </c>
      <c r="B65" s="12" t="s">
        <v>1642</v>
      </c>
      <c r="C65" s="12" t="s">
        <v>98</v>
      </c>
      <c r="D65" s="13">
        <v>30000</v>
      </c>
      <c r="E65" s="12" t="s">
        <v>390</v>
      </c>
      <c r="F65" s="17"/>
    </row>
    <row r="66" spans="1:6" ht="14.25" customHeight="1" x14ac:dyDescent="0.35">
      <c r="A66" s="12" t="s">
        <v>1643</v>
      </c>
      <c r="B66" s="12" t="s">
        <v>1644</v>
      </c>
      <c r="C66" s="12" t="s">
        <v>1521</v>
      </c>
      <c r="D66" s="13">
        <v>200000</v>
      </c>
      <c r="E66" s="12" t="s">
        <v>390</v>
      </c>
      <c r="F66" s="17"/>
    </row>
    <row r="67" spans="1:6" ht="14.25" customHeight="1" x14ac:dyDescent="0.35">
      <c r="A67" s="12" t="s">
        <v>1645</v>
      </c>
      <c r="B67" s="12" t="s">
        <v>397</v>
      </c>
      <c r="C67" s="12" t="s">
        <v>41</v>
      </c>
      <c r="D67" s="13">
        <v>806885.98632321204</v>
      </c>
      <c r="E67" s="12" t="s">
        <v>2001</v>
      </c>
      <c r="F67" s="17"/>
    </row>
    <row r="68" spans="1:6" ht="14.25" customHeight="1" x14ac:dyDescent="0.35">
      <c r="A68" s="12" t="s">
        <v>1646</v>
      </c>
      <c r="B68" s="12" t="s">
        <v>400</v>
      </c>
      <c r="C68" s="12" t="s">
        <v>41</v>
      </c>
      <c r="D68" s="13">
        <v>1623254.46014153</v>
      </c>
      <c r="E68" s="12" t="s">
        <v>2001</v>
      </c>
      <c r="F68" s="17"/>
    </row>
    <row r="69" spans="1:6" ht="14.25" customHeight="1" x14ac:dyDescent="0.35">
      <c r="A69" s="12" t="s">
        <v>1647</v>
      </c>
      <c r="B69" s="12" t="s">
        <v>402</v>
      </c>
      <c r="C69" s="12" t="s">
        <v>41</v>
      </c>
      <c r="D69" s="13">
        <v>300000</v>
      </c>
      <c r="E69" s="12" t="s">
        <v>2001</v>
      </c>
      <c r="F69" s="17"/>
    </row>
    <row r="70" spans="1:6" ht="14.25" customHeight="1" x14ac:dyDescent="0.35">
      <c r="A70" s="12" t="s">
        <v>1648</v>
      </c>
      <c r="B70" s="12" t="s">
        <v>1649</v>
      </c>
      <c r="C70" s="12" t="s">
        <v>41</v>
      </c>
      <c r="D70" s="13">
        <v>300000</v>
      </c>
      <c r="E70" s="12" t="s">
        <v>2001</v>
      </c>
      <c r="F70" s="17"/>
    </row>
    <row r="71" spans="1:6" ht="14.25" customHeight="1" x14ac:dyDescent="0.35">
      <c r="A71" s="12" t="s">
        <v>1650</v>
      </c>
      <c r="B71" s="12" t="s">
        <v>416</v>
      </c>
      <c r="C71" s="12" t="s">
        <v>41</v>
      </c>
      <c r="D71" s="13">
        <v>3246508.9202830601</v>
      </c>
      <c r="E71" s="12" t="s">
        <v>2001</v>
      </c>
      <c r="F71" s="17"/>
    </row>
    <row r="72" spans="1:6" ht="14.25" customHeight="1" x14ac:dyDescent="0.35">
      <c r="A72" s="12" t="s">
        <v>1651</v>
      </c>
      <c r="B72" s="12" t="s">
        <v>418</v>
      </c>
      <c r="C72" s="12" t="s">
        <v>41</v>
      </c>
      <c r="D72" s="13">
        <v>500000</v>
      </c>
      <c r="E72" s="12" t="s">
        <v>2001</v>
      </c>
      <c r="F72" s="17"/>
    </row>
    <row r="73" spans="1:6" ht="14.25" customHeight="1" x14ac:dyDescent="0.35">
      <c r="A73" s="12" t="s">
        <v>1652</v>
      </c>
      <c r="B73" s="12" t="s">
        <v>1653</v>
      </c>
      <c r="C73" s="12" t="s">
        <v>50</v>
      </c>
      <c r="D73" s="13">
        <v>12775.619318344399</v>
      </c>
      <c r="E73" s="12" t="s">
        <v>2002</v>
      </c>
      <c r="F73" s="17"/>
    </row>
    <row r="74" spans="1:6" ht="14.25" customHeight="1" x14ac:dyDescent="0.35">
      <c r="A74" s="12" t="s">
        <v>1654</v>
      </c>
      <c r="B74" s="12" t="s">
        <v>1655</v>
      </c>
      <c r="C74" s="12" t="s">
        <v>50</v>
      </c>
      <c r="D74" s="13">
        <v>1</v>
      </c>
      <c r="E74" s="12" t="s">
        <v>390</v>
      </c>
      <c r="F74" s="17"/>
    </row>
    <row r="75" spans="1:6" ht="14.25" customHeight="1" x14ac:dyDescent="0.35">
      <c r="A75" s="12" t="s">
        <v>1656</v>
      </c>
      <c r="B75" s="12" t="s">
        <v>1657</v>
      </c>
      <c r="C75" s="12" t="s">
        <v>26</v>
      </c>
      <c r="D75" s="13">
        <v>931720.65894092806</v>
      </c>
      <c r="E75" s="12" t="s">
        <v>638</v>
      </c>
    </row>
    <row r="76" spans="1:6" ht="14.25" customHeight="1" x14ac:dyDescent="0.35">
      <c r="A76" s="12" t="s">
        <v>1658</v>
      </c>
      <c r="B76" s="12" t="s">
        <v>1659</v>
      </c>
      <c r="C76" s="12" t="s">
        <v>26</v>
      </c>
      <c r="D76" s="13">
        <v>7439542.8720526099</v>
      </c>
      <c r="E76" s="12" t="s">
        <v>638</v>
      </c>
    </row>
    <row r="77" spans="1:6" ht="14.25" customHeight="1" x14ac:dyDescent="0.35">
      <c r="A77" s="12" t="s">
        <v>1660</v>
      </c>
      <c r="B77" s="12" t="s">
        <v>1661</v>
      </c>
      <c r="C77" s="12" t="s">
        <v>26</v>
      </c>
      <c r="D77" s="13">
        <v>2179040.2308093999</v>
      </c>
      <c r="E77" s="12" t="s">
        <v>638</v>
      </c>
    </row>
    <row r="78" spans="1:6" ht="14.25" customHeight="1" x14ac:dyDescent="0.35">
      <c r="A78" s="12" t="s">
        <v>1662</v>
      </c>
      <c r="B78" s="12" t="s">
        <v>1663</v>
      </c>
      <c r="C78" s="12" t="s">
        <v>26</v>
      </c>
      <c r="D78" s="13">
        <v>931720.65894092806</v>
      </c>
      <c r="E78" s="12" t="s">
        <v>638</v>
      </c>
    </row>
    <row r="79" spans="1:6" ht="14.25" customHeight="1" x14ac:dyDescent="0.35">
      <c r="A79" s="12" t="s">
        <v>1664</v>
      </c>
      <c r="B79" s="12" t="s">
        <v>1665</v>
      </c>
      <c r="C79" s="12" t="s">
        <v>26</v>
      </c>
      <c r="D79" s="13">
        <v>3537598.1952882898</v>
      </c>
      <c r="E79" s="12" t="s">
        <v>638</v>
      </c>
    </row>
    <row r="80" spans="1:6" ht="14.25" customHeight="1" x14ac:dyDescent="0.35">
      <c r="A80" s="12" t="s">
        <v>1666</v>
      </c>
      <c r="B80" s="12" t="s">
        <v>1667</v>
      </c>
      <c r="C80" s="12" t="s">
        <v>26</v>
      </c>
      <c r="D80" s="13">
        <v>1746247.40061585</v>
      </c>
      <c r="E80" s="12" t="s">
        <v>638</v>
      </c>
    </row>
    <row r="81" spans="1:5" ht="14.25" customHeight="1" x14ac:dyDescent="0.35">
      <c r="A81" s="12" t="s">
        <v>1668</v>
      </c>
      <c r="B81" s="12" t="s">
        <v>1669</v>
      </c>
      <c r="C81" s="12" t="s">
        <v>26</v>
      </c>
      <c r="D81" s="13">
        <v>3598731.4622267298</v>
      </c>
      <c r="E81" s="12" t="s">
        <v>638</v>
      </c>
    </row>
    <row r="82" spans="1:5" ht="14.25" customHeight="1" x14ac:dyDescent="0.35">
      <c r="A82" s="12" t="s">
        <v>1670</v>
      </c>
      <c r="B82" s="12" t="s">
        <v>1671</v>
      </c>
      <c r="C82" s="12" t="s">
        <v>26</v>
      </c>
      <c r="D82" s="13">
        <v>2500015.0564415599</v>
      </c>
      <c r="E82" s="12" t="s">
        <v>638</v>
      </c>
    </row>
    <row r="83" spans="1:5" ht="14.25" customHeight="1" x14ac:dyDescent="0.35">
      <c r="A83" s="12" t="s">
        <v>1672</v>
      </c>
      <c r="B83" s="12" t="s">
        <v>1673</v>
      </c>
      <c r="C83" s="12" t="s">
        <v>26</v>
      </c>
      <c r="D83" s="13">
        <v>1199577.15407558</v>
      </c>
      <c r="E83" s="12" t="s">
        <v>638</v>
      </c>
    </row>
    <row r="84" spans="1:5" ht="14.25" customHeight="1" x14ac:dyDescent="0.35">
      <c r="A84" s="12" t="s">
        <v>1674</v>
      </c>
      <c r="B84" s="12" t="s">
        <v>1675</v>
      </c>
      <c r="C84" s="12" t="s">
        <v>26</v>
      </c>
      <c r="D84" s="13">
        <v>9188039.2000978701</v>
      </c>
      <c r="E84" s="12" t="s">
        <v>638</v>
      </c>
    </row>
    <row r="85" spans="1:5" ht="14.25" customHeight="1" x14ac:dyDescent="0.35">
      <c r="A85" s="12" t="s">
        <v>1676</v>
      </c>
      <c r="B85" s="12" t="s">
        <v>1677</v>
      </c>
      <c r="C85" s="12" t="s">
        <v>26</v>
      </c>
      <c r="D85" s="13">
        <v>5079485.0755870203</v>
      </c>
      <c r="E85" s="12" t="s">
        <v>638</v>
      </c>
    </row>
    <row r="86" spans="1:5" ht="14.25" customHeight="1" x14ac:dyDescent="0.35">
      <c r="A86" s="12" t="s">
        <v>1678</v>
      </c>
      <c r="B86" s="12" t="s">
        <v>1679</v>
      </c>
      <c r="C86" s="12" t="s">
        <v>26</v>
      </c>
      <c r="D86" s="13">
        <v>1746247.40061585</v>
      </c>
      <c r="E86" s="12" t="s">
        <v>638</v>
      </c>
    </row>
    <row r="87" spans="1:5" ht="14.25" customHeight="1" x14ac:dyDescent="0.35">
      <c r="A87" s="12" t="s">
        <v>1680</v>
      </c>
      <c r="B87" s="12" t="s">
        <v>1681</v>
      </c>
      <c r="C87" s="12" t="s">
        <v>26</v>
      </c>
      <c r="D87" s="13">
        <v>3490533.2546783499</v>
      </c>
      <c r="E87" s="12" t="s">
        <v>439</v>
      </c>
    </row>
    <row r="88" spans="1:5" ht="14.25" customHeight="1" x14ac:dyDescent="0.35">
      <c r="A88" s="12" t="s">
        <v>1682</v>
      </c>
      <c r="B88" s="12" t="s">
        <v>1683</v>
      </c>
      <c r="C88" s="12" t="s">
        <v>26</v>
      </c>
      <c r="D88" s="13">
        <v>4970416.6359473299</v>
      </c>
      <c r="E88" s="12" t="s">
        <v>833</v>
      </c>
    </row>
    <row r="89" spans="1:5" ht="14.25" customHeight="1" x14ac:dyDescent="0.35">
      <c r="A89" s="12" t="s">
        <v>1684</v>
      </c>
      <c r="B89" s="12" t="s">
        <v>1685</v>
      </c>
      <c r="C89" s="12" t="s">
        <v>26</v>
      </c>
      <c r="D89" s="13">
        <v>498927.82874738699</v>
      </c>
      <c r="E89" s="12" t="s">
        <v>833</v>
      </c>
    </row>
    <row r="90" spans="1:5" ht="14.25" customHeight="1" x14ac:dyDescent="0.35">
      <c r="A90" s="12" t="s">
        <v>1686</v>
      </c>
      <c r="B90" s="12" t="s">
        <v>1687</v>
      </c>
      <c r="C90" s="12" t="s">
        <v>98</v>
      </c>
      <c r="D90" s="13">
        <v>247500</v>
      </c>
      <c r="E90" s="12" t="s">
        <v>2000</v>
      </c>
    </row>
    <row r="91" spans="1:5" ht="14.25" customHeight="1" x14ac:dyDescent="0.35">
      <c r="A91" s="12" t="s">
        <v>1688</v>
      </c>
      <c r="B91" s="12" t="s">
        <v>1689</v>
      </c>
      <c r="C91" s="12" t="s">
        <v>26</v>
      </c>
      <c r="D91" s="13">
        <v>450000</v>
      </c>
      <c r="E91" s="12" t="s">
        <v>833</v>
      </c>
    </row>
    <row r="92" spans="1:5" ht="14.25" customHeight="1" x14ac:dyDescent="0.35">
      <c r="A92" s="12" t="s">
        <v>1690</v>
      </c>
      <c r="B92" s="12" t="s">
        <v>1691</v>
      </c>
      <c r="C92" s="12" t="s">
        <v>26</v>
      </c>
      <c r="D92" s="13">
        <v>550000</v>
      </c>
      <c r="E92" s="12" t="s">
        <v>833</v>
      </c>
    </row>
    <row r="93" spans="1:5" ht="14.25" customHeight="1" x14ac:dyDescent="0.35">
      <c r="A93" s="12" t="s">
        <v>1692</v>
      </c>
      <c r="B93" s="12" t="s">
        <v>1693</v>
      </c>
      <c r="C93" s="12" t="s">
        <v>26</v>
      </c>
      <c r="D93" s="13">
        <v>400000</v>
      </c>
      <c r="E93" s="12" t="s">
        <v>833</v>
      </c>
    </row>
    <row r="94" spans="1:5" ht="14.25" customHeight="1" x14ac:dyDescent="0.35">
      <c r="A94" s="12" t="s">
        <v>1694</v>
      </c>
      <c r="B94" s="12" t="s">
        <v>1695</v>
      </c>
      <c r="C94" s="12" t="s">
        <v>36</v>
      </c>
      <c r="D94" s="13">
        <f>4324.04776527307*28</f>
        <v>121073.33742764595</v>
      </c>
      <c r="E94" s="12" t="s">
        <v>592</v>
      </c>
    </row>
    <row r="95" spans="1:5" ht="14.25" customHeight="1" x14ac:dyDescent="0.35">
      <c r="A95" s="12" t="s">
        <v>1696</v>
      </c>
      <c r="B95" s="12" t="s">
        <v>1697</v>
      </c>
      <c r="C95" s="12" t="s">
        <v>50</v>
      </c>
      <c r="D95" s="13">
        <v>4940.3618924206503</v>
      </c>
      <c r="E95" s="12" t="s">
        <v>592</v>
      </c>
    </row>
  </sheetData>
  <autoFilter ref="A1:F9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selection activeCell="B11" sqref="B11"/>
    </sheetView>
  </sheetViews>
  <sheetFormatPr defaultColWidth="8.6328125" defaultRowHeight="14.5" x14ac:dyDescent="0.35"/>
  <cols>
    <col min="1" max="1" width="12" style="27" customWidth="1"/>
    <col min="2" max="2" width="35" style="27" customWidth="1"/>
    <col min="3" max="3" width="16.08984375" style="28" customWidth="1"/>
    <col min="4" max="4" width="16.6328125" style="97" customWidth="1"/>
    <col min="5" max="5" width="17.90625" style="28" customWidth="1"/>
    <col min="6" max="6" width="8.81640625" style="27" customWidth="1"/>
    <col min="7" max="7" width="15.6328125" style="27" customWidth="1"/>
    <col min="8" max="16384" width="8.6328125" style="27"/>
  </cols>
  <sheetData>
    <row r="1" spans="1:7" ht="14.25" customHeight="1" x14ac:dyDescent="0.35">
      <c r="A1" s="7" t="s">
        <v>529</v>
      </c>
      <c r="B1" s="7" t="s">
        <v>6</v>
      </c>
      <c r="C1" s="9" t="s">
        <v>1282</v>
      </c>
      <c r="D1" s="10" t="s">
        <v>1283</v>
      </c>
      <c r="E1" s="9" t="s">
        <v>1284</v>
      </c>
      <c r="F1" s="7" t="s">
        <v>508</v>
      </c>
      <c r="G1" s="7" t="s">
        <v>1285</v>
      </c>
    </row>
    <row r="2" spans="1:7" ht="14.25" customHeight="1" x14ac:dyDescent="0.35">
      <c r="A2" s="12" t="s">
        <v>2038</v>
      </c>
      <c r="B2" s="12" t="s">
        <v>1287</v>
      </c>
      <c r="C2" s="107">
        <v>67240.498860267602</v>
      </c>
      <c r="D2" s="100">
        <f>CONFIG!C22</f>
        <v>1.7452228399641891</v>
      </c>
      <c r="E2" s="29">
        <f>C2*D2</f>
        <v>117349.65438152505</v>
      </c>
      <c r="F2" s="17" t="s">
        <v>1286</v>
      </c>
      <c r="G2" s="17"/>
    </row>
    <row r="3" spans="1:7" ht="14.25" customHeight="1" x14ac:dyDescent="0.35">
      <c r="A3" s="12" t="s">
        <v>1288</v>
      </c>
      <c r="B3" s="12" t="s">
        <v>1289</v>
      </c>
      <c r="C3" s="107">
        <v>72132.138365590101</v>
      </c>
      <c r="D3" s="100">
        <f>CONFIG!C22</f>
        <v>1.7452228399641891</v>
      </c>
      <c r="E3" s="29">
        <f t="shared" ref="E3:E12" si="0">C3*D3</f>
        <v>125886.655371085</v>
      </c>
      <c r="F3" s="17" t="s">
        <v>1286</v>
      </c>
      <c r="G3" s="17"/>
    </row>
    <row r="4" spans="1:7" ht="14.25" customHeight="1" x14ac:dyDescent="0.35">
      <c r="A4" s="12" t="s">
        <v>1290</v>
      </c>
      <c r="B4" s="12" t="s">
        <v>1291</v>
      </c>
      <c r="C4" s="107">
        <v>84612.512709566407</v>
      </c>
      <c r="D4" s="100">
        <f>CONFIG!C22</f>
        <v>1.7452228399641891</v>
      </c>
      <c r="E4" s="29">
        <f t="shared" si="0"/>
        <v>147667.68972749554</v>
      </c>
      <c r="F4" s="17" t="s">
        <v>1286</v>
      </c>
      <c r="G4" s="17"/>
    </row>
    <row r="5" spans="1:7" ht="14.25" customHeight="1" x14ac:dyDescent="0.35">
      <c r="A5" s="12" t="s">
        <v>1292</v>
      </c>
      <c r="B5" s="12" t="s">
        <v>2039</v>
      </c>
      <c r="C5" s="107">
        <v>94177.137883538904</v>
      </c>
      <c r="D5" s="100">
        <f>CONFIG!C22</f>
        <v>1.7452228399641891</v>
      </c>
      <c r="E5" s="29">
        <f t="shared" si="0"/>
        <v>164360.09203680878</v>
      </c>
      <c r="F5" s="17" t="s">
        <v>1286</v>
      </c>
      <c r="G5" s="17"/>
    </row>
    <row r="6" spans="1:7" ht="14.25" customHeight="1" x14ac:dyDescent="0.35">
      <c r="A6" s="12" t="s">
        <v>1293</v>
      </c>
      <c r="B6" s="12" t="s">
        <v>1294</v>
      </c>
      <c r="C6" s="107">
        <v>147568.587285594</v>
      </c>
      <c r="D6" s="100">
        <f>CONFIG!C22</f>
        <v>1.7452228399641891</v>
      </c>
      <c r="E6" s="29">
        <f t="shared" si="0"/>
        <v>257540.06899206768</v>
      </c>
      <c r="F6" s="17" t="s">
        <v>1295</v>
      </c>
      <c r="G6" s="17"/>
    </row>
    <row r="7" spans="1:7" ht="14.25" customHeight="1" x14ac:dyDescent="0.35">
      <c r="A7" s="12" t="s">
        <v>1296</v>
      </c>
      <c r="B7" s="12" t="s">
        <v>1297</v>
      </c>
      <c r="C7" s="107">
        <v>161430.42010097901</v>
      </c>
      <c r="D7" s="100">
        <f>CONFIG!C22</f>
        <v>1.7452228399641891</v>
      </c>
      <c r="E7" s="29">
        <f t="shared" si="0"/>
        <v>281732.05622524273</v>
      </c>
      <c r="F7" s="17" t="s">
        <v>1295</v>
      </c>
      <c r="G7" s="17"/>
    </row>
    <row r="8" spans="1:7" ht="14.25" customHeight="1" x14ac:dyDescent="0.35">
      <c r="A8" s="12" t="s">
        <v>1298</v>
      </c>
      <c r="B8" s="12" t="s">
        <v>1299</v>
      </c>
      <c r="C8" s="107">
        <v>188354.27576707801</v>
      </c>
      <c r="D8" s="100">
        <f>CONFIG!C22</f>
        <v>1.7452228399641891</v>
      </c>
      <c r="E8" s="29">
        <f t="shared" si="0"/>
        <v>328720.18407361791</v>
      </c>
      <c r="F8" s="17" t="s">
        <v>1286</v>
      </c>
      <c r="G8" s="17"/>
    </row>
    <row r="9" spans="1:7" ht="14.25" customHeight="1" x14ac:dyDescent="0.35">
      <c r="A9" s="12" t="s">
        <v>1300</v>
      </c>
      <c r="B9" s="12" t="s">
        <v>1301</v>
      </c>
      <c r="C9" s="107">
        <v>214394.06177409799</v>
      </c>
      <c r="D9" s="100">
        <f>CONFIG!C22</f>
        <v>1.7452228399641891</v>
      </c>
      <c r="E9" s="29">
        <f t="shared" si="0"/>
        <v>374165.41336084908</v>
      </c>
      <c r="F9" s="17" t="s">
        <v>1295</v>
      </c>
      <c r="G9" s="17"/>
    </row>
    <row r="10" spans="1:7" ht="14.25" customHeight="1" x14ac:dyDescent="0.35">
      <c r="A10" s="12" t="s">
        <v>1302</v>
      </c>
      <c r="B10" s="12" t="s">
        <v>1303</v>
      </c>
      <c r="C10" s="107">
        <v>258581.92945581101</v>
      </c>
      <c r="D10" s="100">
        <f>CONFIG!C22</f>
        <v>1.7452228399641891</v>
      </c>
      <c r="E10" s="29">
        <f t="shared" si="0"/>
        <v>451283.08928829012</v>
      </c>
      <c r="F10" s="17" t="s">
        <v>1295</v>
      </c>
      <c r="G10" s="17"/>
    </row>
    <row r="11" spans="1:7" ht="14.25" customHeight="1" x14ac:dyDescent="0.35">
      <c r="A11" s="12" t="s">
        <v>1304</v>
      </c>
      <c r="B11" s="12" t="s">
        <v>1305</v>
      </c>
      <c r="C11" s="107">
        <v>157396.08904101301</v>
      </c>
      <c r="D11" s="100">
        <f>CONFIG!C22</f>
        <v>1.7452228399641891</v>
      </c>
      <c r="E11" s="29">
        <f t="shared" si="0"/>
        <v>274691.24951541313</v>
      </c>
      <c r="F11" s="17" t="s">
        <v>1286</v>
      </c>
    </row>
    <row r="12" spans="1:7" ht="14.25" customHeight="1" x14ac:dyDescent="0.35">
      <c r="A12" s="12" t="s">
        <v>1306</v>
      </c>
      <c r="B12" s="12" t="s">
        <v>1307</v>
      </c>
      <c r="C12" s="107">
        <v>63408.112649279799</v>
      </c>
      <c r="D12" s="100">
        <f>CONFIG!C22</f>
        <v>1.7452228399641891</v>
      </c>
      <c r="E12" s="29">
        <f t="shared" si="0"/>
        <v>110661.28643454531</v>
      </c>
      <c r="F12" s="17" t="s">
        <v>1286</v>
      </c>
    </row>
  </sheetData>
  <autoFilter ref="A1:G1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865"/>
  <sheetViews>
    <sheetView tabSelected="1" zoomScaleNormal="100" workbookViewId="0">
      <pane xSplit="4" ySplit="1" topLeftCell="F2" activePane="bottomRight" state="frozen"/>
      <selection activeCell="Q1" sqref="Q1"/>
      <selection pane="topRight" activeCell="Q1" sqref="Q1"/>
      <selection pane="bottomLeft" activeCell="Q1" sqref="Q1"/>
      <selection pane="bottomRight" activeCell="Q6" sqref="Q6"/>
    </sheetView>
  </sheetViews>
  <sheetFormatPr defaultColWidth="8.6328125" defaultRowHeight="14.5" x14ac:dyDescent="0.35"/>
  <cols>
    <col min="1" max="1" width="9.08984375" style="27" customWidth="1"/>
    <col min="2" max="2" width="6" style="27" customWidth="1"/>
    <col min="3" max="4" width="8" style="27" customWidth="1"/>
    <col min="5" max="5" width="29.81640625" style="27" customWidth="1"/>
    <col min="6" max="6" width="3.6328125" style="104" bestFit="1" customWidth="1"/>
    <col min="7" max="7" width="10" style="97" customWidth="1"/>
    <col min="8" max="8" width="8" style="98" customWidth="1"/>
    <col min="9" max="9" width="14" style="99" customWidth="1"/>
    <col min="10" max="10" width="14" style="28" customWidth="1"/>
    <col min="11" max="16" width="8.6328125" style="27"/>
    <col min="17" max="17" width="10.54296875" style="27" customWidth="1"/>
    <col min="18" max="16384" width="8.6328125" style="27"/>
  </cols>
  <sheetData>
    <row r="1" spans="1:18" ht="14.25" customHeight="1" x14ac:dyDescent="0.35">
      <c r="A1" s="7" t="s">
        <v>1969</v>
      </c>
      <c r="B1" s="7" t="s">
        <v>508</v>
      </c>
      <c r="C1" s="7" t="s">
        <v>1970</v>
      </c>
      <c r="D1" s="7" t="s">
        <v>1971</v>
      </c>
      <c r="E1" s="7" t="s">
        <v>6</v>
      </c>
      <c r="F1" s="7" t="s">
        <v>2040</v>
      </c>
      <c r="G1" s="10" t="s">
        <v>1972</v>
      </c>
      <c r="H1" s="94" t="s">
        <v>1973</v>
      </c>
      <c r="I1" s="94" t="s">
        <v>1974</v>
      </c>
      <c r="J1" s="9" t="s">
        <v>1975</v>
      </c>
      <c r="K1" s="7" t="s">
        <v>1976</v>
      </c>
      <c r="L1" s="7" t="s">
        <v>1977</v>
      </c>
      <c r="M1" s="7" t="s">
        <v>1978</v>
      </c>
      <c r="N1" s="7" t="s">
        <v>2041</v>
      </c>
      <c r="O1" s="122" t="s">
        <v>2043</v>
      </c>
      <c r="P1" s="122" t="s">
        <v>2044</v>
      </c>
      <c r="Q1" s="122" t="s">
        <v>2045</v>
      </c>
      <c r="R1" s="124" t="s">
        <v>2046</v>
      </c>
    </row>
    <row r="2" spans="1:18" ht="14.25" customHeight="1" x14ac:dyDescent="0.35">
      <c r="A2" s="105" t="s">
        <v>1710</v>
      </c>
      <c r="B2" s="105" t="s">
        <v>1979</v>
      </c>
      <c r="C2" s="105" t="s">
        <v>1980</v>
      </c>
      <c r="D2" s="105" t="s">
        <v>1292</v>
      </c>
      <c r="E2" s="95" t="str">
        <f>IFERROR(VLOOKUP(D2,MANO_DE_OBRA!A:B,2,FALSE()),"?")</f>
        <v>ESPECIALIZADO</v>
      </c>
      <c r="F2" s="129" t="s">
        <v>2042</v>
      </c>
      <c r="G2" s="119">
        <v>1</v>
      </c>
      <c r="H2" s="120">
        <v>0</v>
      </c>
      <c r="I2" s="96">
        <f>IFERROR(VLOOKUP(D2,MANO_DE_OBRA!A:C,3,FALSE()),0)</f>
        <v>94177.137883538904</v>
      </c>
      <c r="J2" s="31">
        <f t="shared" ref="J2:J8" si="0">G2*I2</f>
        <v>94177.137883538904</v>
      </c>
      <c r="K2" s="32" t="str">
        <f t="shared" ref="K2:K63" si="1">A2&amp;"|"&amp;B2</f>
        <v>APU-101|MO</v>
      </c>
      <c r="L2" s="32">
        <f>COUNTIFS($K$2:K2,K2)</f>
        <v>1</v>
      </c>
      <c r="M2" s="32" t="str">
        <f t="shared" ref="M2:M63" si="2">K2&amp;"|"&amp;L2</f>
        <v>APU-101|MO|1</v>
      </c>
      <c r="N2" s="121">
        <f>IFERROR(VLOOKUP(A2,PARTIDAS!A:F,6,FALSE()),0)</f>
        <v>1</v>
      </c>
      <c r="O2" s="123">
        <f>+IF(C2="ALB",G2/N2,0)</f>
        <v>1</v>
      </c>
      <c r="P2" s="123" t="str">
        <f>+_xlfn.XLOOKUP(A2,PPTO_GENERADOR!Q:Q,PPTO_GENERADOR!E:E,"-",0)</f>
        <v>-</v>
      </c>
      <c r="Q2" s="123">
        <f>IFERROR(P2*O2,0)</f>
        <v>0</v>
      </c>
      <c r="R2" s="125" t="str">
        <f>+_xlfn.XLOOKUP(A2,PPTO_GENERADOR!$Q:$Q,PPTO_GENERADOR!A:A,"-",0)</f>
        <v>-</v>
      </c>
    </row>
    <row r="3" spans="1:18" ht="14.25" customHeight="1" x14ac:dyDescent="0.35">
      <c r="A3" s="105" t="s">
        <v>1710</v>
      </c>
      <c r="B3" s="105" t="s">
        <v>1979</v>
      </c>
      <c r="C3" s="105" t="s">
        <v>1980</v>
      </c>
      <c r="D3" s="105" t="s">
        <v>2038</v>
      </c>
      <c r="E3" s="95" t="str">
        <f>IFERROR(VLOOKUP(D3,MANO_DE_OBRA!A:B,2,FALSE()),"?")</f>
        <v>AYUDANTE</v>
      </c>
      <c r="F3" s="129" t="s">
        <v>2042</v>
      </c>
      <c r="G3" s="119">
        <v>1</v>
      </c>
      <c r="H3" s="120">
        <v>0</v>
      </c>
      <c r="I3" s="96">
        <f>IFERROR(VLOOKUP(D3,MANO_DE_OBRA!A:C,3,FALSE()),0)</f>
        <v>67240.498860267602</v>
      </c>
      <c r="J3" s="31">
        <f t="shared" si="0"/>
        <v>67240.498860267602</v>
      </c>
      <c r="K3" s="32" t="str">
        <f t="shared" si="1"/>
        <v>APU-101|MO</v>
      </c>
      <c r="L3" s="32">
        <f>COUNTIFS($K$2:K3,K3)</f>
        <v>2</v>
      </c>
      <c r="M3" s="32" t="str">
        <f t="shared" si="2"/>
        <v>APU-101|MO|2</v>
      </c>
      <c r="N3" s="121">
        <f>IFERROR(VLOOKUP(A3,PARTIDAS!A:F,6,FALSE()),0)</f>
        <v>1</v>
      </c>
      <c r="O3" s="123">
        <f t="shared" ref="O3:O66" si="3">+IF(C3="ALB",G3/N3,0)</f>
        <v>1</v>
      </c>
      <c r="P3" s="123" t="str">
        <f>+_xlfn.XLOOKUP(A3,PPTO_GENERADOR!Q:Q,PPTO_GENERADOR!E:E,"-",0)</f>
        <v>-</v>
      </c>
      <c r="Q3" s="123">
        <f t="shared" ref="Q3:Q66" si="4">IFERROR(P3*O3,0)</f>
        <v>0</v>
      </c>
      <c r="R3" s="125" t="str">
        <f>+_xlfn.XLOOKUP(A3,PPTO_GENERADOR!$Q:$Q,PPTO_GENERADOR!A:A,"-",0)</f>
        <v>-</v>
      </c>
    </row>
    <row r="4" spans="1:18" ht="14.25" customHeight="1" x14ac:dyDescent="0.35">
      <c r="A4" s="105" t="s">
        <v>1715</v>
      </c>
      <c r="B4" s="105" t="s">
        <v>1979</v>
      </c>
      <c r="C4" s="105" t="s">
        <v>1980</v>
      </c>
      <c r="D4" s="105" t="s">
        <v>1292</v>
      </c>
      <c r="E4" s="95" t="str">
        <f>IFERROR(VLOOKUP(D4,MANO_DE_OBRA!A:B,2,FALSE()),"?")</f>
        <v>ESPECIALIZADO</v>
      </c>
      <c r="F4" s="129" t="s">
        <v>2042</v>
      </c>
      <c r="G4" s="119">
        <v>1</v>
      </c>
      <c r="H4" s="120">
        <v>0</v>
      </c>
      <c r="I4" s="96">
        <f>IFERROR(VLOOKUP(D4,MANO_DE_OBRA!A:C,3,FALSE()),0)</f>
        <v>94177.137883538904</v>
      </c>
      <c r="J4" s="31">
        <f t="shared" si="0"/>
        <v>94177.137883538904</v>
      </c>
      <c r="K4" s="32" t="str">
        <f t="shared" si="1"/>
        <v>BAN-106|MO</v>
      </c>
      <c r="L4" s="32">
        <f>COUNTIFS($K$2:K4,K4)</f>
        <v>1</v>
      </c>
      <c r="M4" s="32" t="str">
        <f t="shared" si="2"/>
        <v>BAN-106|MO|1</v>
      </c>
      <c r="N4" s="121">
        <f>IFERROR(VLOOKUP(A4,PARTIDAS!A:F,6,FALSE()),0)</f>
        <v>3.8</v>
      </c>
      <c r="O4" s="123">
        <f t="shared" si="3"/>
        <v>0.26315789473684209</v>
      </c>
      <c r="P4" s="123" t="str">
        <f>+_xlfn.XLOOKUP(A4,PPTO_GENERADOR!Q:Q,PPTO_GENERADOR!E:E,"-",0)</f>
        <v>-</v>
      </c>
      <c r="Q4" s="123">
        <f t="shared" si="4"/>
        <v>0</v>
      </c>
      <c r="R4" s="125" t="str">
        <f>+_xlfn.XLOOKUP(A4,PPTO_GENERADOR!$Q:$Q,PPTO_GENERADOR!A:A,"-",0)</f>
        <v>-</v>
      </c>
    </row>
    <row r="5" spans="1:18" ht="14.25" customHeight="1" x14ac:dyDescent="0.35">
      <c r="A5" s="105" t="s">
        <v>1715</v>
      </c>
      <c r="B5" s="105" t="s">
        <v>1979</v>
      </c>
      <c r="C5" s="105" t="s">
        <v>1980</v>
      </c>
      <c r="D5" s="105" t="s">
        <v>2038</v>
      </c>
      <c r="E5" s="95" t="str">
        <f>IFERROR(VLOOKUP(D5,MANO_DE_OBRA!A:B,2,FALSE()),"?")</f>
        <v>AYUDANTE</v>
      </c>
      <c r="F5" s="129" t="s">
        <v>2042</v>
      </c>
      <c r="G5" s="119">
        <v>1</v>
      </c>
      <c r="H5" s="120">
        <v>0</v>
      </c>
      <c r="I5" s="96">
        <f>IFERROR(VLOOKUP(D5,MANO_DE_OBRA!A:C,3,FALSE()),0)</f>
        <v>67240.498860267602</v>
      </c>
      <c r="J5" s="31">
        <f t="shared" si="0"/>
        <v>67240.498860267602</v>
      </c>
      <c r="K5" s="32" t="str">
        <f t="shared" si="1"/>
        <v>BAN-106|MO</v>
      </c>
      <c r="L5" s="32">
        <f>COUNTIFS($K$2:K5,K5)</f>
        <v>2</v>
      </c>
      <c r="M5" s="32" t="str">
        <f t="shared" si="2"/>
        <v>BAN-106|MO|2</v>
      </c>
      <c r="N5" s="121">
        <f>IFERROR(VLOOKUP(A5,PARTIDAS!A:F,6,FALSE()),0)</f>
        <v>3.8</v>
      </c>
      <c r="O5" s="123">
        <f t="shared" si="3"/>
        <v>0.26315789473684209</v>
      </c>
      <c r="P5" s="123" t="str">
        <f>+_xlfn.XLOOKUP(A5,PPTO_GENERADOR!Q:Q,PPTO_GENERADOR!E:E,"-",0)</f>
        <v>-</v>
      </c>
      <c r="Q5" s="123">
        <f t="shared" si="4"/>
        <v>0</v>
      </c>
      <c r="R5" s="125" t="str">
        <f>+_xlfn.XLOOKUP(A5,PPTO_GENERADOR!$Q:$Q,PPTO_GENERADOR!A:A,"-",0)</f>
        <v>-</v>
      </c>
    </row>
    <row r="6" spans="1:18" ht="14.25" customHeight="1" x14ac:dyDescent="0.35">
      <c r="A6" s="105" t="s">
        <v>1720</v>
      </c>
      <c r="B6" s="105" t="s">
        <v>1979</v>
      </c>
      <c r="C6" s="105" t="s">
        <v>1980</v>
      </c>
      <c r="D6" s="105" t="s">
        <v>1292</v>
      </c>
      <c r="E6" s="95" t="str">
        <f>IFERROR(VLOOKUP(D6,MANO_DE_OBRA!A:B,2,FALSE()),"?")</f>
        <v>ESPECIALIZADO</v>
      </c>
      <c r="F6" s="129" t="s">
        <v>2042</v>
      </c>
      <c r="G6" s="119">
        <v>1</v>
      </c>
      <c r="H6" s="120">
        <v>0</v>
      </c>
      <c r="I6" s="96">
        <f>IFERROR(VLOOKUP(D6,MANO_DE_OBRA!A:C,3,FALSE()),0)</f>
        <v>94177.137883538904</v>
      </c>
      <c r="J6" s="31">
        <f t="shared" si="0"/>
        <v>94177.137883538904</v>
      </c>
      <c r="K6" s="32" t="str">
        <f t="shared" si="1"/>
        <v>ALB-110|MO</v>
      </c>
      <c r="L6" s="32">
        <f>COUNTIFS($K$2:K6,K6)</f>
        <v>1</v>
      </c>
      <c r="M6" s="32" t="str">
        <f t="shared" si="2"/>
        <v>ALB-110|MO|1</v>
      </c>
      <c r="N6" s="121">
        <f>IFERROR(VLOOKUP(A6,PARTIDAS!A:F,6,FALSE()),0)</f>
        <v>36</v>
      </c>
      <c r="O6" s="123">
        <f t="shared" si="3"/>
        <v>2.7777777777777776E-2</v>
      </c>
      <c r="P6" s="123" t="str">
        <f>+_xlfn.XLOOKUP(A6,PPTO_GENERADOR!Q:Q,PPTO_GENERADOR!E:E,"-",0)</f>
        <v>-</v>
      </c>
      <c r="Q6" s="123">
        <f t="shared" si="4"/>
        <v>0</v>
      </c>
      <c r="R6" s="125" t="str">
        <f>+_xlfn.XLOOKUP(A6,PPTO_GENERADOR!$Q:$Q,PPTO_GENERADOR!A:A,"-",0)</f>
        <v>-</v>
      </c>
    </row>
    <row r="7" spans="1:18" ht="14.25" customHeight="1" x14ac:dyDescent="0.35">
      <c r="A7" s="105" t="s">
        <v>1720</v>
      </c>
      <c r="B7" s="105" t="s">
        <v>1979</v>
      </c>
      <c r="C7" s="105" t="s">
        <v>1980</v>
      </c>
      <c r="D7" s="105" t="s">
        <v>2038</v>
      </c>
      <c r="E7" s="95" t="str">
        <f>IFERROR(VLOOKUP(D7,MANO_DE_OBRA!A:B,2,FALSE()),"?")</f>
        <v>AYUDANTE</v>
      </c>
      <c r="F7" s="129" t="s">
        <v>2042</v>
      </c>
      <c r="G7" s="119">
        <v>2</v>
      </c>
      <c r="H7" s="120">
        <v>0</v>
      </c>
      <c r="I7" s="96">
        <f>IFERROR(VLOOKUP(D7,MANO_DE_OBRA!A:C,3,FALSE()),0)</f>
        <v>67240.498860267602</v>
      </c>
      <c r="J7" s="31">
        <f t="shared" si="0"/>
        <v>134480.9977205352</v>
      </c>
      <c r="K7" s="32" t="str">
        <f t="shared" si="1"/>
        <v>ALB-110|MO</v>
      </c>
      <c r="L7" s="32">
        <f>COUNTIFS($K$2:K7,K7)</f>
        <v>2</v>
      </c>
      <c r="M7" s="32" t="str">
        <f t="shared" si="2"/>
        <v>ALB-110|MO|2</v>
      </c>
      <c r="N7" s="121">
        <f>IFERROR(VLOOKUP(A7,PARTIDAS!A:F,6,FALSE()),0)</f>
        <v>36</v>
      </c>
      <c r="O7" s="123">
        <f t="shared" si="3"/>
        <v>5.5555555555555552E-2</v>
      </c>
      <c r="P7" s="123" t="str">
        <f>+_xlfn.XLOOKUP(A7,PPTO_GENERADOR!Q:Q,PPTO_GENERADOR!E:E,"-",0)</f>
        <v>-</v>
      </c>
      <c r="Q7" s="123">
        <f t="shared" si="4"/>
        <v>0</v>
      </c>
      <c r="R7" s="125" t="str">
        <f>+_xlfn.XLOOKUP(A7,PPTO_GENERADOR!$Q:$Q,PPTO_GENERADOR!A:A,"-",0)</f>
        <v>-</v>
      </c>
    </row>
    <row r="8" spans="1:18" ht="14.25" customHeight="1" x14ac:dyDescent="0.35">
      <c r="A8" s="105" t="s">
        <v>1720</v>
      </c>
      <c r="B8" s="105" t="s">
        <v>1979</v>
      </c>
      <c r="C8" s="105" t="s">
        <v>1980</v>
      </c>
      <c r="D8" s="105" t="s">
        <v>1288</v>
      </c>
      <c r="E8" s="95" t="str">
        <f>IFERROR(VLOOKUP(D8,MANO_DE_OBRA!A:B,2,FALSE()),"?")</f>
        <v>MEDIO OFICIAL</v>
      </c>
      <c r="F8" s="129" t="s">
        <v>2042</v>
      </c>
      <c r="G8" s="119">
        <v>5</v>
      </c>
      <c r="H8" s="120">
        <v>0</v>
      </c>
      <c r="I8" s="96">
        <f>IFERROR(VLOOKUP(D8,MANO_DE_OBRA!A:C,3,FALSE()),0)</f>
        <v>72132.138365590101</v>
      </c>
      <c r="J8" s="31">
        <f t="shared" si="0"/>
        <v>360660.69182795053</v>
      </c>
      <c r="K8" s="32" t="str">
        <f t="shared" si="1"/>
        <v>ALB-110|MO</v>
      </c>
      <c r="L8" s="32">
        <f>COUNTIFS($K$2:K8,K8)</f>
        <v>3</v>
      </c>
      <c r="M8" s="32" t="str">
        <f t="shared" si="2"/>
        <v>ALB-110|MO|3</v>
      </c>
      <c r="N8" s="121">
        <f>IFERROR(VLOOKUP(A8,PARTIDAS!A:F,6,FALSE()),0)</f>
        <v>36</v>
      </c>
      <c r="O8" s="123">
        <f t="shared" si="3"/>
        <v>0.1388888888888889</v>
      </c>
      <c r="P8" s="123" t="str">
        <f>+_xlfn.XLOOKUP(A8,PPTO_GENERADOR!Q:Q,PPTO_GENERADOR!E:E,"-",0)</f>
        <v>-</v>
      </c>
      <c r="Q8" s="123">
        <f t="shared" si="4"/>
        <v>0</v>
      </c>
      <c r="R8" s="125" t="str">
        <f>+_xlfn.XLOOKUP(A8,PPTO_GENERADOR!$Q:$Q,PPTO_GENERADOR!A:A,"-",0)</f>
        <v>-</v>
      </c>
    </row>
    <row r="9" spans="1:18" ht="14.25" customHeight="1" x14ac:dyDescent="0.35">
      <c r="A9" s="105" t="s">
        <v>1723</v>
      </c>
      <c r="B9" s="105" t="s">
        <v>1981</v>
      </c>
      <c r="C9" s="105" t="s">
        <v>1982</v>
      </c>
      <c r="D9" s="105" t="s">
        <v>572</v>
      </c>
      <c r="E9" s="95" t="str">
        <f>IFERROR(VLOOKUP(D9,MATERIALES!A:B,2,FALSE()),"?")</f>
        <v>Pintura Asfaltica Asfasol x18ts</v>
      </c>
      <c r="F9" s="129">
        <f>IFERROR(VLOOKUP(D9,MATERIALES!A:C,3,FALSE()),"?")</f>
        <v>0</v>
      </c>
      <c r="G9" s="119">
        <v>2.7799999999999998E-2</v>
      </c>
      <c r="H9" s="120">
        <v>0.1</v>
      </c>
      <c r="I9" s="96">
        <f>IFERROR(VLOOKUP(D9,MATERIALES!A:D,4,FALSE()),0)</f>
        <v>35525.949999999997</v>
      </c>
      <c r="J9" s="31">
        <f>G9*I9*(1+H9)</f>
        <v>1086.3835509999999</v>
      </c>
      <c r="K9" s="32" t="str">
        <f t="shared" si="1"/>
        <v>AIS-113|MAT</v>
      </c>
      <c r="L9" s="32">
        <f>COUNTIFS($K$2:K9,K9)</f>
        <v>1</v>
      </c>
      <c r="M9" s="32" t="str">
        <f t="shared" si="2"/>
        <v>AIS-113|MAT|1</v>
      </c>
      <c r="N9" s="121">
        <f>IFERROR(VLOOKUP(A9,PARTIDAS!A:F,6,FALSE()),0)</f>
        <v>80</v>
      </c>
      <c r="O9" s="123">
        <f t="shared" si="3"/>
        <v>0</v>
      </c>
      <c r="P9" s="123" t="str">
        <f>+_xlfn.XLOOKUP(A9,PPTO_GENERADOR!Q:Q,PPTO_GENERADOR!E:E,"-",0)</f>
        <v>-</v>
      </c>
      <c r="Q9" s="123">
        <f t="shared" si="4"/>
        <v>0</v>
      </c>
      <c r="R9" s="125" t="str">
        <f>+_xlfn.XLOOKUP(A9,PPTO_GENERADOR!$Q:$Q,PPTO_GENERADOR!A:A,"-",0)</f>
        <v>-</v>
      </c>
    </row>
    <row r="10" spans="1:18" ht="14.25" customHeight="1" x14ac:dyDescent="0.35">
      <c r="A10" s="105" t="s">
        <v>1723</v>
      </c>
      <c r="B10" s="105" t="s">
        <v>1981</v>
      </c>
      <c r="C10" s="105" t="s">
        <v>1982</v>
      </c>
      <c r="D10" s="105" t="s">
        <v>922</v>
      </c>
      <c r="E10" s="95" t="str">
        <f>IFERROR(VLOOKUP(D10,MATERIALES!A:B,2,FALSE()),"?")</f>
        <v>Rodillo de lana pelo largo N°22 - El Galgo</v>
      </c>
      <c r="F10" s="129" t="str">
        <f>IFERROR(VLOOKUP(D10,MATERIALES!A:C,3,FALSE()),"?")</f>
        <v>u</v>
      </c>
      <c r="G10" s="119">
        <v>0.01</v>
      </c>
      <c r="H10" s="120">
        <v>0.05</v>
      </c>
      <c r="I10" s="96">
        <f>IFERROR(VLOOKUP(D10,MATERIALES!A:D,4,FALSE()),0)</f>
        <v>6442.15</v>
      </c>
      <c r="J10" s="31">
        <f t="shared" ref="J10:J13" si="5">G10*I10*(1+H10)</f>
        <v>67.642574999999994</v>
      </c>
      <c r="K10" s="32" t="str">
        <f t="shared" ref="K10:K13" si="6">A10&amp;"|"&amp;B10</f>
        <v>AIS-113|MAT</v>
      </c>
      <c r="L10" s="32">
        <f>COUNTIFS($K$2:K10,K10)</f>
        <v>2</v>
      </c>
      <c r="M10" s="32" t="str">
        <f t="shared" ref="M10:M13" si="7">K10&amp;"|"&amp;L10</f>
        <v>AIS-113|MAT|2</v>
      </c>
      <c r="N10" s="121">
        <f>IFERROR(VLOOKUP(A10,PARTIDAS!A:F,6,FALSE()),0)</f>
        <v>80</v>
      </c>
      <c r="O10" s="123">
        <f t="shared" si="3"/>
        <v>0</v>
      </c>
      <c r="P10" s="123" t="str">
        <f>+_xlfn.XLOOKUP(A10,PPTO_GENERADOR!Q:Q,PPTO_GENERADOR!E:E,"-",0)</f>
        <v>-</v>
      </c>
      <c r="Q10" s="123">
        <f t="shared" si="4"/>
        <v>0</v>
      </c>
      <c r="R10" s="125" t="str">
        <f>+_xlfn.XLOOKUP(A10,PPTO_GENERADOR!$Q:$Q,PPTO_GENERADOR!A:A,"-",0)</f>
        <v>-</v>
      </c>
    </row>
    <row r="11" spans="1:18" ht="14.25" customHeight="1" x14ac:dyDescent="0.35">
      <c r="A11" s="105" t="s">
        <v>1723</v>
      </c>
      <c r="B11" s="105" t="s">
        <v>1981</v>
      </c>
      <c r="C11" s="105" t="s">
        <v>1982</v>
      </c>
      <c r="D11" s="105" t="s">
        <v>1007</v>
      </c>
      <c r="E11" s="95" t="str">
        <f>IFERROR(VLOOKUP(D11,MATERIALES!A:B,2,FALSE()),"?")</f>
        <v>Pincel N° 20 - El Galgo</v>
      </c>
      <c r="F11" s="129" t="str">
        <f>IFERROR(VLOOKUP(D11,MATERIALES!A:C,3,FALSE()),"?")</f>
        <v>u</v>
      </c>
      <c r="G11" s="119">
        <v>0.02</v>
      </c>
      <c r="H11" s="120">
        <v>0.05</v>
      </c>
      <c r="I11" s="96">
        <f>IFERROR(VLOOKUP(D11,MATERIALES!A:D,4,FALSE()),0)</f>
        <v>4418.1818181818198</v>
      </c>
      <c r="J11" s="31">
        <f t="shared" si="5"/>
        <v>92.781818181818224</v>
      </c>
      <c r="K11" s="32" t="str">
        <f t="shared" si="6"/>
        <v>AIS-113|MAT</v>
      </c>
      <c r="L11" s="32">
        <f>COUNTIFS($K$2:K11,K11)</f>
        <v>3</v>
      </c>
      <c r="M11" s="32" t="str">
        <f t="shared" si="7"/>
        <v>AIS-113|MAT|3</v>
      </c>
      <c r="N11" s="121">
        <f>IFERROR(VLOOKUP(A11,PARTIDAS!A:F,6,FALSE()),0)</f>
        <v>80</v>
      </c>
      <c r="O11" s="123">
        <f t="shared" si="3"/>
        <v>0</v>
      </c>
      <c r="P11" s="123" t="str">
        <f>+_xlfn.XLOOKUP(A11,PPTO_GENERADOR!Q:Q,PPTO_GENERADOR!E:E,"-",0)</f>
        <v>-</v>
      </c>
      <c r="Q11" s="123">
        <f t="shared" si="4"/>
        <v>0</v>
      </c>
      <c r="R11" s="125" t="str">
        <f>+_xlfn.XLOOKUP(A11,PPTO_GENERADOR!$Q:$Q,PPTO_GENERADOR!A:A,"-",0)</f>
        <v>-</v>
      </c>
    </row>
    <row r="12" spans="1:18" ht="14.25" customHeight="1" x14ac:dyDescent="0.35">
      <c r="A12" s="105" t="s">
        <v>1723</v>
      </c>
      <c r="B12" s="105" t="s">
        <v>1981</v>
      </c>
      <c r="C12" s="105" t="s">
        <v>1982</v>
      </c>
      <c r="D12" s="105" t="s">
        <v>593</v>
      </c>
      <c r="E12" s="95" t="str">
        <f>IFERROR(VLOOKUP(D12,MATERIALES!A:B,2,FALSE()),"?")</f>
        <v>Aguarras Hydrarras Hydra x 18lts</v>
      </c>
      <c r="F12" s="129">
        <f>IFERROR(VLOOKUP(D12,MATERIALES!A:C,3,FALSE()),"?")</f>
        <v>0</v>
      </c>
      <c r="G12" s="119">
        <v>2E-3</v>
      </c>
      <c r="H12" s="120">
        <v>0.05</v>
      </c>
      <c r="I12" s="96">
        <f>IFERROR(VLOOKUP(D12,MATERIALES!A:D,4,FALSE()),0)</f>
        <v>58016.528925619801</v>
      </c>
      <c r="J12" s="31">
        <f t="shared" si="5"/>
        <v>121.83471074380159</v>
      </c>
      <c r="K12" s="32" t="str">
        <f t="shared" si="6"/>
        <v>AIS-113|MAT</v>
      </c>
      <c r="L12" s="32">
        <f>COUNTIFS($K$2:K12,K12)</f>
        <v>4</v>
      </c>
      <c r="M12" s="32" t="str">
        <f t="shared" si="7"/>
        <v>AIS-113|MAT|4</v>
      </c>
      <c r="N12" s="121">
        <f>IFERROR(VLOOKUP(A12,PARTIDAS!A:F,6,FALSE()),0)</f>
        <v>80</v>
      </c>
      <c r="O12" s="123">
        <f t="shared" si="3"/>
        <v>0</v>
      </c>
      <c r="P12" s="123" t="str">
        <f>+_xlfn.XLOOKUP(A12,PPTO_GENERADOR!Q:Q,PPTO_GENERADOR!E:E,"-",0)</f>
        <v>-</v>
      </c>
      <c r="Q12" s="123">
        <f t="shared" si="4"/>
        <v>0</v>
      </c>
      <c r="R12" s="125" t="str">
        <f>+_xlfn.XLOOKUP(A12,PPTO_GENERADOR!$Q:$Q,PPTO_GENERADOR!A:A,"-",0)</f>
        <v>-</v>
      </c>
    </row>
    <row r="13" spans="1:18" ht="14.25" customHeight="1" x14ac:dyDescent="0.35">
      <c r="A13" s="105" t="s">
        <v>1723</v>
      </c>
      <c r="B13" s="105" t="s">
        <v>1981</v>
      </c>
      <c r="C13" s="105" t="s">
        <v>1982</v>
      </c>
      <c r="D13" s="105" t="s">
        <v>586</v>
      </c>
      <c r="E13" s="95" t="str">
        <f>IFERROR(VLOOKUP(D13,MATERIALES!A:B,2,FALSE()),"?")</f>
        <v>Trapo</v>
      </c>
      <c r="F13" s="129">
        <f>IFERROR(VLOOKUP(D13,MATERIALES!A:C,3,FALSE()),"?")</f>
        <v>0</v>
      </c>
      <c r="G13" s="119">
        <v>0.02</v>
      </c>
      <c r="H13" s="120">
        <v>0.05</v>
      </c>
      <c r="I13" s="96">
        <f>IFERROR(VLOOKUP(D13,MATERIALES!A:D,4,FALSE()),0)</f>
        <v>1182.6446280991699</v>
      </c>
      <c r="J13" s="31">
        <f t="shared" si="5"/>
        <v>24.835537190082572</v>
      </c>
      <c r="K13" s="32" t="str">
        <f t="shared" si="6"/>
        <v>AIS-113|MAT</v>
      </c>
      <c r="L13" s="32">
        <f>COUNTIFS($K$2:K13,K13)</f>
        <v>5</v>
      </c>
      <c r="M13" s="32" t="str">
        <f t="shared" si="7"/>
        <v>AIS-113|MAT|5</v>
      </c>
      <c r="N13" s="121">
        <f>IFERROR(VLOOKUP(A13,PARTIDAS!A:F,6,FALSE()),0)</f>
        <v>80</v>
      </c>
      <c r="O13" s="123">
        <f t="shared" si="3"/>
        <v>0</v>
      </c>
      <c r="P13" s="123" t="str">
        <f>+_xlfn.XLOOKUP(A13,PPTO_GENERADOR!Q:Q,PPTO_GENERADOR!E:E,"-",0)</f>
        <v>-</v>
      </c>
      <c r="Q13" s="123">
        <f t="shared" si="4"/>
        <v>0</v>
      </c>
      <c r="R13" s="125" t="str">
        <f>+_xlfn.XLOOKUP(A13,PPTO_GENERADOR!$Q:$Q,PPTO_GENERADOR!A:A,"-",0)</f>
        <v>-</v>
      </c>
    </row>
    <row r="14" spans="1:18" ht="14.25" customHeight="1" x14ac:dyDescent="0.35">
      <c r="A14" s="105" t="s">
        <v>1723</v>
      </c>
      <c r="B14" s="105" t="s">
        <v>1983</v>
      </c>
      <c r="C14" s="105"/>
      <c r="D14" s="105" t="s">
        <v>1505</v>
      </c>
      <c r="E14" s="95" t="str">
        <f>IFERROR(VLOOKUP(D14,EQUIPOS!A:B,2,FALSE()),"?")</f>
        <v>Soldador Soplete A Gas Techista Membrana 10 Kg Boca 50mm</v>
      </c>
      <c r="F14" s="129"/>
      <c r="G14" s="119">
        <v>1</v>
      </c>
      <c r="H14" s="120">
        <v>0</v>
      </c>
      <c r="I14" s="96">
        <f>IFERROR(VLOOKUP(D14,EQUIPOS!A:F,6,FALSE()),0)</f>
        <v>874.41130614484587</v>
      </c>
      <c r="J14" s="31">
        <f>G14*I14</f>
        <v>874.41130614484587</v>
      </c>
      <c r="K14" s="32" t="str">
        <f t="shared" si="1"/>
        <v>AIS-113|EQ</v>
      </c>
      <c r="L14" s="32">
        <f>COUNTIFS($K$2:K14,K14)</f>
        <v>1</v>
      </c>
      <c r="M14" s="32" t="str">
        <f t="shared" si="2"/>
        <v>AIS-113|EQ|1</v>
      </c>
      <c r="N14" s="121">
        <f>IFERROR(VLOOKUP(A14,PARTIDAS!A:F,6,FALSE()),0)</f>
        <v>80</v>
      </c>
      <c r="O14" s="123">
        <f t="shared" si="3"/>
        <v>0</v>
      </c>
      <c r="P14" s="123" t="str">
        <f>+_xlfn.XLOOKUP(A14,PPTO_GENERADOR!Q:Q,PPTO_GENERADOR!E:E,"-",0)</f>
        <v>-</v>
      </c>
      <c r="Q14" s="123">
        <f t="shared" si="4"/>
        <v>0</v>
      </c>
      <c r="R14" s="125" t="str">
        <f>+_xlfn.XLOOKUP(A14,PPTO_GENERADOR!$Q:$Q,PPTO_GENERADOR!A:A,"-",0)</f>
        <v>-</v>
      </c>
    </row>
    <row r="15" spans="1:18" ht="14.25" customHeight="1" x14ac:dyDescent="0.35">
      <c r="A15" s="105" t="s">
        <v>1723</v>
      </c>
      <c r="B15" s="105" t="s">
        <v>1979</v>
      </c>
      <c r="C15" s="105" t="s">
        <v>1980</v>
      </c>
      <c r="D15" s="105" t="s">
        <v>2038</v>
      </c>
      <c r="E15" s="95" t="str">
        <f>IFERROR(VLOOKUP(D15,MANO_DE_OBRA!A:B,2,FALSE()),"?")</f>
        <v>AYUDANTE</v>
      </c>
      <c r="F15" s="129" t="s">
        <v>2042</v>
      </c>
      <c r="G15" s="119">
        <v>1</v>
      </c>
      <c r="H15" s="120">
        <v>0</v>
      </c>
      <c r="I15" s="96">
        <f>IFERROR(VLOOKUP(D15,MANO_DE_OBRA!A:C,3,FALSE()),0)</f>
        <v>67240.498860267602</v>
      </c>
      <c r="J15" s="31">
        <f t="shared" ref="J15:J16" si="8">G15*I15</f>
        <v>67240.498860267602</v>
      </c>
      <c r="K15" s="32" t="str">
        <f t="shared" si="1"/>
        <v>AIS-113|MO</v>
      </c>
      <c r="L15" s="32">
        <f>COUNTIFS($K$2:K15,K15)</f>
        <v>1</v>
      </c>
      <c r="M15" s="32" t="str">
        <f t="shared" si="2"/>
        <v>AIS-113|MO|1</v>
      </c>
      <c r="N15" s="121">
        <f>IFERROR(VLOOKUP(A15,PARTIDAS!A:F,6,FALSE()),0)</f>
        <v>80</v>
      </c>
      <c r="O15" s="123">
        <f t="shared" si="3"/>
        <v>1.2500000000000001E-2</v>
      </c>
      <c r="P15" s="123" t="str">
        <f>+_xlfn.XLOOKUP(A15,PPTO_GENERADOR!Q:Q,PPTO_GENERADOR!E:E,"-",0)</f>
        <v>-</v>
      </c>
      <c r="Q15" s="123">
        <f t="shared" si="4"/>
        <v>0</v>
      </c>
      <c r="R15" s="125" t="str">
        <f>+_xlfn.XLOOKUP(A15,PPTO_GENERADOR!$Q:$Q,PPTO_GENERADOR!A:A,"-",0)</f>
        <v>-</v>
      </c>
    </row>
    <row r="16" spans="1:18" ht="14.25" customHeight="1" x14ac:dyDescent="0.35">
      <c r="A16" s="105" t="s">
        <v>1723</v>
      </c>
      <c r="B16" s="105" t="s">
        <v>1979</v>
      </c>
      <c r="C16" s="105" t="s">
        <v>1980</v>
      </c>
      <c r="D16" s="105" t="s">
        <v>1292</v>
      </c>
      <c r="E16" s="95" t="str">
        <f>IFERROR(VLOOKUP(D16,MANO_DE_OBRA!A:B,2,FALSE()),"?")</f>
        <v>ESPECIALIZADO</v>
      </c>
      <c r="F16" s="129" t="s">
        <v>2042</v>
      </c>
      <c r="G16" s="119">
        <v>1</v>
      </c>
      <c r="H16" s="120">
        <v>0</v>
      </c>
      <c r="I16" s="96">
        <f>IFERROR(VLOOKUP(D16,MANO_DE_OBRA!A:C,3,FALSE()),0)</f>
        <v>94177.137883538904</v>
      </c>
      <c r="J16" s="31">
        <f t="shared" si="8"/>
        <v>94177.137883538904</v>
      </c>
      <c r="K16" s="32" t="str">
        <f t="shared" si="1"/>
        <v>AIS-113|MO</v>
      </c>
      <c r="L16" s="32">
        <f>COUNTIFS($K$2:K16,K16)</f>
        <v>2</v>
      </c>
      <c r="M16" s="32" t="str">
        <f t="shared" si="2"/>
        <v>AIS-113|MO|2</v>
      </c>
      <c r="N16" s="121">
        <f>IFERROR(VLOOKUP(A16,PARTIDAS!A:F,6,FALSE()),0)</f>
        <v>80</v>
      </c>
      <c r="O16" s="123">
        <f t="shared" si="3"/>
        <v>1.2500000000000001E-2</v>
      </c>
      <c r="P16" s="123" t="str">
        <f>+_xlfn.XLOOKUP(A16,PPTO_GENERADOR!Q:Q,PPTO_GENERADOR!E:E,"-",0)</f>
        <v>-</v>
      </c>
      <c r="Q16" s="123">
        <f t="shared" si="4"/>
        <v>0</v>
      </c>
      <c r="R16" s="125" t="str">
        <f>+_xlfn.XLOOKUP(A16,PPTO_GENERADOR!$Q:$Q,PPTO_GENERADOR!A:A,"-",0)</f>
        <v>-</v>
      </c>
    </row>
    <row r="17" spans="1:18" ht="14.25" customHeight="1" x14ac:dyDescent="0.35">
      <c r="A17" s="105" t="s">
        <v>1726</v>
      </c>
      <c r="B17" s="105" t="s">
        <v>1981</v>
      </c>
      <c r="C17" s="105" t="s">
        <v>1982</v>
      </c>
      <c r="D17" s="105" t="s">
        <v>572</v>
      </c>
      <c r="E17" s="95" t="str">
        <f>IFERROR(VLOOKUP(D17,MATERIALES!A:B,2,FALSE()),"?")</f>
        <v>Pintura Asfaltica Asfasol x18ts</v>
      </c>
      <c r="F17" s="129">
        <f>IFERROR(VLOOKUP(D17,MATERIALES!A:C,3,FALSE()),"?")</f>
        <v>0</v>
      </c>
      <c r="G17" s="119">
        <v>1.4999999999999999E-2</v>
      </c>
      <c r="H17" s="120">
        <v>0.1</v>
      </c>
      <c r="I17" s="96">
        <f>IFERROR(VLOOKUP(D17,MATERIALES!A:D,4,FALSE()),0)</f>
        <v>35525.949999999997</v>
      </c>
      <c r="J17" s="31">
        <f t="shared" ref="J17:J18" si="9">G17*I17*(1+H17)</f>
        <v>586.17817500000001</v>
      </c>
      <c r="K17" s="32" t="str">
        <f t="shared" ref="K17:K18" si="10">A17&amp;"|"&amp;B17</f>
        <v>AIS-114|MAT</v>
      </c>
      <c r="L17" s="32">
        <f>COUNTIFS($K$2:K17,K17)</f>
        <v>1</v>
      </c>
      <c r="M17" s="32" t="str">
        <f t="shared" ref="M17:M18" si="11">K17&amp;"|"&amp;L17</f>
        <v>AIS-114|MAT|1</v>
      </c>
      <c r="N17" s="121">
        <f>IFERROR(VLOOKUP(A17,PARTIDAS!A:F,6,FALSE()),0)</f>
        <v>60</v>
      </c>
      <c r="O17" s="123">
        <f t="shared" si="3"/>
        <v>0</v>
      </c>
      <c r="P17" s="123" t="str">
        <f>+_xlfn.XLOOKUP(A17,PPTO_GENERADOR!Q:Q,PPTO_GENERADOR!E:E,"-",0)</f>
        <v>-</v>
      </c>
      <c r="Q17" s="123">
        <f t="shared" si="4"/>
        <v>0</v>
      </c>
      <c r="R17" s="125" t="str">
        <f>+_xlfn.XLOOKUP(A17,PPTO_GENERADOR!$Q:$Q,PPTO_GENERADOR!A:A,"-",0)</f>
        <v>-</v>
      </c>
    </row>
    <row r="18" spans="1:18" ht="14.25" customHeight="1" x14ac:dyDescent="0.35">
      <c r="A18" s="105" t="s">
        <v>1726</v>
      </c>
      <c r="B18" s="105" t="s">
        <v>1981</v>
      </c>
      <c r="C18" s="105" t="s">
        <v>1982</v>
      </c>
      <c r="D18" s="105" t="s">
        <v>1005</v>
      </c>
      <c r="E18" s="95" t="str">
        <f>IFERROR(VLOOKUP(D18,MATERIALES!A:B,2,FALSE()),"?")</f>
        <v>Membrana Geotextil Ormiflex 4mm - (35kg) x10m</v>
      </c>
      <c r="F18" s="129" t="str">
        <f>IFERROR(VLOOKUP(D18,MATERIALES!A:C,3,FALSE()),"?")</f>
        <v>u</v>
      </c>
      <c r="G18" s="119">
        <v>0.05</v>
      </c>
      <c r="H18" s="120">
        <v>0.1</v>
      </c>
      <c r="I18" s="96">
        <f>IFERROR(VLOOKUP(D18,MATERIALES!A:D,4,FALSE()),0)</f>
        <v>57227.91</v>
      </c>
      <c r="J18" s="31">
        <f t="shared" si="9"/>
        <v>3147.5350500000009</v>
      </c>
      <c r="K18" s="32" t="str">
        <f t="shared" si="10"/>
        <v>AIS-114|MAT</v>
      </c>
      <c r="L18" s="32">
        <f>COUNTIFS($K$2:K18,K18)</f>
        <v>2</v>
      </c>
      <c r="M18" s="32" t="str">
        <f t="shared" si="11"/>
        <v>AIS-114|MAT|2</v>
      </c>
      <c r="N18" s="121">
        <f>IFERROR(VLOOKUP(A18,PARTIDAS!A:F,6,FALSE()),0)</f>
        <v>60</v>
      </c>
      <c r="O18" s="123">
        <f t="shared" si="3"/>
        <v>0</v>
      </c>
      <c r="P18" s="123" t="str">
        <f>+_xlfn.XLOOKUP(A18,PPTO_GENERADOR!Q:Q,PPTO_GENERADOR!E:E,"-",0)</f>
        <v>-</v>
      </c>
      <c r="Q18" s="123">
        <f t="shared" si="4"/>
        <v>0</v>
      </c>
      <c r="R18" s="125" t="str">
        <f>+_xlfn.XLOOKUP(A18,PPTO_GENERADOR!$Q:$Q,PPTO_GENERADOR!A:A,"-",0)</f>
        <v>-</v>
      </c>
    </row>
    <row r="19" spans="1:18" ht="14.25" customHeight="1" x14ac:dyDescent="0.35">
      <c r="A19" s="105" t="s">
        <v>1726</v>
      </c>
      <c r="B19" s="105" t="s">
        <v>1983</v>
      </c>
      <c r="C19" s="105"/>
      <c r="D19" s="105" t="s">
        <v>1505</v>
      </c>
      <c r="E19" s="95" t="str">
        <f>IFERROR(VLOOKUP(D19,EQUIPOS!A:B,2,FALSE()),"?")</f>
        <v>Soldador Soplete A Gas Techista Membrana 10 Kg Boca 50mm</v>
      </c>
      <c r="F19" s="129"/>
      <c r="G19" s="119">
        <v>1</v>
      </c>
      <c r="H19" s="120">
        <v>0</v>
      </c>
      <c r="I19" s="96">
        <f>IFERROR(VLOOKUP(D19,EQUIPOS!A:F,6,FALSE()),0)</f>
        <v>874.41130614484587</v>
      </c>
      <c r="J19" s="31">
        <f>G19*I19</f>
        <v>874.41130614484587</v>
      </c>
      <c r="K19" s="32" t="str">
        <f t="shared" ref="K19" si="12">A19&amp;"|"&amp;B19</f>
        <v>AIS-114|EQ</v>
      </c>
      <c r="L19" s="32">
        <f>COUNTIFS($K$2:K19,K19)</f>
        <v>1</v>
      </c>
      <c r="M19" s="32" t="str">
        <f t="shared" ref="M19" si="13">K19&amp;"|"&amp;L19</f>
        <v>AIS-114|EQ|1</v>
      </c>
      <c r="N19" s="121">
        <f>IFERROR(VLOOKUP(A19,PARTIDAS!A:F,6,FALSE()),0)</f>
        <v>60</v>
      </c>
      <c r="O19" s="123">
        <f t="shared" si="3"/>
        <v>0</v>
      </c>
      <c r="P19" s="123" t="str">
        <f>+_xlfn.XLOOKUP(A19,PPTO_GENERADOR!Q:Q,PPTO_GENERADOR!E:E,"-",0)</f>
        <v>-</v>
      </c>
      <c r="Q19" s="123">
        <f t="shared" si="4"/>
        <v>0</v>
      </c>
      <c r="R19" s="125" t="str">
        <f>+_xlfn.XLOOKUP(A19,PPTO_GENERADOR!$Q:$Q,PPTO_GENERADOR!A:A,"-",0)</f>
        <v>-</v>
      </c>
    </row>
    <row r="20" spans="1:18" ht="14.25" customHeight="1" x14ac:dyDescent="0.35">
      <c r="A20" s="105" t="s">
        <v>1726</v>
      </c>
      <c r="B20" s="105" t="s">
        <v>1979</v>
      </c>
      <c r="C20" s="105" t="s">
        <v>1980</v>
      </c>
      <c r="D20" s="105" t="s">
        <v>2038</v>
      </c>
      <c r="E20" s="95" t="str">
        <f>IFERROR(VLOOKUP(D20,MANO_DE_OBRA!A:B,2,FALSE()),"?")</f>
        <v>AYUDANTE</v>
      </c>
      <c r="F20" s="129" t="s">
        <v>2042</v>
      </c>
      <c r="G20" s="119">
        <v>1</v>
      </c>
      <c r="H20" s="120">
        <v>0</v>
      </c>
      <c r="I20" s="96">
        <f>IFERROR(VLOOKUP(D20,MANO_DE_OBRA!A:C,3,FALSE()),0)</f>
        <v>67240.498860267602</v>
      </c>
      <c r="J20" s="31">
        <f t="shared" ref="J20:J21" si="14">G20*I20</f>
        <v>67240.498860267602</v>
      </c>
      <c r="K20" s="32" t="str">
        <f t="shared" si="1"/>
        <v>AIS-114|MO</v>
      </c>
      <c r="L20" s="32">
        <f>COUNTIFS($K$2:K20,K20)</f>
        <v>1</v>
      </c>
      <c r="M20" s="32" t="str">
        <f t="shared" si="2"/>
        <v>AIS-114|MO|1</v>
      </c>
      <c r="N20" s="121">
        <f>IFERROR(VLOOKUP(A20,PARTIDAS!A:F,6,FALSE()),0)</f>
        <v>60</v>
      </c>
      <c r="O20" s="123">
        <f t="shared" si="3"/>
        <v>1.6666666666666666E-2</v>
      </c>
      <c r="P20" s="123" t="str">
        <f>+_xlfn.XLOOKUP(A20,PPTO_GENERADOR!Q:Q,PPTO_GENERADOR!E:E,"-",0)</f>
        <v>-</v>
      </c>
      <c r="Q20" s="123">
        <f t="shared" si="4"/>
        <v>0</v>
      </c>
      <c r="R20" s="125" t="str">
        <f>+_xlfn.XLOOKUP(A20,PPTO_GENERADOR!$Q:$Q,PPTO_GENERADOR!A:A,"-",0)</f>
        <v>-</v>
      </c>
    </row>
    <row r="21" spans="1:18" ht="14.25" customHeight="1" x14ac:dyDescent="0.35">
      <c r="A21" s="105" t="s">
        <v>1726</v>
      </c>
      <c r="B21" s="105" t="s">
        <v>1979</v>
      </c>
      <c r="C21" s="105" t="s">
        <v>1980</v>
      </c>
      <c r="D21" s="105" t="s">
        <v>1292</v>
      </c>
      <c r="E21" s="95" t="str">
        <f>IFERROR(VLOOKUP(D21,MANO_DE_OBRA!A:B,2,FALSE()),"?")</f>
        <v>ESPECIALIZADO</v>
      </c>
      <c r="F21" s="129" t="s">
        <v>2042</v>
      </c>
      <c r="G21" s="119">
        <v>1</v>
      </c>
      <c r="H21" s="120">
        <v>0</v>
      </c>
      <c r="I21" s="96">
        <f>IFERROR(VLOOKUP(D21,MANO_DE_OBRA!A:C,3,FALSE()),0)</f>
        <v>94177.137883538904</v>
      </c>
      <c r="J21" s="31">
        <f t="shared" si="14"/>
        <v>94177.137883538904</v>
      </c>
      <c r="K21" s="32" t="str">
        <f t="shared" si="1"/>
        <v>AIS-114|MO</v>
      </c>
      <c r="L21" s="32">
        <f>COUNTIFS($K$2:K21,K21)</f>
        <v>2</v>
      </c>
      <c r="M21" s="32" t="str">
        <f t="shared" si="2"/>
        <v>AIS-114|MO|2</v>
      </c>
      <c r="N21" s="121">
        <f>IFERROR(VLOOKUP(A21,PARTIDAS!A:F,6,FALSE()),0)</f>
        <v>60</v>
      </c>
      <c r="O21" s="123">
        <f t="shared" si="3"/>
        <v>1.6666666666666666E-2</v>
      </c>
      <c r="P21" s="123" t="str">
        <f>+_xlfn.XLOOKUP(A21,PPTO_GENERADOR!Q:Q,PPTO_GENERADOR!E:E,"-",0)</f>
        <v>-</v>
      </c>
      <c r="Q21" s="123">
        <f t="shared" si="4"/>
        <v>0</v>
      </c>
      <c r="R21" s="125" t="str">
        <f>+_xlfn.XLOOKUP(A21,PPTO_GENERADOR!$Q:$Q,PPTO_GENERADOR!A:A,"-",0)</f>
        <v>-</v>
      </c>
    </row>
    <row r="22" spans="1:18" ht="14.25" customHeight="1" x14ac:dyDescent="0.35">
      <c r="A22" s="105" t="s">
        <v>1729</v>
      </c>
      <c r="B22" s="105" t="s">
        <v>1981</v>
      </c>
      <c r="C22" s="105" t="s">
        <v>1982</v>
      </c>
      <c r="D22" s="105" t="s">
        <v>538</v>
      </c>
      <c r="E22" s="95" t="str">
        <f>IFERROR(VLOOKUP(D22,MATERIALES!A:B,2,FALSE()),"?")</f>
        <v>ARENA LAVADA</v>
      </c>
      <c r="F22" s="129">
        <f>IFERROR(VLOOKUP(D22,MATERIALES!A:C,3,FALSE()),"?")</f>
        <v>0</v>
      </c>
      <c r="G22" s="119">
        <v>0.02</v>
      </c>
      <c r="H22" s="120">
        <v>0.03</v>
      </c>
      <c r="I22" s="96">
        <f>IFERROR(VLOOKUP(D22,MATERIALES!A:D,4,FALSE()),0)</f>
        <v>32620.38</v>
      </c>
      <c r="J22" s="31">
        <f t="shared" ref="J22:J24" si="15">G22*I22*(1+H22)</f>
        <v>671.979828</v>
      </c>
      <c r="K22" s="32" t="str">
        <f t="shared" ref="K22:K24" si="16">A22&amp;"|"&amp;B22</f>
        <v>REV-115|MAT</v>
      </c>
      <c r="L22" s="32">
        <f>COUNTIFS($K$2:K22,K22)</f>
        <v>1</v>
      </c>
      <c r="M22" s="32" t="str">
        <f t="shared" ref="M22:M24" si="17">K22&amp;"|"&amp;L22</f>
        <v>REV-115|MAT|1</v>
      </c>
      <c r="N22" s="121">
        <f>IFERROR(VLOOKUP(A22,PARTIDAS!A:F,6,FALSE()),0)</f>
        <v>15</v>
      </c>
      <c r="O22" s="123">
        <f t="shared" si="3"/>
        <v>0</v>
      </c>
      <c r="P22" s="123" t="str">
        <f>+_xlfn.XLOOKUP(A22,PPTO_GENERADOR!Q:Q,PPTO_GENERADOR!E:E,"-",0)</f>
        <v>-</v>
      </c>
      <c r="Q22" s="123">
        <f t="shared" si="4"/>
        <v>0</v>
      </c>
      <c r="R22" s="125" t="str">
        <f>+_xlfn.XLOOKUP(A22,PPTO_GENERADOR!$Q:$Q,PPTO_GENERADOR!A:A,"-",0)</f>
        <v>-</v>
      </c>
    </row>
    <row r="23" spans="1:18" ht="14.25" customHeight="1" x14ac:dyDescent="0.35">
      <c r="A23" s="105" t="s">
        <v>1729</v>
      </c>
      <c r="B23" s="105" t="s">
        <v>1981</v>
      </c>
      <c r="C23" s="105" t="s">
        <v>1982</v>
      </c>
      <c r="D23" s="105" t="s">
        <v>542</v>
      </c>
      <c r="E23" s="95" t="str">
        <f>IFERROR(VLOOKUP(D23,MATERIALES!A:B,2,FALSE()),"?")</f>
        <v>Cal Comun x 25kg</v>
      </c>
      <c r="F23" s="129">
        <f>IFERROR(VLOOKUP(D23,MATERIALES!A:C,3,FALSE()),"?")</f>
        <v>0</v>
      </c>
      <c r="G23" s="119">
        <v>0.06</v>
      </c>
      <c r="H23" s="120">
        <v>0.05</v>
      </c>
      <c r="I23" s="96">
        <f>IFERROR(VLOOKUP(D23,MATERIALES!A:D,4,FALSE()),0)</f>
        <v>3927.28</v>
      </c>
      <c r="J23" s="31">
        <f t="shared" si="15"/>
        <v>247.41864000000001</v>
      </c>
      <c r="K23" s="32" t="str">
        <f t="shared" si="16"/>
        <v>REV-115|MAT</v>
      </c>
      <c r="L23" s="32">
        <f>COUNTIFS($K$2:K23,K23)</f>
        <v>2</v>
      </c>
      <c r="M23" s="32" t="str">
        <f t="shared" si="17"/>
        <v>REV-115|MAT|2</v>
      </c>
      <c r="N23" s="121">
        <f>IFERROR(VLOOKUP(A23,PARTIDAS!A:F,6,FALSE()),0)</f>
        <v>15</v>
      </c>
      <c r="O23" s="123">
        <f t="shared" si="3"/>
        <v>0</v>
      </c>
      <c r="P23" s="123" t="str">
        <f>+_xlfn.XLOOKUP(A23,PPTO_GENERADOR!Q:Q,PPTO_GENERADOR!E:E,"-",0)</f>
        <v>-</v>
      </c>
      <c r="Q23" s="123">
        <f t="shared" si="4"/>
        <v>0</v>
      </c>
      <c r="R23" s="125" t="str">
        <f>+_xlfn.XLOOKUP(A23,PPTO_GENERADOR!$Q:$Q,PPTO_GENERADOR!A:A,"-",0)</f>
        <v>-</v>
      </c>
    </row>
    <row r="24" spans="1:18" ht="14.25" customHeight="1" x14ac:dyDescent="0.35">
      <c r="A24" s="105" t="s">
        <v>1729</v>
      </c>
      <c r="B24" s="105" t="s">
        <v>1981</v>
      </c>
      <c r="C24" s="105" t="s">
        <v>1982</v>
      </c>
      <c r="D24" s="105" t="s">
        <v>540</v>
      </c>
      <c r="E24" s="95" t="str">
        <f>IFERROR(VLOOKUP(D24,MATERIALES!A:B,2,FALSE()),"?")</f>
        <v>Cemento Portland x 50kg</v>
      </c>
      <c r="F24" s="129">
        <f>IFERROR(VLOOKUP(D24,MATERIALES!A:C,3,FALSE()),"?")</f>
        <v>0</v>
      </c>
      <c r="G24" s="119">
        <v>0.26</v>
      </c>
      <c r="H24" s="120">
        <v>0.03</v>
      </c>
      <c r="I24" s="96">
        <f>IFERROR(VLOOKUP(D24,MATERIALES!A:D,4,FALSE()),0)</f>
        <v>7891.74</v>
      </c>
      <c r="J24" s="31">
        <f t="shared" si="15"/>
        <v>2113.4079720000004</v>
      </c>
      <c r="K24" s="32" t="str">
        <f t="shared" si="16"/>
        <v>REV-115|MAT</v>
      </c>
      <c r="L24" s="32">
        <f>COUNTIFS($K$2:K24,K24)</f>
        <v>3</v>
      </c>
      <c r="M24" s="32" t="str">
        <f t="shared" si="17"/>
        <v>REV-115|MAT|3</v>
      </c>
      <c r="N24" s="121">
        <f>IFERROR(VLOOKUP(A24,PARTIDAS!A:F,6,FALSE()),0)</f>
        <v>15</v>
      </c>
      <c r="O24" s="123">
        <f t="shared" si="3"/>
        <v>0</v>
      </c>
      <c r="P24" s="123" t="str">
        <f>+_xlfn.XLOOKUP(A24,PPTO_GENERADOR!Q:Q,PPTO_GENERADOR!E:E,"-",0)</f>
        <v>-</v>
      </c>
      <c r="Q24" s="123">
        <f t="shared" si="4"/>
        <v>0</v>
      </c>
      <c r="R24" s="125" t="str">
        <f>+_xlfn.XLOOKUP(A24,PPTO_GENERADOR!$Q:$Q,PPTO_GENERADOR!A:A,"-",0)</f>
        <v>-</v>
      </c>
    </row>
    <row r="25" spans="1:18" ht="14.25" customHeight="1" x14ac:dyDescent="0.35">
      <c r="A25" s="105" t="s">
        <v>1729</v>
      </c>
      <c r="B25" s="105" t="s">
        <v>1979</v>
      </c>
      <c r="C25" s="105" t="s">
        <v>1980</v>
      </c>
      <c r="D25" s="105" t="s">
        <v>1292</v>
      </c>
      <c r="E25" s="95" t="str">
        <f>IFERROR(VLOOKUP(D25,MANO_DE_OBRA!A:B,2,FALSE()),"?")</f>
        <v>ESPECIALIZADO</v>
      </c>
      <c r="F25" s="129" t="s">
        <v>2042</v>
      </c>
      <c r="G25" s="119">
        <v>1</v>
      </c>
      <c r="H25" s="120">
        <v>0</v>
      </c>
      <c r="I25" s="96">
        <f>IFERROR(VLOOKUP(D25,MANO_DE_OBRA!A:C,3,FALSE()),0)</f>
        <v>94177.137883538904</v>
      </c>
      <c r="J25" s="31">
        <f t="shared" ref="J25:J27" si="18">G25*I25</f>
        <v>94177.137883538904</v>
      </c>
      <c r="K25" s="32" t="str">
        <f t="shared" si="1"/>
        <v>REV-115|MO</v>
      </c>
      <c r="L25" s="32">
        <f>COUNTIFS($K$2:K25,K25)</f>
        <v>1</v>
      </c>
      <c r="M25" s="32" t="str">
        <f t="shared" si="2"/>
        <v>REV-115|MO|1</v>
      </c>
      <c r="N25" s="121">
        <f>IFERROR(VLOOKUP(A25,PARTIDAS!A:F,6,FALSE()),0)</f>
        <v>15</v>
      </c>
      <c r="O25" s="123">
        <f t="shared" si="3"/>
        <v>6.6666666666666666E-2</v>
      </c>
      <c r="P25" s="123" t="str">
        <f>+_xlfn.XLOOKUP(A25,PPTO_GENERADOR!Q:Q,PPTO_GENERADOR!E:E,"-",0)</f>
        <v>-</v>
      </c>
      <c r="Q25" s="123">
        <f t="shared" si="4"/>
        <v>0</v>
      </c>
      <c r="R25" s="125" t="str">
        <f>+_xlfn.XLOOKUP(A25,PPTO_GENERADOR!$Q:$Q,PPTO_GENERADOR!A:A,"-",0)</f>
        <v>-</v>
      </c>
    </row>
    <row r="26" spans="1:18" ht="14.25" customHeight="1" x14ac:dyDescent="0.35">
      <c r="A26" s="105" t="s">
        <v>1729</v>
      </c>
      <c r="B26" s="105" t="s">
        <v>1979</v>
      </c>
      <c r="C26" s="105" t="s">
        <v>1980</v>
      </c>
      <c r="D26" s="105" t="s">
        <v>2038</v>
      </c>
      <c r="E26" s="95" t="str">
        <f>IFERROR(VLOOKUP(D26,MANO_DE_OBRA!A:B,2,FALSE()),"?")</f>
        <v>AYUDANTE</v>
      </c>
      <c r="F26" s="129" t="s">
        <v>2042</v>
      </c>
      <c r="G26" s="119">
        <v>1</v>
      </c>
      <c r="H26" s="120">
        <v>0</v>
      </c>
      <c r="I26" s="96">
        <f>IFERROR(VLOOKUP(D26,MANO_DE_OBRA!A:C,3,FALSE()),0)</f>
        <v>67240.498860267602</v>
      </c>
      <c r="J26" s="31">
        <f t="shared" si="18"/>
        <v>67240.498860267602</v>
      </c>
      <c r="K26" s="32" t="str">
        <f t="shared" si="1"/>
        <v>REV-115|MO</v>
      </c>
      <c r="L26" s="32">
        <f>COUNTIFS($K$2:K26,K26)</f>
        <v>2</v>
      </c>
      <c r="M26" s="32" t="str">
        <f t="shared" si="2"/>
        <v>REV-115|MO|2</v>
      </c>
      <c r="N26" s="121">
        <f>IFERROR(VLOOKUP(A26,PARTIDAS!A:F,6,FALSE()),0)</f>
        <v>15</v>
      </c>
      <c r="O26" s="123">
        <f t="shared" si="3"/>
        <v>6.6666666666666666E-2</v>
      </c>
      <c r="P26" s="123" t="str">
        <f>+_xlfn.XLOOKUP(A26,PPTO_GENERADOR!Q:Q,PPTO_GENERADOR!E:E,"-",0)</f>
        <v>-</v>
      </c>
      <c r="Q26" s="123">
        <f t="shared" si="4"/>
        <v>0</v>
      </c>
      <c r="R26" s="125" t="str">
        <f>+_xlfn.XLOOKUP(A26,PPTO_GENERADOR!$Q:$Q,PPTO_GENERADOR!A:A,"-",0)</f>
        <v>-</v>
      </c>
    </row>
    <row r="27" spans="1:18" ht="14.25" customHeight="1" x14ac:dyDescent="0.35">
      <c r="A27" s="105" t="s">
        <v>1729</v>
      </c>
      <c r="B27" s="105" t="s">
        <v>1979</v>
      </c>
      <c r="C27" s="105" t="s">
        <v>1980</v>
      </c>
      <c r="D27" s="105" t="s">
        <v>1288</v>
      </c>
      <c r="E27" s="95" t="str">
        <f>IFERROR(VLOOKUP(D27,MANO_DE_OBRA!A:B,2,FALSE()),"?")</f>
        <v>MEDIO OFICIAL</v>
      </c>
      <c r="F27" s="129" t="s">
        <v>2042</v>
      </c>
      <c r="G27" s="119">
        <v>0</v>
      </c>
      <c r="H27" s="120">
        <v>0</v>
      </c>
      <c r="I27" s="96">
        <f>IFERROR(VLOOKUP(D27,MANO_DE_OBRA!A:C,3,FALSE()),0)</f>
        <v>72132.138365590101</v>
      </c>
      <c r="J27" s="31">
        <f t="shared" si="18"/>
        <v>0</v>
      </c>
      <c r="K27" s="32" t="str">
        <f t="shared" si="1"/>
        <v>REV-115|MO</v>
      </c>
      <c r="L27" s="32">
        <f>COUNTIFS($K$2:K27,K27)</f>
        <v>3</v>
      </c>
      <c r="M27" s="32" t="str">
        <f t="shared" si="2"/>
        <v>REV-115|MO|3</v>
      </c>
      <c r="N27" s="121">
        <f>IFERROR(VLOOKUP(A27,PARTIDAS!A:F,6,FALSE()),0)</f>
        <v>15</v>
      </c>
      <c r="O27" s="123">
        <f t="shared" si="3"/>
        <v>0</v>
      </c>
      <c r="P27" s="123" t="str">
        <f>+_xlfn.XLOOKUP(A27,PPTO_GENERADOR!Q:Q,PPTO_GENERADOR!E:E,"-",0)</f>
        <v>-</v>
      </c>
      <c r="Q27" s="123">
        <f t="shared" si="4"/>
        <v>0</v>
      </c>
      <c r="R27" s="125" t="str">
        <f>+_xlfn.XLOOKUP(A27,PPTO_GENERADOR!$Q:$Q,PPTO_GENERADOR!A:A,"-",0)</f>
        <v>-</v>
      </c>
    </row>
    <row r="28" spans="1:18" ht="14.25" customHeight="1" x14ac:dyDescent="0.35">
      <c r="A28" s="105" t="s">
        <v>1733</v>
      </c>
      <c r="B28" s="105" t="s">
        <v>1981</v>
      </c>
      <c r="C28" s="105" t="s">
        <v>1982</v>
      </c>
      <c r="D28" s="105" t="s">
        <v>955</v>
      </c>
      <c r="E28" s="95" t="str">
        <f>IFERROR(VLOOKUP(D28,MATERIALES!A:B,2,FALSE()),"?")</f>
        <v>Perfil Perimetral x 3.05</v>
      </c>
      <c r="F28" s="129" t="str">
        <f>IFERROR(VLOOKUP(D28,MATERIALES!A:C,3,FALSE()),"?")</f>
        <v>u</v>
      </c>
      <c r="G28" s="119">
        <v>0.495</v>
      </c>
      <c r="H28" s="120">
        <v>0.1</v>
      </c>
      <c r="I28" s="96">
        <f>IFERROR(VLOOKUP(D28,MATERIALES!A:D,4,FALSE()),0)</f>
        <v>3028.942149</v>
      </c>
      <c r="J28" s="31">
        <f t="shared" ref="J28:J34" si="19">G28*I28*(1+H28)</f>
        <v>1649.2590001305</v>
      </c>
      <c r="K28" s="32" t="str">
        <f t="shared" ref="K28:K34" si="20">A28&amp;"|"&amp;B28</f>
        <v>REV-116|MAT</v>
      </c>
      <c r="L28" s="32">
        <f>COUNTIFS($K$2:K28,K28)</f>
        <v>1</v>
      </c>
      <c r="M28" s="32" t="str">
        <f t="shared" ref="M28:M34" si="21">K28&amp;"|"&amp;L28</f>
        <v>REV-116|MAT|1</v>
      </c>
      <c r="N28" s="121">
        <f>IFERROR(VLOOKUP(A28,PARTIDAS!A:F,6,FALSE()),0)</f>
        <v>12</v>
      </c>
      <c r="O28" s="123">
        <f t="shared" si="3"/>
        <v>0</v>
      </c>
      <c r="P28" s="123" t="str">
        <f>+_xlfn.XLOOKUP(A28,PPTO_GENERADOR!Q:Q,PPTO_GENERADOR!E:E,"-",0)</f>
        <v>-</v>
      </c>
      <c r="Q28" s="123">
        <f t="shared" si="4"/>
        <v>0</v>
      </c>
      <c r="R28" s="125" t="str">
        <f>+_xlfn.XLOOKUP(A28,PPTO_GENERADOR!$Q:$Q,PPTO_GENERADOR!A:A,"-",0)</f>
        <v>-</v>
      </c>
    </row>
    <row r="29" spans="1:18" ht="14.25" customHeight="1" x14ac:dyDescent="0.35">
      <c r="A29" s="105" t="s">
        <v>1733</v>
      </c>
      <c r="B29" s="105" t="s">
        <v>1981</v>
      </c>
      <c r="C29" s="105" t="s">
        <v>1982</v>
      </c>
      <c r="D29" s="105" t="s">
        <v>957</v>
      </c>
      <c r="E29" s="95" t="str">
        <f>IFERROR(VLOOKUP(D29,MATERIALES!A:B,2,FALSE()),"?")</f>
        <v>Larguero x 3.66</v>
      </c>
      <c r="F29" s="129" t="str">
        <f>IFERROR(VLOOKUP(D29,MATERIALES!A:C,3,FALSE()),"?")</f>
        <v>u</v>
      </c>
      <c r="G29" s="119">
        <v>0.45</v>
      </c>
      <c r="H29" s="120">
        <v>0.1</v>
      </c>
      <c r="I29" s="96">
        <f>IFERROR(VLOOKUP(D29,MATERIALES!A:D,4,FALSE()),0)</f>
        <v>4774.9090910000004</v>
      </c>
      <c r="J29" s="31">
        <f t="shared" si="19"/>
        <v>2363.5800000450004</v>
      </c>
      <c r="K29" s="32" t="str">
        <f t="shared" si="20"/>
        <v>REV-116|MAT</v>
      </c>
      <c r="L29" s="32">
        <f>COUNTIFS($K$2:K29,K29)</f>
        <v>2</v>
      </c>
      <c r="M29" s="32" t="str">
        <f t="shared" si="21"/>
        <v>REV-116|MAT|2</v>
      </c>
      <c r="N29" s="121">
        <f>IFERROR(VLOOKUP(A29,PARTIDAS!A:F,6,FALSE()),0)</f>
        <v>12</v>
      </c>
      <c r="O29" s="123">
        <f t="shared" si="3"/>
        <v>0</v>
      </c>
      <c r="P29" s="123" t="str">
        <f>+_xlfn.XLOOKUP(A29,PPTO_GENERADOR!Q:Q,PPTO_GENERADOR!E:E,"-",0)</f>
        <v>-</v>
      </c>
      <c r="Q29" s="123">
        <f t="shared" si="4"/>
        <v>0</v>
      </c>
      <c r="R29" s="125" t="str">
        <f>+_xlfn.XLOOKUP(A29,PPTO_GENERADOR!$Q:$Q,PPTO_GENERADOR!A:A,"-",0)</f>
        <v>-</v>
      </c>
    </row>
    <row r="30" spans="1:18" ht="14.25" customHeight="1" x14ac:dyDescent="0.35">
      <c r="A30" s="105" t="s">
        <v>1733</v>
      </c>
      <c r="B30" s="105" t="s">
        <v>1981</v>
      </c>
      <c r="C30" s="105" t="s">
        <v>1982</v>
      </c>
      <c r="D30" s="105" t="s">
        <v>959</v>
      </c>
      <c r="E30" s="95" t="str">
        <f>IFERROR(VLOOKUP(D30,MATERIALES!A:B,2,FALSE()),"?")</f>
        <v>Travesaño x 1.22</v>
      </c>
      <c r="F30" s="129" t="str">
        <f>IFERROR(VLOOKUP(D30,MATERIALES!A:C,3,FALSE()),"?")</f>
        <v>u</v>
      </c>
      <c r="G30" s="119">
        <v>2.62</v>
      </c>
      <c r="H30" s="120">
        <v>0.1</v>
      </c>
      <c r="I30" s="96">
        <f>IFERROR(VLOOKUP(D30,MATERIALES!A:D,4,FALSE()),0)</f>
        <v>1547.4380169999999</v>
      </c>
      <c r="J30" s="31">
        <f t="shared" si="19"/>
        <v>4459.7163649940003</v>
      </c>
      <c r="K30" s="32" t="str">
        <f t="shared" si="20"/>
        <v>REV-116|MAT</v>
      </c>
      <c r="L30" s="32">
        <f>COUNTIFS($K$2:K30,K30)</f>
        <v>3</v>
      </c>
      <c r="M30" s="32" t="str">
        <f t="shared" si="21"/>
        <v>REV-116|MAT|3</v>
      </c>
      <c r="N30" s="121">
        <f>IFERROR(VLOOKUP(A30,PARTIDAS!A:F,6,FALSE()),0)</f>
        <v>12</v>
      </c>
      <c r="O30" s="123">
        <f t="shared" si="3"/>
        <v>0</v>
      </c>
      <c r="P30" s="123" t="str">
        <f>+_xlfn.XLOOKUP(A30,PPTO_GENERADOR!Q:Q,PPTO_GENERADOR!E:E,"-",0)</f>
        <v>-</v>
      </c>
      <c r="Q30" s="123">
        <f t="shared" si="4"/>
        <v>0</v>
      </c>
      <c r="R30" s="125" t="str">
        <f>+_xlfn.XLOOKUP(A30,PPTO_GENERADOR!$Q:$Q,PPTO_GENERADOR!A:A,"-",0)</f>
        <v>-</v>
      </c>
    </row>
    <row r="31" spans="1:18" ht="14.25" customHeight="1" x14ac:dyDescent="0.35">
      <c r="A31" s="105" t="s">
        <v>1733</v>
      </c>
      <c r="B31" s="105" t="s">
        <v>1981</v>
      </c>
      <c r="C31" s="105" t="s">
        <v>1982</v>
      </c>
      <c r="D31" s="105" t="s">
        <v>961</v>
      </c>
      <c r="E31" s="95" t="str">
        <f>IFERROR(VLOOKUP(D31,MATERIALES!A:B,2,FALSE()),"?")</f>
        <v>Travesaño x 0.60</v>
      </c>
      <c r="F31" s="129" t="str">
        <f>IFERROR(VLOOKUP(D31,MATERIALES!A:C,3,FALSE()),"?")</f>
        <v>u</v>
      </c>
      <c r="G31" s="119">
        <v>0</v>
      </c>
      <c r="H31" s="120">
        <v>0.1</v>
      </c>
      <c r="I31" s="96">
        <f>IFERROR(VLOOKUP(D31,MATERIALES!A:D,4,FALSE()),0)</f>
        <v>793.53719000000001</v>
      </c>
      <c r="J31" s="31">
        <f t="shared" si="19"/>
        <v>0</v>
      </c>
      <c r="K31" s="32" t="str">
        <f t="shared" si="20"/>
        <v>REV-116|MAT</v>
      </c>
      <c r="L31" s="32">
        <f>COUNTIFS($K$2:K31,K31)</f>
        <v>4</v>
      </c>
      <c r="M31" s="32" t="str">
        <f t="shared" si="21"/>
        <v>REV-116|MAT|4</v>
      </c>
      <c r="N31" s="121">
        <f>IFERROR(VLOOKUP(A31,PARTIDAS!A:F,6,FALSE()),0)</f>
        <v>12</v>
      </c>
      <c r="O31" s="123">
        <f t="shared" si="3"/>
        <v>0</v>
      </c>
      <c r="P31" s="123" t="str">
        <f>+_xlfn.XLOOKUP(A31,PPTO_GENERADOR!Q:Q,PPTO_GENERADOR!E:E,"-",0)</f>
        <v>-</v>
      </c>
      <c r="Q31" s="123">
        <f t="shared" si="4"/>
        <v>0</v>
      </c>
      <c r="R31" s="125" t="str">
        <f>+_xlfn.XLOOKUP(A31,PPTO_GENERADOR!$Q:$Q,PPTO_GENERADOR!A:A,"-",0)</f>
        <v>-</v>
      </c>
    </row>
    <row r="32" spans="1:18" ht="14.25" customHeight="1" x14ac:dyDescent="0.35">
      <c r="A32" s="105" t="s">
        <v>1733</v>
      </c>
      <c r="B32" s="105" t="s">
        <v>1981</v>
      </c>
      <c r="C32" s="105" t="s">
        <v>1982</v>
      </c>
      <c r="D32" s="105" t="s">
        <v>939</v>
      </c>
      <c r="E32" s="95" t="str">
        <f>IFERROR(VLOOKUP(D32,MATERIALES!A:B,2,FALSE()),"?")</f>
        <v>Fijacion completa del 8</v>
      </c>
      <c r="F32" s="129" t="str">
        <f>IFERROR(VLOOKUP(D32,MATERIALES!A:C,3,FALSE()),"?")</f>
        <v>u</v>
      </c>
      <c r="G32" s="119">
        <v>6</v>
      </c>
      <c r="H32" s="120">
        <v>0.1</v>
      </c>
      <c r="I32" s="96">
        <f>IFERROR(VLOOKUP(D32,MATERIALES!A:D,4,FALSE()),0)</f>
        <v>63.381982999999998</v>
      </c>
      <c r="J32" s="31">
        <f t="shared" si="19"/>
        <v>418.32108780000004</v>
      </c>
      <c r="K32" s="32" t="str">
        <f t="shared" si="20"/>
        <v>REV-116|MAT</v>
      </c>
      <c r="L32" s="32">
        <f>COUNTIFS($K$2:K32,K32)</f>
        <v>5</v>
      </c>
      <c r="M32" s="32" t="str">
        <f t="shared" si="21"/>
        <v>REV-116|MAT|5</v>
      </c>
      <c r="N32" s="121">
        <f>IFERROR(VLOOKUP(A32,PARTIDAS!A:F,6,FALSE()),0)</f>
        <v>12</v>
      </c>
      <c r="O32" s="123">
        <f t="shared" si="3"/>
        <v>0</v>
      </c>
      <c r="P32" s="123" t="str">
        <f>+_xlfn.XLOOKUP(A32,PPTO_GENERADOR!Q:Q,PPTO_GENERADOR!E:E,"-",0)</f>
        <v>-</v>
      </c>
      <c r="Q32" s="123">
        <f t="shared" si="4"/>
        <v>0</v>
      </c>
      <c r="R32" s="125" t="str">
        <f>+_xlfn.XLOOKUP(A32,PPTO_GENERADOR!$Q:$Q,PPTO_GENERADOR!A:A,"-",0)</f>
        <v>-</v>
      </c>
    </row>
    <row r="33" spans="1:18" ht="14.25" customHeight="1" x14ac:dyDescent="0.35">
      <c r="A33" s="105" t="s">
        <v>1733</v>
      </c>
      <c r="B33" s="105" t="s">
        <v>1981</v>
      </c>
      <c r="C33" s="105" t="s">
        <v>1982</v>
      </c>
      <c r="D33" s="105" t="s">
        <v>963</v>
      </c>
      <c r="E33" s="95" t="str">
        <f>IFERROR(VLOOKUP(D33,MATERIALES!A:B,2,FALSE()),"?")</f>
        <v>Alambre galvanizado N°14 x kg</v>
      </c>
      <c r="F33" s="129" t="str">
        <f>IFERROR(VLOOKUP(D33,MATERIALES!A:C,3,FALSE()),"?")</f>
        <v>kg</v>
      </c>
      <c r="G33" s="119">
        <v>0.06</v>
      </c>
      <c r="H33" s="120">
        <v>0.1</v>
      </c>
      <c r="I33" s="96">
        <f>IFERROR(VLOOKUP(D33,MATERIALES!A:D,4,FALSE()),0)</f>
        <v>2755.61157</v>
      </c>
      <c r="J33" s="31">
        <f t="shared" si="19"/>
        <v>181.87036362000001</v>
      </c>
      <c r="K33" s="32" t="str">
        <f t="shared" si="20"/>
        <v>REV-116|MAT</v>
      </c>
      <c r="L33" s="32">
        <f>COUNTIFS($K$2:K33,K33)</f>
        <v>6</v>
      </c>
      <c r="M33" s="32" t="str">
        <f t="shared" si="21"/>
        <v>REV-116|MAT|6</v>
      </c>
      <c r="N33" s="121">
        <f>IFERROR(VLOOKUP(A33,PARTIDAS!A:F,6,FALSE()),0)</f>
        <v>12</v>
      </c>
      <c r="O33" s="123">
        <f t="shared" si="3"/>
        <v>0</v>
      </c>
      <c r="P33" s="123" t="str">
        <f>+_xlfn.XLOOKUP(A33,PPTO_GENERADOR!Q:Q,PPTO_GENERADOR!E:E,"-",0)</f>
        <v>-</v>
      </c>
      <c r="Q33" s="123">
        <f t="shared" si="4"/>
        <v>0</v>
      </c>
      <c r="R33" s="125" t="str">
        <f>+_xlfn.XLOOKUP(A33,PPTO_GENERADOR!$Q:$Q,PPTO_GENERADOR!A:A,"-",0)</f>
        <v>-</v>
      </c>
    </row>
    <row r="34" spans="1:18" ht="14.25" customHeight="1" x14ac:dyDescent="0.35">
      <c r="A34" s="105" t="s">
        <v>1733</v>
      </c>
      <c r="B34" s="105" t="s">
        <v>1981</v>
      </c>
      <c r="C34" s="105" t="s">
        <v>1982</v>
      </c>
      <c r="D34" s="105" t="s">
        <v>966</v>
      </c>
      <c r="E34" s="95" t="str">
        <f>IFERROR(VLOOKUP(D34,MATERIALES!A:B,2,FALSE()),"?")</f>
        <v>Placa Decovinyl Liso 120x60</v>
      </c>
      <c r="F34" s="129" t="str">
        <f>IFERROR(VLOOKUP(D34,MATERIALES!A:C,3,FALSE()),"?")</f>
        <v>u</v>
      </c>
      <c r="G34" s="119">
        <v>1.3889</v>
      </c>
      <c r="H34" s="120">
        <v>0.1</v>
      </c>
      <c r="I34" s="96">
        <f>IFERROR(VLOOKUP(D34,MATERIALES!A:D,4,FALSE()),0)</f>
        <v>4751.7078769999998</v>
      </c>
      <c r="J34" s="31">
        <f t="shared" si="19"/>
        <v>7259.6117774018303</v>
      </c>
      <c r="K34" s="32" t="str">
        <f t="shared" si="20"/>
        <v>REV-116|MAT</v>
      </c>
      <c r="L34" s="32">
        <f>COUNTIFS($K$2:K34,K34)</f>
        <v>7</v>
      </c>
      <c r="M34" s="32" t="str">
        <f t="shared" si="21"/>
        <v>REV-116|MAT|7</v>
      </c>
      <c r="N34" s="121">
        <f>IFERROR(VLOOKUP(A34,PARTIDAS!A:F,6,FALSE()),0)</f>
        <v>12</v>
      </c>
      <c r="O34" s="123">
        <f t="shared" si="3"/>
        <v>0</v>
      </c>
      <c r="P34" s="123" t="str">
        <f>+_xlfn.XLOOKUP(A34,PPTO_GENERADOR!Q:Q,PPTO_GENERADOR!E:E,"-",0)</f>
        <v>-</v>
      </c>
      <c r="Q34" s="123">
        <f t="shared" si="4"/>
        <v>0</v>
      </c>
      <c r="R34" s="125" t="str">
        <f>+_xlfn.XLOOKUP(A34,PPTO_GENERADOR!$Q:$Q,PPTO_GENERADOR!A:A,"-",0)</f>
        <v>-</v>
      </c>
    </row>
    <row r="35" spans="1:18" ht="14.25" customHeight="1" x14ac:dyDescent="0.35">
      <c r="A35" s="105" t="s">
        <v>1733</v>
      </c>
      <c r="B35" s="105" t="s">
        <v>1983</v>
      </c>
      <c r="C35" s="105"/>
      <c r="D35" s="105" t="s">
        <v>1311</v>
      </c>
      <c r="E35" s="95" t="str">
        <f>IFERROR(VLOOKUP(D35,EQUIPOS!A:B,2,FALSE()),"?")</f>
        <v>ESCALERA GLOSS ALUMINIO ARTICULADA 4 X 4 ESCALONES HASTA 150KG</v>
      </c>
      <c r="F35" s="129"/>
      <c r="G35" s="119">
        <v>1</v>
      </c>
      <c r="H35" s="120">
        <v>0</v>
      </c>
      <c r="I35" s="96">
        <f>IFERROR(VLOOKUP(D35,EQUIPOS!A:F,6,FALSE()),0)</f>
        <v>152.38027427373819</v>
      </c>
      <c r="J35" s="31">
        <f t="shared" ref="J35:J36" si="22">G35*I35</f>
        <v>152.38027427373819</v>
      </c>
      <c r="K35" s="32" t="str">
        <f t="shared" ref="K35:K36" si="23">A35&amp;"|"&amp;B35</f>
        <v>REV-116|EQ</v>
      </c>
      <c r="L35" s="32">
        <f>COUNTIFS($K$2:K35,K35)</f>
        <v>1</v>
      </c>
      <c r="M35" s="32" t="str">
        <f t="shared" ref="M35:M36" si="24">K35&amp;"|"&amp;L35</f>
        <v>REV-116|EQ|1</v>
      </c>
      <c r="N35" s="121">
        <f>IFERROR(VLOOKUP(A35,PARTIDAS!A:F,6,FALSE()),0)</f>
        <v>12</v>
      </c>
      <c r="O35" s="123">
        <f t="shared" si="3"/>
        <v>0</v>
      </c>
      <c r="P35" s="123" t="str">
        <f>+_xlfn.XLOOKUP(A35,PPTO_GENERADOR!Q:Q,PPTO_GENERADOR!E:E,"-",0)</f>
        <v>-</v>
      </c>
      <c r="Q35" s="123">
        <f t="shared" si="4"/>
        <v>0</v>
      </c>
      <c r="R35" s="125" t="str">
        <f>+_xlfn.XLOOKUP(A35,PPTO_GENERADOR!$Q:$Q,PPTO_GENERADOR!A:A,"-",0)</f>
        <v>-</v>
      </c>
    </row>
    <row r="36" spans="1:18" ht="14.25" customHeight="1" x14ac:dyDescent="0.35">
      <c r="A36" s="105" t="s">
        <v>1733</v>
      </c>
      <c r="B36" s="105" t="s">
        <v>1983</v>
      </c>
      <c r="C36" s="105"/>
      <c r="D36" s="105" t="s">
        <v>1513</v>
      </c>
      <c r="E36" s="95" t="str">
        <f>IFERROR(VLOOKUP(D36,EQUIPOS!A:B,2,FALSE()),"?")</f>
        <v>EQUIPO DE CONSTRUCCION EN SECO</v>
      </c>
      <c r="F36" s="129"/>
      <c r="G36" s="119">
        <v>1</v>
      </c>
      <c r="H36" s="120">
        <v>0</v>
      </c>
      <c r="I36" s="96">
        <f>IFERROR(VLOOKUP(D36,EQUIPOS!A:F,6,FALSE()),0)</f>
        <v>2570.7599166666664</v>
      </c>
      <c r="J36" s="31">
        <f t="shared" si="22"/>
        <v>2570.7599166666664</v>
      </c>
      <c r="K36" s="32" t="str">
        <f t="shared" si="23"/>
        <v>REV-116|EQ</v>
      </c>
      <c r="L36" s="32">
        <f>COUNTIFS($K$2:K36,K36)</f>
        <v>2</v>
      </c>
      <c r="M36" s="32" t="str">
        <f t="shared" si="24"/>
        <v>REV-116|EQ|2</v>
      </c>
      <c r="N36" s="121">
        <f>IFERROR(VLOOKUP(A36,PARTIDAS!A:F,6,FALSE()),0)</f>
        <v>12</v>
      </c>
      <c r="O36" s="123">
        <f t="shared" si="3"/>
        <v>0</v>
      </c>
      <c r="P36" s="123" t="str">
        <f>+_xlfn.XLOOKUP(A36,PPTO_GENERADOR!Q:Q,PPTO_GENERADOR!E:E,"-",0)</f>
        <v>-</v>
      </c>
      <c r="Q36" s="123">
        <f t="shared" si="4"/>
        <v>0</v>
      </c>
      <c r="R36" s="125" t="str">
        <f>+_xlfn.XLOOKUP(A36,PPTO_GENERADOR!$Q:$Q,PPTO_GENERADOR!A:A,"-",0)</f>
        <v>-</v>
      </c>
    </row>
    <row r="37" spans="1:18" ht="14.25" customHeight="1" x14ac:dyDescent="0.35">
      <c r="A37" s="105" t="s">
        <v>1733</v>
      </c>
      <c r="B37" s="105" t="s">
        <v>1979</v>
      </c>
      <c r="C37" s="105" t="s">
        <v>1980</v>
      </c>
      <c r="D37" s="105" t="s">
        <v>1292</v>
      </c>
      <c r="E37" s="95" t="str">
        <f>IFERROR(VLOOKUP(D37,MANO_DE_OBRA!A:B,2,FALSE()),"?")</f>
        <v>ESPECIALIZADO</v>
      </c>
      <c r="F37" s="129" t="s">
        <v>2042</v>
      </c>
      <c r="G37" s="119">
        <v>1</v>
      </c>
      <c r="H37" s="120">
        <v>0</v>
      </c>
      <c r="I37" s="96">
        <f>IFERROR(VLOOKUP(D37,MANO_DE_OBRA!A:C,3,FALSE()),0)</f>
        <v>94177.137883538904</v>
      </c>
      <c r="J37" s="31">
        <f t="shared" ref="J37:J38" si="25">G37*I37</f>
        <v>94177.137883538904</v>
      </c>
      <c r="K37" s="32" t="str">
        <f t="shared" si="1"/>
        <v>REV-116|MO</v>
      </c>
      <c r="L37" s="32">
        <f>COUNTIFS($K$2:K37,K37)</f>
        <v>1</v>
      </c>
      <c r="M37" s="32" t="str">
        <f t="shared" si="2"/>
        <v>REV-116|MO|1</v>
      </c>
      <c r="N37" s="121">
        <f>IFERROR(VLOOKUP(A37,PARTIDAS!A:F,6,FALSE()),0)</f>
        <v>12</v>
      </c>
      <c r="O37" s="123">
        <f t="shared" si="3"/>
        <v>8.3333333333333329E-2</v>
      </c>
      <c r="P37" s="123" t="str">
        <f>+_xlfn.XLOOKUP(A37,PPTO_GENERADOR!Q:Q,PPTO_GENERADOR!E:E,"-",0)</f>
        <v>-</v>
      </c>
      <c r="Q37" s="123">
        <f t="shared" si="4"/>
        <v>0</v>
      </c>
      <c r="R37" s="125" t="str">
        <f>+_xlfn.XLOOKUP(A37,PPTO_GENERADOR!$Q:$Q,PPTO_GENERADOR!A:A,"-",0)</f>
        <v>-</v>
      </c>
    </row>
    <row r="38" spans="1:18" ht="14.25" customHeight="1" x14ac:dyDescent="0.35">
      <c r="A38" s="105" t="s">
        <v>1733</v>
      </c>
      <c r="B38" s="105" t="s">
        <v>1979</v>
      </c>
      <c r="C38" s="105" t="s">
        <v>1980</v>
      </c>
      <c r="D38" s="105" t="s">
        <v>1288</v>
      </c>
      <c r="E38" s="95" t="str">
        <f>IFERROR(VLOOKUP(D38,MANO_DE_OBRA!A:B,2,FALSE()),"?")</f>
        <v>MEDIO OFICIAL</v>
      </c>
      <c r="F38" s="129" t="s">
        <v>2042</v>
      </c>
      <c r="G38" s="119">
        <v>1</v>
      </c>
      <c r="H38" s="120">
        <v>0</v>
      </c>
      <c r="I38" s="96">
        <f>IFERROR(VLOOKUP(D38,MANO_DE_OBRA!A:C,3,FALSE()),0)</f>
        <v>72132.138365590101</v>
      </c>
      <c r="J38" s="31">
        <f t="shared" si="25"/>
        <v>72132.138365590101</v>
      </c>
      <c r="K38" s="32" t="str">
        <f t="shared" si="1"/>
        <v>REV-116|MO</v>
      </c>
      <c r="L38" s="32">
        <f>COUNTIFS($K$2:K38,K38)</f>
        <v>2</v>
      </c>
      <c r="M38" s="32" t="str">
        <f t="shared" si="2"/>
        <v>REV-116|MO|2</v>
      </c>
      <c r="N38" s="121">
        <f>IFERROR(VLOOKUP(A38,PARTIDAS!A:F,6,FALSE()),0)</f>
        <v>12</v>
      </c>
      <c r="O38" s="123">
        <f t="shared" si="3"/>
        <v>8.3333333333333329E-2</v>
      </c>
      <c r="P38" s="123" t="str">
        <f>+_xlfn.XLOOKUP(A38,PPTO_GENERADOR!Q:Q,PPTO_GENERADOR!E:E,"-",0)</f>
        <v>-</v>
      </c>
      <c r="Q38" s="123">
        <f t="shared" si="4"/>
        <v>0</v>
      </c>
      <c r="R38" s="125" t="str">
        <f>+_xlfn.XLOOKUP(A38,PPTO_GENERADOR!$Q:$Q,PPTO_GENERADOR!A:A,"-",0)</f>
        <v>-</v>
      </c>
    </row>
    <row r="39" spans="1:18" ht="14.25" customHeight="1" x14ac:dyDescent="0.35">
      <c r="A39" s="105" t="s">
        <v>1736</v>
      </c>
      <c r="B39" s="105" t="s">
        <v>1981</v>
      </c>
      <c r="C39" s="105" t="s">
        <v>1982</v>
      </c>
      <c r="D39" s="105" t="s">
        <v>953</v>
      </c>
      <c r="E39" s="95" t="str">
        <f>IFERROR(VLOOKUP(D39,MATERIALES!A:B,2,FALSE()),"?")</f>
        <v>Buña Z x 2.60m</v>
      </c>
      <c r="F39" s="129" t="str">
        <f>IFERROR(VLOOKUP(D39,MATERIALES!A:C,3,FALSE()),"?")</f>
        <v>u</v>
      </c>
      <c r="G39" s="119">
        <v>0.39</v>
      </c>
      <c r="H39" s="120">
        <v>0.1</v>
      </c>
      <c r="I39" s="96">
        <f>IFERROR(VLOOKUP(D39,MATERIALES!A:D,4,FALSE()),0)</f>
        <v>2234.1799999999998</v>
      </c>
      <c r="J39" s="31">
        <f t="shared" ref="J39:J40" si="26">G39*I39*(1+H39)</f>
        <v>958.46322000000009</v>
      </c>
      <c r="K39" s="32" t="str">
        <f t="shared" ref="K39:K40" si="27">A39&amp;"|"&amp;B39</f>
        <v>YES-117|MAT</v>
      </c>
      <c r="L39" s="32">
        <f>COUNTIFS($K$2:K39,K39)</f>
        <v>1</v>
      </c>
      <c r="M39" s="32" t="str">
        <f t="shared" ref="M39:M40" si="28">K39&amp;"|"&amp;L39</f>
        <v>YES-117|MAT|1</v>
      </c>
      <c r="N39" s="121">
        <f>IFERROR(VLOOKUP(A39,PARTIDAS!A:F,6,FALSE()),0)</f>
        <v>15</v>
      </c>
      <c r="O39" s="123">
        <f t="shared" si="3"/>
        <v>0</v>
      </c>
      <c r="P39" s="123" t="str">
        <f>+_xlfn.XLOOKUP(A39,PPTO_GENERADOR!Q:Q,PPTO_GENERADOR!E:E,"-",0)</f>
        <v>-</v>
      </c>
      <c r="Q39" s="123">
        <f t="shared" si="4"/>
        <v>0</v>
      </c>
      <c r="R39" s="125" t="str">
        <f>+_xlfn.XLOOKUP(A39,PPTO_GENERADOR!$Q:$Q,PPTO_GENERADOR!A:A,"-",0)</f>
        <v>-</v>
      </c>
    </row>
    <row r="40" spans="1:18" ht="14.25" customHeight="1" x14ac:dyDescent="0.35">
      <c r="A40" s="105" t="s">
        <v>1736</v>
      </c>
      <c r="B40" s="105" t="s">
        <v>1981</v>
      </c>
      <c r="C40" s="105" t="s">
        <v>1982</v>
      </c>
      <c r="D40" s="105" t="s">
        <v>935</v>
      </c>
      <c r="E40" s="95" t="str">
        <f>IFERROR(VLOOKUP(D40,MATERIALES!A:B,2,FALSE()),"?")</f>
        <v>Tornillo T2 - Aguja</v>
      </c>
      <c r="F40" s="129" t="str">
        <f>IFERROR(VLOOKUP(D40,MATERIALES!A:C,3,FALSE()),"?")</f>
        <v>u</v>
      </c>
      <c r="G40" s="119">
        <v>3</v>
      </c>
      <c r="H40" s="120">
        <v>0.05</v>
      </c>
      <c r="I40" s="96">
        <f>IFERROR(VLOOKUP(D40,MATERIALES!A:D,4,FALSE()),0)</f>
        <v>9.1146919999999998</v>
      </c>
      <c r="J40" s="31">
        <f t="shared" si="26"/>
        <v>28.711279800000003</v>
      </c>
      <c r="K40" s="32" t="str">
        <f t="shared" si="27"/>
        <v>YES-117|MAT</v>
      </c>
      <c r="L40" s="32">
        <f>COUNTIFS($K$2:K40,K40)</f>
        <v>2</v>
      </c>
      <c r="M40" s="32" t="str">
        <f t="shared" si="28"/>
        <v>YES-117|MAT|2</v>
      </c>
      <c r="N40" s="121">
        <f>IFERROR(VLOOKUP(A40,PARTIDAS!A:F,6,FALSE()),0)</f>
        <v>15</v>
      </c>
      <c r="O40" s="123">
        <f t="shared" si="3"/>
        <v>0</v>
      </c>
      <c r="P40" s="123" t="str">
        <f>+_xlfn.XLOOKUP(A40,PPTO_GENERADOR!Q:Q,PPTO_GENERADOR!E:E,"-",0)</f>
        <v>-</v>
      </c>
      <c r="Q40" s="123">
        <f t="shared" si="4"/>
        <v>0</v>
      </c>
      <c r="R40" s="125" t="str">
        <f>+_xlfn.XLOOKUP(A40,PPTO_GENERADOR!$Q:$Q,PPTO_GENERADOR!A:A,"-",0)</f>
        <v>-</v>
      </c>
    </row>
    <row r="41" spans="1:18" ht="14.25" customHeight="1" x14ac:dyDescent="0.35">
      <c r="A41" s="105" t="s">
        <v>1875</v>
      </c>
      <c r="B41" s="105" t="s">
        <v>1983</v>
      </c>
      <c r="C41" s="105"/>
      <c r="D41" s="105" t="s">
        <v>1311</v>
      </c>
      <c r="E41" s="95" t="str">
        <f>IFERROR(VLOOKUP(D41,EQUIPOS!A:B,2,FALSE()),"?")</f>
        <v>ESCALERA GLOSS ALUMINIO ARTICULADA 4 X 4 ESCALONES HASTA 150KG</v>
      </c>
      <c r="F41" s="129"/>
      <c r="G41" s="119">
        <v>1</v>
      </c>
      <c r="H41" s="120">
        <v>0</v>
      </c>
      <c r="I41" s="96">
        <f>IFERROR(VLOOKUP(D41,EQUIPOS!A:F,6,FALSE()),0)</f>
        <v>152.38027427373819</v>
      </c>
      <c r="J41" s="31">
        <f t="shared" ref="J41:J42" si="29">G41*I41</f>
        <v>152.38027427373819</v>
      </c>
      <c r="K41" s="32" t="str">
        <f t="shared" ref="K41:K42" si="30">A41&amp;"|"&amp;B41</f>
        <v>CER-060|EQ</v>
      </c>
      <c r="L41" s="32">
        <f>COUNTIFS($K$2:K41,K41)</f>
        <v>1</v>
      </c>
      <c r="M41" s="32" t="str">
        <f t="shared" ref="M41:M42" si="31">K41&amp;"|"&amp;L41</f>
        <v>CER-060|EQ|1</v>
      </c>
      <c r="N41" s="121">
        <f>IFERROR(VLOOKUP(A41,PARTIDAS!A:F,6,FALSE()),0)</f>
        <v>9.5</v>
      </c>
      <c r="O41" s="123">
        <f t="shared" si="3"/>
        <v>0</v>
      </c>
      <c r="P41" s="123" t="str">
        <f>+_xlfn.XLOOKUP(A41,PPTO_GENERADOR!Q:Q,PPTO_GENERADOR!E:E,"-",0)</f>
        <v>-</v>
      </c>
      <c r="Q41" s="123">
        <f t="shared" si="4"/>
        <v>0</v>
      </c>
      <c r="R41" s="125" t="str">
        <f>+_xlfn.XLOOKUP(A41,PPTO_GENERADOR!$Q:$Q,PPTO_GENERADOR!A:A,"-",0)</f>
        <v>-</v>
      </c>
    </row>
    <row r="42" spans="1:18" ht="14.25" customHeight="1" x14ac:dyDescent="0.35">
      <c r="A42" s="105" t="s">
        <v>1875</v>
      </c>
      <c r="B42" s="105" t="s">
        <v>1983</v>
      </c>
      <c r="C42" s="105"/>
      <c r="D42" s="105" t="s">
        <v>1513</v>
      </c>
      <c r="E42" s="95" t="str">
        <f>IFERROR(VLOOKUP(D42,EQUIPOS!A:B,2,FALSE()),"?")</f>
        <v>EQUIPO DE CONSTRUCCION EN SECO</v>
      </c>
      <c r="F42" s="129"/>
      <c r="G42" s="119">
        <v>1</v>
      </c>
      <c r="H42" s="120">
        <v>0</v>
      </c>
      <c r="I42" s="96">
        <f>IFERROR(VLOOKUP(D42,EQUIPOS!A:F,6,FALSE()),0)</f>
        <v>2570.7599166666664</v>
      </c>
      <c r="J42" s="31">
        <f t="shared" si="29"/>
        <v>2570.7599166666664</v>
      </c>
      <c r="K42" s="32" t="str">
        <f t="shared" si="30"/>
        <v>CER-060|EQ</v>
      </c>
      <c r="L42" s="32">
        <f>COUNTIFS($K$2:K42,K42)</f>
        <v>2</v>
      </c>
      <c r="M42" s="32" t="str">
        <f t="shared" si="31"/>
        <v>CER-060|EQ|2</v>
      </c>
      <c r="N42" s="121">
        <f>IFERROR(VLOOKUP(A42,PARTIDAS!A:F,6,FALSE()),0)</f>
        <v>9.5</v>
      </c>
      <c r="O42" s="123">
        <f t="shared" si="3"/>
        <v>0</v>
      </c>
      <c r="P42" s="123" t="str">
        <f>+_xlfn.XLOOKUP(A42,PPTO_GENERADOR!Q:Q,PPTO_GENERADOR!E:E,"-",0)</f>
        <v>-</v>
      </c>
      <c r="Q42" s="123">
        <f t="shared" si="4"/>
        <v>0</v>
      </c>
      <c r="R42" s="125" t="str">
        <f>+_xlfn.XLOOKUP(A42,PPTO_GENERADOR!$Q:$Q,PPTO_GENERADOR!A:A,"-",0)</f>
        <v>-</v>
      </c>
    </row>
    <row r="43" spans="1:18" ht="14.25" customHeight="1" x14ac:dyDescent="0.35">
      <c r="A43" s="105" t="s">
        <v>1736</v>
      </c>
      <c r="B43" s="105" t="s">
        <v>1979</v>
      </c>
      <c r="C43" s="105" t="s">
        <v>1980</v>
      </c>
      <c r="D43" s="105" t="s">
        <v>1292</v>
      </c>
      <c r="E43" s="95" t="str">
        <f>IFERROR(VLOOKUP(D43,MANO_DE_OBRA!A:B,2,FALSE()),"?")</f>
        <v>ESPECIALIZADO</v>
      </c>
      <c r="F43" s="129" t="s">
        <v>2042</v>
      </c>
      <c r="G43" s="119">
        <v>1</v>
      </c>
      <c r="H43" s="120">
        <v>0</v>
      </c>
      <c r="I43" s="96">
        <f>IFERROR(VLOOKUP(D43,MANO_DE_OBRA!A:C,3,FALSE()),0)</f>
        <v>94177.137883538904</v>
      </c>
      <c r="J43" s="31">
        <f t="shared" ref="J43" si="32">G43*I43</f>
        <v>94177.137883538904</v>
      </c>
      <c r="K43" s="32" t="str">
        <f t="shared" si="1"/>
        <v>YES-117|MO</v>
      </c>
      <c r="L43" s="32">
        <f>COUNTIFS($K$2:K43,K43)</f>
        <v>1</v>
      </c>
      <c r="M43" s="32" t="str">
        <f t="shared" si="2"/>
        <v>YES-117|MO|1</v>
      </c>
      <c r="N43" s="121">
        <f>IFERROR(VLOOKUP(A43,PARTIDAS!A:F,6,FALSE()),0)</f>
        <v>15</v>
      </c>
      <c r="O43" s="123">
        <f t="shared" si="3"/>
        <v>6.6666666666666666E-2</v>
      </c>
      <c r="P43" s="123" t="str">
        <f>+_xlfn.XLOOKUP(A43,PPTO_GENERADOR!Q:Q,PPTO_GENERADOR!E:E,"-",0)</f>
        <v>-</v>
      </c>
      <c r="Q43" s="123">
        <f t="shared" si="4"/>
        <v>0</v>
      </c>
      <c r="R43" s="125" t="str">
        <f>+_xlfn.XLOOKUP(A43,PPTO_GENERADOR!$Q:$Q,PPTO_GENERADOR!A:A,"-",0)</f>
        <v>-</v>
      </c>
    </row>
    <row r="44" spans="1:18" ht="14.25" customHeight="1" x14ac:dyDescent="0.35">
      <c r="A44" s="105" t="s">
        <v>1739</v>
      </c>
      <c r="B44" s="105" t="s">
        <v>1981</v>
      </c>
      <c r="C44" s="105" t="s">
        <v>1982</v>
      </c>
      <c r="D44" s="105" t="s">
        <v>559</v>
      </c>
      <c r="E44" s="95" t="str">
        <f>IFERROR(VLOOKUP(D44,MATERIALES!A:B,2,FALSE()),"?")</f>
        <v>CONSUMIBLES (varios)</v>
      </c>
      <c r="F44" s="129" t="str">
        <f>IFERROR(VLOOKUP(D44,MATERIALES!A:C,3,FALSE()),"?")</f>
        <v>gl</v>
      </c>
      <c r="G44" s="119">
        <v>129.82086941119999</v>
      </c>
      <c r="H44" s="120">
        <v>0</v>
      </c>
      <c r="I44" s="96">
        <f>IFERROR(VLOOKUP(D44,MATERIALES!A:D,4,FALSE()),0)</f>
        <v>1</v>
      </c>
      <c r="J44" s="31">
        <f t="shared" ref="J44:J48" si="33">G44*I44*(1+H44)</f>
        <v>129.82086941119999</v>
      </c>
      <c r="K44" s="32" t="str">
        <f t="shared" ref="K44:K48" si="34">A44&amp;"|"&amp;B44</f>
        <v>YES-118|MAT</v>
      </c>
      <c r="L44" s="32">
        <f>COUNTIFS($K$2:K44,K44)</f>
        <v>1</v>
      </c>
      <c r="M44" s="32" t="str">
        <f t="shared" ref="M44:M48" si="35">K44&amp;"|"&amp;L44</f>
        <v>YES-118|MAT|1</v>
      </c>
      <c r="N44" s="121">
        <f>IFERROR(VLOOKUP(A44,PARTIDAS!A:F,6,FALSE()),0)</f>
        <v>11.5</v>
      </c>
      <c r="O44" s="123">
        <f t="shared" si="3"/>
        <v>0</v>
      </c>
      <c r="P44" s="123" t="str">
        <f>+_xlfn.XLOOKUP(A44,PPTO_GENERADOR!Q:Q,PPTO_GENERADOR!E:E,"-",0)</f>
        <v>-</v>
      </c>
      <c r="Q44" s="123">
        <f t="shared" si="4"/>
        <v>0</v>
      </c>
      <c r="R44" s="125" t="str">
        <f>+_xlfn.XLOOKUP(A44,PPTO_GENERADOR!$Q:$Q,PPTO_GENERADOR!A:A,"-",0)</f>
        <v>-</v>
      </c>
    </row>
    <row r="45" spans="1:18" ht="14.25" customHeight="1" x14ac:dyDescent="0.35">
      <c r="A45" s="105" t="s">
        <v>1739</v>
      </c>
      <c r="B45" s="105" t="s">
        <v>1981</v>
      </c>
      <c r="C45" s="105" t="s">
        <v>1982</v>
      </c>
      <c r="D45" s="105" t="s">
        <v>533</v>
      </c>
      <c r="E45" s="95" t="str">
        <f>IFERROR(VLOOKUP(D45,MATERIALES!A:B,2,FALSE()),"?")</f>
        <v>Barra de Acero Aleteado - 6mm x 12m</v>
      </c>
      <c r="F45" s="129">
        <f>IFERROR(VLOOKUP(D45,MATERIALES!A:C,3,FALSE()),"?")</f>
        <v>0</v>
      </c>
      <c r="G45" s="119">
        <v>0.17</v>
      </c>
      <c r="H45" s="120">
        <v>0.1</v>
      </c>
      <c r="I45" s="96">
        <f>IFERROR(VLOOKUP(D45,MATERIALES!A:D,4,FALSE()),0)</f>
        <v>3620.13</v>
      </c>
      <c r="J45" s="31">
        <f t="shared" si="33"/>
        <v>676.96431000000018</v>
      </c>
      <c r="K45" s="32" t="str">
        <f t="shared" si="34"/>
        <v>YES-118|MAT</v>
      </c>
      <c r="L45" s="32">
        <f>COUNTIFS($K$2:K45,K45)</f>
        <v>2</v>
      </c>
      <c r="M45" s="32" t="str">
        <f t="shared" si="35"/>
        <v>YES-118|MAT|2</v>
      </c>
      <c r="N45" s="121">
        <f>IFERROR(VLOOKUP(A45,PARTIDAS!A:F,6,FALSE()),0)</f>
        <v>11.5</v>
      </c>
      <c r="O45" s="123">
        <f t="shared" si="3"/>
        <v>0</v>
      </c>
      <c r="P45" s="123" t="str">
        <f>+_xlfn.XLOOKUP(A45,PPTO_GENERADOR!Q:Q,PPTO_GENERADOR!E:E,"-",0)</f>
        <v>-</v>
      </c>
      <c r="Q45" s="123">
        <f t="shared" si="4"/>
        <v>0</v>
      </c>
      <c r="R45" s="125" t="str">
        <f>+_xlfn.XLOOKUP(A45,PPTO_GENERADOR!$Q:$Q,PPTO_GENERADOR!A:A,"-",0)</f>
        <v>-</v>
      </c>
    </row>
    <row r="46" spans="1:18" ht="14.25" customHeight="1" x14ac:dyDescent="0.35">
      <c r="A46" s="105" t="s">
        <v>1739</v>
      </c>
      <c r="B46" s="105" t="s">
        <v>1981</v>
      </c>
      <c r="C46" s="105" t="s">
        <v>1982</v>
      </c>
      <c r="D46" s="105" t="s">
        <v>538</v>
      </c>
      <c r="E46" s="95" t="str">
        <f>IFERROR(VLOOKUP(D46,MATERIALES!A:B,2,FALSE()),"?")</f>
        <v>ARENA LAVADA</v>
      </c>
      <c r="F46" s="129">
        <f>IFERROR(VLOOKUP(D46,MATERIALES!A:C,3,FALSE()),"?")</f>
        <v>0</v>
      </c>
      <c r="G46" s="119">
        <v>1.2E-2</v>
      </c>
      <c r="H46" s="120">
        <v>0.1</v>
      </c>
      <c r="I46" s="96">
        <f>IFERROR(VLOOKUP(D46,MATERIALES!A:D,4,FALSE()),0)</f>
        <v>32620.38</v>
      </c>
      <c r="J46" s="31">
        <f t="shared" si="33"/>
        <v>430.58901600000007</v>
      </c>
      <c r="K46" s="32" t="str">
        <f t="shared" si="34"/>
        <v>YES-118|MAT</v>
      </c>
      <c r="L46" s="32">
        <f>COUNTIFS($K$2:K46,K46)</f>
        <v>3</v>
      </c>
      <c r="M46" s="32" t="str">
        <f t="shared" si="35"/>
        <v>YES-118|MAT|3</v>
      </c>
      <c r="N46" s="121">
        <f>IFERROR(VLOOKUP(A46,PARTIDAS!A:F,6,FALSE()),0)</f>
        <v>11.5</v>
      </c>
      <c r="O46" s="123">
        <f t="shared" si="3"/>
        <v>0</v>
      </c>
      <c r="P46" s="123" t="str">
        <f>+_xlfn.XLOOKUP(A46,PPTO_GENERADOR!Q:Q,PPTO_GENERADOR!E:E,"-",0)</f>
        <v>-</v>
      </c>
      <c r="Q46" s="123">
        <f t="shared" si="4"/>
        <v>0</v>
      </c>
      <c r="R46" s="125" t="str">
        <f>+_xlfn.XLOOKUP(A46,PPTO_GENERADOR!$Q:$Q,PPTO_GENERADOR!A:A,"-",0)</f>
        <v>-</v>
      </c>
    </row>
    <row r="47" spans="1:18" ht="14.25" customHeight="1" x14ac:dyDescent="0.35">
      <c r="A47" s="105" t="s">
        <v>1739</v>
      </c>
      <c r="B47" s="105" t="s">
        <v>1981</v>
      </c>
      <c r="C47" s="105" t="s">
        <v>1982</v>
      </c>
      <c r="D47" s="105" t="s">
        <v>1027</v>
      </c>
      <c r="E47" s="95" t="str">
        <f>IFERROR(VLOOKUP(D47,MATERIALES!A:B,2,FALSE()),"?")</f>
        <v>Bloque hormigón 10×19×39</v>
      </c>
      <c r="F47" s="129" t="str">
        <f>IFERROR(VLOOKUP(D47,MATERIALES!A:C,3,FALSE()),"?")</f>
        <v>u</v>
      </c>
      <c r="G47" s="119">
        <v>12.5</v>
      </c>
      <c r="H47" s="120">
        <v>0.05</v>
      </c>
      <c r="I47" s="96">
        <f>IFERROR(VLOOKUP(D47,MATERIALES!A:D,4,FALSE()),0)</f>
        <v>808.61</v>
      </c>
      <c r="J47" s="31">
        <f t="shared" si="33"/>
        <v>10613.00625</v>
      </c>
      <c r="K47" s="32" t="str">
        <f t="shared" si="34"/>
        <v>YES-118|MAT</v>
      </c>
      <c r="L47" s="32">
        <f>COUNTIFS($K$2:K47,K47)</f>
        <v>4</v>
      </c>
      <c r="M47" s="32" t="str">
        <f t="shared" si="35"/>
        <v>YES-118|MAT|4</v>
      </c>
      <c r="N47" s="121">
        <f>IFERROR(VLOOKUP(A47,PARTIDAS!A:F,6,FALSE()),0)</f>
        <v>11.5</v>
      </c>
      <c r="O47" s="123">
        <f t="shared" si="3"/>
        <v>0</v>
      </c>
      <c r="P47" s="123" t="str">
        <f>+_xlfn.XLOOKUP(A47,PPTO_GENERADOR!Q:Q,PPTO_GENERADOR!E:E,"-",0)</f>
        <v>-</v>
      </c>
      <c r="Q47" s="123">
        <f t="shared" si="4"/>
        <v>0</v>
      </c>
      <c r="R47" s="125" t="str">
        <f>+_xlfn.XLOOKUP(A47,PPTO_GENERADOR!$Q:$Q,PPTO_GENERADOR!A:A,"-",0)</f>
        <v>-</v>
      </c>
    </row>
    <row r="48" spans="1:18" ht="14.25" customHeight="1" x14ac:dyDescent="0.35">
      <c r="A48" s="105" t="s">
        <v>1739</v>
      </c>
      <c r="B48" s="105" t="s">
        <v>1981</v>
      </c>
      <c r="C48" s="105" t="s">
        <v>1982</v>
      </c>
      <c r="D48" s="105" t="s">
        <v>540</v>
      </c>
      <c r="E48" s="95" t="str">
        <f>IFERROR(VLOOKUP(D48,MATERIALES!A:B,2,FALSE()),"?")</f>
        <v>Cemento Portland x 50kg</v>
      </c>
      <c r="F48" s="129">
        <f>IFERROR(VLOOKUP(D48,MATERIALES!A:C,3,FALSE()),"?")</f>
        <v>0</v>
      </c>
      <c r="G48" s="119">
        <v>5.1999999999999998E-2</v>
      </c>
      <c r="H48" s="120">
        <v>0.1</v>
      </c>
      <c r="I48" s="96">
        <f>IFERROR(VLOOKUP(D48,MATERIALES!A:D,4,FALSE()),0)</f>
        <v>7891.74</v>
      </c>
      <c r="J48" s="31">
        <f t="shared" si="33"/>
        <v>451.40752800000001</v>
      </c>
      <c r="K48" s="32" t="str">
        <f t="shared" si="34"/>
        <v>YES-118|MAT</v>
      </c>
      <c r="L48" s="32">
        <f>COUNTIFS($K$2:K48,K48)</f>
        <v>5</v>
      </c>
      <c r="M48" s="32" t="str">
        <f t="shared" si="35"/>
        <v>YES-118|MAT|5</v>
      </c>
      <c r="N48" s="121">
        <f>IFERROR(VLOOKUP(A48,PARTIDAS!A:F,6,FALSE()),0)</f>
        <v>11.5</v>
      </c>
      <c r="O48" s="123">
        <f t="shared" si="3"/>
        <v>0</v>
      </c>
      <c r="P48" s="123" t="str">
        <f>+_xlfn.XLOOKUP(A48,PPTO_GENERADOR!Q:Q,PPTO_GENERADOR!E:E,"-",0)</f>
        <v>-</v>
      </c>
      <c r="Q48" s="123">
        <f t="shared" si="4"/>
        <v>0</v>
      </c>
      <c r="R48" s="125" t="str">
        <f>+_xlfn.XLOOKUP(A48,PPTO_GENERADOR!$Q:$Q,PPTO_GENERADOR!A:A,"-",0)</f>
        <v>-</v>
      </c>
    </row>
    <row r="49" spans="1:18" ht="14.25" customHeight="1" x14ac:dyDescent="0.35">
      <c r="A49" s="105" t="s">
        <v>1739</v>
      </c>
      <c r="B49" s="105" t="s">
        <v>1983</v>
      </c>
      <c r="C49" s="105"/>
      <c r="D49" s="105" t="s">
        <v>1319</v>
      </c>
      <c r="E49" s="95" t="str">
        <f>IFERROR(VLOOKUP(D49,EQUIPOS!A:B,2,FALSE()),"?")</f>
        <v>EQUIPO DE ALBAÑILERIA, carpetas, ladrillo</v>
      </c>
      <c r="F49" s="129"/>
      <c r="G49" s="119">
        <v>1</v>
      </c>
      <c r="H49" s="120">
        <v>0</v>
      </c>
      <c r="I49" s="96">
        <f>IFERROR(VLOOKUP(D49,EQUIPOS!A:F,6,FALSE()),0)</f>
        <v>2485.8709964593982</v>
      </c>
      <c r="J49" s="31">
        <f t="shared" ref="J49:J51" si="36">G49*I49</f>
        <v>2485.8709964593982</v>
      </c>
      <c r="K49" s="32" t="str">
        <f t="shared" ref="K49:K51" si="37">A49&amp;"|"&amp;B49</f>
        <v>YES-118|EQ</v>
      </c>
      <c r="L49" s="32">
        <f>COUNTIFS($K$2:K49,K49)</f>
        <v>1</v>
      </c>
      <c r="M49" s="32" t="str">
        <f t="shared" ref="M49:M51" si="38">K49&amp;"|"&amp;L49</f>
        <v>YES-118|EQ|1</v>
      </c>
      <c r="N49" s="121">
        <f>IFERROR(VLOOKUP(A49,PARTIDAS!A:F,6,FALSE()),0)</f>
        <v>11.5</v>
      </c>
      <c r="O49" s="123">
        <f t="shared" si="3"/>
        <v>0</v>
      </c>
      <c r="P49" s="123" t="str">
        <f>+_xlfn.XLOOKUP(A49,PPTO_GENERADOR!Q:Q,PPTO_GENERADOR!E:E,"-",0)</f>
        <v>-</v>
      </c>
      <c r="Q49" s="123">
        <f t="shared" si="4"/>
        <v>0</v>
      </c>
      <c r="R49" s="125" t="str">
        <f>+_xlfn.XLOOKUP(A49,PPTO_GENERADOR!$Q:$Q,PPTO_GENERADOR!A:A,"-",0)</f>
        <v>-</v>
      </c>
    </row>
    <row r="50" spans="1:18" ht="14.25" customHeight="1" x14ac:dyDescent="0.35">
      <c r="A50" s="105" t="s">
        <v>1739</v>
      </c>
      <c r="B50" s="105" t="s">
        <v>1983</v>
      </c>
      <c r="C50" s="105"/>
      <c r="D50" s="105" t="s">
        <v>1313</v>
      </c>
      <c r="E50" s="95" t="str">
        <f>IFERROR(VLOOKUP(D50,EQUIPOS!A:B,2,FALSE()),"?")</f>
        <v>ANDAMIO TUBULAR DE UNO A TRES CUERPOS</v>
      </c>
      <c r="F50" s="129"/>
      <c r="G50" s="119">
        <v>0.5</v>
      </c>
      <c r="H50" s="120">
        <v>0</v>
      </c>
      <c r="I50" s="96">
        <f>IFERROR(VLOOKUP(D50,EQUIPOS!A:F,6,FALSE()),0)</f>
        <v>620.81078197718341</v>
      </c>
      <c r="J50" s="31">
        <f t="shared" si="36"/>
        <v>310.40539098859171</v>
      </c>
      <c r="K50" s="32" t="str">
        <f t="shared" si="37"/>
        <v>YES-118|EQ</v>
      </c>
      <c r="L50" s="32">
        <f>COUNTIFS($K$2:K50,K50)</f>
        <v>2</v>
      </c>
      <c r="M50" s="32" t="str">
        <f t="shared" si="38"/>
        <v>YES-118|EQ|2</v>
      </c>
      <c r="N50" s="121">
        <f>IFERROR(VLOOKUP(A50,PARTIDAS!A:F,6,FALSE()),0)</f>
        <v>11.5</v>
      </c>
      <c r="O50" s="123">
        <f t="shared" si="3"/>
        <v>0</v>
      </c>
      <c r="P50" s="123" t="str">
        <f>+_xlfn.XLOOKUP(A50,PPTO_GENERADOR!Q:Q,PPTO_GENERADOR!E:E,"-",0)</f>
        <v>-</v>
      </c>
      <c r="Q50" s="123">
        <f t="shared" si="4"/>
        <v>0</v>
      </c>
      <c r="R50" s="125" t="str">
        <f>+_xlfn.XLOOKUP(A50,PPTO_GENERADOR!$Q:$Q,PPTO_GENERADOR!A:A,"-",0)</f>
        <v>-</v>
      </c>
    </row>
    <row r="51" spans="1:18" ht="14.25" customHeight="1" x14ac:dyDescent="0.35">
      <c r="A51" s="105" t="s">
        <v>1739</v>
      </c>
      <c r="B51" s="105" t="s">
        <v>1983</v>
      </c>
      <c r="C51" s="105"/>
      <c r="D51" s="105" t="s">
        <v>1507</v>
      </c>
      <c r="E51" s="95" t="str">
        <f>IFERROR(VLOOKUP(D51,EQUIPOS!A:B,2,FALSE()),"?")</f>
        <v>Hormigonera De 150 Litros 1hp Con Rueda Maciza</v>
      </c>
      <c r="F51" s="129"/>
      <c r="G51" s="119">
        <v>1</v>
      </c>
      <c r="H51" s="120">
        <v>0</v>
      </c>
      <c r="I51" s="96">
        <f>IFERROR(VLOOKUP(D51,EQUIPOS!A:F,6,FALSE()),0)</f>
        <v>1040.4314486705237</v>
      </c>
      <c r="J51" s="31">
        <f t="shared" si="36"/>
        <v>1040.4314486705237</v>
      </c>
      <c r="K51" s="32" t="str">
        <f t="shared" si="37"/>
        <v>YES-118|EQ</v>
      </c>
      <c r="L51" s="32">
        <f>COUNTIFS($K$2:K51,K51)</f>
        <v>3</v>
      </c>
      <c r="M51" s="32" t="str">
        <f t="shared" si="38"/>
        <v>YES-118|EQ|3</v>
      </c>
      <c r="N51" s="121">
        <f>IFERROR(VLOOKUP(A51,PARTIDAS!A:F,6,FALSE()),0)</f>
        <v>11.5</v>
      </c>
      <c r="O51" s="123">
        <f t="shared" si="3"/>
        <v>0</v>
      </c>
      <c r="P51" s="123" t="str">
        <f>+_xlfn.XLOOKUP(A51,PPTO_GENERADOR!Q:Q,PPTO_GENERADOR!E:E,"-",0)</f>
        <v>-</v>
      </c>
      <c r="Q51" s="123">
        <f t="shared" si="4"/>
        <v>0</v>
      </c>
      <c r="R51" s="125" t="str">
        <f>+_xlfn.XLOOKUP(A51,PPTO_GENERADOR!$Q:$Q,PPTO_GENERADOR!A:A,"-",0)</f>
        <v>-</v>
      </c>
    </row>
    <row r="52" spans="1:18" ht="14.25" customHeight="1" x14ac:dyDescent="0.35">
      <c r="A52" s="105" t="s">
        <v>1739</v>
      </c>
      <c r="B52" s="105" t="s">
        <v>1979</v>
      </c>
      <c r="C52" s="105" t="s">
        <v>1980</v>
      </c>
      <c r="D52" s="105" t="s">
        <v>1292</v>
      </c>
      <c r="E52" s="95" t="str">
        <f>IFERROR(VLOOKUP(D52,MANO_DE_OBRA!A:B,2,FALSE()),"?")</f>
        <v>ESPECIALIZADO</v>
      </c>
      <c r="F52" s="129" t="s">
        <v>2042</v>
      </c>
      <c r="G52" s="119">
        <v>1</v>
      </c>
      <c r="H52" s="120">
        <v>0</v>
      </c>
      <c r="I52" s="96">
        <f>IFERROR(VLOOKUP(D52,MANO_DE_OBRA!A:C,3,FALSE()),0)</f>
        <v>94177.137883538904</v>
      </c>
      <c r="J52" s="31">
        <f t="shared" ref="J52:J53" si="39">G52*I52</f>
        <v>94177.137883538904</v>
      </c>
      <c r="K52" s="32" t="str">
        <f t="shared" si="1"/>
        <v>YES-118|MO</v>
      </c>
      <c r="L52" s="32">
        <f>COUNTIFS($K$2:K52,K52)</f>
        <v>1</v>
      </c>
      <c r="M52" s="32" t="str">
        <f t="shared" si="2"/>
        <v>YES-118|MO|1</v>
      </c>
      <c r="N52" s="121">
        <f>IFERROR(VLOOKUP(A52,PARTIDAS!A:F,6,FALSE()),0)</f>
        <v>11.5</v>
      </c>
      <c r="O52" s="123">
        <f t="shared" si="3"/>
        <v>8.6956521739130432E-2</v>
      </c>
      <c r="P52" s="123" t="str">
        <f>+_xlfn.XLOOKUP(A52,PPTO_GENERADOR!Q:Q,PPTO_GENERADOR!E:E,"-",0)</f>
        <v>-</v>
      </c>
      <c r="Q52" s="123">
        <f t="shared" si="4"/>
        <v>0</v>
      </c>
      <c r="R52" s="125" t="str">
        <f>+_xlfn.XLOOKUP(A52,PPTO_GENERADOR!$Q:$Q,PPTO_GENERADOR!A:A,"-",0)</f>
        <v>-</v>
      </c>
    </row>
    <row r="53" spans="1:18" ht="14.25" customHeight="1" x14ac:dyDescent="0.35">
      <c r="A53" s="105" t="s">
        <v>1739</v>
      </c>
      <c r="B53" s="105" t="s">
        <v>1979</v>
      </c>
      <c r="C53" s="105" t="s">
        <v>1980</v>
      </c>
      <c r="D53" s="105" t="s">
        <v>1288</v>
      </c>
      <c r="E53" s="95" t="str">
        <f>IFERROR(VLOOKUP(D53,MANO_DE_OBRA!A:B,2,FALSE()),"?")</f>
        <v>MEDIO OFICIAL</v>
      </c>
      <c r="F53" s="129" t="s">
        <v>2042</v>
      </c>
      <c r="G53" s="119">
        <v>0.75</v>
      </c>
      <c r="H53" s="120">
        <v>0</v>
      </c>
      <c r="I53" s="96">
        <f>IFERROR(VLOOKUP(D53,MANO_DE_OBRA!A:C,3,FALSE()),0)</f>
        <v>72132.138365590101</v>
      </c>
      <c r="J53" s="31">
        <f t="shared" si="39"/>
        <v>54099.103774192576</v>
      </c>
      <c r="K53" s="32" t="str">
        <f t="shared" si="1"/>
        <v>YES-118|MO</v>
      </c>
      <c r="L53" s="32">
        <f>COUNTIFS($K$2:K53,K53)</f>
        <v>2</v>
      </c>
      <c r="M53" s="32" t="str">
        <f t="shared" si="2"/>
        <v>YES-118|MO|2</v>
      </c>
      <c r="N53" s="121">
        <f>IFERROR(VLOOKUP(A53,PARTIDAS!A:F,6,FALSE()),0)</f>
        <v>11.5</v>
      </c>
      <c r="O53" s="123">
        <f t="shared" si="3"/>
        <v>6.5217391304347824E-2</v>
      </c>
      <c r="P53" s="123" t="str">
        <f>+_xlfn.XLOOKUP(A53,PPTO_GENERADOR!Q:Q,PPTO_GENERADOR!E:E,"-",0)</f>
        <v>-</v>
      </c>
      <c r="Q53" s="123">
        <f t="shared" si="4"/>
        <v>0</v>
      </c>
      <c r="R53" s="125" t="str">
        <f>+_xlfn.XLOOKUP(A53,PPTO_GENERADOR!$Q:$Q,PPTO_GENERADOR!A:A,"-",0)</f>
        <v>-</v>
      </c>
    </row>
    <row r="54" spans="1:18" ht="14.25" customHeight="1" x14ac:dyDescent="0.35">
      <c r="A54" s="105" t="s">
        <v>1743</v>
      </c>
      <c r="B54" s="105" t="s">
        <v>1981</v>
      </c>
      <c r="C54" s="105" t="s">
        <v>1982</v>
      </c>
      <c r="D54" s="105" t="s">
        <v>559</v>
      </c>
      <c r="E54" s="95" t="str">
        <f>IFERROR(VLOOKUP(D54,MATERIALES!A:B,2,FALSE()),"?")</f>
        <v>CONSUMIBLES (varios)</v>
      </c>
      <c r="F54" s="129" t="str">
        <f>IFERROR(VLOOKUP(D54,MATERIALES!A:C,3,FALSE()),"?")</f>
        <v>gl</v>
      </c>
      <c r="G54" s="119">
        <v>186.03762019000001</v>
      </c>
      <c r="H54" s="120">
        <v>0</v>
      </c>
      <c r="I54" s="96">
        <f>IFERROR(VLOOKUP(D54,MATERIALES!A:D,4,FALSE()),0)</f>
        <v>1</v>
      </c>
      <c r="J54" s="31">
        <f t="shared" ref="J54:J58" si="40">G54*I54*(1+H54)</f>
        <v>186.03762019000001</v>
      </c>
      <c r="K54" s="32" t="str">
        <f t="shared" ref="K54:K58" si="41">A54&amp;"|"&amp;B54</f>
        <v>PIN-119|MAT</v>
      </c>
      <c r="L54" s="32">
        <f>COUNTIFS($K$2:K54,K54)</f>
        <v>1</v>
      </c>
      <c r="M54" s="32" t="str">
        <f t="shared" ref="M54:M58" si="42">K54&amp;"|"&amp;L54</f>
        <v>PIN-119|MAT|1</v>
      </c>
      <c r="N54" s="121">
        <f>IFERROR(VLOOKUP(A54,PARTIDAS!A:F,6,FALSE()),0)</f>
        <v>11.5</v>
      </c>
      <c r="O54" s="123">
        <f t="shared" si="3"/>
        <v>0</v>
      </c>
      <c r="P54" s="123" t="str">
        <f>+_xlfn.XLOOKUP(A54,PPTO_GENERADOR!Q:Q,PPTO_GENERADOR!E:E,"-",0)</f>
        <v>-</v>
      </c>
      <c r="Q54" s="123">
        <f t="shared" si="4"/>
        <v>0</v>
      </c>
      <c r="R54" s="125" t="str">
        <f>+_xlfn.XLOOKUP(A54,PPTO_GENERADOR!$Q:$Q,PPTO_GENERADOR!A:A,"-",0)</f>
        <v>-</v>
      </c>
    </row>
    <row r="55" spans="1:18" ht="14.25" customHeight="1" x14ac:dyDescent="0.35">
      <c r="A55" s="105" t="s">
        <v>1743</v>
      </c>
      <c r="B55" s="105" t="s">
        <v>1981</v>
      </c>
      <c r="C55" s="105" t="s">
        <v>1982</v>
      </c>
      <c r="D55" s="105" t="s">
        <v>533</v>
      </c>
      <c r="E55" s="95" t="str">
        <f>IFERROR(VLOOKUP(D55,MATERIALES!A:B,2,FALSE()),"?")</f>
        <v>Barra de Acero Aleteado - 6mm x 12m</v>
      </c>
      <c r="F55" s="129">
        <f>IFERROR(VLOOKUP(D55,MATERIALES!A:C,3,FALSE()),"?")</f>
        <v>0</v>
      </c>
      <c r="G55" s="119">
        <v>0.17</v>
      </c>
      <c r="H55" s="120">
        <v>0.1</v>
      </c>
      <c r="I55" s="96">
        <f>IFERROR(VLOOKUP(D55,MATERIALES!A:D,4,FALSE()),0)</f>
        <v>3620.13</v>
      </c>
      <c r="J55" s="31">
        <f t="shared" si="40"/>
        <v>676.96431000000018</v>
      </c>
      <c r="K55" s="32" t="str">
        <f t="shared" si="41"/>
        <v>PIN-119|MAT</v>
      </c>
      <c r="L55" s="32">
        <f>COUNTIFS($K$2:K55,K55)</f>
        <v>2</v>
      </c>
      <c r="M55" s="32" t="str">
        <f t="shared" si="42"/>
        <v>PIN-119|MAT|2</v>
      </c>
      <c r="N55" s="121">
        <f>IFERROR(VLOOKUP(A55,PARTIDAS!A:F,6,FALSE()),0)</f>
        <v>11.5</v>
      </c>
      <c r="O55" s="123">
        <f t="shared" si="3"/>
        <v>0</v>
      </c>
      <c r="P55" s="123" t="str">
        <f>+_xlfn.XLOOKUP(A55,PPTO_GENERADOR!Q:Q,PPTO_GENERADOR!E:E,"-",0)</f>
        <v>-</v>
      </c>
      <c r="Q55" s="123">
        <f t="shared" si="4"/>
        <v>0</v>
      </c>
      <c r="R55" s="125" t="str">
        <f>+_xlfn.XLOOKUP(A55,PPTO_GENERADOR!$Q:$Q,PPTO_GENERADOR!A:A,"-",0)</f>
        <v>-</v>
      </c>
    </row>
    <row r="56" spans="1:18" ht="14.25" customHeight="1" x14ac:dyDescent="0.35">
      <c r="A56" s="105" t="s">
        <v>1743</v>
      </c>
      <c r="B56" s="105" t="s">
        <v>1981</v>
      </c>
      <c r="C56" s="105" t="s">
        <v>1982</v>
      </c>
      <c r="D56" s="105" t="s">
        <v>538</v>
      </c>
      <c r="E56" s="95" t="str">
        <f>IFERROR(VLOOKUP(D56,MATERIALES!A:B,2,FALSE()),"?")</f>
        <v>ARENA LAVADA</v>
      </c>
      <c r="F56" s="129">
        <f>IFERROR(VLOOKUP(D56,MATERIALES!A:C,3,FALSE()),"?")</f>
        <v>0</v>
      </c>
      <c r="G56" s="119">
        <v>1.44E-2</v>
      </c>
      <c r="H56" s="120">
        <v>0.1</v>
      </c>
      <c r="I56" s="96">
        <f>IFERROR(VLOOKUP(D56,MATERIALES!A:D,4,FALSE()),0)</f>
        <v>32620.38</v>
      </c>
      <c r="J56" s="31">
        <f t="shared" si="40"/>
        <v>516.70681920000004</v>
      </c>
      <c r="K56" s="32" t="str">
        <f t="shared" si="41"/>
        <v>PIN-119|MAT</v>
      </c>
      <c r="L56" s="32">
        <f>COUNTIFS($K$2:K56,K56)</f>
        <v>3</v>
      </c>
      <c r="M56" s="32" t="str">
        <f t="shared" si="42"/>
        <v>PIN-119|MAT|3</v>
      </c>
      <c r="N56" s="121">
        <f>IFERROR(VLOOKUP(A56,PARTIDAS!A:F,6,FALSE()),0)</f>
        <v>11.5</v>
      </c>
      <c r="O56" s="123">
        <f t="shared" si="3"/>
        <v>0</v>
      </c>
      <c r="P56" s="123" t="str">
        <f>+_xlfn.XLOOKUP(A56,PPTO_GENERADOR!Q:Q,PPTO_GENERADOR!E:E,"-",0)</f>
        <v>-</v>
      </c>
      <c r="Q56" s="123">
        <f t="shared" si="4"/>
        <v>0</v>
      </c>
      <c r="R56" s="125" t="str">
        <f>+_xlfn.XLOOKUP(A56,PPTO_GENERADOR!$Q:$Q,PPTO_GENERADOR!A:A,"-",0)</f>
        <v>-</v>
      </c>
    </row>
    <row r="57" spans="1:18" ht="14.25" customHeight="1" x14ac:dyDescent="0.35">
      <c r="A57" s="105" t="s">
        <v>1743</v>
      </c>
      <c r="B57" s="105" t="s">
        <v>1981</v>
      </c>
      <c r="C57" s="105" t="s">
        <v>1982</v>
      </c>
      <c r="D57" s="105" t="s">
        <v>1029</v>
      </c>
      <c r="E57" s="95" t="str">
        <f>IFERROR(VLOOKUP(D57,MATERIALES!A:B,2,FALSE()),"?")</f>
        <v>Bloque hormigón 19×19×39</v>
      </c>
      <c r="F57" s="129" t="str">
        <f>IFERROR(VLOOKUP(D57,MATERIALES!A:C,3,FALSE()),"?")</f>
        <v>u</v>
      </c>
      <c r="G57" s="119">
        <v>12.5</v>
      </c>
      <c r="H57" s="120">
        <v>0.05</v>
      </c>
      <c r="I57" s="96">
        <f>IFERROR(VLOOKUP(D57,MATERIALES!A:D,4,FALSE()),0)</f>
        <v>1204.43</v>
      </c>
      <c r="J57" s="31">
        <f t="shared" si="40"/>
        <v>15808.143750000001</v>
      </c>
      <c r="K57" s="32" t="str">
        <f t="shared" si="41"/>
        <v>PIN-119|MAT</v>
      </c>
      <c r="L57" s="32">
        <f>COUNTIFS($K$2:K57,K57)</f>
        <v>4</v>
      </c>
      <c r="M57" s="32" t="str">
        <f t="shared" si="42"/>
        <v>PIN-119|MAT|4</v>
      </c>
      <c r="N57" s="121">
        <f>IFERROR(VLOOKUP(A57,PARTIDAS!A:F,6,FALSE()),0)</f>
        <v>11.5</v>
      </c>
      <c r="O57" s="123">
        <f t="shared" si="3"/>
        <v>0</v>
      </c>
      <c r="P57" s="123" t="str">
        <f>+_xlfn.XLOOKUP(A57,PPTO_GENERADOR!Q:Q,PPTO_GENERADOR!E:E,"-",0)</f>
        <v>-</v>
      </c>
      <c r="Q57" s="123">
        <f t="shared" si="4"/>
        <v>0</v>
      </c>
      <c r="R57" s="125" t="str">
        <f>+_xlfn.XLOOKUP(A57,PPTO_GENERADOR!$Q:$Q,PPTO_GENERADOR!A:A,"-",0)</f>
        <v>-</v>
      </c>
    </row>
    <row r="58" spans="1:18" ht="14.25" customHeight="1" x14ac:dyDescent="0.35">
      <c r="A58" s="105" t="s">
        <v>1743</v>
      </c>
      <c r="B58" s="105" t="s">
        <v>1981</v>
      </c>
      <c r="C58" s="105" t="s">
        <v>1982</v>
      </c>
      <c r="D58" s="105" t="s">
        <v>540</v>
      </c>
      <c r="E58" s="95" t="str">
        <f>IFERROR(VLOOKUP(D58,MATERIALES!A:B,2,FALSE()),"?")</f>
        <v>Cemento Portland x 50kg</v>
      </c>
      <c r="F58" s="129">
        <f>IFERROR(VLOOKUP(D58,MATERIALES!A:C,3,FALSE()),"?")</f>
        <v>0</v>
      </c>
      <c r="G58" s="119">
        <v>6.2399999999999997E-2</v>
      </c>
      <c r="H58" s="120">
        <v>0.1</v>
      </c>
      <c r="I58" s="96">
        <f>IFERROR(VLOOKUP(D58,MATERIALES!A:D,4,FALSE()),0)</f>
        <v>7891.74</v>
      </c>
      <c r="J58" s="31">
        <f t="shared" si="40"/>
        <v>541.68903360000002</v>
      </c>
      <c r="K58" s="32" t="str">
        <f t="shared" si="41"/>
        <v>PIN-119|MAT</v>
      </c>
      <c r="L58" s="32">
        <f>COUNTIFS($K$2:K58,K58)</f>
        <v>5</v>
      </c>
      <c r="M58" s="32" t="str">
        <f t="shared" si="42"/>
        <v>PIN-119|MAT|5</v>
      </c>
      <c r="N58" s="121">
        <f>IFERROR(VLOOKUP(A58,PARTIDAS!A:F,6,FALSE()),0)</f>
        <v>11.5</v>
      </c>
      <c r="O58" s="123">
        <f t="shared" si="3"/>
        <v>0</v>
      </c>
      <c r="P58" s="123" t="str">
        <f>+_xlfn.XLOOKUP(A58,PPTO_GENERADOR!Q:Q,PPTO_GENERADOR!E:E,"-",0)</f>
        <v>-</v>
      </c>
      <c r="Q58" s="123">
        <f t="shared" si="4"/>
        <v>0</v>
      </c>
      <c r="R58" s="125" t="str">
        <f>+_xlfn.XLOOKUP(A58,PPTO_GENERADOR!$Q:$Q,PPTO_GENERADOR!A:A,"-",0)</f>
        <v>-</v>
      </c>
    </row>
    <row r="59" spans="1:18" ht="14.25" customHeight="1" x14ac:dyDescent="0.35">
      <c r="A59" s="105" t="s">
        <v>1743</v>
      </c>
      <c r="B59" s="105" t="s">
        <v>1983</v>
      </c>
      <c r="C59" s="105"/>
      <c r="D59" s="105" t="s">
        <v>1319</v>
      </c>
      <c r="E59" s="95" t="str">
        <f>IFERROR(VLOOKUP(D59,EQUIPOS!A:B,2,FALSE()),"?")</f>
        <v>EQUIPO DE ALBAÑILERIA, carpetas, ladrillo</v>
      </c>
      <c r="F59" s="129"/>
      <c r="G59" s="119">
        <v>1</v>
      </c>
      <c r="H59" s="120">
        <v>0</v>
      </c>
      <c r="I59" s="96">
        <f>IFERROR(VLOOKUP(D59,EQUIPOS!A:F,6,FALSE()),0)</f>
        <v>2485.8709964593982</v>
      </c>
      <c r="J59" s="31">
        <f t="shared" ref="J59:J61" si="43">G59*I59</f>
        <v>2485.8709964593982</v>
      </c>
      <c r="K59" s="32" t="str">
        <f t="shared" ref="K59:K61" si="44">A59&amp;"|"&amp;B59</f>
        <v>PIN-119|EQ</v>
      </c>
      <c r="L59" s="32">
        <f>COUNTIFS($K$2:K59,K59)</f>
        <v>1</v>
      </c>
      <c r="M59" s="32" t="str">
        <f t="shared" ref="M59:M61" si="45">K59&amp;"|"&amp;L59</f>
        <v>PIN-119|EQ|1</v>
      </c>
      <c r="N59" s="121">
        <f>IFERROR(VLOOKUP(A59,PARTIDAS!A:F,6,FALSE()),0)</f>
        <v>11.5</v>
      </c>
      <c r="O59" s="123">
        <f t="shared" si="3"/>
        <v>0</v>
      </c>
      <c r="P59" s="123" t="str">
        <f>+_xlfn.XLOOKUP(A59,PPTO_GENERADOR!Q:Q,PPTO_GENERADOR!E:E,"-",0)</f>
        <v>-</v>
      </c>
      <c r="Q59" s="123">
        <f t="shared" si="4"/>
        <v>0</v>
      </c>
      <c r="R59" s="125" t="str">
        <f>+_xlfn.XLOOKUP(A59,PPTO_GENERADOR!$Q:$Q,PPTO_GENERADOR!A:A,"-",0)</f>
        <v>-</v>
      </c>
    </row>
    <row r="60" spans="1:18" ht="14.25" customHeight="1" x14ac:dyDescent="0.35">
      <c r="A60" s="105" t="s">
        <v>1743</v>
      </c>
      <c r="B60" s="105" t="s">
        <v>1983</v>
      </c>
      <c r="C60" s="105"/>
      <c r="D60" s="105" t="s">
        <v>1313</v>
      </c>
      <c r="E60" s="95" t="str">
        <f>IFERROR(VLOOKUP(D60,EQUIPOS!A:B,2,FALSE()),"?")</f>
        <v>ANDAMIO TUBULAR DE UNO A TRES CUERPOS</v>
      </c>
      <c r="F60" s="129"/>
      <c r="G60" s="119">
        <v>0.5</v>
      </c>
      <c r="H60" s="120">
        <v>0</v>
      </c>
      <c r="I60" s="96">
        <f>IFERROR(VLOOKUP(D60,EQUIPOS!A:F,6,FALSE()),0)</f>
        <v>620.81078197718341</v>
      </c>
      <c r="J60" s="31">
        <f t="shared" si="43"/>
        <v>310.40539098859171</v>
      </c>
      <c r="K60" s="32" t="str">
        <f t="shared" si="44"/>
        <v>PIN-119|EQ</v>
      </c>
      <c r="L60" s="32">
        <f>COUNTIFS($K$2:K60,K60)</f>
        <v>2</v>
      </c>
      <c r="M60" s="32" t="str">
        <f t="shared" si="45"/>
        <v>PIN-119|EQ|2</v>
      </c>
      <c r="N60" s="121">
        <f>IFERROR(VLOOKUP(A60,PARTIDAS!A:F,6,FALSE()),0)</f>
        <v>11.5</v>
      </c>
      <c r="O60" s="123">
        <f t="shared" si="3"/>
        <v>0</v>
      </c>
      <c r="P60" s="123" t="str">
        <f>+_xlfn.XLOOKUP(A60,PPTO_GENERADOR!Q:Q,PPTO_GENERADOR!E:E,"-",0)</f>
        <v>-</v>
      </c>
      <c r="Q60" s="123">
        <f t="shared" si="4"/>
        <v>0</v>
      </c>
      <c r="R60" s="125" t="str">
        <f>+_xlfn.XLOOKUP(A60,PPTO_GENERADOR!$Q:$Q,PPTO_GENERADOR!A:A,"-",0)</f>
        <v>-</v>
      </c>
    </row>
    <row r="61" spans="1:18" ht="14.25" customHeight="1" x14ac:dyDescent="0.35">
      <c r="A61" s="105" t="s">
        <v>1743</v>
      </c>
      <c r="B61" s="105" t="s">
        <v>1983</v>
      </c>
      <c r="C61" s="105"/>
      <c r="D61" s="105" t="s">
        <v>1507</v>
      </c>
      <c r="E61" s="95" t="str">
        <f>IFERROR(VLOOKUP(D61,EQUIPOS!A:B,2,FALSE()),"?")</f>
        <v>Hormigonera De 150 Litros 1hp Con Rueda Maciza</v>
      </c>
      <c r="F61" s="129"/>
      <c r="G61" s="119">
        <v>1</v>
      </c>
      <c r="H61" s="120">
        <v>0</v>
      </c>
      <c r="I61" s="96">
        <f>IFERROR(VLOOKUP(D61,EQUIPOS!A:F,6,FALSE()),0)</f>
        <v>1040.4314486705237</v>
      </c>
      <c r="J61" s="31">
        <f t="shared" si="43"/>
        <v>1040.4314486705237</v>
      </c>
      <c r="K61" s="32" t="str">
        <f t="shared" si="44"/>
        <v>PIN-119|EQ</v>
      </c>
      <c r="L61" s="32">
        <f>COUNTIFS($K$2:K61,K61)</f>
        <v>3</v>
      </c>
      <c r="M61" s="32" t="str">
        <f t="shared" si="45"/>
        <v>PIN-119|EQ|3</v>
      </c>
      <c r="N61" s="121">
        <f>IFERROR(VLOOKUP(A61,PARTIDAS!A:F,6,FALSE()),0)</f>
        <v>11.5</v>
      </c>
      <c r="O61" s="123">
        <f t="shared" si="3"/>
        <v>0</v>
      </c>
      <c r="P61" s="123" t="str">
        <f>+_xlfn.XLOOKUP(A61,PPTO_GENERADOR!Q:Q,PPTO_GENERADOR!E:E,"-",0)</f>
        <v>-</v>
      </c>
      <c r="Q61" s="123">
        <f t="shared" si="4"/>
        <v>0</v>
      </c>
      <c r="R61" s="125" t="str">
        <f>+_xlfn.XLOOKUP(A61,PPTO_GENERADOR!$Q:$Q,PPTO_GENERADOR!A:A,"-",0)</f>
        <v>-</v>
      </c>
    </row>
    <row r="62" spans="1:18" ht="14.25" customHeight="1" x14ac:dyDescent="0.35">
      <c r="A62" s="105" t="s">
        <v>1743</v>
      </c>
      <c r="B62" s="105" t="s">
        <v>1979</v>
      </c>
      <c r="C62" s="105" t="s">
        <v>1980</v>
      </c>
      <c r="D62" s="105" t="s">
        <v>1292</v>
      </c>
      <c r="E62" s="95" t="str">
        <f>IFERROR(VLOOKUP(D62,MANO_DE_OBRA!A:B,2,FALSE()),"?")</f>
        <v>ESPECIALIZADO</v>
      </c>
      <c r="F62" s="129" t="s">
        <v>2042</v>
      </c>
      <c r="G62" s="119">
        <v>1</v>
      </c>
      <c r="H62" s="120">
        <v>0</v>
      </c>
      <c r="I62" s="96">
        <f>IFERROR(VLOOKUP(D62,MANO_DE_OBRA!A:C,3,FALSE()),0)</f>
        <v>94177.137883538904</v>
      </c>
      <c r="J62" s="31">
        <f t="shared" ref="J62:J63" si="46">G62*I62</f>
        <v>94177.137883538904</v>
      </c>
      <c r="K62" s="32" t="str">
        <f t="shared" si="1"/>
        <v>PIN-119|MO</v>
      </c>
      <c r="L62" s="32">
        <f>COUNTIFS($K$2:K62,K62)</f>
        <v>1</v>
      </c>
      <c r="M62" s="32" t="str">
        <f t="shared" si="2"/>
        <v>PIN-119|MO|1</v>
      </c>
      <c r="N62" s="121">
        <f>IFERROR(VLOOKUP(A62,PARTIDAS!A:F,6,FALSE()),0)</f>
        <v>11.5</v>
      </c>
      <c r="O62" s="123">
        <f t="shared" si="3"/>
        <v>8.6956521739130432E-2</v>
      </c>
      <c r="P62" s="123" t="str">
        <f>+_xlfn.XLOOKUP(A62,PPTO_GENERADOR!Q:Q,PPTO_GENERADOR!E:E,"-",0)</f>
        <v>-</v>
      </c>
      <c r="Q62" s="123">
        <f t="shared" si="4"/>
        <v>0</v>
      </c>
      <c r="R62" s="125" t="str">
        <f>+_xlfn.XLOOKUP(A62,PPTO_GENERADOR!$Q:$Q,PPTO_GENERADOR!A:A,"-",0)</f>
        <v>-</v>
      </c>
    </row>
    <row r="63" spans="1:18" ht="14.25" customHeight="1" x14ac:dyDescent="0.35">
      <c r="A63" s="105" t="s">
        <v>1743</v>
      </c>
      <c r="B63" s="105" t="s">
        <v>1979</v>
      </c>
      <c r="C63" s="105" t="s">
        <v>1980</v>
      </c>
      <c r="D63" s="105" t="s">
        <v>1288</v>
      </c>
      <c r="E63" s="95" t="str">
        <f>IFERROR(VLOOKUP(D63,MANO_DE_OBRA!A:B,2,FALSE()),"?")</f>
        <v>MEDIO OFICIAL</v>
      </c>
      <c r="F63" s="129" t="s">
        <v>2042</v>
      </c>
      <c r="G63" s="119">
        <v>0.75</v>
      </c>
      <c r="H63" s="120">
        <v>0</v>
      </c>
      <c r="I63" s="96">
        <f>IFERROR(VLOOKUP(D63,MANO_DE_OBRA!A:C,3,FALSE()),0)</f>
        <v>72132.138365590101</v>
      </c>
      <c r="J63" s="31">
        <f t="shared" si="46"/>
        <v>54099.103774192576</v>
      </c>
      <c r="K63" s="32" t="str">
        <f t="shared" si="1"/>
        <v>PIN-119|MO</v>
      </c>
      <c r="L63" s="32">
        <f>COUNTIFS($K$2:K63,K63)</f>
        <v>2</v>
      </c>
      <c r="M63" s="32" t="str">
        <f t="shared" si="2"/>
        <v>PIN-119|MO|2</v>
      </c>
      <c r="N63" s="121">
        <f>IFERROR(VLOOKUP(A63,PARTIDAS!A:F,6,FALSE()),0)</f>
        <v>11.5</v>
      </c>
      <c r="O63" s="123">
        <f t="shared" si="3"/>
        <v>6.5217391304347824E-2</v>
      </c>
      <c r="P63" s="123" t="str">
        <f>+_xlfn.XLOOKUP(A63,PPTO_GENERADOR!Q:Q,PPTO_GENERADOR!E:E,"-",0)</f>
        <v>-</v>
      </c>
      <c r="Q63" s="123">
        <f t="shared" si="4"/>
        <v>0</v>
      </c>
      <c r="R63" s="125" t="str">
        <f>+_xlfn.XLOOKUP(A63,PPTO_GENERADOR!$Q:$Q,PPTO_GENERADOR!A:A,"-",0)</f>
        <v>-</v>
      </c>
    </row>
    <row r="64" spans="1:18" ht="14.25" customHeight="1" x14ac:dyDescent="0.35">
      <c r="A64" s="105" t="s">
        <v>1746</v>
      </c>
      <c r="B64" s="105" t="s">
        <v>1981</v>
      </c>
      <c r="C64" s="105" t="s">
        <v>1982</v>
      </c>
      <c r="D64" s="105" t="s">
        <v>559</v>
      </c>
      <c r="E64" s="95" t="str">
        <f>IFERROR(VLOOKUP(D64,MATERIALES!A:B,2,FALSE()),"?")</f>
        <v>CONSUMIBLES (varios)</v>
      </c>
      <c r="F64" s="129" t="str">
        <f>IFERROR(VLOOKUP(D64,MATERIALES!A:C,3,FALSE()),"?")</f>
        <v>gl</v>
      </c>
      <c r="G64" s="119">
        <v>3056.3166000000001</v>
      </c>
      <c r="H64" s="120">
        <v>0</v>
      </c>
      <c r="I64" s="96">
        <f>IFERROR(VLOOKUP(D64,MATERIALES!A:D,4,FALSE()),0)</f>
        <v>1</v>
      </c>
      <c r="J64" s="31">
        <f>G64*I64*(1+H64)</f>
        <v>3056.3166000000001</v>
      </c>
      <c r="K64" s="32" t="str">
        <f t="shared" ref="K64" si="47">A64&amp;"|"&amp;B64</f>
        <v>ELE-120|MAT</v>
      </c>
      <c r="L64" s="32">
        <f>COUNTIFS($K$2:K64,K64)</f>
        <v>1</v>
      </c>
      <c r="M64" s="32" t="str">
        <f t="shared" ref="M64" si="48">K64&amp;"|"&amp;L64</f>
        <v>ELE-120|MAT|1</v>
      </c>
      <c r="N64" s="121">
        <f>IFERROR(VLOOKUP(A64,PARTIDAS!A:F,6,FALSE()),0)</f>
        <v>3.25</v>
      </c>
      <c r="O64" s="123">
        <f t="shared" si="3"/>
        <v>0</v>
      </c>
      <c r="P64" s="123" t="str">
        <f>+_xlfn.XLOOKUP(A64,PPTO_GENERADOR!Q:Q,PPTO_GENERADOR!E:E,"-",0)</f>
        <v>-</v>
      </c>
      <c r="Q64" s="123">
        <f t="shared" si="4"/>
        <v>0</v>
      </c>
      <c r="R64" s="125" t="str">
        <f>+_xlfn.XLOOKUP(A64,PPTO_GENERADOR!$Q:$Q,PPTO_GENERADOR!A:A,"-",0)</f>
        <v>-</v>
      </c>
    </row>
    <row r="65" spans="1:18" ht="14.25" customHeight="1" x14ac:dyDescent="0.35">
      <c r="A65" s="105" t="s">
        <v>1746</v>
      </c>
      <c r="B65" s="105" t="s">
        <v>1983</v>
      </c>
      <c r="C65" s="105"/>
      <c r="D65" s="105" t="s">
        <v>1325</v>
      </c>
      <c r="E65" s="95" t="str">
        <f>IFERROR(VLOOKUP(D65,EQUIPOS!A:B,2,FALSE()),"?")</f>
        <v>EQUIPO PARA INSTALACION ELECTRICA</v>
      </c>
      <c r="F65" s="129"/>
      <c r="G65" s="119">
        <v>1</v>
      </c>
      <c r="H65" s="120">
        <v>0</v>
      </c>
      <c r="I65" s="96">
        <f>IFERROR(VLOOKUP(D65,EQUIPOS!A:F,6,FALSE()),0)</f>
        <v>5503.040438867889</v>
      </c>
      <c r="J65" s="31">
        <f t="shared" ref="J65:J67" si="49">G65*I65</f>
        <v>5503.040438867889</v>
      </c>
      <c r="K65" s="32" t="str">
        <f t="shared" ref="K65:K67" si="50">A65&amp;"|"&amp;B65</f>
        <v>ELE-120|EQ</v>
      </c>
      <c r="L65" s="32">
        <f>COUNTIFS($K$2:K65,K65)</f>
        <v>1</v>
      </c>
      <c r="M65" s="32" t="str">
        <f t="shared" ref="M65:M67" si="51">K65&amp;"|"&amp;L65</f>
        <v>ELE-120|EQ|1</v>
      </c>
      <c r="N65" s="121">
        <f>IFERROR(VLOOKUP(A65,PARTIDAS!A:F,6,FALSE()),0)</f>
        <v>3.25</v>
      </c>
      <c r="O65" s="123">
        <f t="shared" si="3"/>
        <v>0</v>
      </c>
      <c r="P65" s="123" t="str">
        <f>+_xlfn.XLOOKUP(A65,PPTO_GENERADOR!Q:Q,PPTO_GENERADOR!E:E,"-",0)</f>
        <v>-</v>
      </c>
      <c r="Q65" s="123">
        <f t="shared" si="4"/>
        <v>0</v>
      </c>
      <c r="R65" s="125" t="str">
        <f>+_xlfn.XLOOKUP(A65,PPTO_GENERADOR!$Q:$Q,PPTO_GENERADOR!A:A,"-",0)</f>
        <v>-</v>
      </c>
    </row>
    <row r="66" spans="1:18" ht="14.25" customHeight="1" x14ac:dyDescent="0.35">
      <c r="A66" s="105" t="s">
        <v>1746</v>
      </c>
      <c r="B66" s="105" t="s">
        <v>1983</v>
      </c>
      <c r="C66" s="105"/>
      <c r="D66" s="105" t="s">
        <v>1313</v>
      </c>
      <c r="E66" s="95" t="str">
        <f>IFERROR(VLOOKUP(D66,EQUIPOS!A:B,2,FALSE()),"?")</f>
        <v>ANDAMIO TUBULAR DE UNO A TRES CUERPOS</v>
      </c>
      <c r="F66" s="129"/>
      <c r="G66" s="119">
        <v>0.5</v>
      </c>
      <c r="H66" s="120">
        <v>0</v>
      </c>
      <c r="I66" s="96">
        <f>IFERROR(VLOOKUP(D66,EQUIPOS!A:F,6,FALSE()),0)</f>
        <v>620.81078197718341</v>
      </c>
      <c r="J66" s="31">
        <f t="shared" si="49"/>
        <v>310.40539098859171</v>
      </c>
      <c r="K66" s="32" t="str">
        <f t="shared" si="50"/>
        <v>ELE-120|EQ</v>
      </c>
      <c r="L66" s="32">
        <f>COUNTIFS($K$2:K66,K66)</f>
        <v>2</v>
      </c>
      <c r="M66" s="32" t="str">
        <f t="shared" si="51"/>
        <v>ELE-120|EQ|2</v>
      </c>
      <c r="N66" s="121">
        <f>IFERROR(VLOOKUP(A66,PARTIDAS!A:F,6,FALSE()),0)</f>
        <v>3.25</v>
      </c>
      <c r="O66" s="123">
        <f t="shared" si="3"/>
        <v>0</v>
      </c>
      <c r="P66" s="123" t="str">
        <f>+_xlfn.XLOOKUP(A66,PPTO_GENERADOR!Q:Q,PPTO_GENERADOR!E:E,"-",0)</f>
        <v>-</v>
      </c>
      <c r="Q66" s="123">
        <f t="shared" si="4"/>
        <v>0</v>
      </c>
      <c r="R66" s="125" t="str">
        <f>+_xlfn.XLOOKUP(A66,PPTO_GENERADOR!$Q:$Q,PPTO_GENERADOR!A:A,"-",0)</f>
        <v>-</v>
      </c>
    </row>
    <row r="67" spans="1:18" ht="14.25" customHeight="1" x14ac:dyDescent="0.35">
      <c r="A67" s="105" t="s">
        <v>1746</v>
      </c>
      <c r="B67" s="105" t="s">
        <v>1983</v>
      </c>
      <c r="C67" s="105"/>
      <c r="D67" s="105" t="s">
        <v>1311</v>
      </c>
      <c r="E67" s="95" t="str">
        <f>IFERROR(VLOOKUP(D67,EQUIPOS!A:B,2,FALSE()),"?")</f>
        <v>ESCALERA GLOSS ALUMINIO ARTICULADA 4 X 4 ESCALONES HASTA 150KG</v>
      </c>
      <c r="F67" s="129"/>
      <c r="G67" s="119">
        <v>0.5</v>
      </c>
      <c r="H67" s="120">
        <v>0</v>
      </c>
      <c r="I67" s="96">
        <f>IFERROR(VLOOKUP(D67,EQUIPOS!A:F,6,FALSE()),0)</f>
        <v>152.38027427373819</v>
      </c>
      <c r="J67" s="31">
        <f t="shared" si="49"/>
        <v>76.190137136869097</v>
      </c>
      <c r="K67" s="32" t="str">
        <f t="shared" si="50"/>
        <v>ELE-120|EQ</v>
      </c>
      <c r="L67" s="32">
        <f>COUNTIFS($K$2:K67,K67)</f>
        <v>3</v>
      </c>
      <c r="M67" s="32" t="str">
        <f t="shared" si="51"/>
        <v>ELE-120|EQ|3</v>
      </c>
      <c r="N67" s="121">
        <f>IFERROR(VLOOKUP(A67,PARTIDAS!A:F,6,FALSE()),0)</f>
        <v>3.25</v>
      </c>
      <c r="O67" s="123">
        <f t="shared" ref="O67:O130" si="52">+IF(C67="ALB",G67/N67,0)</f>
        <v>0</v>
      </c>
      <c r="P67" s="123" t="str">
        <f>+_xlfn.XLOOKUP(A67,PPTO_GENERADOR!Q:Q,PPTO_GENERADOR!E:E,"-",0)</f>
        <v>-</v>
      </c>
      <c r="Q67" s="123">
        <f t="shared" ref="Q67:Q130" si="53">IFERROR(P67*O67,0)</f>
        <v>0</v>
      </c>
      <c r="R67" s="125" t="str">
        <f>+_xlfn.XLOOKUP(A67,PPTO_GENERADOR!$Q:$Q,PPTO_GENERADOR!A:A,"-",0)</f>
        <v>-</v>
      </c>
    </row>
    <row r="68" spans="1:18" ht="14.25" customHeight="1" x14ac:dyDescent="0.35">
      <c r="A68" s="105" t="s">
        <v>1746</v>
      </c>
      <c r="B68" s="105" t="s">
        <v>1979</v>
      </c>
      <c r="C68" s="105" t="s">
        <v>1980</v>
      </c>
      <c r="D68" s="105" t="s">
        <v>1292</v>
      </c>
      <c r="E68" s="95" t="str">
        <f>IFERROR(VLOOKUP(D68,MANO_DE_OBRA!A:B,2,FALSE()),"?")</f>
        <v>ESPECIALIZADO</v>
      </c>
      <c r="F68" s="129" t="s">
        <v>2042</v>
      </c>
      <c r="G68" s="119">
        <v>1</v>
      </c>
      <c r="H68" s="120">
        <v>0</v>
      </c>
      <c r="I68" s="96">
        <f>IFERROR(VLOOKUP(D68,MANO_DE_OBRA!A:C,3,FALSE()),0)</f>
        <v>94177.137883538904</v>
      </c>
      <c r="J68" s="31">
        <f t="shared" ref="J68:J69" si="54">G68*I68</f>
        <v>94177.137883538904</v>
      </c>
      <c r="K68" s="32" t="str">
        <f t="shared" ref="K68:K129" si="55">A68&amp;"|"&amp;B68</f>
        <v>ELE-120|MO</v>
      </c>
      <c r="L68" s="32">
        <f>COUNTIFS($K$2:K68,K68)</f>
        <v>1</v>
      </c>
      <c r="M68" s="32" t="str">
        <f t="shared" ref="M68:M129" si="56">K68&amp;"|"&amp;L68</f>
        <v>ELE-120|MO|1</v>
      </c>
      <c r="N68" s="121">
        <f>IFERROR(VLOOKUP(A68,PARTIDAS!A:F,6,FALSE()),0)</f>
        <v>3.25</v>
      </c>
      <c r="O68" s="123">
        <f t="shared" si="52"/>
        <v>0.30769230769230771</v>
      </c>
      <c r="P68" s="123" t="str">
        <f>+_xlfn.XLOOKUP(A68,PPTO_GENERADOR!Q:Q,PPTO_GENERADOR!E:E,"-",0)</f>
        <v>-</v>
      </c>
      <c r="Q68" s="123">
        <f t="shared" si="53"/>
        <v>0</v>
      </c>
      <c r="R68" s="125" t="str">
        <f>+_xlfn.XLOOKUP(A68,PPTO_GENERADOR!$Q:$Q,PPTO_GENERADOR!A:A,"-",0)</f>
        <v>-</v>
      </c>
    </row>
    <row r="69" spans="1:18" ht="14.25" customHeight="1" x14ac:dyDescent="0.35">
      <c r="A69" s="105" t="s">
        <v>1746</v>
      </c>
      <c r="B69" s="105" t="s">
        <v>1979</v>
      </c>
      <c r="C69" s="105" t="s">
        <v>1980</v>
      </c>
      <c r="D69" s="105" t="s">
        <v>2038</v>
      </c>
      <c r="E69" s="95" t="str">
        <f>IFERROR(VLOOKUP(D69,MANO_DE_OBRA!A:B,2,FALSE()),"?")</f>
        <v>AYUDANTE</v>
      </c>
      <c r="F69" s="129" t="s">
        <v>2042</v>
      </c>
      <c r="G69" s="119">
        <v>1</v>
      </c>
      <c r="H69" s="120">
        <v>0</v>
      </c>
      <c r="I69" s="96">
        <f>IFERROR(VLOOKUP(D69,MANO_DE_OBRA!A:C,3,FALSE()),0)</f>
        <v>67240.498860267602</v>
      </c>
      <c r="J69" s="31">
        <f t="shared" si="54"/>
        <v>67240.498860267602</v>
      </c>
      <c r="K69" s="32" t="str">
        <f t="shared" si="55"/>
        <v>ELE-120|MO</v>
      </c>
      <c r="L69" s="32">
        <f>COUNTIFS($K$2:K69,K69)</f>
        <v>2</v>
      </c>
      <c r="M69" s="32" t="str">
        <f t="shared" si="56"/>
        <v>ELE-120|MO|2</v>
      </c>
      <c r="N69" s="121">
        <f>IFERROR(VLOOKUP(A69,PARTIDAS!A:F,6,FALSE()),0)</f>
        <v>3.25</v>
      </c>
      <c r="O69" s="123">
        <f t="shared" si="52"/>
        <v>0.30769230769230771</v>
      </c>
      <c r="P69" s="123" t="str">
        <f>+_xlfn.XLOOKUP(A69,PPTO_GENERADOR!Q:Q,PPTO_GENERADOR!E:E,"-",0)</f>
        <v>-</v>
      </c>
      <c r="Q69" s="123">
        <f t="shared" si="53"/>
        <v>0</v>
      </c>
      <c r="R69" s="125" t="str">
        <f>+_xlfn.XLOOKUP(A69,PPTO_GENERADOR!$Q:$Q,PPTO_GENERADOR!A:A,"-",0)</f>
        <v>-</v>
      </c>
    </row>
    <row r="70" spans="1:18" ht="14.25" customHeight="1" x14ac:dyDescent="0.35">
      <c r="A70" s="105" t="s">
        <v>1749</v>
      </c>
      <c r="B70" s="105" t="s">
        <v>1981</v>
      </c>
      <c r="C70" s="105" t="s">
        <v>1982</v>
      </c>
      <c r="D70" s="105" t="s">
        <v>968</v>
      </c>
      <c r="E70" s="95" t="str">
        <f>IFERROR(VLOOKUP(D70,MATERIALES!A:B,2,FALSE()),"?")</f>
        <v>Caño rigido 3/4"</v>
      </c>
      <c r="F70" s="129" t="str">
        <f>IFERROR(VLOOKUP(D70,MATERIALES!A:C,3,FALSE()),"?")</f>
        <v>u</v>
      </c>
      <c r="G70" s="119">
        <v>5</v>
      </c>
      <c r="H70" s="120">
        <v>0.05</v>
      </c>
      <c r="I70" s="96">
        <f>IFERROR(VLOOKUP(D70,MATERIALES!A:D,4,FALSE()),0)</f>
        <v>504.29656699999998</v>
      </c>
      <c r="J70" s="31">
        <f t="shared" ref="J70:J76" si="57">G70*I70*(1+H70)</f>
        <v>2647.5569767500001</v>
      </c>
      <c r="K70" s="32" t="str">
        <f t="shared" si="55"/>
        <v>ELE-121|MAT</v>
      </c>
      <c r="L70" s="32">
        <f>COUNTIFS($K$2:K70,K70)</f>
        <v>1</v>
      </c>
      <c r="M70" s="32" t="str">
        <f t="shared" si="56"/>
        <v>ELE-121|MAT|1</v>
      </c>
      <c r="N70" s="121">
        <f>IFERROR(VLOOKUP(A70,PARTIDAS!A:F,6,FALSE()),0)</f>
        <v>3.25</v>
      </c>
      <c r="O70" s="123">
        <f t="shared" si="52"/>
        <v>0</v>
      </c>
      <c r="P70" s="123" t="str">
        <f>+_xlfn.XLOOKUP(A70,PPTO_GENERADOR!Q:Q,PPTO_GENERADOR!E:E,"-",0)</f>
        <v>-</v>
      </c>
      <c r="Q70" s="123">
        <f t="shared" si="53"/>
        <v>0</v>
      </c>
      <c r="R70" s="125" t="str">
        <f>+_xlfn.XLOOKUP(A70,PPTO_GENERADOR!$Q:$Q,PPTO_GENERADOR!A:A,"-",0)</f>
        <v>-</v>
      </c>
    </row>
    <row r="71" spans="1:18" ht="14.25" customHeight="1" x14ac:dyDescent="0.35">
      <c r="A71" s="105" t="s">
        <v>1749</v>
      </c>
      <c r="B71" s="105" t="s">
        <v>1981</v>
      </c>
      <c r="C71" s="105" t="s">
        <v>1982</v>
      </c>
      <c r="D71" s="105" t="s">
        <v>970</v>
      </c>
      <c r="E71" s="95" t="str">
        <f>IFERROR(VLOOKUP(D71,MATERIALES!A:B,2,FALSE()),"?")</f>
        <v>Conector hierro 3/4"</v>
      </c>
      <c r="F71" s="129" t="str">
        <f>IFERROR(VLOOKUP(D71,MATERIALES!A:C,3,FALSE()),"?")</f>
        <v>u</v>
      </c>
      <c r="G71" s="119">
        <v>4</v>
      </c>
      <c r="H71" s="120">
        <v>0.1</v>
      </c>
      <c r="I71" s="96">
        <f>IFERROR(VLOOKUP(D71,MATERIALES!A:D,4,FALSE()),0)</f>
        <v>250.31899999999999</v>
      </c>
      <c r="J71" s="31">
        <f t="shared" si="57"/>
        <v>1101.4036000000001</v>
      </c>
      <c r="K71" s="32" t="str">
        <f t="shared" si="55"/>
        <v>ELE-121|MAT</v>
      </c>
      <c r="L71" s="32">
        <f>COUNTIFS($K$2:K71,K71)</f>
        <v>2</v>
      </c>
      <c r="M71" s="32" t="str">
        <f t="shared" si="56"/>
        <v>ELE-121|MAT|2</v>
      </c>
      <c r="N71" s="121">
        <f>IFERROR(VLOOKUP(A71,PARTIDAS!A:F,6,FALSE()),0)</f>
        <v>3.25</v>
      </c>
      <c r="O71" s="123">
        <f t="shared" si="52"/>
        <v>0</v>
      </c>
      <c r="P71" s="123" t="str">
        <f>+_xlfn.XLOOKUP(A71,PPTO_GENERADOR!Q:Q,PPTO_GENERADOR!E:E,"-",0)</f>
        <v>-</v>
      </c>
      <c r="Q71" s="123">
        <f t="shared" si="53"/>
        <v>0</v>
      </c>
      <c r="R71" s="125" t="str">
        <f>+_xlfn.XLOOKUP(A71,PPTO_GENERADOR!$Q:$Q,PPTO_GENERADOR!A:A,"-",0)</f>
        <v>-</v>
      </c>
    </row>
    <row r="72" spans="1:18" ht="14.25" customHeight="1" x14ac:dyDescent="0.35">
      <c r="A72" s="105" t="s">
        <v>1749</v>
      </c>
      <c r="B72" s="105" t="s">
        <v>1981</v>
      </c>
      <c r="C72" s="105" t="s">
        <v>1982</v>
      </c>
      <c r="D72" s="105" t="s">
        <v>972</v>
      </c>
      <c r="E72" s="95" t="str">
        <f>IFERROR(VLOOKUP(D72,MATERIALES!A:B,2,FALSE()),"?")</f>
        <v>Cupla PVC 3/4"</v>
      </c>
      <c r="F72" s="129" t="str">
        <f>IFERROR(VLOOKUP(D72,MATERIALES!A:C,3,FALSE()),"?")</f>
        <v>u</v>
      </c>
      <c r="G72" s="119">
        <v>1.2</v>
      </c>
      <c r="H72" s="120">
        <v>0.1</v>
      </c>
      <c r="I72" s="96">
        <f>IFERROR(VLOOKUP(D72,MATERIALES!A:D,4,FALSE()),0)</f>
        <v>110.121</v>
      </c>
      <c r="J72" s="31">
        <f t="shared" si="57"/>
        <v>145.35972000000001</v>
      </c>
      <c r="K72" s="32" t="str">
        <f t="shared" si="55"/>
        <v>ELE-121|MAT</v>
      </c>
      <c r="L72" s="32">
        <f>COUNTIFS($K$2:K72,K72)</f>
        <v>3</v>
      </c>
      <c r="M72" s="32" t="str">
        <f t="shared" si="56"/>
        <v>ELE-121|MAT|3</v>
      </c>
      <c r="N72" s="121">
        <f>IFERROR(VLOOKUP(A72,PARTIDAS!A:F,6,FALSE()),0)</f>
        <v>3.25</v>
      </c>
      <c r="O72" s="123">
        <f t="shared" si="52"/>
        <v>0</v>
      </c>
      <c r="P72" s="123" t="str">
        <f>+_xlfn.XLOOKUP(A72,PPTO_GENERADOR!Q:Q,PPTO_GENERADOR!E:E,"-",0)</f>
        <v>-</v>
      </c>
      <c r="Q72" s="123">
        <f t="shared" si="53"/>
        <v>0</v>
      </c>
      <c r="R72" s="125" t="str">
        <f>+_xlfn.XLOOKUP(A72,PPTO_GENERADOR!$Q:$Q,PPTO_GENERADOR!A:A,"-",0)</f>
        <v>-</v>
      </c>
    </row>
    <row r="73" spans="1:18" ht="14.25" customHeight="1" x14ac:dyDescent="0.35">
      <c r="A73" s="105" t="s">
        <v>1749</v>
      </c>
      <c r="B73" s="105" t="s">
        <v>1981</v>
      </c>
      <c r="C73" s="105" t="s">
        <v>1982</v>
      </c>
      <c r="D73" s="105" t="s">
        <v>974</v>
      </c>
      <c r="E73" s="95" t="str">
        <f>IFERROR(VLOOKUP(D73,MATERIALES!A:B,2,FALSE()),"?")</f>
        <v>Cable unipolar 1 x 2,50 VA</v>
      </c>
      <c r="F73" s="129" t="str">
        <f>IFERROR(VLOOKUP(D73,MATERIALES!A:C,3,FALSE()),"?")</f>
        <v>m</v>
      </c>
      <c r="G73" s="119">
        <v>5</v>
      </c>
      <c r="H73" s="120">
        <v>0.1</v>
      </c>
      <c r="I73" s="96">
        <f>IFERROR(VLOOKUP(D73,MATERIALES!A:D,4,FALSE()),0)</f>
        <v>546.37687500000004</v>
      </c>
      <c r="J73" s="31">
        <f t="shared" si="57"/>
        <v>3005.0728125000005</v>
      </c>
      <c r="K73" s="32" t="str">
        <f t="shared" si="55"/>
        <v>ELE-121|MAT</v>
      </c>
      <c r="L73" s="32">
        <f>COUNTIFS($K$2:K73,K73)</f>
        <v>4</v>
      </c>
      <c r="M73" s="32" t="str">
        <f t="shared" si="56"/>
        <v>ELE-121|MAT|4</v>
      </c>
      <c r="N73" s="121">
        <f>IFERROR(VLOOKUP(A73,PARTIDAS!A:F,6,FALSE()),0)</f>
        <v>3.25</v>
      </c>
      <c r="O73" s="123">
        <f t="shared" si="52"/>
        <v>0</v>
      </c>
      <c r="P73" s="123" t="str">
        <f>+_xlfn.XLOOKUP(A73,PPTO_GENERADOR!Q:Q,PPTO_GENERADOR!E:E,"-",0)</f>
        <v>-</v>
      </c>
      <c r="Q73" s="123">
        <f t="shared" si="53"/>
        <v>0</v>
      </c>
      <c r="R73" s="125" t="str">
        <f>+_xlfn.XLOOKUP(A73,PPTO_GENERADOR!$Q:$Q,PPTO_GENERADOR!A:A,"-",0)</f>
        <v>-</v>
      </c>
    </row>
    <row r="74" spans="1:18" ht="14.25" customHeight="1" x14ac:dyDescent="0.35">
      <c r="A74" s="105" t="s">
        <v>1749</v>
      </c>
      <c r="B74" s="105" t="s">
        <v>1981</v>
      </c>
      <c r="C74" s="105" t="s">
        <v>1982</v>
      </c>
      <c r="D74" s="105" t="s">
        <v>974</v>
      </c>
      <c r="E74" s="95" t="str">
        <f>IFERROR(VLOOKUP(D74,MATERIALES!A:B,2,FALSE()),"?")</f>
        <v>Cable unipolar 1 x 2,50 VA</v>
      </c>
      <c r="F74" s="129" t="str">
        <f>IFERROR(VLOOKUP(D74,MATERIALES!A:C,3,FALSE()),"?")</f>
        <v>m</v>
      </c>
      <c r="G74" s="119">
        <v>10</v>
      </c>
      <c r="H74" s="120">
        <v>0.1</v>
      </c>
      <c r="I74" s="96">
        <f>IFERROR(VLOOKUP(D74,MATERIALES!A:D,4,FALSE()),0)</f>
        <v>546.37687500000004</v>
      </c>
      <c r="J74" s="31">
        <f t="shared" si="57"/>
        <v>6010.145625000001</v>
      </c>
      <c r="K74" s="32" t="str">
        <f t="shared" si="55"/>
        <v>ELE-121|MAT</v>
      </c>
      <c r="L74" s="32">
        <f>COUNTIFS($K$2:K74,K74)</f>
        <v>5</v>
      </c>
      <c r="M74" s="32" t="str">
        <f t="shared" si="56"/>
        <v>ELE-121|MAT|5</v>
      </c>
      <c r="N74" s="121">
        <f>IFERROR(VLOOKUP(A74,PARTIDAS!A:F,6,FALSE()),0)</f>
        <v>3.25</v>
      </c>
      <c r="O74" s="123">
        <f t="shared" si="52"/>
        <v>0</v>
      </c>
      <c r="P74" s="123" t="str">
        <f>+_xlfn.XLOOKUP(A74,PPTO_GENERADOR!Q:Q,PPTO_GENERADOR!E:E,"-",0)</f>
        <v>-</v>
      </c>
      <c r="Q74" s="123">
        <f t="shared" si="53"/>
        <v>0</v>
      </c>
      <c r="R74" s="125" t="str">
        <f>+_xlfn.XLOOKUP(A74,PPTO_GENERADOR!$Q:$Q,PPTO_GENERADOR!A:A,"-",0)</f>
        <v>-</v>
      </c>
    </row>
    <row r="75" spans="1:18" ht="14.25" customHeight="1" x14ac:dyDescent="0.35">
      <c r="A75" s="105" t="s">
        <v>1749</v>
      </c>
      <c r="B75" s="105" t="s">
        <v>1981</v>
      </c>
      <c r="C75" s="105" t="s">
        <v>1982</v>
      </c>
      <c r="D75" s="105" t="s">
        <v>977</v>
      </c>
      <c r="E75" s="95" t="str">
        <f>IFERROR(VLOOKUP(D75,MATERIALES!A:B,2,FALSE()),"?")</f>
        <v>Caja rectangular chica</v>
      </c>
      <c r="F75" s="129" t="str">
        <f>IFERROR(VLOOKUP(D75,MATERIALES!A:C,3,FALSE()),"?")</f>
        <v>u</v>
      </c>
      <c r="G75" s="119">
        <v>1</v>
      </c>
      <c r="H75" s="120">
        <v>0.05</v>
      </c>
      <c r="I75" s="96">
        <f>IFERROR(VLOOKUP(D75,MATERIALES!A:D,4,FALSE()),0)</f>
        <v>217.14975799999999</v>
      </c>
      <c r="J75" s="31">
        <f t="shared" si="57"/>
        <v>228.00724589999999</v>
      </c>
      <c r="K75" s="32" t="str">
        <f t="shared" si="55"/>
        <v>ELE-121|MAT</v>
      </c>
      <c r="L75" s="32">
        <f>COUNTIFS($K$2:K75,K75)</f>
        <v>6</v>
      </c>
      <c r="M75" s="32" t="str">
        <f t="shared" si="56"/>
        <v>ELE-121|MAT|6</v>
      </c>
      <c r="N75" s="121">
        <f>IFERROR(VLOOKUP(A75,PARTIDAS!A:F,6,FALSE()),0)</f>
        <v>3.25</v>
      </c>
      <c r="O75" s="123">
        <f t="shared" si="52"/>
        <v>0</v>
      </c>
      <c r="P75" s="123" t="str">
        <f>+_xlfn.XLOOKUP(A75,PPTO_GENERADOR!Q:Q,PPTO_GENERADOR!E:E,"-",0)</f>
        <v>-</v>
      </c>
      <c r="Q75" s="123">
        <f t="shared" si="53"/>
        <v>0</v>
      </c>
      <c r="R75" s="125" t="str">
        <f>+_xlfn.XLOOKUP(A75,PPTO_GENERADOR!$Q:$Q,PPTO_GENERADOR!A:A,"-",0)</f>
        <v>-</v>
      </c>
    </row>
    <row r="76" spans="1:18" ht="14.25" customHeight="1" x14ac:dyDescent="0.35">
      <c r="A76" s="105" t="s">
        <v>1749</v>
      </c>
      <c r="B76" s="105" t="s">
        <v>1981</v>
      </c>
      <c r="C76" s="105" t="s">
        <v>1982</v>
      </c>
      <c r="D76" s="105" t="s">
        <v>559</v>
      </c>
      <c r="E76" s="95" t="str">
        <f>IFERROR(VLOOKUP(D76,MATERIALES!A:B,2,FALSE()),"?")</f>
        <v>CONSUMIBLES (varios)</v>
      </c>
      <c r="F76" s="129" t="str">
        <f>IFERROR(VLOOKUP(D76,MATERIALES!A:C,3,FALSE()),"?")</f>
        <v>gl</v>
      </c>
      <c r="G76" s="119">
        <v>2758.8847000000001</v>
      </c>
      <c r="H76" s="120">
        <v>0</v>
      </c>
      <c r="I76" s="96">
        <f>IFERROR(VLOOKUP(D76,MATERIALES!A:D,4,FALSE()),0)</f>
        <v>1</v>
      </c>
      <c r="J76" s="31">
        <f t="shared" si="57"/>
        <v>2758.8847000000001</v>
      </c>
      <c r="K76" s="32" t="str">
        <f t="shared" si="55"/>
        <v>ELE-121|MAT</v>
      </c>
      <c r="L76" s="32">
        <f>COUNTIFS($K$2:K76,K76)</f>
        <v>7</v>
      </c>
      <c r="M76" s="32" t="str">
        <f t="shared" si="56"/>
        <v>ELE-121|MAT|7</v>
      </c>
      <c r="N76" s="121">
        <f>IFERROR(VLOOKUP(A76,PARTIDAS!A:F,6,FALSE()),0)</f>
        <v>3.25</v>
      </c>
      <c r="O76" s="123">
        <f t="shared" si="52"/>
        <v>0</v>
      </c>
      <c r="P76" s="123" t="str">
        <f>+_xlfn.XLOOKUP(A76,PPTO_GENERADOR!Q:Q,PPTO_GENERADOR!E:E,"-",0)</f>
        <v>-</v>
      </c>
      <c r="Q76" s="123">
        <f t="shared" si="53"/>
        <v>0</v>
      </c>
      <c r="R76" s="125" t="str">
        <f>+_xlfn.XLOOKUP(A76,PPTO_GENERADOR!$Q:$Q,PPTO_GENERADOR!A:A,"-",0)</f>
        <v>-</v>
      </c>
    </row>
    <row r="77" spans="1:18" ht="14.25" customHeight="1" x14ac:dyDescent="0.35">
      <c r="A77" s="105" t="s">
        <v>1749</v>
      </c>
      <c r="B77" s="105" t="s">
        <v>1983</v>
      </c>
      <c r="C77" s="105"/>
      <c r="D77" s="105" t="s">
        <v>1325</v>
      </c>
      <c r="E77" s="95" t="str">
        <f>IFERROR(VLOOKUP(D77,EQUIPOS!A:B,2,FALSE()),"?")</f>
        <v>EQUIPO PARA INSTALACION ELECTRICA</v>
      </c>
      <c r="F77" s="129"/>
      <c r="G77" s="119">
        <v>1</v>
      </c>
      <c r="H77" s="120">
        <v>0</v>
      </c>
      <c r="I77" s="96">
        <f>IFERROR(VLOOKUP(D77,EQUIPOS!A:F,6,FALSE()),0)</f>
        <v>5503.040438867889</v>
      </c>
      <c r="J77" s="31">
        <f t="shared" ref="J77:J79" si="58">G77*I77</f>
        <v>5503.040438867889</v>
      </c>
      <c r="K77" s="32" t="str">
        <f t="shared" si="55"/>
        <v>ELE-121|EQ</v>
      </c>
      <c r="L77" s="32">
        <f>COUNTIFS($K$2:K77,K77)</f>
        <v>1</v>
      </c>
      <c r="M77" s="32" t="str">
        <f t="shared" si="56"/>
        <v>ELE-121|EQ|1</v>
      </c>
      <c r="N77" s="121">
        <f>IFERROR(VLOOKUP(A77,PARTIDAS!A:F,6,FALSE()),0)</f>
        <v>3.25</v>
      </c>
      <c r="O77" s="123">
        <f t="shared" si="52"/>
        <v>0</v>
      </c>
      <c r="P77" s="123" t="str">
        <f>+_xlfn.XLOOKUP(A77,PPTO_GENERADOR!Q:Q,PPTO_GENERADOR!E:E,"-",0)</f>
        <v>-</v>
      </c>
      <c r="Q77" s="123">
        <f t="shared" si="53"/>
        <v>0</v>
      </c>
      <c r="R77" s="125" t="str">
        <f>+_xlfn.XLOOKUP(A77,PPTO_GENERADOR!$Q:$Q,PPTO_GENERADOR!A:A,"-",0)</f>
        <v>-</v>
      </c>
    </row>
    <row r="78" spans="1:18" ht="14.25" customHeight="1" x14ac:dyDescent="0.35">
      <c r="A78" s="105" t="s">
        <v>1749</v>
      </c>
      <c r="B78" s="105" t="s">
        <v>1983</v>
      </c>
      <c r="C78" s="105"/>
      <c r="D78" s="105" t="s">
        <v>1313</v>
      </c>
      <c r="E78" s="95" t="str">
        <f>IFERROR(VLOOKUP(D78,EQUIPOS!A:B,2,FALSE()),"?")</f>
        <v>ANDAMIO TUBULAR DE UNO A TRES CUERPOS</v>
      </c>
      <c r="F78" s="129"/>
      <c r="G78" s="119">
        <v>0.5</v>
      </c>
      <c r="H78" s="120">
        <v>0</v>
      </c>
      <c r="I78" s="96">
        <f>IFERROR(VLOOKUP(D78,EQUIPOS!A:F,6,FALSE()),0)</f>
        <v>620.81078197718341</v>
      </c>
      <c r="J78" s="31">
        <f t="shared" si="58"/>
        <v>310.40539098859171</v>
      </c>
      <c r="K78" s="32" t="str">
        <f t="shared" si="55"/>
        <v>ELE-121|EQ</v>
      </c>
      <c r="L78" s="32">
        <f>COUNTIFS($K$2:K78,K78)</f>
        <v>2</v>
      </c>
      <c r="M78" s="32" t="str">
        <f t="shared" si="56"/>
        <v>ELE-121|EQ|2</v>
      </c>
      <c r="N78" s="121">
        <f>IFERROR(VLOOKUP(A78,PARTIDAS!A:F,6,FALSE()),0)</f>
        <v>3.25</v>
      </c>
      <c r="O78" s="123">
        <f t="shared" si="52"/>
        <v>0</v>
      </c>
      <c r="P78" s="123" t="str">
        <f>+_xlfn.XLOOKUP(A78,PPTO_GENERADOR!Q:Q,PPTO_GENERADOR!E:E,"-",0)</f>
        <v>-</v>
      </c>
      <c r="Q78" s="123">
        <f t="shared" si="53"/>
        <v>0</v>
      </c>
      <c r="R78" s="125" t="str">
        <f>+_xlfn.XLOOKUP(A78,PPTO_GENERADOR!$Q:$Q,PPTO_GENERADOR!A:A,"-",0)</f>
        <v>-</v>
      </c>
    </row>
    <row r="79" spans="1:18" ht="14.25" customHeight="1" x14ac:dyDescent="0.35">
      <c r="A79" s="105" t="s">
        <v>1749</v>
      </c>
      <c r="B79" s="105" t="s">
        <v>1983</v>
      </c>
      <c r="C79" s="105"/>
      <c r="D79" s="105" t="s">
        <v>1311</v>
      </c>
      <c r="E79" s="95" t="str">
        <f>IFERROR(VLOOKUP(D79,EQUIPOS!A:B,2,FALSE()),"?")</f>
        <v>ESCALERA GLOSS ALUMINIO ARTICULADA 4 X 4 ESCALONES HASTA 150KG</v>
      </c>
      <c r="F79" s="129"/>
      <c r="G79" s="119">
        <v>0.5</v>
      </c>
      <c r="H79" s="120">
        <v>0</v>
      </c>
      <c r="I79" s="96">
        <f>IFERROR(VLOOKUP(D79,EQUIPOS!A:F,6,FALSE()),0)</f>
        <v>152.38027427373819</v>
      </c>
      <c r="J79" s="31">
        <f t="shared" si="58"/>
        <v>76.190137136869097</v>
      </c>
      <c r="K79" s="32" t="str">
        <f t="shared" si="55"/>
        <v>ELE-121|EQ</v>
      </c>
      <c r="L79" s="32">
        <f>COUNTIFS($K$2:K79,K79)</f>
        <v>3</v>
      </c>
      <c r="M79" s="32" t="str">
        <f t="shared" si="56"/>
        <v>ELE-121|EQ|3</v>
      </c>
      <c r="N79" s="121">
        <f>IFERROR(VLOOKUP(A79,PARTIDAS!A:F,6,FALSE()),0)</f>
        <v>3.25</v>
      </c>
      <c r="O79" s="123">
        <f t="shared" si="52"/>
        <v>0</v>
      </c>
      <c r="P79" s="123" t="str">
        <f>+_xlfn.XLOOKUP(A79,PPTO_GENERADOR!Q:Q,PPTO_GENERADOR!E:E,"-",0)</f>
        <v>-</v>
      </c>
      <c r="Q79" s="123">
        <f t="shared" si="53"/>
        <v>0</v>
      </c>
      <c r="R79" s="125" t="str">
        <f>+_xlfn.XLOOKUP(A79,PPTO_GENERADOR!$Q:$Q,PPTO_GENERADOR!A:A,"-",0)</f>
        <v>-</v>
      </c>
    </row>
    <row r="80" spans="1:18" ht="14.25" customHeight="1" x14ac:dyDescent="0.35">
      <c r="A80" s="105" t="s">
        <v>1749</v>
      </c>
      <c r="B80" s="105" t="s">
        <v>1979</v>
      </c>
      <c r="C80" s="105" t="s">
        <v>1980</v>
      </c>
      <c r="D80" s="105" t="s">
        <v>1292</v>
      </c>
      <c r="E80" s="95" t="str">
        <f>IFERROR(VLOOKUP(D80,MANO_DE_OBRA!A:B,2,FALSE()),"?")</f>
        <v>ESPECIALIZADO</v>
      </c>
      <c r="F80" s="129" t="s">
        <v>2042</v>
      </c>
      <c r="G80" s="119">
        <v>1</v>
      </c>
      <c r="H80" s="120">
        <v>0</v>
      </c>
      <c r="I80" s="96">
        <f>IFERROR(VLOOKUP(D80,MANO_DE_OBRA!A:C,3,FALSE()),0)</f>
        <v>94177.137883538904</v>
      </c>
      <c r="J80" s="31">
        <f t="shared" ref="J80:J81" si="59">G80*I80</f>
        <v>94177.137883538904</v>
      </c>
      <c r="K80" s="32" t="str">
        <f t="shared" si="55"/>
        <v>ELE-121|MO</v>
      </c>
      <c r="L80" s="32">
        <f>COUNTIFS($K$2:K80,K80)</f>
        <v>1</v>
      </c>
      <c r="M80" s="32" t="str">
        <f t="shared" si="56"/>
        <v>ELE-121|MO|1</v>
      </c>
      <c r="N80" s="121">
        <f>IFERROR(VLOOKUP(A80,PARTIDAS!A:F,6,FALSE()),0)</f>
        <v>3.25</v>
      </c>
      <c r="O80" s="123">
        <f t="shared" si="52"/>
        <v>0.30769230769230771</v>
      </c>
      <c r="P80" s="123" t="str">
        <f>+_xlfn.XLOOKUP(A80,PPTO_GENERADOR!Q:Q,PPTO_GENERADOR!E:E,"-",0)</f>
        <v>-</v>
      </c>
      <c r="Q80" s="123">
        <f t="shared" si="53"/>
        <v>0</v>
      </c>
      <c r="R80" s="125" t="str">
        <f>+_xlfn.XLOOKUP(A80,PPTO_GENERADOR!$Q:$Q,PPTO_GENERADOR!A:A,"-",0)</f>
        <v>-</v>
      </c>
    </row>
    <row r="81" spans="1:18" ht="14.25" customHeight="1" x14ac:dyDescent="0.35">
      <c r="A81" s="105" t="s">
        <v>1749</v>
      </c>
      <c r="B81" s="105" t="s">
        <v>1979</v>
      </c>
      <c r="C81" s="105" t="s">
        <v>1980</v>
      </c>
      <c r="D81" s="105" t="s">
        <v>2038</v>
      </c>
      <c r="E81" s="95" t="str">
        <f>IFERROR(VLOOKUP(D81,MANO_DE_OBRA!A:B,2,FALSE()),"?")</f>
        <v>AYUDANTE</v>
      </c>
      <c r="F81" s="129" t="s">
        <v>2042</v>
      </c>
      <c r="G81" s="119">
        <v>1</v>
      </c>
      <c r="H81" s="120">
        <v>0</v>
      </c>
      <c r="I81" s="96">
        <f>IFERROR(VLOOKUP(D81,MANO_DE_OBRA!A:C,3,FALSE()),0)</f>
        <v>67240.498860267602</v>
      </c>
      <c r="J81" s="31">
        <f t="shared" si="59"/>
        <v>67240.498860267602</v>
      </c>
      <c r="K81" s="32" t="str">
        <f t="shared" si="55"/>
        <v>ELE-121|MO</v>
      </c>
      <c r="L81" s="32">
        <f>COUNTIFS($K$2:K81,K81)</f>
        <v>2</v>
      </c>
      <c r="M81" s="32" t="str">
        <f t="shared" si="56"/>
        <v>ELE-121|MO|2</v>
      </c>
      <c r="N81" s="121">
        <f>IFERROR(VLOOKUP(A81,PARTIDAS!A:F,6,FALSE()),0)</f>
        <v>3.25</v>
      </c>
      <c r="O81" s="123">
        <f t="shared" si="52"/>
        <v>0.30769230769230771</v>
      </c>
      <c r="P81" s="123" t="str">
        <f>+_xlfn.XLOOKUP(A81,PPTO_GENERADOR!Q:Q,PPTO_GENERADOR!E:E,"-",0)</f>
        <v>-</v>
      </c>
      <c r="Q81" s="123">
        <f t="shared" si="53"/>
        <v>0</v>
      </c>
      <c r="R81" s="125" t="str">
        <f>+_xlfn.XLOOKUP(A81,PPTO_GENERADOR!$Q:$Q,PPTO_GENERADOR!A:A,"-",0)</f>
        <v>-</v>
      </c>
    </row>
    <row r="82" spans="1:18" ht="14.25" customHeight="1" x14ac:dyDescent="0.35">
      <c r="A82" s="105" t="s">
        <v>1752</v>
      </c>
      <c r="B82" s="105" t="s">
        <v>1981</v>
      </c>
      <c r="C82" s="105" t="s">
        <v>1982</v>
      </c>
      <c r="D82" s="105" t="s">
        <v>987</v>
      </c>
      <c r="E82" s="95" t="str">
        <f>IFERROR(VLOOKUP(D82,MATERIALES!A:B,2,FALSE()),"?")</f>
        <v>SMARTTRAY TRX3M BJA PERF 200-22</v>
      </c>
      <c r="F82" s="129" t="str">
        <f>IFERROR(VLOOKUP(D82,MATERIALES!A:C,3,FALSE()),"?")</f>
        <v>u</v>
      </c>
      <c r="G82" s="119">
        <v>0.35</v>
      </c>
      <c r="H82" s="120">
        <v>0.05</v>
      </c>
      <c r="I82" s="96">
        <f>IFERROR(VLOOKUP(D82,MATERIALES!A:D,4,FALSE()),0)</f>
        <v>25108.056037999999</v>
      </c>
      <c r="J82" s="31">
        <f t="shared" ref="J82:J90" si="60">G82*I82*(1+H82)</f>
        <v>9227.2105939649991</v>
      </c>
      <c r="K82" s="32" t="str">
        <f t="shared" si="55"/>
        <v>BAN-122|MAT</v>
      </c>
      <c r="L82" s="32">
        <f>COUNTIFS($K$2:K82,K82)</f>
        <v>1</v>
      </c>
      <c r="M82" s="32" t="str">
        <f t="shared" si="56"/>
        <v>BAN-122|MAT|1</v>
      </c>
      <c r="N82" s="121">
        <f>IFERROR(VLOOKUP(A82,PARTIDAS!A:F,6,FALSE()),0)</f>
        <v>12</v>
      </c>
      <c r="O82" s="123">
        <f t="shared" si="52"/>
        <v>0</v>
      </c>
      <c r="P82" s="123" t="str">
        <f>+_xlfn.XLOOKUP(A82,PPTO_GENERADOR!Q:Q,PPTO_GENERADOR!E:E,"-",0)</f>
        <v>-</v>
      </c>
      <c r="Q82" s="123">
        <f t="shared" si="53"/>
        <v>0</v>
      </c>
      <c r="R82" s="125" t="str">
        <f>+_xlfn.XLOOKUP(A82,PPTO_GENERADOR!$Q:$Q,PPTO_GENERADOR!A:A,"-",0)</f>
        <v>-</v>
      </c>
    </row>
    <row r="83" spans="1:18" ht="14.25" customHeight="1" x14ac:dyDescent="0.35">
      <c r="A83" s="105" t="s">
        <v>1752</v>
      </c>
      <c r="B83" s="105" t="s">
        <v>1981</v>
      </c>
      <c r="C83" s="105" t="s">
        <v>1982</v>
      </c>
      <c r="D83" s="105" t="s">
        <v>989</v>
      </c>
      <c r="E83" s="95" t="str">
        <f>IFERROR(VLOOKUP(D83,MATERIALES!A:B,2,FALSE()),"?")</f>
        <v>SMARTTRAY TAPA CIEGA P/BJA 200-22</v>
      </c>
      <c r="F83" s="129" t="str">
        <f>IFERROR(VLOOKUP(D83,MATERIALES!A:C,3,FALSE()),"?")</f>
        <v>u</v>
      </c>
      <c r="G83" s="119">
        <v>0.35</v>
      </c>
      <c r="H83" s="120">
        <v>0.1</v>
      </c>
      <c r="I83" s="96">
        <f>IFERROR(VLOOKUP(D83,MATERIALES!A:D,4,FALSE()),0)</f>
        <v>16853.812063000001</v>
      </c>
      <c r="J83" s="31">
        <f t="shared" si="60"/>
        <v>6488.7176442550008</v>
      </c>
      <c r="K83" s="32" t="str">
        <f t="shared" si="55"/>
        <v>BAN-122|MAT</v>
      </c>
      <c r="L83" s="32">
        <f>COUNTIFS($K$2:K83,K83)</f>
        <v>2</v>
      </c>
      <c r="M83" s="32" t="str">
        <f t="shared" si="56"/>
        <v>BAN-122|MAT|2</v>
      </c>
      <c r="N83" s="121">
        <f>IFERROR(VLOOKUP(A83,PARTIDAS!A:F,6,FALSE()),0)</f>
        <v>12</v>
      </c>
      <c r="O83" s="123">
        <f t="shared" si="52"/>
        <v>0</v>
      </c>
      <c r="P83" s="123" t="str">
        <f>+_xlfn.XLOOKUP(A83,PPTO_GENERADOR!Q:Q,PPTO_GENERADOR!E:E,"-",0)</f>
        <v>-</v>
      </c>
      <c r="Q83" s="123">
        <f t="shared" si="53"/>
        <v>0</v>
      </c>
      <c r="R83" s="125" t="str">
        <f>+_xlfn.XLOOKUP(A83,PPTO_GENERADOR!$Q:$Q,PPTO_GENERADOR!A:A,"-",0)</f>
        <v>-</v>
      </c>
    </row>
    <row r="84" spans="1:18" ht="14.25" customHeight="1" x14ac:dyDescent="0.35">
      <c r="A84" s="105" t="s">
        <v>1752</v>
      </c>
      <c r="B84" s="105" t="s">
        <v>1981</v>
      </c>
      <c r="C84" s="105" t="s">
        <v>1982</v>
      </c>
      <c r="D84" s="105" t="s">
        <v>991</v>
      </c>
      <c r="E84" s="95" t="str">
        <f>IFERROR(VLOOKUP(D84,MATERIALES!A:B,2,FALSE()),"?")</f>
        <v>SMARTTRAY CUPLA UNION JBCC-M6-100</v>
      </c>
      <c r="F84" s="129" t="str">
        <f>IFERROR(VLOOKUP(D84,MATERIALES!A:C,3,FALSE()),"?")</f>
        <v>u</v>
      </c>
      <c r="G84" s="119">
        <v>1.4999999999999999E-2</v>
      </c>
      <c r="H84" s="120">
        <v>0.1</v>
      </c>
      <c r="I84" s="96">
        <f>IFERROR(VLOOKUP(D84,MATERIALES!A:D,4,FALSE()),0)</f>
        <v>14030.017728000001</v>
      </c>
      <c r="J84" s="31">
        <f t="shared" si="60"/>
        <v>231.49529251200002</v>
      </c>
      <c r="K84" s="32" t="str">
        <f t="shared" si="55"/>
        <v>BAN-122|MAT</v>
      </c>
      <c r="L84" s="32">
        <f>COUNTIFS($K$2:K84,K84)</f>
        <v>3</v>
      </c>
      <c r="M84" s="32" t="str">
        <f t="shared" si="56"/>
        <v>BAN-122|MAT|3</v>
      </c>
      <c r="N84" s="121">
        <f>IFERROR(VLOOKUP(A84,PARTIDAS!A:F,6,FALSE()),0)</f>
        <v>12</v>
      </c>
      <c r="O84" s="123">
        <f t="shared" si="52"/>
        <v>0</v>
      </c>
      <c r="P84" s="123" t="str">
        <f>+_xlfn.XLOOKUP(A84,PPTO_GENERADOR!Q:Q,PPTO_GENERADOR!E:E,"-",0)</f>
        <v>-</v>
      </c>
      <c r="Q84" s="123">
        <f t="shared" si="53"/>
        <v>0</v>
      </c>
      <c r="R84" s="125" t="str">
        <f>+_xlfn.XLOOKUP(A84,PPTO_GENERADOR!$Q:$Q,PPTO_GENERADOR!A:A,"-",0)</f>
        <v>-</v>
      </c>
    </row>
    <row r="85" spans="1:18" ht="14.25" customHeight="1" x14ac:dyDescent="0.35">
      <c r="A85" s="105" t="s">
        <v>1752</v>
      </c>
      <c r="B85" s="105" t="s">
        <v>1981</v>
      </c>
      <c r="C85" s="105" t="s">
        <v>1982</v>
      </c>
      <c r="D85" s="105" t="s">
        <v>993</v>
      </c>
      <c r="E85" s="95" t="str">
        <f>IFERROR(VLOOKUP(D85,MATERIALES!A:B,2,FALSE()),"?")</f>
        <v>GRAMPA FIJACION CABLE</v>
      </c>
      <c r="F85" s="129" t="str">
        <f>IFERROR(VLOOKUP(D85,MATERIALES!A:C,3,FALSE()),"?")</f>
        <v>u</v>
      </c>
      <c r="G85" s="119">
        <v>0.35</v>
      </c>
      <c r="H85" s="120">
        <v>0.1</v>
      </c>
      <c r="I85" s="96">
        <f>IFERROR(VLOOKUP(D85,MATERIALES!A:D,4,FALSE()),0)</f>
        <v>2124.5317799999998</v>
      </c>
      <c r="J85" s="31">
        <f t="shared" si="60"/>
        <v>817.94473529999993</v>
      </c>
      <c r="K85" s="32" t="str">
        <f t="shared" si="55"/>
        <v>BAN-122|MAT</v>
      </c>
      <c r="L85" s="32">
        <f>COUNTIFS($K$2:K85,K85)</f>
        <v>4</v>
      </c>
      <c r="M85" s="32" t="str">
        <f t="shared" si="56"/>
        <v>BAN-122|MAT|4</v>
      </c>
      <c r="N85" s="121">
        <f>IFERROR(VLOOKUP(A85,PARTIDAS!A:F,6,FALSE()),0)</f>
        <v>12</v>
      </c>
      <c r="O85" s="123">
        <f t="shared" si="52"/>
        <v>0</v>
      </c>
      <c r="P85" s="123" t="str">
        <f>+_xlfn.XLOOKUP(A85,PPTO_GENERADOR!Q:Q,PPTO_GENERADOR!E:E,"-",0)</f>
        <v>-</v>
      </c>
      <c r="Q85" s="123">
        <f t="shared" si="53"/>
        <v>0</v>
      </c>
      <c r="R85" s="125" t="str">
        <f>+_xlfn.XLOOKUP(A85,PPTO_GENERADOR!$Q:$Q,PPTO_GENERADOR!A:A,"-",0)</f>
        <v>-</v>
      </c>
    </row>
    <row r="86" spans="1:18" ht="14.25" customHeight="1" x14ac:dyDescent="0.35">
      <c r="A86" s="105" t="s">
        <v>1752</v>
      </c>
      <c r="B86" s="105" t="s">
        <v>1981</v>
      </c>
      <c r="C86" s="105" t="s">
        <v>1982</v>
      </c>
      <c r="D86" s="105" t="s">
        <v>995</v>
      </c>
      <c r="E86" s="95" t="str">
        <f>IFERROR(VLOOKUP(D86,MATERIALES!A:B,2,FALSE()),"?")</f>
        <v>ACOMETIDA PARA TABLERO</v>
      </c>
      <c r="F86" s="129" t="str">
        <f>IFERROR(VLOOKUP(D86,MATERIALES!A:C,3,FALSE()),"?")</f>
        <v>u</v>
      </c>
      <c r="G86" s="119">
        <v>0.03</v>
      </c>
      <c r="H86" s="120">
        <v>0.1</v>
      </c>
      <c r="I86" s="96">
        <f>IFERROR(VLOOKUP(D86,MATERIALES!A:D,4,FALSE()),0)</f>
        <v>6773.5984509999998</v>
      </c>
      <c r="J86" s="31">
        <f t="shared" si="60"/>
        <v>223.52874888300002</v>
      </c>
      <c r="K86" s="32" t="str">
        <f t="shared" si="55"/>
        <v>BAN-122|MAT</v>
      </c>
      <c r="L86" s="32">
        <f>COUNTIFS($K$2:K86,K86)</f>
        <v>5</v>
      </c>
      <c r="M86" s="32" t="str">
        <f t="shared" si="56"/>
        <v>BAN-122|MAT|5</v>
      </c>
      <c r="N86" s="121">
        <f>IFERROR(VLOOKUP(A86,PARTIDAS!A:F,6,FALSE()),0)</f>
        <v>12</v>
      </c>
      <c r="O86" s="123">
        <f t="shared" si="52"/>
        <v>0</v>
      </c>
      <c r="P86" s="123" t="str">
        <f>+_xlfn.XLOOKUP(A86,PPTO_GENERADOR!Q:Q,PPTO_GENERADOR!E:E,"-",0)</f>
        <v>-</v>
      </c>
      <c r="Q86" s="123">
        <f t="shared" si="53"/>
        <v>0</v>
      </c>
      <c r="R86" s="125" t="str">
        <f>+_xlfn.XLOOKUP(A86,PPTO_GENERADOR!$Q:$Q,PPTO_GENERADOR!A:A,"-",0)</f>
        <v>-</v>
      </c>
    </row>
    <row r="87" spans="1:18" ht="14.25" customHeight="1" x14ac:dyDescent="0.35">
      <c r="A87" s="105" t="s">
        <v>1752</v>
      </c>
      <c r="B87" s="105" t="s">
        <v>1981</v>
      </c>
      <c r="C87" s="105" t="s">
        <v>1982</v>
      </c>
      <c r="D87" s="105" t="s">
        <v>997</v>
      </c>
      <c r="E87" s="95" t="str">
        <f>IFERROR(VLOOKUP(D87,MATERIALES!A:B,2,FALSE()),"?")</f>
        <v>EMBUDO</v>
      </c>
      <c r="F87" s="129" t="str">
        <f>IFERROR(VLOOKUP(D87,MATERIALES!A:C,3,FALSE()),"?")</f>
        <v>u</v>
      </c>
      <c r="G87" s="119">
        <v>0.03</v>
      </c>
      <c r="H87" s="120">
        <v>0.1</v>
      </c>
      <c r="I87" s="96">
        <f>IFERROR(VLOOKUP(D87,MATERIALES!A:D,4,FALSE()),0)</f>
        <v>6773.5984509999998</v>
      </c>
      <c r="J87" s="31">
        <f t="shared" si="60"/>
        <v>223.52874888300002</v>
      </c>
      <c r="K87" s="32" t="str">
        <f t="shared" si="55"/>
        <v>BAN-122|MAT</v>
      </c>
      <c r="L87" s="32">
        <f>COUNTIFS($K$2:K87,K87)</f>
        <v>6</v>
      </c>
      <c r="M87" s="32" t="str">
        <f t="shared" si="56"/>
        <v>BAN-122|MAT|6</v>
      </c>
      <c r="N87" s="121">
        <f>IFERROR(VLOOKUP(A87,PARTIDAS!A:F,6,FALSE()),0)</f>
        <v>12</v>
      </c>
      <c r="O87" s="123">
        <f t="shared" si="52"/>
        <v>0</v>
      </c>
      <c r="P87" s="123" t="str">
        <f>+_xlfn.XLOOKUP(A87,PPTO_GENERADOR!Q:Q,PPTO_GENERADOR!E:E,"-",0)</f>
        <v>-</v>
      </c>
      <c r="Q87" s="123">
        <f t="shared" si="53"/>
        <v>0</v>
      </c>
      <c r="R87" s="125" t="str">
        <f>+_xlfn.XLOOKUP(A87,PPTO_GENERADOR!$Q:$Q,PPTO_GENERADOR!A:A,"-",0)</f>
        <v>-</v>
      </c>
    </row>
    <row r="88" spans="1:18" ht="14.25" customHeight="1" x14ac:dyDescent="0.35">
      <c r="A88" s="105" t="s">
        <v>1752</v>
      </c>
      <c r="B88" s="105" t="s">
        <v>1981</v>
      </c>
      <c r="C88" s="105" t="s">
        <v>1982</v>
      </c>
      <c r="D88" s="105" t="s">
        <v>999</v>
      </c>
      <c r="E88" s="95" t="str">
        <f>IFERROR(VLOOKUP(D88,MATERIALES!A:B,2,FALSE()),"?")</f>
        <v>GRAMPA FIJACION 200-22</v>
      </c>
      <c r="F88" s="129" t="str">
        <f>IFERROR(VLOOKUP(D88,MATERIALES!A:C,3,FALSE()),"?")</f>
        <v>u</v>
      </c>
      <c r="G88" s="119">
        <v>0.56999999999999995</v>
      </c>
      <c r="H88" s="120">
        <v>0.1</v>
      </c>
      <c r="I88" s="96">
        <f>IFERROR(VLOOKUP(D88,MATERIALES!A:D,4,FALSE()),0)</f>
        <v>1979.042944</v>
      </c>
      <c r="J88" s="31">
        <f t="shared" si="60"/>
        <v>1240.8599258879999</v>
      </c>
      <c r="K88" s="32" t="str">
        <f t="shared" si="55"/>
        <v>BAN-122|MAT</v>
      </c>
      <c r="L88" s="32">
        <f>COUNTIFS($K$2:K88,K88)</f>
        <v>7</v>
      </c>
      <c r="M88" s="32" t="str">
        <f t="shared" si="56"/>
        <v>BAN-122|MAT|7</v>
      </c>
      <c r="N88" s="121">
        <f>IFERROR(VLOOKUP(A88,PARTIDAS!A:F,6,FALSE()),0)</f>
        <v>12</v>
      </c>
      <c r="O88" s="123">
        <f t="shared" si="52"/>
        <v>0</v>
      </c>
      <c r="P88" s="123" t="str">
        <f>+_xlfn.XLOOKUP(A88,PPTO_GENERADOR!Q:Q,PPTO_GENERADOR!E:E,"-",0)</f>
        <v>-</v>
      </c>
      <c r="Q88" s="123">
        <f t="shared" si="53"/>
        <v>0</v>
      </c>
      <c r="R88" s="125" t="str">
        <f>+_xlfn.XLOOKUP(A88,PPTO_GENERADOR!$Q:$Q,PPTO_GENERADOR!A:A,"-",0)</f>
        <v>-</v>
      </c>
    </row>
    <row r="89" spans="1:18" ht="14.25" customHeight="1" x14ac:dyDescent="0.35">
      <c r="A89" s="105" t="s">
        <v>1752</v>
      </c>
      <c r="B89" s="105" t="s">
        <v>1981</v>
      </c>
      <c r="C89" s="105" t="s">
        <v>1982</v>
      </c>
      <c r="D89" s="105" t="s">
        <v>1001</v>
      </c>
      <c r="E89" s="95" t="str">
        <f>IFERROR(VLOOKUP(D89,MATERIALES!A:B,2,FALSE()),"?")</f>
        <v>VARILLA ROSCADA 1/4</v>
      </c>
      <c r="F89" s="129" t="str">
        <f>IFERROR(VLOOKUP(D89,MATERIALES!A:C,3,FALSE()),"?")</f>
        <v>u</v>
      </c>
      <c r="G89" s="119">
        <v>0.3</v>
      </c>
      <c r="H89" s="120">
        <v>0.1</v>
      </c>
      <c r="I89" s="96">
        <f>IFERROR(VLOOKUP(D89,MATERIALES!A:D,4,FALSE()),0)</f>
        <v>1069.6694210000001</v>
      </c>
      <c r="J89" s="31">
        <f t="shared" si="60"/>
        <v>352.99090893000005</v>
      </c>
      <c r="K89" s="32" t="str">
        <f t="shared" si="55"/>
        <v>BAN-122|MAT</v>
      </c>
      <c r="L89" s="32">
        <f>COUNTIFS($K$2:K89,K89)</f>
        <v>8</v>
      </c>
      <c r="M89" s="32" t="str">
        <f t="shared" si="56"/>
        <v>BAN-122|MAT|8</v>
      </c>
      <c r="N89" s="121">
        <f>IFERROR(VLOOKUP(A89,PARTIDAS!A:F,6,FALSE()),0)</f>
        <v>12</v>
      </c>
      <c r="O89" s="123">
        <f t="shared" si="52"/>
        <v>0</v>
      </c>
      <c r="P89" s="123" t="str">
        <f>+_xlfn.XLOOKUP(A89,PPTO_GENERADOR!Q:Q,PPTO_GENERADOR!E:E,"-",0)</f>
        <v>-</v>
      </c>
      <c r="Q89" s="123">
        <f t="shared" si="53"/>
        <v>0</v>
      </c>
      <c r="R89" s="125" t="str">
        <f>+_xlfn.XLOOKUP(A89,PPTO_GENERADOR!$Q:$Q,PPTO_GENERADOR!A:A,"-",0)</f>
        <v>-</v>
      </c>
    </row>
    <row r="90" spans="1:18" ht="14.25" customHeight="1" x14ac:dyDescent="0.35">
      <c r="A90" s="105" t="s">
        <v>1752</v>
      </c>
      <c r="B90" s="105" t="s">
        <v>1981</v>
      </c>
      <c r="C90" s="105" t="s">
        <v>1982</v>
      </c>
      <c r="D90" s="105" t="s">
        <v>1003</v>
      </c>
      <c r="E90" s="95" t="str">
        <f>IFERROR(VLOOKUP(D90,MATERIALES!A:B,2,FALSE()),"?")</f>
        <v>TUERCA Y ARANDELA 1/4</v>
      </c>
      <c r="F90" s="129" t="str">
        <f>IFERROR(VLOOKUP(D90,MATERIALES!A:C,3,FALSE()),"?")</f>
        <v>u</v>
      </c>
      <c r="G90" s="119">
        <v>1.2</v>
      </c>
      <c r="H90" s="120">
        <v>0.05</v>
      </c>
      <c r="I90" s="96">
        <f>IFERROR(VLOOKUP(D90,MATERIALES!A:D,4,FALSE()),0)</f>
        <v>33.299999999999997</v>
      </c>
      <c r="J90" s="31">
        <f t="shared" si="60"/>
        <v>41.957999999999998</v>
      </c>
      <c r="K90" s="32" t="str">
        <f t="shared" si="55"/>
        <v>BAN-122|MAT</v>
      </c>
      <c r="L90" s="32">
        <f>COUNTIFS($K$2:K90,K90)</f>
        <v>9</v>
      </c>
      <c r="M90" s="32" t="str">
        <f t="shared" si="56"/>
        <v>BAN-122|MAT|9</v>
      </c>
      <c r="N90" s="121">
        <f>IFERROR(VLOOKUP(A90,PARTIDAS!A:F,6,FALSE()),0)</f>
        <v>12</v>
      </c>
      <c r="O90" s="123">
        <f t="shared" si="52"/>
        <v>0</v>
      </c>
      <c r="P90" s="123" t="str">
        <f>+_xlfn.XLOOKUP(A90,PPTO_GENERADOR!Q:Q,PPTO_GENERADOR!E:E,"-",0)</f>
        <v>-</v>
      </c>
      <c r="Q90" s="123">
        <f t="shared" si="53"/>
        <v>0</v>
      </c>
      <c r="R90" s="125" t="str">
        <f>+_xlfn.XLOOKUP(A90,PPTO_GENERADOR!$Q:$Q,PPTO_GENERADOR!A:A,"-",0)</f>
        <v>-</v>
      </c>
    </row>
    <row r="91" spans="1:18" ht="14.25" customHeight="1" x14ac:dyDescent="0.35">
      <c r="A91" s="105" t="s">
        <v>1752</v>
      </c>
      <c r="B91" s="105" t="s">
        <v>1979</v>
      </c>
      <c r="C91" s="105" t="s">
        <v>1980</v>
      </c>
      <c r="D91" s="105" t="s">
        <v>1292</v>
      </c>
      <c r="E91" s="95" t="str">
        <f>IFERROR(VLOOKUP(D91,MANO_DE_OBRA!A:B,2,FALSE()),"?")</f>
        <v>ESPECIALIZADO</v>
      </c>
      <c r="F91" s="129" t="s">
        <v>2042</v>
      </c>
      <c r="G91" s="119">
        <v>1</v>
      </c>
      <c r="H91" s="120">
        <v>0</v>
      </c>
      <c r="I91" s="96">
        <f>IFERROR(VLOOKUP(D91,MANO_DE_OBRA!A:C,3,FALSE()),0)</f>
        <v>94177.137883538904</v>
      </c>
      <c r="J91" s="31">
        <f t="shared" ref="J91:J92" si="61">G91*I91</f>
        <v>94177.137883538904</v>
      </c>
      <c r="K91" s="32" t="str">
        <f t="shared" si="55"/>
        <v>BAN-122|MO</v>
      </c>
      <c r="L91" s="32">
        <f>COUNTIFS($K$2:K91,K91)</f>
        <v>1</v>
      </c>
      <c r="M91" s="32" t="str">
        <f t="shared" si="56"/>
        <v>BAN-122|MO|1</v>
      </c>
      <c r="N91" s="121">
        <f>IFERROR(VLOOKUP(A91,PARTIDAS!A:F,6,FALSE()),0)</f>
        <v>12</v>
      </c>
      <c r="O91" s="123">
        <f t="shared" si="52"/>
        <v>8.3333333333333329E-2</v>
      </c>
      <c r="P91" s="123" t="str">
        <f>+_xlfn.XLOOKUP(A91,PPTO_GENERADOR!Q:Q,PPTO_GENERADOR!E:E,"-",0)</f>
        <v>-</v>
      </c>
      <c r="Q91" s="123">
        <f t="shared" si="53"/>
        <v>0</v>
      </c>
      <c r="R91" s="125" t="str">
        <f>+_xlfn.XLOOKUP(A91,PPTO_GENERADOR!$Q:$Q,PPTO_GENERADOR!A:A,"-",0)</f>
        <v>-</v>
      </c>
    </row>
    <row r="92" spans="1:18" ht="14.25" customHeight="1" x14ac:dyDescent="0.35">
      <c r="A92" s="105" t="s">
        <v>1752</v>
      </c>
      <c r="B92" s="105" t="s">
        <v>1979</v>
      </c>
      <c r="C92" s="105" t="s">
        <v>1980</v>
      </c>
      <c r="D92" s="105" t="s">
        <v>2038</v>
      </c>
      <c r="E92" s="95" t="str">
        <f>IFERROR(VLOOKUP(D92,MANO_DE_OBRA!A:B,2,FALSE()),"?")</f>
        <v>AYUDANTE</v>
      </c>
      <c r="F92" s="129" t="s">
        <v>2042</v>
      </c>
      <c r="G92" s="119">
        <v>0.59245024910739696</v>
      </c>
      <c r="H92" s="120">
        <v>0</v>
      </c>
      <c r="I92" s="96">
        <f>IFERROR(VLOOKUP(D92,MANO_DE_OBRA!A:C,3,FALSE()),0)</f>
        <v>67240.498860267602</v>
      </c>
      <c r="J92" s="31">
        <f t="shared" si="61"/>
        <v>39836.65029987118</v>
      </c>
      <c r="K92" s="32" t="str">
        <f t="shared" si="55"/>
        <v>BAN-122|MO</v>
      </c>
      <c r="L92" s="32">
        <f>COUNTIFS($K$2:K92,K92)</f>
        <v>2</v>
      </c>
      <c r="M92" s="32" t="str">
        <f t="shared" si="56"/>
        <v>BAN-122|MO|2</v>
      </c>
      <c r="N92" s="121">
        <f>IFERROR(VLOOKUP(A92,PARTIDAS!A:F,6,FALSE()),0)</f>
        <v>12</v>
      </c>
      <c r="O92" s="123">
        <f t="shared" si="52"/>
        <v>4.9370854092283083E-2</v>
      </c>
      <c r="P92" s="123" t="str">
        <f>+_xlfn.XLOOKUP(A92,PPTO_GENERADOR!Q:Q,PPTO_GENERADOR!E:E,"-",0)</f>
        <v>-</v>
      </c>
      <c r="Q92" s="123">
        <f t="shared" si="53"/>
        <v>0</v>
      </c>
      <c r="R92" s="125" t="str">
        <f>+_xlfn.XLOOKUP(A92,PPTO_GENERADOR!$Q:$Q,PPTO_GENERADOR!A:A,"-",0)</f>
        <v>-</v>
      </c>
    </row>
    <row r="93" spans="1:18" ht="14.25" customHeight="1" x14ac:dyDescent="0.35">
      <c r="A93" s="105" t="s">
        <v>1756</v>
      </c>
      <c r="B93" s="105" t="s">
        <v>1981</v>
      </c>
      <c r="C93" s="105" t="s">
        <v>1982</v>
      </c>
      <c r="D93" s="105" t="s">
        <v>559</v>
      </c>
      <c r="E93" s="95" t="str">
        <f>IFERROR(VLOOKUP(D93,MATERIALES!A:B,2,FALSE()),"?")</f>
        <v>CONSUMIBLES (varios)</v>
      </c>
      <c r="F93" s="129" t="str">
        <f>IFERROR(VLOOKUP(D93,MATERIALES!A:C,3,FALSE()),"?")</f>
        <v>gl</v>
      </c>
      <c r="G93" s="119">
        <v>1</v>
      </c>
      <c r="H93" s="120">
        <v>0.1</v>
      </c>
      <c r="I93" s="96">
        <f>IFERROR(VLOOKUP(D93,MATERIALES!A:D,4,FALSE()),0)</f>
        <v>1</v>
      </c>
      <c r="J93" s="31">
        <f>G93*I93*(1+H93)</f>
        <v>1.1000000000000001</v>
      </c>
      <c r="K93" s="32" t="str">
        <f t="shared" si="55"/>
        <v>HHA-123|MAT</v>
      </c>
      <c r="L93" s="32">
        <f>COUNTIFS($K$2:K93,K93)</f>
        <v>1</v>
      </c>
      <c r="M93" s="32" t="str">
        <f t="shared" si="56"/>
        <v>HHA-123|MAT|1</v>
      </c>
      <c r="N93" s="121">
        <f>IFERROR(VLOOKUP(A93,PARTIDAS!A:F,6,FALSE()),0)</f>
        <v>12</v>
      </c>
      <c r="O93" s="123">
        <f t="shared" si="52"/>
        <v>0</v>
      </c>
      <c r="P93" s="123" t="str">
        <f>+_xlfn.XLOOKUP(A93,PPTO_GENERADOR!Q:Q,PPTO_GENERADOR!E:E,"-",0)</f>
        <v>-</v>
      </c>
      <c r="Q93" s="123">
        <f t="shared" si="53"/>
        <v>0</v>
      </c>
      <c r="R93" s="125" t="str">
        <f>+_xlfn.XLOOKUP(A93,PPTO_GENERADOR!$Q:$Q,PPTO_GENERADOR!A:A,"-",0)</f>
        <v>-</v>
      </c>
    </row>
    <row r="94" spans="1:18" ht="14.25" customHeight="1" x14ac:dyDescent="0.35">
      <c r="A94" s="105" t="s">
        <v>1756</v>
      </c>
      <c r="B94" s="105" t="s">
        <v>1979</v>
      </c>
      <c r="C94" s="105" t="s">
        <v>1980</v>
      </c>
      <c r="D94" s="105" t="s">
        <v>1292</v>
      </c>
      <c r="E94" s="95" t="str">
        <f>IFERROR(VLOOKUP(D94,MANO_DE_OBRA!A:B,2,FALSE()),"?")</f>
        <v>ESPECIALIZADO</v>
      </c>
      <c r="F94" s="129" t="s">
        <v>2042</v>
      </c>
      <c r="G94" s="119">
        <v>1</v>
      </c>
      <c r="H94" s="120">
        <v>0</v>
      </c>
      <c r="I94" s="96">
        <f>IFERROR(VLOOKUP(D94,MANO_DE_OBRA!A:C,3,FALSE()),0)</f>
        <v>94177.137883538904</v>
      </c>
      <c r="J94" s="31">
        <f t="shared" ref="J94:J95" si="62">G94*I94</f>
        <v>94177.137883538904</v>
      </c>
      <c r="K94" s="32" t="str">
        <f t="shared" si="55"/>
        <v>HHA-123|MO</v>
      </c>
      <c r="L94" s="32">
        <f>COUNTIFS($K$2:K94,K94)</f>
        <v>1</v>
      </c>
      <c r="M94" s="32" t="str">
        <f t="shared" si="56"/>
        <v>HHA-123|MO|1</v>
      </c>
      <c r="N94" s="121">
        <f>IFERROR(VLOOKUP(A94,PARTIDAS!A:F,6,FALSE()),0)</f>
        <v>12</v>
      </c>
      <c r="O94" s="123">
        <f t="shared" si="52"/>
        <v>8.3333333333333329E-2</v>
      </c>
      <c r="P94" s="123" t="str">
        <f>+_xlfn.XLOOKUP(A94,PPTO_GENERADOR!Q:Q,PPTO_GENERADOR!E:E,"-",0)</f>
        <v>-</v>
      </c>
      <c r="Q94" s="123">
        <f t="shared" si="53"/>
        <v>0</v>
      </c>
      <c r="R94" s="125" t="str">
        <f>+_xlfn.XLOOKUP(A94,PPTO_GENERADOR!$Q:$Q,PPTO_GENERADOR!A:A,"-",0)</f>
        <v>-</v>
      </c>
    </row>
    <row r="95" spans="1:18" ht="14.25" customHeight="1" x14ac:dyDescent="0.35">
      <c r="A95" s="105" t="s">
        <v>1756</v>
      </c>
      <c r="B95" s="105" t="s">
        <v>1979</v>
      </c>
      <c r="C95" s="105" t="s">
        <v>1980</v>
      </c>
      <c r="D95" s="105" t="s">
        <v>1288</v>
      </c>
      <c r="E95" s="95" t="str">
        <f>IFERROR(VLOOKUP(D95,MANO_DE_OBRA!A:B,2,FALSE()),"?")</f>
        <v>MEDIO OFICIAL</v>
      </c>
      <c r="F95" s="129" t="s">
        <v>2042</v>
      </c>
      <c r="G95" s="119">
        <v>0.75</v>
      </c>
      <c r="H95" s="120">
        <v>0</v>
      </c>
      <c r="I95" s="96">
        <f>IFERROR(VLOOKUP(D95,MANO_DE_OBRA!A:C,3,FALSE()),0)</f>
        <v>72132.138365590101</v>
      </c>
      <c r="J95" s="31">
        <f t="shared" si="62"/>
        <v>54099.103774192576</v>
      </c>
      <c r="K95" s="32" t="str">
        <f t="shared" si="55"/>
        <v>HHA-123|MO</v>
      </c>
      <c r="L95" s="32">
        <f>COUNTIFS($K$2:K95,K95)</f>
        <v>2</v>
      </c>
      <c r="M95" s="32" t="str">
        <f t="shared" si="56"/>
        <v>HHA-123|MO|2</v>
      </c>
      <c r="N95" s="121">
        <f>IFERROR(VLOOKUP(A95,PARTIDAS!A:F,6,FALSE()),0)</f>
        <v>12</v>
      </c>
      <c r="O95" s="123">
        <f t="shared" si="52"/>
        <v>6.25E-2</v>
      </c>
      <c r="P95" s="123" t="str">
        <f>+_xlfn.XLOOKUP(A95,PPTO_GENERADOR!Q:Q,PPTO_GENERADOR!E:E,"-",0)</f>
        <v>-</v>
      </c>
      <c r="Q95" s="123">
        <f t="shared" si="53"/>
        <v>0</v>
      </c>
      <c r="R95" s="125" t="str">
        <f>+_xlfn.XLOOKUP(A95,PPTO_GENERADOR!$Q:$Q,PPTO_GENERADOR!A:A,"-",0)</f>
        <v>-</v>
      </c>
    </row>
    <row r="96" spans="1:18" ht="14.25" customHeight="1" x14ac:dyDescent="0.35">
      <c r="A96" s="105" t="s">
        <v>1759</v>
      </c>
      <c r="B96" s="105" t="s">
        <v>1981</v>
      </c>
      <c r="C96" s="105" t="s">
        <v>1982</v>
      </c>
      <c r="D96" s="105" t="s">
        <v>559</v>
      </c>
      <c r="E96" s="95" t="str">
        <f>IFERROR(VLOOKUP(D96,MATERIALES!A:B,2,FALSE()),"?")</f>
        <v>CONSUMIBLES (varios)</v>
      </c>
      <c r="F96" s="129" t="str">
        <f>IFERROR(VLOOKUP(D96,MATERIALES!A:C,3,FALSE()),"?")</f>
        <v>gl</v>
      </c>
      <c r="G96" s="119">
        <v>1</v>
      </c>
      <c r="H96" s="120">
        <v>0.05</v>
      </c>
      <c r="I96" s="96">
        <f>IFERROR(VLOOKUP(D96,MATERIALES!A:D,4,FALSE()),0)</f>
        <v>1</v>
      </c>
      <c r="J96" s="31">
        <f t="shared" ref="J96:J97" si="63">G96*I96*(1+H96)</f>
        <v>1.05</v>
      </c>
      <c r="K96" s="32" t="str">
        <f t="shared" si="55"/>
        <v>HHA-124|MAT</v>
      </c>
      <c r="L96" s="32">
        <f>COUNTIFS($K$2:K96,K96)</f>
        <v>1</v>
      </c>
      <c r="M96" s="32" t="str">
        <f t="shared" si="56"/>
        <v>HHA-124|MAT|1</v>
      </c>
      <c r="N96" s="121">
        <f>IFERROR(VLOOKUP(A96,PARTIDAS!A:F,6,FALSE()),0)</f>
        <v>12</v>
      </c>
      <c r="O96" s="123">
        <f t="shared" si="52"/>
        <v>0</v>
      </c>
      <c r="P96" s="123" t="str">
        <f>+_xlfn.XLOOKUP(A96,PPTO_GENERADOR!Q:Q,PPTO_GENERADOR!E:E,"-",0)</f>
        <v>-</v>
      </c>
      <c r="Q96" s="123">
        <f t="shared" si="53"/>
        <v>0</v>
      </c>
      <c r="R96" s="125" t="str">
        <f>+_xlfn.XLOOKUP(A96,PPTO_GENERADOR!$Q:$Q,PPTO_GENERADOR!A:A,"-",0)</f>
        <v>-</v>
      </c>
    </row>
    <row r="97" spans="1:18" ht="14.25" customHeight="1" x14ac:dyDescent="0.35">
      <c r="A97" s="105" t="s">
        <v>1759</v>
      </c>
      <c r="B97" s="105" t="s">
        <v>1981</v>
      </c>
      <c r="C97" s="105" t="s">
        <v>1982</v>
      </c>
      <c r="D97" s="105" t="s">
        <v>559</v>
      </c>
      <c r="E97" s="95" t="str">
        <f>IFERROR(VLOOKUP(D97,MATERIALES!A:B,2,FALSE()),"?")</f>
        <v>CONSUMIBLES (varios)</v>
      </c>
      <c r="F97" s="129" t="str">
        <f>IFERROR(VLOOKUP(D97,MATERIALES!A:C,3,FALSE()),"?")</f>
        <v>gl</v>
      </c>
      <c r="G97" s="119">
        <v>1</v>
      </c>
      <c r="H97" s="120">
        <v>0.05</v>
      </c>
      <c r="I97" s="96">
        <f>IFERROR(VLOOKUP(D97,MATERIALES!A:D,4,FALSE()),0)</f>
        <v>1</v>
      </c>
      <c r="J97" s="31">
        <f t="shared" si="63"/>
        <v>1.05</v>
      </c>
      <c r="K97" s="32" t="str">
        <f t="shared" si="55"/>
        <v>HHA-124|MAT</v>
      </c>
      <c r="L97" s="32">
        <f>COUNTIFS($K$2:K97,K97)</f>
        <v>2</v>
      </c>
      <c r="M97" s="32" t="str">
        <f t="shared" si="56"/>
        <v>HHA-124|MAT|2</v>
      </c>
      <c r="N97" s="121">
        <f>IFERROR(VLOOKUP(A97,PARTIDAS!A:F,6,FALSE()),0)</f>
        <v>12</v>
      </c>
      <c r="O97" s="123">
        <f t="shared" si="52"/>
        <v>0</v>
      </c>
      <c r="P97" s="123" t="str">
        <f>+_xlfn.XLOOKUP(A97,PPTO_GENERADOR!Q:Q,PPTO_GENERADOR!E:E,"-",0)</f>
        <v>-</v>
      </c>
      <c r="Q97" s="123">
        <f t="shared" si="53"/>
        <v>0</v>
      </c>
      <c r="R97" s="125" t="str">
        <f>+_xlfn.XLOOKUP(A97,PPTO_GENERADOR!$Q:$Q,PPTO_GENERADOR!A:A,"-",0)</f>
        <v>-</v>
      </c>
    </row>
    <row r="98" spans="1:18" ht="14.25" customHeight="1" x14ac:dyDescent="0.35">
      <c r="A98" s="105" t="s">
        <v>1759</v>
      </c>
      <c r="B98" s="105" t="s">
        <v>1979</v>
      </c>
      <c r="C98" s="105" t="s">
        <v>1980</v>
      </c>
      <c r="D98" s="105" t="s">
        <v>1292</v>
      </c>
      <c r="E98" s="95" t="str">
        <f>IFERROR(VLOOKUP(D98,MANO_DE_OBRA!A:B,2,FALSE()),"?")</f>
        <v>ESPECIALIZADO</v>
      </c>
      <c r="F98" s="129" t="s">
        <v>2042</v>
      </c>
      <c r="G98" s="119">
        <v>1</v>
      </c>
      <c r="H98" s="120">
        <v>0</v>
      </c>
      <c r="I98" s="96">
        <f>IFERROR(VLOOKUP(D98,MANO_DE_OBRA!A:C,3,FALSE()),0)</f>
        <v>94177.137883538904</v>
      </c>
      <c r="J98" s="31">
        <f t="shared" ref="J98:J99" si="64">G98*I98</f>
        <v>94177.137883538904</v>
      </c>
      <c r="K98" s="32" t="str">
        <f t="shared" si="55"/>
        <v>HHA-124|MO</v>
      </c>
      <c r="L98" s="32">
        <f>COUNTIFS($K$2:K98,K98)</f>
        <v>1</v>
      </c>
      <c r="M98" s="32" t="str">
        <f t="shared" si="56"/>
        <v>HHA-124|MO|1</v>
      </c>
      <c r="N98" s="121">
        <f>IFERROR(VLOOKUP(A98,PARTIDAS!A:F,6,FALSE()),0)</f>
        <v>12</v>
      </c>
      <c r="O98" s="123">
        <f t="shared" si="52"/>
        <v>8.3333333333333329E-2</v>
      </c>
      <c r="P98" s="123" t="str">
        <f>+_xlfn.XLOOKUP(A98,PPTO_GENERADOR!Q:Q,PPTO_GENERADOR!E:E,"-",0)</f>
        <v>-</v>
      </c>
      <c r="Q98" s="123">
        <f t="shared" si="53"/>
        <v>0</v>
      </c>
      <c r="R98" s="125" t="str">
        <f>+_xlfn.XLOOKUP(A98,PPTO_GENERADOR!$Q:$Q,PPTO_GENERADOR!A:A,"-",0)</f>
        <v>-</v>
      </c>
    </row>
    <row r="99" spans="1:18" ht="14.25" customHeight="1" x14ac:dyDescent="0.35">
      <c r="A99" s="105" t="s">
        <v>1759</v>
      </c>
      <c r="B99" s="105" t="s">
        <v>1979</v>
      </c>
      <c r="C99" s="105" t="s">
        <v>1980</v>
      </c>
      <c r="D99" s="105" t="s">
        <v>1288</v>
      </c>
      <c r="E99" s="95" t="str">
        <f>IFERROR(VLOOKUP(D99,MANO_DE_OBRA!A:B,2,FALSE()),"?")</f>
        <v>MEDIO OFICIAL</v>
      </c>
      <c r="F99" s="129" t="s">
        <v>2042</v>
      </c>
      <c r="G99" s="119">
        <v>0.75</v>
      </c>
      <c r="H99" s="120">
        <v>0</v>
      </c>
      <c r="I99" s="96">
        <f>IFERROR(VLOOKUP(D99,MANO_DE_OBRA!A:C,3,FALSE()),0)</f>
        <v>72132.138365590101</v>
      </c>
      <c r="J99" s="31">
        <f t="shared" si="64"/>
        <v>54099.103774192576</v>
      </c>
      <c r="K99" s="32" t="str">
        <f t="shared" si="55"/>
        <v>HHA-124|MO</v>
      </c>
      <c r="L99" s="32">
        <f>COUNTIFS($K$2:K99,K99)</f>
        <v>2</v>
      </c>
      <c r="M99" s="32" t="str">
        <f t="shared" si="56"/>
        <v>HHA-124|MO|2</v>
      </c>
      <c r="N99" s="121">
        <f>IFERROR(VLOOKUP(A99,PARTIDAS!A:F,6,FALSE()),0)</f>
        <v>12</v>
      </c>
      <c r="O99" s="123">
        <f t="shared" si="52"/>
        <v>6.25E-2</v>
      </c>
      <c r="P99" s="123" t="str">
        <f>+_xlfn.XLOOKUP(A99,PPTO_GENERADOR!Q:Q,PPTO_GENERADOR!E:E,"-",0)</f>
        <v>-</v>
      </c>
      <c r="Q99" s="123">
        <f t="shared" si="53"/>
        <v>0</v>
      </c>
      <c r="R99" s="125" t="str">
        <f>+_xlfn.XLOOKUP(A99,PPTO_GENERADOR!$Q:$Q,PPTO_GENERADOR!A:A,"-",0)</f>
        <v>-</v>
      </c>
    </row>
    <row r="100" spans="1:18" ht="14.25" customHeight="1" x14ac:dyDescent="0.35">
      <c r="A100" s="105" t="s">
        <v>1762</v>
      </c>
      <c r="B100" s="105" t="s">
        <v>1981</v>
      </c>
      <c r="C100" s="105" t="s">
        <v>1982</v>
      </c>
      <c r="D100" s="105" t="s">
        <v>538</v>
      </c>
      <c r="E100" s="95" t="str">
        <f>IFERROR(VLOOKUP(D100,MATERIALES!A:B,2,FALSE()),"?")</f>
        <v>ARENA LAVADA</v>
      </c>
      <c r="F100" s="129">
        <f>IFERROR(VLOOKUP(D100,MATERIALES!A:C,3,FALSE()),"?")</f>
        <v>0</v>
      </c>
      <c r="G100" s="119">
        <v>1.7000000000000001E-2</v>
      </c>
      <c r="H100" s="120">
        <v>0.1</v>
      </c>
      <c r="I100" s="96">
        <f>IFERROR(VLOOKUP(D100,MATERIALES!A:D,4,FALSE()),0)</f>
        <v>32620.38</v>
      </c>
      <c r="J100" s="31">
        <f t="shared" ref="J100:J102" si="65">G100*I100*(1+H100)</f>
        <v>610.00110600000005</v>
      </c>
      <c r="K100" s="32" t="str">
        <f t="shared" si="55"/>
        <v>CER-134|MAT</v>
      </c>
      <c r="L100" s="32">
        <f>COUNTIFS($K$2:K100,K100)</f>
        <v>1</v>
      </c>
      <c r="M100" s="32" t="str">
        <f t="shared" si="56"/>
        <v>CER-134|MAT|1</v>
      </c>
      <c r="N100" s="121">
        <f>IFERROR(VLOOKUP(A100,PARTIDAS!A:F,6,FALSE()),0)</f>
        <v>18</v>
      </c>
      <c r="O100" s="123">
        <f t="shared" si="52"/>
        <v>0</v>
      </c>
      <c r="P100" s="123" t="str">
        <f>+_xlfn.XLOOKUP(A100,PPTO_GENERADOR!Q:Q,PPTO_GENERADOR!E:E,"-",0)</f>
        <v>-</v>
      </c>
      <c r="Q100" s="123">
        <f t="shared" si="53"/>
        <v>0</v>
      </c>
      <c r="R100" s="125" t="str">
        <f>+_xlfn.XLOOKUP(A100,PPTO_GENERADOR!$Q:$Q,PPTO_GENERADOR!A:A,"-",0)</f>
        <v>-</v>
      </c>
    </row>
    <row r="101" spans="1:18" ht="14.25" customHeight="1" x14ac:dyDescent="0.35">
      <c r="A101" s="105" t="s">
        <v>1762</v>
      </c>
      <c r="B101" s="105" t="s">
        <v>1981</v>
      </c>
      <c r="C101" s="105" t="s">
        <v>1982</v>
      </c>
      <c r="D101" s="105" t="s">
        <v>542</v>
      </c>
      <c r="E101" s="95" t="str">
        <f>IFERROR(VLOOKUP(D101,MATERIALES!A:B,2,FALSE()),"?")</f>
        <v>Cal Comun x 25kg</v>
      </c>
      <c r="F101" s="129">
        <f>IFERROR(VLOOKUP(D101,MATERIALES!A:C,3,FALSE()),"?")</f>
        <v>0</v>
      </c>
      <c r="G101" s="119">
        <v>0.14399999999999999</v>
      </c>
      <c r="H101" s="120">
        <v>0.1</v>
      </c>
      <c r="I101" s="96">
        <f>IFERROR(VLOOKUP(D101,MATERIALES!A:D,4,FALSE()),0)</f>
        <v>3927.28</v>
      </c>
      <c r="J101" s="31">
        <f t="shared" si="65"/>
        <v>622.08115200000009</v>
      </c>
      <c r="K101" s="32" t="str">
        <f t="shared" si="55"/>
        <v>CER-134|MAT</v>
      </c>
      <c r="L101" s="32">
        <f>COUNTIFS($K$2:K101,K101)</f>
        <v>2</v>
      </c>
      <c r="M101" s="32" t="str">
        <f t="shared" si="56"/>
        <v>CER-134|MAT|2</v>
      </c>
      <c r="N101" s="121">
        <f>IFERROR(VLOOKUP(A101,PARTIDAS!A:F,6,FALSE()),0)</f>
        <v>18</v>
      </c>
      <c r="O101" s="123">
        <f t="shared" si="52"/>
        <v>0</v>
      </c>
      <c r="P101" s="123" t="str">
        <f>+_xlfn.XLOOKUP(A101,PPTO_GENERADOR!Q:Q,PPTO_GENERADOR!E:E,"-",0)</f>
        <v>-</v>
      </c>
      <c r="Q101" s="123">
        <f t="shared" si="53"/>
        <v>0</v>
      </c>
      <c r="R101" s="125" t="str">
        <f>+_xlfn.XLOOKUP(A101,PPTO_GENERADOR!$Q:$Q,PPTO_GENERADOR!A:A,"-",0)</f>
        <v>-</v>
      </c>
    </row>
    <row r="102" spans="1:18" ht="14.25" customHeight="1" x14ac:dyDescent="0.35">
      <c r="A102" s="105" t="s">
        <v>1762</v>
      </c>
      <c r="B102" s="105" t="s">
        <v>1981</v>
      </c>
      <c r="C102" s="105" t="s">
        <v>1982</v>
      </c>
      <c r="D102" s="105" t="s">
        <v>540</v>
      </c>
      <c r="E102" s="95" t="str">
        <f>IFERROR(VLOOKUP(D102,MATERIALES!A:B,2,FALSE()),"?")</f>
        <v>Cemento Portland x 50kg</v>
      </c>
      <c r="F102" s="129">
        <f>IFERROR(VLOOKUP(D102,MATERIALES!A:C,3,FALSE()),"?")</f>
        <v>0</v>
      </c>
      <c r="G102" s="119">
        <v>3.6999999999999998E-2</v>
      </c>
      <c r="H102" s="120">
        <v>0.1</v>
      </c>
      <c r="I102" s="96">
        <f>IFERROR(VLOOKUP(D102,MATERIALES!A:D,4,FALSE()),0)</f>
        <v>7891.74</v>
      </c>
      <c r="J102" s="31">
        <f t="shared" si="65"/>
        <v>321.19381800000002</v>
      </c>
      <c r="K102" s="32" t="str">
        <f t="shared" si="55"/>
        <v>CER-134|MAT</v>
      </c>
      <c r="L102" s="32">
        <f>COUNTIFS($K$2:K102,K102)</f>
        <v>3</v>
      </c>
      <c r="M102" s="32" t="str">
        <f t="shared" si="56"/>
        <v>CER-134|MAT|3</v>
      </c>
      <c r="N102" s="121">
        <f>IFERROR(VLOOKUP(A102,PARTIDAS!A:F,6,FALSE()),0)</f>
        <v>18</v>
      </c>
      <c r="O102" s="123">
        <f t="shared" si="52"/>
        <v>0</v>
      </c>
      <c r="P102" s="123" t="str">
        <f>+_xlfn.XLOOKUP(A102,PPTO_GENERADOR!Q:Q,PPTO_GENERADOR!E:E,"-",0)</f>
        <v>-</v>
      </c>
      <c r="Q102" s="123">
        <f t="shared" si="53"/>
        <v>0</v>
      </c>
      <c r="R102" s="125" t="str">
        <f>+_xlfn.XLOOKUP(A102,PPTO_GENERADOR!$Q:$Q,PPTO_GENERADOR!A:A,"-",0)</f>
        <v>-</v>
      </c>
    </row>
    <row r="103" spans="1:18" ht="14.25" customHeight="1" x14ac:dyDescent="0.35">
      <c r="A103" s="105" t="s">
        <v>1762</v>
      </c>
      <c r="B103" s="105" t="s">
        <v>1983</v>
      </c>
      <c r="C103" s="105"/>
      <c r="D103" s="105" t="s">
        <v>1313</v>
      </c>
      <c r="E103" s="95" t="str">
        <f>IFERROR(VLOOKUP(D103,EQUIPOS!A:B,2,FALSE()),"?")</f>
        <v>ANDAMIO TUBULAR DE UNO A TRES CUERPOS</v>
      </c>
      <c r="F103" s="129"/>
      <c r="G103" s="119">
        <v>1</v>
      </c>
      <c r="H103" s="120">
        <v>0</v>
      </c>
      <c r="I103" s="96">
        <f>IFERROR(VLOOKUP(D103,EQUIPOS!A:F,6,FALSE()),0)</f>
        <v>620.81078197718341</v>
      </c>
      <c r="J103" s="31">
        <f t="shared" ref="J103:J105" si="66">G103*I103</f>
        <v>620.81078197718341</v>
      </c>
      <c r="K103" s="32" t="str">
        <f t="shared" si="55"/>
        <v>CER-134|EQ</v>
      </c>
      <c r="L103" s="32">
        <f>COUNTIFS($K$2:K103,K103)</f>
        <v>1</v>
      </c>
      <c r="M103" s="32" t="str">
        <f t="shared" si="56"/>
        <v>CER-134|EQ|1</v>
      </c>
      <c r="N103" s="121">
        <f>IFERROR(VLOOKUP(A103,PARTIDAS!A:F,6,FALSE()),0)</f>
        <v>18</v>
      </c>
      <c r="O103" s="123">
        <f t="shared" si="52"/>
        <v>0</v>
      </c>
      <c r="P103" s="123" t="str">
        <f>+_xlfn.XLOOKUP(A103,PPTO_GENERADOR!Q:Q,PPTO_GENERADOR!E:E,"-",0)</f>
        <v>-</v>
      </c>
      <c r="Q103" s="123">
        <f t="shared" si="53"/>
        <v>0</v>
      </c>
      <c r="R103" s="125" t="str">
        <f>+_xlfn.XLOOKUP(A103,PPTO_GENERADOR!$Q:$Q,PPTO_GENERADOR!A:A,"-",0)</f>
        <v>-</v>
      </c>
    </row>
    <row r="104" spans="1:18" ht="14.25" customHeight="1" x14ac:dyDescent="0.35">
      <c r="A104" s="105" t="s">
        <v>1762</v>
      </c>
      <c r="B104" s="105" t="s">
        <v>1983</v>
      </c>
      <c r="C104" s="105"/>
      <c r="D104" s="105" t="s">
        <v>1319</v>
      </c>
      <c r="E104" s="95" t="str">
        <f>IFERROR(VLOOKUP(D104,EQUIPOS!A:B,2,FALSE()),"?")</f>
        <v>EQUIPO DE ALBAÑILERIA, carpetas, ladrillo</v>
      </c>
      <c r="F104" s="129"/>
      <c r="G104" s="119">
        <v>1</v>
      </c>
      <c r="H104" s="120">
        <v>0</v>
      </c>
      <c r="I104" s="96">
        <f>IFERROR(VLOOKUP(D104,EQUIPOS!A:F,6,FALSE()),0)</f>
        <v>2485.8709964593982</v>
      </c>
      <c r="J104" s="31">
        <f t="shared" si="66"/>
        <v>2485.8709964593982</v>
      </c>
      <c r="K104" s="32" t="str">
        <f t="shared" si="55"/>
        <v>CER-134|EQ</v>
      </c>
      <c r="L104" s="32">
        <f>COUNTIFS($K$2:K104,K104)</f>
        <v>2</v>
      </c>
      <c r="M104" s="32" t="str">
        <f t="shared" si="56"/>
        <v>CER-134|EQ|2</v>
      </c>
      <c r="N104" s="121">
        <f>IFERROR(VLOOKUP(A104,PARTIDAS!A:F,6,FALSE()),0)</f>
        <v>18</v>
      </c>
      <c r="O104" s="123">
        <f t="shared" si="52"/>
        <v>0</v>
      </c>
      <c r="P104" s="123" t="str">
        <f>+_xlfn.XLOOKUP(A104,PPTO_GENERADOR!Q:Q,PPTO_GENERADOR!E:E,"-",0)</f>
        <v>-</v>
      </c>
      <c r="Q104" s="123">
        <f t="shared" si="53"/>
        <v>0</v>
      </c>
      <c r="R104" s="125" t="str">
        <f>+_xlfn.XLOOKUP(A104,PPTO_GENERADOR!$Q:$Q,PPTO_GENERADOR!A:A,"-",0)</f>
        <v>-</v>
      </c>
    </row>
    <row r="105" spans="1:18" ht="14.25" customHeight="1" x14ac:dyDescent="0.35">
      <c r="A105" s="105" t="s">
        <v>1762</v>
      </c>
      <c r="B105" s="105" t="s">
        <v>1983</v>
      </c>
      <c r="C105" s="105"/>
      <c r="D105" s="105" t="s">
        <v>1507</v>
      </c>
      <c r="E105" s="95" t="str">
        <f>IFERROR(VLOOKUP(D105,EQUIPOS!A:B,2,FALSE()),"?")</f>
        <v>Hormigonera De 150 Litros 1hp Con Rueda Maciza</v>
      </c>
      <c r="F105" s="129"/>
      <c r="G105" s="119">
        <v>0</v>
      </c>
      <c r="H105" s="120">
        <v>0</v>
      </c>
      <c r="I105" s="96">
        <f>IFERROR(VLOOKUP(D105,EQUIPOS!A:F,6,FALSE()),0)</f>
        <v>1040.4314486705237</v>
      </c>
      <c r="J105" s="31">
        <f t="shared" si="66"/>
        <v>0</v>
      </c>
      <c r="K105" s="32" t="str">
        <f t="shared" si="55"/>
        <v>CER-134|EQ</v>
      </c>
      <c r="L105" s="32">
        <f>COUNTIFS($K$2:K105,K105)</f>
        <v>3</v>
      </c>
      <c r="M105" s="32" t="str">
        <f t="shared" si="56"/>
        <v>CER-134|EQ|3</v>
      </c>
      <c r="N105" s="121">
        <f>IFERROR(VLOOKUP(A105,PARTIDAS!A:F,6,FALSE()),0)</f>
        <v>18</v>
      </c>
      <c r="O105" s="123">
        <f t="shared" si="52"/>
        <v>0</v>
      </c>
      <c r="P105" s="123" t="str">
        <f>+_xlfn.XLOOKUP(A105,PPTO_GENERADOR!Q:Q,PPTO_GENERADOR!E:E,"-",0)</f>
        <v>-</v>
      </c>
      <c r="Q105" s="123">
        <f t="shared" si="53"/>
        <v>0</v>
      </c>
      <c r="R105" s="125" t="str">
        <f>+_xlfn.XLOOKUP(A105,PPTO_GENERADOR!$Q:$Q,PPTO_GENERADOR!A:A,"-",0)</f>
        <v>-</v>
      </c>
    </row>
    <row r="106" spans="1:18" ht="14.25" customHeight="1" x14ac:dyDescent="0.35">
      <c r="A106" s="105" t="s">
        <v>1762</v>
      </c>
      <c r="B106" s="105" t="s">
        <v>1979</v>
      </c>
      <c r="C106" s="105" t="s">
        <v>1980</v>
      </c>
      <c r="D106" s="105" t="s">
        <v>1292</v>
      </c>
      <c r="E106" s="95" t="str">
        <f>IFERROR(VLOOKUP(D106,MANO_DE_OBRA!A:B,2,FALSE()),"?")</f>
        <v>ESPECIALIZADO</v>
      </c>
      <c r="F106" s="129" t="s">
        <v>2042</v>
      </c>
      <c r="G106" s="119">
        <v>1</v>
      </c>
      <c r="H106" s="120">
        <v>0</v>
      </c>
      <c r="I106" s="96">
        <f>IFERROR(VLOOKUP(D106,MANO_DE_OBRA!A:C,3,FALSE()),0)</f>
        <v>94177.137883538904</v>
      </c>
      <c r="J106" s="31">
        <f t="shared" ref="J106:J107" si="67">G106*I106</f>
        <v>94177.137883538904</v>
      </c>
      <c r="K106" s="32" t="str">
        <f t="shared" si="55"/>
        <v>CER-134|MO</v>
      </c>
      <c r="L106" s="32">
        <f>COUNTIFS($K$2:K106,K106)</f>
        <v>1</v>
      </c>
      <c r="M106" s="32" t="str">
        <f t="shared" si="56"/>
        <v>CER-134|MO|1</v>
      </c>
      <c r="N106" s="121">
        <f>IFERROR(VLOOKUP(A106,PARTIDAS!A:F,6,FALSE()),0)</f>
        <v>18</v>
      </c>
      <c r="O106" s="123">
        <f t="shared" si="52"/>
        <v>5.5555555555555552E-2</v>
      </c>
      <c r="P106" s="123" t="str">
        <f>+_xlfn.XLOOKUP(A106,PPTO_GENERADOR!Q:Q,PPTO_GENERADOR!E:E,"-",0)</f>
        <v>-</v>
      </c>
      <c r="Q106" s="123">
        <f t="shared" si="53"/>
        <v>0</v>
      </c>
      <c r="R106" s="125" t="str">
        <f>+_xlfn.XLOOKUP(A106,PPTO_GENERADOR!$Q:$Q,PPTO_GENERADOR!A:A,"-",0)</f>
        <v>-</v>
      </c>
    </row>
    <row r="107" spans="1:18" ht="14.25" customHeight="1" x14ac:dyDescent="0.35">
      <c r="A107" s="105" t="s">
        <v>1762</v>
      </c>
      <c r="B107" s="105" t="s">
        <v>1979</v>
      </c>
      <c r="C107" s="105" t="s">
        <v>1980</v>
      </c>
      <c r="D107" s="105" t="s">
        <v>2038</v>
      </c>
      <c r="E107" s="95" t="str">
        <f>IFERROR(VLOOKUP(D107,MANO_DE_OBRA!A:B,2,FALSE()),"?")</f>
        <v>AYUDANTE</v>
      </c>
      <c r="F107" s="129" t="s">
        <v>2042</v>
      </c>
      <c r="G107" s="119">
        <v>0.75</v>
      </c>
      <c r="H107" s="120">
        <v>0</v>
      </c>
      <c r="I107" s="96">
        <f>IFERROR(VLOOKUP(D107,MANO_DE_OBRA!A:C,3,FALSE()),0)</f>
        <v>67240.498860267602</v>
      </c>
      <c r="J107" s="31">
        <f t="shared" si="67"/>
        <v>50430.374145200702</v>
      </c>
      <c r="K107" s="32" t="str">
        <f t="shared" si="55"/>
        <v>CER-134|MO</v>
      </c>
      <c r="L107" s="32">
        <f>COUNTIFS($K$2:K107,K107)</f>
        <v>2</v>
      </c>
      <c r="M107" s="32" t="str">
        <f t="shared" si="56"/>
        <v>CER-134|MO|2</v>
      </c>
      <c r="N107" s="121">
        <f>IFERROR(VLOOKUP(A107,PARTIDAS!A:F,6,FALSE()),0)</f>
        <v>18</v>
      </c>
      <c r="O107" s="123">
        <f t="shared" si="52"/>
        <v>4.1666666666666664E-2</v>
      </c>
      <c r="P107" s="123" t="str">
        <f>+_xlfn.XLOOKUP(A107,PPTO_GENERADOR!Q:Q,PPTO_GENERADOR!E:E,"-",0)</f>
        <v>-</v>
      </c>
      <c r="Q107" s="123">
        <f t="shared" si="53"/>
        <v>0</v>
      </c>
      <c r="R107" s="125" t="str">
        <f>+_xlfn.XLOOKUP(A107,PPTO_GENERADOR!$Q:$Q,PPTO_GENERADOR!A:A,"-",0)</f>
        <v>-</v>
      </c>
    </row>
    <row r="108" spans="1:18" ht="14.25" customHeight="1" x14ac:dyDescent="0.35">
      <c r="A108" s="105" t="s">
        <v>1766</v>
      </c>
      <c r="B108" s="105" t="s">
        <v>1981</v>
      </c>
      <c r="C108" s="105" t="s">
        <v>1982</v>
      </c>
      <c r="D108" s="105" t="s">
        <v>538</v>
      </c>
      <c r="E108" s="95" t="str">
        <f>IFERROR(VLOOKUP(D108,MATERIALES!A:B,2,FALSE()),"?")</f>
        <v>ARENA LAVADA</v>
      </c>
      <c r="F108" s="129">
        <f>IFERROR(VLOOKUP(D108,MATERIALES!A:C,3,FALSE()),"?")</f>
        <v>0</v>
      </c>
      <c r="G108" s="119">
        <v>0.01</v>
      </c>
      <c r="H108" s="120">
        <v>0.1</v>
      </c>
      <c r="I108" s="96">
        <f>IFERROR(VLOOKUP(D108,MATERIALES!A:D,4,FALSE()),0)</f>
        <v>32620.38</v>
      </c>
      <c r="J108" s="31">
        <f t="shared" ref="J108:J110" si="68">G108*I108*(1+H108)</f>
        <v>358.82418000000001</v>
      </c>
      <c r="K108" s="32" t="str">
        <f t="shared" si="55"/>
        <v>CER-135|MAT</v>
      </c>
      <c r="L108" s="32">
        <f>COUNTIFS($K$2:K108,K108)</f>
        <v>1</v>
      </c>
      <c r="M108" s="32" t="str">
        <f t="shared" si="56"/>
        <v>CER-135|MAT|1</v>
      </c>
      <c r="N108" s="121">
        <f>IFERROR(VLOOKUP(A108,PARTIDAS!A:F,6,FALSE()),0)</f>
        <v>9</v>
      </c>
      <c r="O108" s="123">
        <f t="shared" si="52"/>
        <v>0</v>
      </c>
      <c r="P108" s="123" t="str">
        <f>+_xlfn.XLOOKUP(A108,PPTO_GENERADOR!Q:Q,PPTO_GENERADOR!E:E,"-",0)</f>
        <v>-</v>
      </c>
      <c r="Q108" s="123">
        <f t="shared" si="53"/>
        <v>0</v>
      </c>
      <c r="R108" s="125" t="str">
        <f>+_xlfn.XLOOKUP(A108,PPTO_GENERADOR!$Q:$Q,PPTO_GENERADOR!A:A,"-",0)</f>
        <v>-</v>
      </c>
    </row>
    <row r="109" spans="1:18" ht="14.25" customHeight="1" x14ac:dyDescent="0.35">
      <c r="A109" s="105" t="s">
        <v>1766</v>
      </c>
      <c r="B109" s="105" t="s">
        <v>1981</v>
      </c>
      <c r="C109" s="105" t="s">
        <v>1982</v>
      </c>
      <c r="D109" s="105" t="s">
        <v>1035</v>
      </c>
      <c r="E109" s="95" t="str">
        <f>IFERROR(VLOOKUP(D109,MATERIALES!A:B,2,FALSE()),"?")</f>
        <v>Cal Milagro x 25kg (Cal Hidráulica)</v>
      </c>
      <c r="F109" s="129" t="str">
        <f>IFERROR(VLOOKUP(D109,MATERIALES!A:C,3,FALSE()),"?")</f>
        <v>bol</v>
      </c>
      <c r="G109" s="119">
        <v>6.4000000000000001E-2</v>
      </c>
      <c r="H109" s="120">
        <v>0.1</v>
      </c>
      <c r="I109" s="96">
        <f>IFERROR(VLOOKUP(D109,MATERIALES!A:D,4,FALSE()),0)</f>
        <v>12798.14</v>
      </c>
      <c r="J109" s="31">
        <f t="shared" si="68"/>
        <v>900.98905600000012</v>
      </c>
      <c r="K109" s="32" t="str">
        <f t="shared" si="55"/>
        <v>CER-135|MAT</v>
      </c>
      <c r="L109" s="32">
        <f>COUNTIFS($K$2:K109,K109)</f>
        <v>2</v>
      </c>
      <c r="M109" s="32" t="str">
        <f t="shared" si="56"/>
        <v>CER-135|MAT|2</v>
      </c>
      <c r="N109" s="121">
        <f>IFERROR(VLOOKUP(A109,PARTIDAS!A:F,6,FALSE()),0)</f>
        <v>9</v>
      </c>
      <c r="O109" s="123">
        <f t="shared" si="52"/>
        <v>0</v>
      </c>
      <c r="P109" s="123" t="str">
        <f>+_xlfn.XLOOKUP(A109,PPTO_GENERADOR!Q:Q,PPTO_GENERADOR!E:E,"-",0)</f>
        <v>-</v>
      </c>
      <c r="Q109" s="123">
        <f t="shared" si="53"/>
        <v>0</v>
      </c>
      <c r="R109" s="125" t="str">
        <f>+_xlfn.XLOOKUP(A109,PPTO_GENERADOR!$Q:$Q,PPTO_GENERADOR!A:A,"-",0)</f>
        <v>-</v>
      </c>
    </row>
    <row r="110" spans="1:18" ht="14.25" customHeight="1" x14ac:dyDescent="0.35">
      <c r="A110" s="105" t="s">
        <v>1766</v>
      </c>
      <c r="B110" s="105" t="s">
        <v>1981</v>
      </c>
      <c r="C110" s="105" t="s">
        <v>1982</v>
      </c>
      <c r="D110" s="105" t="s">
        <v>540</v>
      </c>
      <c r="E110" s="95" t="str">
        <f>IFERROR(VLOOKUP(D110,MATERIALES!A:B,2,FALSE()),"?")</f>
        <v>Cemento Portland x 50kg</v>
      </c>
      <c r="F110" s="129">
        <f>IFERROR(VLOOKUP(D110,MATERIALES!A:C,3,FALSE()),"?")</f>
        <v>0</v>
      </c>
      <c r="G110" s="119">
        <v>8.9999999999999993E-3</v>
      </c>
      <c r="H110" s="120">
        <v>0.1</v>
      </c>
      <c r="I110" s="96">
        <f>IFERROR(VLOOKUP(D110,MATERIALES!A:D,4,FALSE()),0)</f>
        <v>7891.74</v>
      </c>
      <c r="J110" s="31">
        <f t="shared" si="68"/>
        <v>78.128225999999998</v>
      </c>
      <c r="K110" s="32" t="str">
        <f t="shared" si="55"/>
        <v>CER-135|MAT</v>
      </c>
      <c r="L110" s="32">
        <f>COUNTIFS($K$2:K110,K110)</f>
        <v>3</v>
      </c>
      <c r="M110" s="32" t="str">
        <f t="shared" si="56"/>
        <v>CER-135|MAT|3</v>
      </c>
      <c r="N110" s="121">
        <f>IFERROR(VLOOKUP(A110,PARTIDAS!A:F,6,FALSE()),0)</f>
        <v>9</v>
      </c>
      <c r="O110" s="123">
        <f t="shared" si="52"/>
        <v>0</v>
      </c>
      <c r="P110" s="123" t="str">
        <f>+_xlfn.XLOOKUP(A110,PPTO_GENERADOR!Q:Q,PPTO_GENERADOR!E:E,"-",0)</f>
        <v>-</v>
      </c>
      <c r="Q110" s="123">
        <f t="shared" si="53"/>
        <v>0</v>
      </c>
      <c r="R110" s="125" t="str">
        <f>+_xlfn.XLOOKUP(A110,PPTO_GENERADOR!$Q:$Q,PPTO_GENERADOR!A:A,"-",0)</f>
        <v>-</v>
      </c>
    </row>
    <row r="111" spans="1:18" ht="14.25" customHeight="1" x14ac:dyDescent="0.35">
      <c r="A111" s="105" t="s">
        <v>1766</v>
      </c>
      <c r="B111" s="105" t="s">
        <v>1983</v>
      </c>
      <c r="C111" s="105"/>
      <c r="D111" s="105" t="s">
        <v>1313</v>
      </c>
      <c r="E111" s="95" t="str">
        <f>IFERROR(VLOOKUP(D111,EQUIPOS!A:B,2,FALSE()),"?")</f>
        <v>ANDAMIO TUBULAR DE UNO A TRES CUERPOS</v>
      </c>
      <c r="F111" s="129"/>
      <c r="G111" s="119">
        <v>1</v>
      </c>
      <c r="H111" s="120">
        <v>0</v>
      </c>
      <c r="I111" s="96">
        <f>IFERROR(VLOOKUP(D111,EQUIPOS!A:F,6,FALSE()),0)</f>
        <v>620.81078197718341</v>
      </c>
      <c r="J111" s="31">
        <f t="shared" ref="J111:J113" si="69">G111*I111</f>
        <v>620.81078197718341</v>
      </c>
      <c r="K111" s="32" t="str">
        <f t="shared" si="55"/>
        <v>CER-135|EQ</v>
      </c>
      <c r="L111" s="32">
        <f>COUNTIFS($K$2:K111,K111)</f>
        <v>1</v>
      </c>
      <c r="M111" s="32" t="str">
        <f t="shared" si="56"/>
        <v>CER-135|EQ|1</v>
      </c>
      <c r="N111" s="121">
        <f>IFERROR(VLOOKUP(A111,PARTIDAS!A:F,6,FALSE()),0)</f>
        <v>9</v>
      </c>
      <c r="O111" s="123">
        <f t="shared" si="52"/>
        <v>0</v>
      </c>
      <c r="P111" s="123" t="str">
        <f>+_xlfn.XLOOKUP(A111,PPTO_GENERADOR!Q:Q,PPTO_GENERADOR!E:E,"-",0)</f>
        <v>-</v>
      </c>
      <c r="Q111" s="123">
        <f t="shared" si="53"/>
        <v>0</v>
      </c>
      <c r="R111" s="125" t="str">
        <f>+_xlfn.XLOOKUP(A111,PPTO_GENERADOR!$Q:$Q,PPTO_GENERADOR!A:A,"-",0)</f>
        <v>-</v>
      </c>
    </row>
    <row r="112" spans="1:18" ht="14.25" customHeight="1" x14ac:dyDescent="0.35">
      <c r="A112" s="105" t="s">
        <v>1766</v>
      </c>
      <c r="B112" s="105" t="s">
        <v>1983</v>
      </c>
      <c r="C112" s="105"/>
      <c r="D112" s="105" t="s">
        <v>1319</v>
      </c>
      <c r="E112" s="95" t="str">
        <f>IFERROR(VLOOKUP(D112,EQUIPOS!A:B,2,FALSE()),"?")</f>
        <v>EQUIPO DE ALBAÑILERIA, carpetas, ladrillo</v>
      </c>
      <c r="F112" s="129"/>
      <c r="G112" s="119">
        <v>1</v>
      </c>
      <c r="H112" s="120">
        <v>0</v>
      </c>
      <c r="I112" s="96">
        <f>IFERROR(VLOOKUP(D112,EQUIPOS!A:F,6,FALSE()),0)</f>
        <v>2485.8709964593982</v>
      </c>
      <c r="J112" s="31">
        <f t="shared" si="69"/>
        <v>2485.8709964593982</v>
      </c>
      <c r="K112" s="32" t="str">
        <f t="shared" si="55"/>
        <v>CER-135|EQ</v>
      </c>
      <c r="L112" s="32">
        <f>COUNTIFS($K$2:K112,K112)</f>
        <v>2</v>
      </c>
      <c r="M112" s="32" t="str">
        <f t="shared" si="56"/>
        <v>CER-135|EQ|2</v>
      </c>
      <c r="N112" s="121">
        <f>IFERROR(VLOOKUP(A112,PARTIDAS!A:F,6,FALSE()),0)</f>
        <v>9</v>
      </c>
      <c r="O112" s="123">
        <f t="shared" si="52"/>
        <v>0</v>
      </c>
      <c r="P112" s="123" t="str">
        <f>+_xlfn.XLOOKUP(A112,PPTO_GENERADOR!Q:Q,PPTO_GENERADOR!E:E,"-",0)</f>
        <v>-</v>
      </c>
      <c r="Q112" s="123">
        <f t="shared" si="53"/>
        <v>0</v>
      </c>
      <c r="R112" s="125" t="str">
        <f>+_xlfn.XLOOKUP(A112,PPTO_GENERADOR!$Q:$Q,PPTO_GENERADOR!A:A,"-",0)</f>
        <v>-</v>
      </c>
    </row>
    <row r="113" spans="1:18" ht="14.25" customHeight="1" x14ac:dyDescent="0.35">
      <c r="A113" s="105" t="s">
        <v>1766</v>
      </c>
      <c r="B113" s="105" t="s">
        <v>1983</v>
      </c>
      <c r="C113" s="105"/>
      <c r="D113" s="105" t="s">
        <v>1507</v>
      </c>
      <c r="E113" s="95" t="str">
        <f>IFERROR(VLOOKUP(D113,EQUIPOS!A:B,2,FALSE()),"?")</f>
        <v>Hormigonera De 150 Litros 1hp Con Rueda Maciza</v>
      </c>
      <c r="F113" s="129"/>
      <c r="G113" s="119">
        <v>1</v>
      </c>
      <c r="H113" s="120">
        <v>0</v>
      </c>
      <c r="I113" s="96">
        <f>IFERROR(VLOOKUP(D113,EQUIPOS!A:F,6,FALSE()),0)</f>
        <v>1040.4314486705237</v>
      </c>
      <c r="J113" s="31">
        <f t="shared" si="69"/>
        <v>1040.4314486705237</v>
      </c>
      <c r="K113" s="32" t="str">
        <f t="shared" si="55"/>
        <v>CER-135|EQ</v>
      </c>
      <c r="L113" s="32">
        <f>COUNTIFS($K$2:K113,K113)</f>
        <v>3</v>
      </c>
      <c r="M113" s="32" t="str">
        <f t="shared" si="56"/>
        <v>CER-135|EQ|3</v>
      </c>
      <c r="N113" s="121">
        <f>IFERROR(VLOOKUP(A113,PARTIDAS!A:F,6,FALSE()),0)</f>
        <v>9</v>
      </c>
      <c r="O113" s="123">
        <f t="shared" si="52"/>
        <v>0</v>
      </c>
      <c r="P113" s="123" t="str">
        <f>+_xlfn.XLOOKUP(A113,PPTO_GENERADOR!Q:Q,PPTO_GENERADOR!E:E,"-",0)</f>
        <v>-</v>
      </c>
      <c r="Q113" s="123">
        <f t="shared" si="53"/>
        <v>0</v>
      </c>
      <c r="R113" s="125" t="str">
        <f>+_xlfn.XLOOKUP(A113,PPTO_GENERADOR!$Q:$Q,PPTO_GENERADOR!A:A,"-",0)</f>
        <v>-</v>
      </c>
    </row>
    <row r="114" spans="1:18" ht="14.25" customHeight="1" x14ac:dyDescent="0.35">
      <c r="A114" s="105" t="s">
        <v>1766</v>
      </c>
      <c r="B114" s="105" t="s">
        <v>1979</v>
      </c>
      <c r="C114" s="105" t="s">
        <v>1980</v>
      </c>
      <c r="D114" s="105" t="s">
        <v>1292</v>
      </c>
      <c r="E114" s="95" t="str">
        <f>IFERROR(VLOOKUP(D114,MANO_DE_OBRA!A:B,2,FALSE()),"?")</f>
        <v>ESPECIALIZADO</v>
      </c>
      <c r="F114" s="129" t="s">
        <v>2042</v>
      </c>
      <c r="G114" s="119">
        <v>1</v>
      </c>
      <c r="H114" s="120">
        <v>0</v>
      </c>
      <c r="I114" s="96">
        <f>IFERROR(VLOOKUP(D114,MANO_DE_OBRA!A:C,3,FALSE()),0)</f>
        <v>94177.137883538904</v>
      </c>
      <c r="J114" s="31">
        <f t="shared" ref="J114:J115" si="70">G114*I114</f>
        <v>94177.137883538904</v>
      </c>
      <c r="K114" s="32" t="str">
        <f t="shared" si="55"/>
        <v>CER-135|MO</v>
      </c>
      <c r="L114" s="32">
        <f>COUNTIFS($K$2:K114,K114)</f>
        <v>1</v>
      </c>
      <c r="M114" s="32" t="str">
        <f t="shared" si="56"/>
        <v>CER-135|MO|1</v>
      </c>
      <c r="N114" s="121">
        <f>IFERROR(VLOOKUP(A114,PARTIDAS!A:F,6,FALSE()),0)</f>
        <v>9</v>
      </c>
      <c r="O114" s="123">
        <f t="shared" si="52"/>
        <v>0.1111111111111111</v>
      </c>
      <c r="P114" s="123" t="str">
        <f>+_xlfn.XLOOKUP(A114,PPTO_GENERADOR!Q:Q,PPTO_GENERADOR!E:E,"-",0)</f>
        <v>-</v>
      </c>
      <c r="Q114" s="123">
        <f t="shared" si="53"/>
        <v>0</v>
      </c>
      <c r="R114" s="125" t="str">
        <f>+_xlfn.XLOOKUP(A114,PPTO_GENERADOR!$Q:$Q,PPTO_GENERADOR!A:A,"-",0)</f>
        <v>-</v>
      </c>
    </row>
    <row r="115" spans="1:18" ht="14.25" customHeight="1" x14ac:dyDescent="0.35">
      <c r="A115" s="105" t="s">
        <v>1766</v>
      </c>
      <c r="B115" s="105" t="s">
        <v>1979</v>
      </c>
      <c r="C115" s="105" t="s">
        <v>1980</v>
      </c>
      <c r="D115" s="105" t="s">
        <v>2038</v>
      </c>
      <c r="E115" s="95" t="str">
        <f>IFERROR(VLOOKUP(D115,MANO_DE_OBRA!A:B,2,FALSE()),"?")</f>
        <v>AYUDANTE</v>
      </c>
      <c r="F115" s="129" t="s">
        <v>2042</v>
      </c>
      <c r="G115" s="119">
        <v>0.6</v>
      </c>
      <c r="H115" s="120">
        <v>0</v>
      </c>
      <c r="I115" s="96">
        <f>IFERROR(VLOOKUP(D115,MANO_DE_OBRA!A:C,3,FALSE()),0)</f>
        <v>67240.498860267602</v>
      </c>
      <c r="J115" s="31">
        <f t="shared" si="70"/>
        <v>40344.299316160563</v>
      </c>
      <c r="K115" s="32" t="str">
        <f t="shared" si="55"/>
        <v>CER-135|MO</v>
      </c>
      <c r="L115" s="32">
        <f>COUNTIFS($K$2:K115,K115)</f>
        <v>2</v>
      </c>
      <c r="M115" s="32" t="str">
        <f t="shared" si="56"/>
        <v>CER-135|MO|2</v>
      </c>
      <c r="N115" s="121">
        <f>IFERROR(VLOOKUP(A115,PARTIDAS!A:F,6,FALSE()),0)</f>
        <v>9</v>
      </c>
      <c r="O115" s="123">
        <f t="shared" si="52"/>
        <v>6.6666666666666666E-2</v>
      </c>
      <c r="P115" s="123" t="str">
        <f>+_xlfn.XLOOKUP(A115,PPTO_GENERADOR!Q:Q,PPTO_GENERADOR!E:E,"-",0)</f>
        <v>-</v>
      </c>
      <c r="Q115" s="123">
        <f t="shared" si="53"/>
        <v>0</v>
      </c>
      <c r="R115" s="125" t="str">
        <f>+_xlfn.XLOOKUP(A115,PPTO_GENERADOR!$Q:$Q,PPTO_GENERADOR!A:A,"-",0)</f>
        <v>-</v>
      </c>
    </row>
    <row r="116" spans="1:18" ht="14.25" customHeight="1" x14ac:dyDescent="0.35">
      <c r="A116" s="105" t="s">
        <v>1769</v>
      </c>
      <c r="B116" s="105" t="s">
        <v>1981</v>
      </c>
      <c r="C116" s="105" t="s">
        <v>1982</v>
      </c>
      <c r="D116" s="105" t="s">
        <v>540</v>
      </c>
      <c r="E116" s="95" t="str">
        <f>IFERROR(VLOOKUP(D116,MATERIALES!A:B,2,FALSE()),"?")</f>
        <v>Cemento Portland x 50kg</v>
      </c>
      <c r="F116" s="129">
        <f>IFERROR(VLOOKUP(D116,MATERIALES!A:C,3,FALSE()),"?")</f>
        <v>0</v>
      </c>
      <c r="G116" s="119">
        <v>7.0000000000000007E-2</v>
      </c>
      <c r="H116" s="120">
        <v>0.1</v>
      </c>
      <c r="I116" s="96">
        <f>IFERROR(VLOOKUP(D116,MATERIALES!A:D,4,FALSE()),0)</f>
        <v>7891.74</v>
      </c>
      <c r="J116" s="31">
        <f t="shared" ref="J116:J118" si="71">G116*I116*(1+H116)</f>
        <v>607.66398000000015</v>
      </c>
      <c r="K116" s="32" t="str">
        <f t="shared" si="55"/>
        <v>CER-136|MAT</v>
      </c>
      <c r="L116" s="32">
        <f>COUNTIFS($K$2:K116,K116)</f>
        <v>1</v>
      </c>
      <c r="M116" s="32" t="str">
        <f t="shared" si="56"/>
        <v>CER-136|MAT|1</v>
      </c>
      <c r="N116" s="121">
        <f>IFERROR(VLOOKUP(A116,PARTIDAS!A:F,6,FALSE()),0)</f>
        <v>14.5</v>
      </c>
      <c r="O116" s="123">
        <f t="shared" si="52"/>
        <v>0</v>
      </c>
      <c r="P116" s="123" t="str">
        <f>+_xlfn.XLOOKUP(A116,PPTO_GENERADOR!Q:Q,PPTO_GENERADOR!E:E,"-",0)</f>
        <v>-</v>
      </c>
      <c r="Q116" s="123">
        <f t="shared" si="53"/>
        <v>0</v>
      </c>
      <c r="R116" s="125" t="str">
        <f>+_xlfn.XLOOKUP(A116,PPTO_GENERADOR!$Q:$Q,PPTO_GENERADOR!A:A,"-",0)</f>
        <v>-</v>
      </c>
    </row>
    <row r="117" spans="1:18" ht="14.25" customHeight="1" x14ac:dyDescent="0.35">
      <c r="A117" s="105" t="s">
        <v>1769</v>
      </c>
      <c r="B117" s="105" t="s">
        <v>1981</v>
      </c>
      <c r="C117" s="105" t="s">
        <v>1982</v>
      </c>
      <c r="D117" s="105" t="s">
        <v>542</v>
      </c>
      <c r="E117" s="95" t="str">
        <f>IFERROR(VLOOKUP(D117,MATERIALES!A:B,2,FALSE()),"?")</f>
        <v>Cal Comun x 25kg</v>
      </c>
      <c r="F117" s="129">
        <f>IFERROR(VLOOKUP(D117,MATERIALES!A:C,3,FALSE()),"?")</f>
        <v>0</v>
      </c>
      <c r="G117" s="119">
        <v>0.248</v>
      </c>
      <c r="H117" s="120">
        <v>0.1</v>
      </c>
      <c r="I117" s="96">
        <f>IFERROR(VLOOKUP(D117,MATERIALES!A:D,4,FALSE()),0)</f>
        <v>3927.28</v>
      </c>
      <c r="J117" s="31">
        <f t="shared" si="71"/>
        <v>1071.3619840000001</v>
      </c>
      <c r="K117" s="32" t="str">
        <f t="shared" si="55"/>
        <v>CER-136|MAT</v>
      </c>
      <c r="L117" s="32">
        <f>COUNTIFS($K$2:K117,K117)</f>
        <v>2</v>
      </c>
      <c r="M117" s="32" t="str">
        <f t="shared" si="56"/>
        <v>CER-136|MAT|2</v>
      </c>
      <c r="N117" s="121">
        <f>IFERROR(VLOOKUP(A117,PARTIDAS!A:F,6,FALSE()),0)</f>
        <v>14.5</v>
      </c>
      <c r="O117" s="123">
        <f t="shared" si="52"/>
        <v>0</v>
      </c>
      <c r="P117" s="123" t="str">
        <f>+_xlfn.XLOOKUP(A117,PPTO_GENERADOR!Q:Q,PPTO_GENERADOR!E:E,"-",0)</f>
        <v>-</v>
      </c>
      <c r="Q117" s="123">
        <f t="shared" si="53"/>
        <v>0</v>
      </c>
      <c r="R117" s="125" t="str">
        <f>+_xlfn.XLOOKUP(A117,PPTO_GENERADOR!$Q:$Q,PPTO_GENERADOR!A:A,"-",0)</f>
        <v>-</v>
      </c>
    </row>
    <row r="118" spans="1:18" ht="14.25" customHeight="1" x14ac:dyDescent="0.35">
      <c r="A118" s="105" t="s">
        <v>1769</v>
      </c>
      <c r="B118" s="105" t="s">
        <v>1981</v>
      </c>
      <c r="C118" s="105" t="s">
        <v>1982</v>
      </c>
      <c r="D118" s="105" t="s">
        <v>538</v>
      </c>
      <c r="E118" s="95" t="str">
        <f>IFERROR(VLOOKUP(D118,MATERIALES!A:B,2,FALSE()),"?")</f>
        <v>ARENA LAVADA</v>
      </c>
      <c r="F118" s="129">
        <f>IFERROR(VLOOKUP(D118,MATERIALES!A:C,3,FALSE()),"?")</f>
        <v>0</v>
      </c>
      <c r="G118" s="119">
        <v>0.03</v>
      </c>
      <c r="H118" s="120">
        <v>0.1</v>
      </c>
      <c r="I118" s="96">
        <f>IFERROR(VLOOKUP(D118,MATERIALES!A:D,4,FALSE()),0)</f>
        <v>32620.38</v>
      </c>
      <c r="J118" s="31">
        <f t="shared" si="71"/>
        <v>1076.47254</v>
      </c>
      <c r="K118" s="32" t="str">
        <f t="shared" si="55"/>
        <v>CER-136|MAT</v>
      </c>
      <c r="L118" s="32">
        <f>COUNTIFS($K$2:K118,K118)</f>
        <v>3</v>
      </c>
      <c r="M118" s="32" t="str">
        <f t="shared" si="56"/>
        <v>CER-136|MAT|3</v>
      </c>
      <c r="N118" s="121">
        <f>IFERROR(VLOOKUP(A118,PARTIDAS!A:F,6,FALSE()),0)</f>
        <v>14.5</v>
      </c>
      <c r="O118" s="123">
        <f t="shared" si="52"/>
        <v>0</v>
      </c>
      <c r="P118" s="123" t="str">
        <f>+_xlfn.XLOOKUP(A118,PPTO_GENERADOR!Q:Q,PPTO_GENERADOR!E:E,"-",0)</f>
        <v>-</v>
      </c>
      <c r="Q118" s="123">
        <f t="shared" si="53"/>
        <v>0</v>
      </c>
      <c r="R118" s="125" t="str">
        <f>+_xlfn.XLOOKUP(A118,PPTO_GENERADOR!$Q:$Q,PPTO_GENERADOR!A:A,"-",0)</f>
        <v>-</v>
      </c>
    </row>
    <row r="119" spans="1:18" ht="14.25" customHeight="1" x14ac:dyDescent="0.35">
      <c r="A119" s="105" t="s">
        <v>1769</v>
      </c>
      <c r="B119" s="105" t="s">
        <v>1983</v>
      </c>
      <c r="C119" s="105"/>
      <c r="D119" s="105" t="s">
        <v>1507</v>
      </c>
      <c r="E119" s="95" t="str">
        <f>IFERROR(VLOOKUP(D119,EQUIPOS!A:B,2,FALSE()),"?")</f>
        <v>Hormigonera De 150 Litros 1hp Con Rueda Maciza</v>
      </c>
      <c r="F119" s="129"/>
      <c r="G119" s="119">
        <v>1</v>
      </c>
      <c r="H119" s="120">
        <v>0</v>
      </c>
      <c r="I119" s="96">
        <f>IFERROR(VLOOKUP(D119,EQUIPOS!A:F,6,FALSE()),0)</f>
        <v>1040.4314486705237</v>
      </c>
      <c r="J119" s="31">
        <f t="shared" ref="J119:J120" si="72">G119*I119</f>
        <v>1040.4314486705237</v>
      </c>
      <c r="K119" s="32" t="str">
        <f t="shared" si="55"/>
        <v>CER-136|EQ</v>
      </c>
      <c r="L119" s="32">
        <f>COUNTIFS($K$2:K119,K119)</f>
        <v>1</v>
      </c>
      <c r="M119" s="32" t="str">
        <f t="shared" si="56"/>
        <v>CER-136|EQ|1</v>
      </c>
      <c r="N119" s="121">
        <f>IFERROR(VLOOKUP(A119,PARTIDAS!A:F,6,FALSE()),0)</f>
        <v>14.5</v>
      </c>
      <c r="O119" s="123">
        <f t="shared" si="52"/>
        <v>0</v>
      </c>
      <c r="P119" s="123" t="str">
        <f>+_xlfn.XLOOKUP(A119,PPTO_GENERADOR!Q:Q,PPTO_GENERADOR!E:E,"-",0)</f>
        <v>-</v>
      </c>
      <c r="Q119" s="123">
        <f t="shared" si="53"/>
        <v>0</v>
      </c>
      <c r="R119" s="125" t="str">
        <f>+_xlfn.XLOOKUP(A119,PPTO_GENERADOR!$Q:$Q,PPTO_GENERADOR!A:A,"-",0)</f>
        <v>-</v>
      </c>
    </row>
    <row r="120" spans="1:18" ht="14.25" customHeight="1" x14ac:dyDescent="0.35">
      <c r="A120" s="105" t="s">
        <v>1769</v>
      </c>
      <c r="B120" s="105" t="s">
        <v>1983</v>
      </c>
      <c r="C120" s="105"/>
      <c r="D120" s="105" t="s">
        <v>1319</v>
      </c>
      <c r="E120" s="95" t="str">
        <f>IFERROR(VLOOKUP(D120,EQUIPOS!A:B,2,FALSE()),"?")</f>
        <v>EQUIPO DE ALBAÑILERIA, carpetas, ladrillo</v>
      </c>
      <c r="F120" s="129"/>
      <c r="G120" s="119">
        <v>1</v>
      </c>
      <c r="H120" s="120">
        <v>0</v>
      </c>
      <c r="I120" s="96">
        <f>IFERROR(VLOOKUP(D120,EQUIPOS!A:F,6,FALSE()),0)</f>
        <v>2485.8709964593982</v>
      </c>
      <c r="J120" s="31">
        <f t="shared" si="72"/>
        <v>2485.8709964593982</v>
      </c>
      <c r="K120" s="32" t="str">
        <f t="shared" si="55"/>
        <v>CER-136|EQ</v>
      </c>
      <c r="L120" s="32">
        <f>COUNTIFS($K$2:K120,K120)</f>
        <v>2</v>
      </c>
      <c r="M120" s="32" t="str">
        <f t="shared" si="56"/>
        <v>CER-136|EQ|2</v>
      </c>
      <c r="N120" s="121">
        <f>IFERROR(VLOOKUP(A120,PARTIDAS!A:F,6,FALSE()),0)</f>
        <v>14.5</v>
      </c>
      <c r="O120" s="123">
        <f t="shared" si="52"/>
        <v>0</v>
      </c>
      <c r="P120" s="123" t="str">
        <f>+_xlfn.XLOOKUP(A120,PPTO_GENERADOR!Q:Q,PPTO_GENERADOR!E:E,"-",0)</f>
        <v>-</v>
      </c>
      <c r="Q120" s="123">
        <f t="shared" si="53"/>
        <v>0</v>
      </c>
      <c r="R120" s="125" t="str">
        <f>+_xlfn.XLOOKUP(A120,PPTO_GENERADOR!$Q:$Q,PPTO_GENERADOR!A:A,"-",0)</f>
        <v>-</v>
      </c>
    </row>
    <row r="121" spans="1:18" ht="14.25" customHeight="1" x14ac:dyDescent="0.35">
      <c r="A121" s="105" t="s">
        <v>1769</v>
      </c>
      <c r="B121" s="105" t="s">
        <v>1979</v>
      </c>
      <c r="C121" s="105" t="s">
        <v>1980</v>
      </c>
      <c r="D121" s="105" t="s">
        <v>2038</v>
      </c>
      <c r="E121" s="95" t="str">
        <f>IFERROR(VLOOKUP(D121,MANO_DE_OBRA!A:B,2,FALSE()),"?")</f>
        <v>AYUDANTE</v>
      </c>
      <c r="F121" s="129" t="s">
        <v>2042</v>
      </c>
      <c r="G121" s="119">
        <v>0.45</v>
      </c>
      <c r="H121" s="120">
        <v>0</v>
      </c>
      <c r="I121" s="96">
        <f>IFERROR(VLOOKUP(D121,MANO_DE_OBRA!A:C,3,FALSE()),0)</f>
        <v>67240.498860267602</v>
      </c>
      <c r="J121" s="31">
        <f t="shared" ref="J121:J122" si="73">G121*I121</f>
        <v>30258.22448712042</v>
      </c>
      <c r="K121" s="32" t="str">
        <f t="shared" si="55"/>
        <v>CER-136|MO</v>
      </c>
      <c r="L121" s="32">
        <f>COUNTIFS($K$2:K121,K121)</f>
        <v>1</v>
      </c>
      <c r="M121" s="32" t="str">
        <f t="shared" si="56"/>
        <v>CER-136|MO|1</v>
      </c>
      <c r="N121" s="121">
        <f>IFERROR(VLOOKUP(A121,PARTIDAS!A:F,6,FALSE()),0)</f>
        <v>14.5</v>
      </c>
      <c r="O121" s="123">
        <f t="shared" si="52"/>
        <v>3.1034482758620689E-2</v>
      </c>
      <c r="P121" s="123" t="str">
        <f>+_xlfn.XLOOKUP(A121,PPTO_GENERADOR!Q:Q,PPTO_GENERADOR!E:E,"-",0)</f>
        <v>-</v>
      </c>
      <c r="Q121" s="123">
        <f t="shared" si="53"/>
        <v>0</v>
      </c>
      <c r="R121" s="125" t="str">
        <f>+_xlfn.XLOOKUP(A121,PPTO_GENERADOR!$Q:$Q,PPTO_GENERADOR!A:A,"-",0)</f>
        <v>-</v>
      </c>
    </row>
    <row r="122" spans="1:18" ht="14.25" customHeight="1" x14ac:dyDescent="0.35">
      <c r="A122" s="105" t="s">
        <v>1769</v>
      </c>
      <c r="B122" s="105" t="s">
        <v>1979</v>
      </c>
      <c r="C122" s="105" t="s">
        <v>1980</v>
      </c>
      <c r="D122" s="105" t="s">
        <v>1292</v>
      </c>
      <c r="E122" s="95" t="str">
        <f>IFERROR(VLOOKUP(D122,MANO_DE_OBRA!A:B,2,FALSE()),"?")</f>
        <v>ESPECIALIZADO</v>
      </c>
      <c r="F122" s="129" t="s">
        <v>2042</v>
      </c>
      <c r="G122" s="119">
        <v>1</v>
      </c>
      <c r="H122" s="120">
        <v>0</v>
      </c>
      <c r="I122" s="96">
        <f>IFERROR(VLOOKUP(D122,MANO_DE_OBRA!A:C,3,FALSE()),0)</f>
        <v>94177.137883538904</v>
      </c>
      <c r="J122" s="31">
        <f t="shared" si="73"/>
        <v>94177.137883538904</v>
      </c>
      <c r="K122" s="32" t="str">
        <f t="shared" si="55"/>
        <v>CER-136|MO</v>
      </c>
      <c r="L122" s="32">
        <f>COUNTIFS($K$2:K122,K122)</f>
        <v>2</v>
      </c>
      <c r="M122" s="32" t="str">
        <f t="shared" si="56"/>
        <v>CER-136|MO|2</v>
      </c>
      <c r="N122" s="121">
        <f>IFERROR(VLOOKUP(A122,PARTIDAS!A:F,6,FALSE()),0)</f>
        <v>14.5</v>
      </c>
      <c r="O122" s="123">
        <f t="shared" si="52"/>
        <v>6.8965517241379309E-2</v>
      </c>
      <c r="P122" s="123" t="str">
        <f>+_xlfn.XLOOKUP(A122,PPTO_GENERADOR!Q:Q,PPTO_GENERADOR!E:E,"-",0)</f>
        <v>-</v>
      </c>
      <c r="Q122" s="123">
        <f t="shared" si="53"/>
        <v>0</v>
      </c>
      <c r="R122" s="125" t="str">
        <f>+_xlfn.XLOOKUP(A122,PPTO_GENERADOR!$Q:$Q,PPTO_GENERADOR!A:A,"-",0)</f>
        <v>-</v>
      </c>
    </row>
    <row r="123" spans="1:18" ht="14.25" customHeight="1" x14ac:dyDescent="0.35">
      <c r="A123" s="105" t="s">
        <v>1772</v>
      </c>
      <c r="B123" s="105" t="s">
        <v>1981</v>
      </c>
      <c r="C123" s="105" t="s">
        <v>1982</v>
      </c>
      <c r="D123" s="105" t="s">
        <v>590</v>
      </c>
      <c r="E123" s="95" t="str">
        <f>IFERROR(VLOOKUP(D123,MATERIALES!A:B,2,FALSE()),"?")</f>
        <v>Yeso Tuyango x 30kg</v>
      </c>
      <c r="F123" s="129">
        <f>IFERROR(VLOOKUP(D123,MATERIALES!A:C,3,FALSE()),"?")</f>
        <v>0</v>
      </c>
      <c r="G123" s="119">
        <v>1E-3</v>
      </c>
      <c r="H123" s="120">
        <v>0.05</v>
      </c>
      <c r="I123" s="96">
        <f>IFERROR(VLOOKUP(D123,MATERIALES!A:D,4,FALSE()),0)</f>
        <v>9927.59</v>
      </c>
      <c r="J123" s="31">
        <f t="shared" ref="J123:J132" si="74">G123*I123*(1+H123)</f>
        <v>10.4239695</v>
      </c>
      <c r="K123" s="32" t="str">
        <f t="shared" si="55"/>
        <v>CER-137|MAT</v>
      </c>
      <c r="L123" s="32">
        <f>COUNTIFS($K$2:K123,K123)</f>
        <v>1</v>
      </c>
      <c r="M123" s="32" t="str">
        <f t="shared" si="56"/>
        <v>CER-137|MAT|1</v>
      </c>
      <c r="N123" s="121">
        <f>IFERROR(VLOOKUP(A123,PARTIDAS!A:F,6,FALSE()),0)</f>
        <v>20</v>
      </c>
      <c r="O123" s="123">
        <f t="shared" si="52"/>
        <v>0</v>
      </c>
      <c r="P123" s="123" t="str">
        <f>+_xlfn.XLOOKUP(A123,PPTO_GENERADOR!Q:Q,PPTO_GENERADOR!E:E,"-",0)</f>
        <v>-</v>
      </c>
      <c r="Q123" s="123">
        <f t="shared" si="53"/>
        <v>0</v>
      </c>
      <c r="R123" s="125" t="str">
        <f>+_xlfn.XLOOKUP(A123,PPTO_GENERADOR!$Q:$Q,PPTO_GENERADOR!A:A,"-",0)</f>
        <v>-</v>
      </c>
    </row>
    <row r="124" spans="1:18" ht="14.25" customHeight="1" x14ac:dyDescent="0.35">
      <c r="A124" s="105" t="s">
        <v>1772</v>
      </c>
      <c r="B124" s="105" t="s">
        <v>1981</v>
      </c>
      <c r="C124" s="105" t="s">
        <v>1982</v>
      </c>
      <c r="D124" s="105" t="s">
        <v>588</v>
      </c>
      <c r="E124" s="95" t="str">
        <f>IFERROR(VLOOKUP(D124,MATERIALES!A:B,2,FALSE()),"?")</f>
        <v>Fijador al agua x 20 lts</v>
      </c>
      <c r="F124" s="129">
        <f>IFERROR(VLOOKUP(D124,MATERIALES!A:C,3,FALSE()),"?")</f>
        <v>0</v>
      </c>
      <c r="G124" s="119">
        <v>4.0000000000000001E-3</v>
      </c>
      <c r="H124" s="120">
        <v>0.05</v>
      </c>
      <c r="I124" s="96">
        <f>IFERROR(VLOOKUP(D124,MATERIALES!A:D,4,FALSE()),0)</f>
        <v>42552.892561983499</v>
      </c>
      <c r="J124" s="31">
        <f t="shared" si="74"/>
        <v>178.7221487603307</v>
      </c>
      <c r="K124" s="32" t="str">
        <f t="shared" si="55"/>
        <v>CER-137|MAT</v>
      </c>
      <c r="L124" s="32">
        <f>COUNTIFS($K$2:K124,K124)</f>
        <v>2</v>
      </c>
      <c r="M124" s="32" t="str">
        <f t="shared" si="56"/>
        <v>CER-137|MAT|2</v>
      </c>
      <c r="N124" s="121">
        <f>IFERROR(VLOOKUP(A124,PARTIDAS!A:F,6,FALSE()),0)</f>
        <v>20</v>
      </c>
      <c r="O124" s="123">
        <f t="shared" si="52"/>
        <v>0</v>
      </c>
      <c r="P124" s="123" t="str">
        <f>+_xlfn.XLOOKUP(A124,PPTO_GENERADOR!Q:Q,PPTO_GENERADOR!E:E,"-",0)</f>
        <v>-</v>
      </c>
      <c r="Q124" s="123">
        <f t="shared" si="53"/>
        <v>0</v>
      </c>
      <c r="R124" s="125" t="str">
        <f>+_xlfn.XLOOKUP(A124,PPTO_GENERADOR!$Q:$Q,PPTO_GENERADOR!A:A,"-",0)</f>
        <v>-</v>
      </c>
    </row>
    <row r="125" spans="1:18" ht="14.25" customHeight="1" x14ac:dyDescent="0.35">
      <c r="A125" s="105" t="s">
        <v>1772</v>
      </c>
      <c r="B125" s="105" t="s">
        <v>1981</v>
      </c>
      <c r="C125" s="105" t="s">
        <v>1982</v>
      </c>
      <c r="D125" s="105" t="s">
        <v>586</v>
      </c>
      <c r="E125" s="95" t="str">
        <f>IFERROR(VLOOKUP(D125,MATERIALES!A:B,2,FALSE()),"?")</f>
        <v>Trapo</v>
      </c>
      <c r="F125" s="129">
        <f>IFERROR(VLOOKUP(D125,MATERIALES!A:C,3,FALSE()),"?")</f>
        <v>0</v>
      </c>
      <c r="G125" s="119">
        <v>0.03</v>
      </c>
      <c r="H125" s="120">
        <v>0.05</v>
      </c>
      <c r="I125" s="96">
        <f>IFERROR(VLOOKUP(D125,MATERIALES!A:D,4,FALSE()),0)</f>
        <v>1182.6446280991699</v>
      </c>
      <c r="J125" s="31">
        <f t="shared" si="74"/>
        <v>37.25330578512385</v>
      </c>
      <c r="K125" s="32" t="str">
        <f t="shared" si="55"/>
        <v>CER-137|MAT</v>
      </c>
      <c r="L125" s="32">
        <f>COUNTIFS($K$2:K125,K125)</f>
        <v>3</v>
      </c>
      <c r="M125" s="32" t="str">
        <f t="shared" si="56"/>
        <v>CER-137|MAT|3</v>
      </c>
      <c r="N125" s="121">
        <f>IFERROR(VLOOKUP(A125,PARTIDAS!A:F,6,FALSE()),0)</f>
        <v>20</v>
      </c>
      <c r="O125" s="123">
        <f t="shared" si="52"/>
        <v>0</v>
      </c>
      <c r="P125" s="123" t="str">
        <f>+_xlfn.XLOOKUP(A125,PPTO_GENERADOR!Q:Q,PPTO_GENERADOR!E:E,"-",0)</f>
        <v>-</v>
      </c>
      <c r="Q125" s="123">
        <f t="shared" si="53"/>
        <v>0</v>
      </c>
      <c r="R125" s="125" t="str">
        <f>+_xlfn.XLOOKUP(A125,PPTO_GENERADOR!$Q:$Q,PPTO_GENERADOR!A:A,"-",0)</f>
        <v>-</v>
      </c>
    </row>
    <row r="126" spans="1:18" ht="14.25" customHeight="1" x14ac:dyDescent="0.35">
      <c r="A126" s="105" t="s">
        <v>1772</v>
      </c>
      <c r="B126" s="105" t="s">
        <v>1981</v>
      </c>
      <c r="C126" s="105" t="s">
        <v>1982</v>
      </c>
      <c r="D126" s="105" t="s">
        <v>584</v>
      </c>
      <c r="E126" s="95" t="str">
        <f>IFERROR(VLOOKUP(D126,MATERIALES!A:B,2,FALSE()),"?")</f>
        <v>Cinta de Papel 36 mm x 40m</v>
      </c>
      <c r="F126" s="129">
        <f>IFERROR(VLOOKUP(D126,MATERIALES!A:C,3,FALSE()),"?")</f>
        <v>0</v>
      </c>
      <c r="G126" s="119">
        <v>0.05</v>
      </c>
      <c r="H126" s="120">
        <v>0.1</v>
      </c>
      <c r="I126" s="96">
        <f>IFERROR(VLOOKUP(D126,MATERIALES!A:D,4,FALSE()),0)</f>
        <v>5885.9504132231395</v>
      </c>
      <c r="J126" s="31">
        <f t="shared" si="74"/>
        <v>323.72727272727269</v>
      </c>
      <c r="K126" s="32" t="str">
        <f t="shared" si="55"/>
        <v>CER-137|MAT</v>
      </c>
      <c r="L126" s="32">
        <f>COUNTIFS($K$2:K126,K126)</f>
        <v>4</v>
      </c>
      <c r="M126" s="32" t="str">
        <f t="shared" si="56"/>
        <v>CER-137|MAT|4</v>
      </c>
      <c r="N126" s="121">
        <f>IFERROR(VLOOKUP(A126,PARTIDAS!A:F,6,FALSE()),0)</f>
        <v>20</v>
      </c>
      <c r="O126" s="123">
        <f t="shared" si="52"/>
        <v>0</v>
      </c>
      <c r="P126" s="123" t="str">
        <f>+_xlfn.XLOOKUP(A126,PPTO_GENERADOR!Q:Q,PPTO_GENERADOR!E:E,"-",0)</f>
        <v>-</v>
      </c>
      <c r="Q126" s="123">
        <f t="shared" si="53"/>
        <v>0</v>
      </c>
      <c r="R126" s="125" t="str">
        <f>+_xlfn.XLOOKUP(A126,PPTO_GENERADOR!$Q:$Q,PPTO_GENERADOR!A:A,"-",0)</f>
        <v>-</v>
      </c>
    </row>
    <row r="127" spans="1:18" ht="14.25" customHeight="1" x14ac:dyDescent="0.35">
      <c r="A127" s="105" t="s">
        <v>1772</v>
      </c>
      <c r="B127" s="105" t="s">
        <v>1981</v>
      </c>
      <c r="C127" s="105" t="s">
        <v>1982</v>
      </c>
      <c r="D127" s="105" t="s">
        <v>582</v>
      </c>
      <c r="E127" s="95" t="str">
        <f>IFERROR(VLOOKUP(D127,MATERIALES!A:B,2,FALSE()),"?")</f>
        <v>Lija 180 al agua x 10u</v>
      </c>
      <c r="F127" s="129">
        <f>IFERROR(VLOOKUP(D127,MATERIALES!A:C,3,FALSE()),"?")</f>
        <v>0</v>
      </c>
      <c r="G127" s="119">
        <v>1.4999999999999999E-2</v>
      </c>
      <c r="H127" s="120">
        <v>0.05</v>
      </c>
      <c r="I127" s="96">
        <f>IFERROR(VLOOKUP(D127,MATERIALES!A:D,4,FALSE()),0)</f>
        <v>7917.3553719008296</v>
      </c>
      <c r="J127" s="31">
        <f t="shared" si="74"/>
        <v>124.69834710743807</v>
      </c>
      <c r="K127" s="32" t="str">
        <f t="shared" si="55"/>
        <v>CER-137|MAT</v>
      </c>
      <c r="L127" s="32">
        <f>COUNTIFS($K$2:K127,K127)</f>
        <v>5</v>
      </c>
      <c r="M127" s="32" t="str">
        <f t="shared" si="56"/>
        <v>CER-137|MAT|5</v>
      </c>
      <c r="N127" s="121">
        <f>IFERROR(VLOOKUP(A127,PARTIDAS!A:F,6,FALSE()),0)</f>
        <v>20</v>
      </c>
      <c r="O127" s="123">
        <f t="shared" si="52"/>
        <v>0</v>
      </c>
      <c r="P127" s="123" t="str">
        <f>+_xlfn.XLOOKUP(A127,PPTO_GENERADOR!Q:Q,PPTO_GENERADOR!E:E,"-",0)</f>
        <v>-</v>
      </c>
      <c r="Q127" s="123">
        <f t="shared" si="53"/>
        <v>0</v>
      </c>
      <c r="R127" s="125" t="str">
        <f>+_xlfn.XLOOKUP(A127,PPTO_GENERADOR!$Q:$Q,PPTO_GENERADOR!A:A,"-",0)</f>
        <v>-</v>
      </c>
    </row>
    <row r="128" spans="1:18" ht="14.25" customHeight="1" x14ac:dyDescent="0.35">
      <c r="A128" s="105" t="s">
        <v>1772</v>
      </c>
      <c r="B128" s="105" t="s">
        <v>1981</v>
      </c>
      <c r="C128" s="105" t="s">
        <v>1982</v>
      </c>
      <c r="D128" s="105" t="s">
        <v>922</v>
      </c>
      <c r="E128" s="95" t="str">
        <f>IFERROR(VLOOKUP(D128,MATERIALES!A:B,2,FALSE()),"?")</f>
        <v>Rodillo de lana pelo largo N°22 - El Galgo</v>
      </c>
      <c r="F128" s="129" t="str">
        <f>IFERROR(VLOOKUP(D128,MATERIALES!A:C,3,FALSE()),"?")</f>
        <v>u</v>
      </c>
      <c r="G128" s="119">
        <v>5.0000000000000001E-3</v>
      </c>
      <c r="H128" s="120">
        <v>0.05</v>
      </c>
      <c r="I128" s="96">
        <f>IFERROR(VLOOKUP(D128,MATERIALES!A:D,4,FALSE()),0)</f>
        <v>6442.15</v>
      </c>
      <c r="J128" s="31">
        <f t="shared" si="74"/>
        <v>33.821287499999997</v>
      </c>
      <c r="K128" s="32" t="str">
        <f t="shared" si="55"/>
        <v>CER-137|MAT</v>
      </c>
      <c r="L128" s="32">
        <f>COUNTIFS($K$2:K128,K128)</f>
        <v>6</v>
      </c>
      <c r="M128" s="32" t="str">
        <f t="shared" si="56"/>
        <v>CER-137|MAT|6</v>
      </c>
      <c r="N128" s="121">
        <f>IFERROR(VLOOKUP(A128,PARTIDAS!A:F,6,FALSE()),0)</f>
        <v>20</v>
      </c>
      <c r="O128" s="123">
        <f t="shared" si="52"/>
        <v>0</v>
      </c>
      <c r="P128" s="123" t="str">
        <f>+_xlfn.XLOOKUP(A128,PPTO_GENERADOR!Q:Q,PPTO_GENERADOR!E:E,"-",0)</f>
        <v>-</v>
      </c>
      <c r="Q128" s="123">
        <f t="shared" si="53"/>
        <v>0</v>
      </c>
      <c r="R128" s="125" t="str">
        <f>+_xlfn.XLOOKUP(A128,PPTO_GENERADOR!$Q:$Q,PPTO_GENERADOR!A:A,"-",0)</f>
        <v>-</v>
      </c>
    </row>
    <row r="129" spans="1:18" ht="14.25" customHeight="1" x14ac:dyDescent="0.35">
      <c r="A129" s="105" t="s">
        <v>1772</v>
      </c>
      <c r="B129" s="105" t="s">
        <v>1981</v>
      </c>
      <c r="C129" s="105" t="s">
        <v>1982</v>
      </c>
      <c r="D129" s="105" t="s">
        <v>1007</v>
      </c>
      <c r="E129" s="95" t="str">
        <f>IFERROR(VLOOKUP(D129,MATERIALES!A:B,2,FALSE()),"?")</f>
        <v>Pincel N° 20 - El Galgo</v>
      </c>
      <c r="F129" s="129" t="str">
        <f>IFERROR(VLOOKUP(D129,MATERIALES!A:C,3,FALSE()),"?")</f>
        <v>u</v>
      </c>
      <c r="G129" s="119">
        <v>5.0000000000000001E-3</v>
      </c>
      <c r="H129" s="120">
        <v>0.05</v>
      </c>
      <c r="I129" s="96">
        <f>IFERROR(VLOOKUP(D129,MATERIALES!A:D,4,FALSE()),0)</f>
        <v>4418.1818181818198</v>
      </c>
      <c r="J129" s="31">
        <f t="shared" si="74"/>
        <v>23.195454545454556</v>
      </c>
      <c r="K129" s="32" t="str">
        <f t="shared" si="55"/>
        <v>CER-137|MAT</v>
      </c>
      <c r="L129" s="32">
        <f>COUNTIFS($K$2:K129,K129)</f>
        <v>7</v>
      </c>
      <c r="M129" s="32" t="str">
        <f t="shared" si="56"/>
        <v>CER-137|MAT|7</v>
      </c>
      <c r="N129" s="121">
        <f>IFERROR(VLOOKUP(A129,PARTIDAS!A:F,6,FALSE()),0)</f>
        <v>20</v>
      </c>
      <c r="O129" s="123">
        <f t="shared" si="52"/>
        <v>0</v>
      </c>
      <c r="P129" s="123" t="str">
        <f>+_xlfn.XLOOKUP(A129,PPTO_GENERADOR!Q:Q,PPTO_GENERADOR!E:E,"-",0)</f>
        <v>-</v>
      </c>
      <c r="Q129" s="123">
        <f t="shared" si="53"/>
        <v>0</v>
      </c>
      <c r="R129" s="125" t="str">
        <f>+_xlfn.XLOOKUP(A129,PPTO_GENERADOR!$Q:$Q,PPTO_GENERADOR!A:A,"-",0)</f>
        <v>-</v>
      </c>
    </row>
    <row r="130" spans="1:18" ht="14.25" customHeight="1" x14ac:dyDescent="0.35">
      <c r="A130" s="105" t="s">
        <v>1772</v>
      </c>
      <c r="B130" s="105" t="s">
        <v>1981</v>
      </c>
      <c r="C130" s="105" t="s">
        <v>1982</v>
      </c>
      <c r="D130" s="105" t="s">
        <v>1033</v>
      </c>
      <c r="E130" s="95" t="str">
        <f>IFERROR(VLOOKUP(D130,MATERIALES!A:B,2,FALSE()),"?")</f>
        <v>Rollo de cartón corrugado 0,90 x 25 mts</v>
      </c>
      <c r="F130" s="129" t="str">
        <f>IFERROR(VLOOKUP(D130,MATERIALES!A:C,3,FALSE()),"?")</f>
        <v>u</v>
      </c>
      <c r="G130" s="119">
        <v>0.01</v>
      </c>
      <c r="H130" s="120">
        <v>0.05</v>
      </c>
      <c r="I130" s="96">
        <f>IFERROR(VLOOKUP(D130,MATERIALES!A:D,4,FALSE()),0)</f>
        <v>8173.5537190082696</v>
      </c>
      <c r="J130" s="31">
        <f t="shared" si="74"/>
        <v>85.822314049586836</v>
      </c>
      <c r="K130" s="32" t="str">
        <f t="shared" ref="K130:K132" si="75">A130&amp;"|"&amp;B130</f>
        <v>CER-137|MAT</v>
      </c>
      <c r="L130" s="32">
        <f>COUNTIFS($K$2:K130,K130)</f>
        <v>8</v>
      </c>
      <c r="M130" s="32" t="str">
        <f t="shared" ref="M130:M132" si="76">K130&amp;"|"&amp;L130</f>
        <v>CER-137|MAT|8</v>
      </c>
      <c r="N130" s="121">
        <f>IFERROR(VLOOKUP(A130,PARTIDAS!A:F,6,FALSE()),0)</f>
        <v>20</v>
      </c>
      <c r="O130" s="123">
        <f t="shared" si="52"/>
        <v>0</v>
      </c>
      <c r="P130" s="123" t="str">
        <f>+_xlfn.XLOOKUP(A130,PPTO_GENERADOR!Q:Q,PPTO_GENERADOR!E:E,"-",0)</f>
        <v>-</v>
      </c>
      <c r="Q130" s="123">
        <f t="shared" si="53"/>
        <v>0</v>
      </c>
      <c r="R130" s="125" t="str">
        <f>+_xlfn.XLOOKUP(A130,PPTO_GENERADOR!$Q:$Q,PPTO_GENERADOR!A:A,"-",0)</f>
        <v>-</v>
      </c>
    </row>
    <row r="131" spans="1:18" ht="14.25" customHeight="1" x14ac:dyDescent="0.35">
      <c r="A131" s="105" t="s">
        <v>1772</v>
      </c>
      <c r="B131" s="105" t="s">
        <v>1981</v>
      </c>
      <c r="C131" s="105" t="s">
        <v>1982</v>
      </c>
      <c r="D131" s="105" t="s">
        <v>580</v>
      </c>
      <c r="E131" s="95" t="str">
        <f>IFERROR(VLOOKUP(D131,MATERIALES!A:B,2,FALSE()),"?")</f>
        <v>Enduido Interior x 20lts</v>
      </c>
      <c r="F131" s="129">
        <f>IFERROR(VLOOKUP(D131,MATERIALES!A:C,3,FALSE()),"?")</f>
        <v>0</v>
      </c>
      <c r="G131" s="119">
        <v>2E-3</v>
      </c>
      <c r="H131" s="120">
        <v>0.1</v>
      </c>
      <c r="I131" s="96">
        <f>IFERROR(VLOOKUP(D131,MATERIALES!A:D,4,FALSE()),0)</f>
        <v>41314.049586776899</v>
      </c>
      <c r="J131" s="31">
        <f t="shared" si="74"/>
        <v>90.890909090909176</v>
      </c>
      <c r="K131" s="32" t="str">
        <f t="shared" si="75"/>
        <v>CER-137|MAT</v>
      </c>
      <c r="L131" s="32">
        <f>COUNTIFS($K$2:K131,K131)</f>
        <v>9</v>
      </c>
      <c r="M131" s="32" t="str">
        <f t="shared" si="76"/>
        <v>CER-137|MAT|9</v>
      </c>
      <c r="N131" s="121">
        <f>IFERROR(VLOOKUP(A131,PARTIDAS!A:F,6,FALSE()),0)</f>
        <v>20</v>
      </c>
      <c r="O131" s="123">
        <f t="shared" ref="O131:O194" si="77">+IF(C131="ALB",G131/N131,0)</f>
        <v>0</v>
      </c>
      <c r="P131" s="123" t="str">
        <f>+_xlfn.XLOOKUP(A131,PPTO_GENERADOR!Q:Q,PPTO_GENERADOR!E:E,"-",0)</f>
        <v>-</v>
      </c>
      <c r="Q131" s="123">
        <f t="shared" ref="Q131:Q194" si="78">IFERROR(P131*O131,0)</f>
        <v>0</v>
      </c>
      <c r="R131" s="125" t="str">
        <f>+_xlfn.XLOOKUP(A131,PPTO_GENERADOR!$Q:$Q,PPTO_GENERADOR!A:A,"-",0)</f>
        <v>-</v>
      </c>
    </row>
    <row r="132" spans="1:18" ht="14.25" customHeight="1" x14ac:dyDescent="0.35">
      <c r="A132" s="105" t="s">
        <v>1772</v>
      </c>
      <c r="B132" s="105" t="s">
        <v>1981</v>
      </c>
      <c r="C132" s="105" t="s">
        <v>1982</v>
      </c>
      <c r="D132" s="105" t="s">
        <v>578</v>
      </c>
      <c r="E132" s="95" t="str">
        <f>IFERROR(VLOOKUP(D132,MATERIALES!A:B,2,FALSE()),"?")</f>
        <v>Latex Loxon Interior Sherwin Williams Mate Bco x 20lts</v>
      </c>
      <c r="F132" s="129">
        <f>IFERROR(VLOOKUP(D132,MATERIALES!A:C,3,FALSE()),"?")</f>
        <v>0</v>
      </c>
      <c r="G132" s="119">
        <v>1.2500000000000001E-2</v>
      </c>
      <c r="H132" s="120">
        <v>0.1</v>
      </c>
      <c r="I132" s="96">
        <f>IFERROR(VLOOKUP(D132,MATERIALES!A:D,4,FALSE()),0)</f>
        <v>143389.25619834699</v>
      </c>
      <c r="J132" s="31">
        <f t="shared" si="74"/>
        <v>1971.6022727272714</v>
      </c>
      <c r="K132" s="32" t="str">
        <f t="shared" si="75"/>
        <v>CER-137|MAT</v>
      </c>
      <c r="L132" s="32">
        <f>COUNTIFS($K$2:K132,K132)</f>
        <v>10</v>
      </c>
      <c r="M132" s="32" t="str">
        <f t="shared" si="76"/>
        <v>CER-137|MAT|10</v>
      </c>
      <c r="N132" s="121">
        <f>IFERROR(VLOOKUP(A132,PARTIDAS!A:F,6,FALSE()),0)</f>
        <v>20</v>
      </c>
      <c r="O132" s="123">
        <f t="shared" si="77"/>
        <v>0</v>
      </c>
      <c r="P132" s="123" t="str">
        <f>+_xlfn.XLOOKUP(A132,PPTO_GENERADOR!Q:Q,PPTO_GENERADOR!E:E,"-",0)</f>
        <v>-</v>
      </c>
      <c r="Q132" s="123">
        <f t="shared" si="78"/>
        <v>0</v>
      </c>
      <c r="R132" s="125" t="str">
        <f>+_xlfn.XLOOKUP(A132,PPTO_GENERADOR!$Q:$Q,PPTO_GENERADOR!A:A,"-",0)</f>
        <v>-</v>
      </c>
    </row>
    <row r="133" spans="1:18" ht="14.25" customHeight="1" x14ac:dyDescent="0.35">
      <c r="A133" s="105" t="s">
        <v>1772</v>
      </c>
      <c r="B133" s="105" t="s">
        <v>1983</v>
      </c>
      <c r="C133" s="105"/>
      <c r="D133" s="105" t="s">
        <v>1327</v>
      </c>
      <c r="E133" s="95" t="str">
        <f>IFERROR(VLOOKUP(D133,EQUIPOS!A:B,2,FALSE()),"?")</f>
        <v>EQUIPO PARA PINTAR</v>
      </c>
      <c r="F133" s="129"/>
      <c r="G133" s="119">
        <v>1</v>
      </c>
      <c r="H133" s="120">
        <v>0</v>
      </c>
      <c r="I133" s="96">
        <f>IFERROR(VLOOKUP(D133,EQUIPOS!A:F,6,FALSE()),0)</f>
        <v>1873.3963608356808</v>
      </c>
      <c r="J133" s="31">
        <f>G133*I133</f>
        <v>1873.3963608356808</v>
      </c>
      <c r="K133" s="32" t="str">
        <f t="shared" ref="K133:K193" si="79">A133&amp;"|"&amp;B133</f>
        <v>CER-137|EQ</v>
      </c>
      <c r="L133" s="32">
        <f>COUNTIFS($K$2:K133,K133)</f>
        <v>1</v>
      </c>
      <c r="M133" s="32" t="str">
        <f t="shared" ref="M133:M193" si="80">K133&amp;"|"&amp;L133</f>
        <v>CER-137|EQ|1</v>
      </c>
      <c r="N133" s="121">
        <f>IFERROR(VLOOKUP(A133,PARTIDAS!A:F,6,FALSE()),0)</f>
        <v>20</v>
      </c>
      <c r="O133" s="123">
        <f t="shared" si="77"/>
        <v>0</v>
      </c>
      <c r="P133" s="123" t="str">
        <f>+_xlfn.XLOOKUP(A133,PPTO_GENERADOR!Q:Q,PPTO_GENERADOR!E:E,"-",0)</f>
        <v>-</v>
      </c>
      <c r="Q133" s="123">
        <f t="shared" si="78"/>
        <v>0</v>
      </c>
      <c r="R133" s="125" t="str">
        <f>+_xlfn.XLOOKUP(A133,PPTO_GENERADOR!$Q:$Q,PPTO_GENERADOR!A:A,"-",0)</f>
        <v>-</v>
      </c>
    </row>
    <row r="134" spans="1:18" ht="14.25" customHeight="1" x14ac:dyDescent="0.35">
      <c r="A134" s="105" t="s">
        <v>1772</v>
      </c>
      <c r="B134" s="105" t="s">
        <v>1979</v>
      </c>
      <c r="C134" s="105" t="s">
        <v>1980</v>
      </c>
      <c r="D134" s="105" t="s">
        <v>1292</v>
      </c>
      <c r="E134" s="95" t="str">
        <f>IFERROR(VLOOKUP(D134,MANO_DE_OBRA!A:B,2,FALSE()),"?")</f>
        <v>ESPECIALIZADO</v>
      </c>
      <c r="F134" s="129" t="s">
        <v>2042</v>
      </c>
      <c r="G134" s="119">
        <v>1</v>
      </c>
      <c r="H134" s="120">
        <v>0</v>
      </c>
      <c r="I134" s="96">
        <f>IFERROR(VLOOKUP(D134,MANO_DE_OBRA!A:C,3,FALSE()),0)</f>
        <v>94177.137883538904</v>
      </c>
      <c r="J134" s="31">
        <f t="shared" ref="J134:J135" si="81">G134*I134</f>
        <v>94177.137883538904</v>
      </c>
      <c r="K134" s="32" t="str">
        <f t="shared" si="79"/>
        <v>CER-137|MO</v>
      </c>
      <c r="L134" s="32">
        <f>COUNTIFS($K$2:K134,K134)</f>
        <v>1</v>
      </c>
      <c r="M134" s="32" t="str">
        <f t="shared" si="80"/>
        <v>CER-137|MO|1</v>
      </c>
      <c r="N134" s="121">
        <f>IFERROR(VLOOKUP(A134,PARTIDAS!A:F,6,FALSE()),0)</f>
        <v>20</v>
      </c>
      <c r="O134" s="123">
        <f t="shared" si="77"/>
        <v>0.05</v>
      </c>
      <c r="P134" s="123" t="str">
        <f>+_xlfn.XLOOKUP(A134,PPTO_GENERADOR!Q:Q,PPTO_GENERADOR!E:E,"-",0)</f>
        <v>-</v>
      </c>
      <c r="Q134" s="123">
        <f t="shared" si="78"/>
        <v>0</v>
      </c>
      <c r="R134" s="125" t="str">
        <f>+_xlfn.XLOOKUP(A134,PPTO_GENERADOR!$Q:$Q,PPTO_GENERADOR!A:A,"-",0)</f>
        <v>-</v>
      </c>
    </row>
    <row r="135" spans="1:18" ht="14.25" customHeight="1" x14ac:dyDescent="0.35">
      <c r="A135" s="105" t="s">
        <v>1772</v>
      </c>
      <c r="B135" s="105" t="s">
        <v>1979</v>
      </c>
      <c r="C135" s="105" t="s">
        <v>1980</v>
      </c>
      <c r="D135" s="105" t="s">
        <v>1288</v>
      </c>
      <c r="E135" s="95" t="str">
        <f>IFERROR(VLOOKUP(D135,MANO_DE_OBRA!A:B,2,FALSE()),"?")</f>
        <v>MEDIO OFICIAL</v>
      </c>
      <c r="F135" s="129" t="s">
        <v>2042</v>
      </c>
      <c r="G135" s="119">
        <v>0</v>
      </c>
      <c r="H135" s="120">
        <v>0</v>
      </c>
      <c r="I135" s="96">
        <f>IFERROR(VLOOKUP(D135,MANO_DE_OBRA!A:C,3,FALSE()),0)</f>
        <v>72132.138365590101</v>
      </c>
      <c r="J135" s="31">
        <f t="shared" si="81"/>
        <v>0</v>
      </c>
      <c r="K135" s="32" t="str">
        <f t="shared" si="79"/>
        <v>CER-137|MO</v>
      </c>
      <c r="L135" s="32">
        <f>COUNTIFS($K$2:K135,K135)</f>
        <v>2</v>
      </c>
      <c r="M135" s="32" t="str">
        <f t="shared" si="80"/>
        <v>CER-137|MO|2</v>
      </c>
      <c r="N135" s="121">
        <f>IFERROR(VLOOKUP(A135,PARTIDAS!A:F,6,FALSE()),0)</f>
        <v>20</v>
      </c>
      <c r="O135" s="123">
        <f t="shared" si="77"/>
        <v>0</v>
      </c>
      <c r="P135" s="123" t="str">
        <f>+_xlfn.XLOOKUP(A135,PPTO_GENERADOR!Q:Q,PPTO_GENERADOR!E:E,"-",0)</f>
        <v>-</v>
      </c>
      <c r="Q135" s="123">
        <f t="shared" si="78"/>
        <v>0</v>
      </c>
      <c r="R135" s="125" t="str">
        <f>+_xlfn.XLOOKUP(A135,PPTO_GENERADOR!$Q:$Q,PPTO_GENERADOR!A:A,"-",0)</f>
        <v>-</v>
      </c>
    </row>
    <row r="136" spans="1:18" ht="14.25" customHeight="1" x14ac:dyDescent="0.35">
      <c r="A136" s="105" t="s">
        <v>1776</v>
      </c>
      <c r="B136" s="105" t="s">
        <v>1981</v>
      </c>
      <c r="C136" s="105" t="s">
        <v>1982</v>
      </c>
      <c r="D136" s="105" t="s">
        <v>590</v>
      </c>
      <c r="E136" s="95" t="str">
        <f>IFERROR(VLOOKUP(D136,MATERIALES!A:B,2,FALSE()),"?")</f>
        <v>Yeso Tuyango x 30kg</v>
      </c>
      <c r="F136" s="129">
        <f>IFERROR(VLOOKUP(D136,MATERIALES!A:C,3,FALSE()),"?")</f>
        <v>0</v>
      </c>
      <c r="G136" s="119">
        <v>1E-3</v>
      </c>
      <c r="H136" s="120">
        <v>0.05</v>
      </c>
      <c r="I136" s="96">
        <f>IFERROR(VLOOKUP(D136,MATERIALES!A:D,4,FALSE()),0)</f>
        <v>9927.59</v>
      </c>
      <c r="J136" s="31">
        <f t="shared" ref="J136:J143" si="82">G136*I136*(1+H136)</f>
        <v>10.4239695</v>
      </c>
      <c r="K136" s="32" t="str">
        <f t="shared" si="79"/>
        <v>PIN-146|MAT</v>
      </c>
      <c r="L136" s="32">
        <f>COUNTIFS($K$2:K136,K136)</f>
        <v>1</v>
      </c>
      <c r="M136" s="32" t="str">
        <f t="shared" si="80"/>
        <v>PIN-146|MAT|1</v>
      </c>
      <c r="N136" s="121">
        <f>IFERROR(VLOOKUP(A136,PARTIDAS!A:F,6,FALSE()),0)</f>
        <v>25</v>
      </c>
      <c r="O136" s="123">
        <f t="shared" si="77"/>
        <v>0</v>
      </c>
      <c r="P136" s="123" t="str">
        <f>+_xlfn.XLOOKUP(A136,PPTO_GENERADOR!Q:Q,PPTO_GENERADOR!E:E,"-",0)</f>
        <v>-</v>
      </c>
      <c r="Q136" s="123">
        <f t="shared" si="78"/>
        <v>0</v>
      </c>
      <c r="R136" s="125" t="str">
        <f>+_xlfn.XLOOKUP(A136,PPTO_GENERADOR!$Q:$Q,PPTO_GENERADOR!A:A,"-",0)</f>
        <v>-</v>
      </c>
    </row>
    <row r="137" spans="1:18" ht="14.25" customHeight="1" x14ac:dyDescent="0.35">
      <c r="A137" s="105" t="s">
        <v>1776</v>
      </c>
      <c r="B137" s="105" t="s">
        <v>1981</v>
      </c>
      <c r="C137" s="105" t="s">
        <v>1982</v>
      </c>
      <c r="D137" s="105" t="s">
        <v>588</v>
      </c>
      <c r="E137" s="95" t="str">
        <f>IFERROR(VLOOKUP(D137,MATERIALES!A:B,2,FALSE()),"?")</f>
        <v>Fijador al agua x 20 lts</v>
      </c>
      <c r="F137" s="129">
        <f>IFERROR(VLOOKUP(D137,MATERIALES!A:C,3,FALSE()),"?")</f>
        <v>0</v>
      </c>
      <c r="G137" s="119">
        <v>4.0000000000000001E-3</v>
      </c>
      <c r="H137" s="120">
        <v>0.05</v>
      </c>
      <c r="I137" s="96">
        <f>IFERROR(VLOOKUP(D137,MATERIALES!A:D,4,FALSE()),0)</f>
        <v>42552.892561983499</v>
      </c>
      <c r="J137" s="31">
        <f t="shared" si="82"/>
        <v>178.7221487603307</v>
      </c>
      <c r="K137" s="32" t="str">
        <f t="shared" si="79"/>
        <v>PIN-146|MAT</v>
      </c>
      <c r="L137" s="32">
        <f>COUNTIFS($K$2:K137,K137)</f>
        <v>2</v>
      </c>
      <c r="M137" s="32" t="str">
        <f t="shared" si="80"/>
        <v>PIN-146|MAT|2</v>
      </c>
      <c r="N137" s="121">
        <f>IFERROR(VLOOKUP(A137,PARTIDAS!A:F,6,FALSE()),0)</f>
        <v>25</v>
      </c>
      <c r="O137" s="123">
        <f t="shared" si="77"/>
        <v>0</v>
      </c>
      <c r="P137" s="123" t="str">
        <f>+_xlfn.XLOOKUP(A137,PPTO_GENERADOR!Q:Q,PPTO_GENERADOR!E:E,"-",0)</f>
        <v>-</v>
      </c>
      <c r="Q137" s="123">
        <f t="shared" si="78"/>
        <v>0</v>
      </c>
      <c r="R137" s="125" t="str">
        <f>+_xlfn.XLOOKUP(A137,PPTO_GENERADOR!$Q:$Q,PPTO_GENERADOR!A:A,"-",0)</f>
        <v>-</v>
      </c>
    </row>
    <row r="138" spans="1:18" ht="14.25" customHeight="1" x14ac:dyDescent="0.35">
      <c r="A138" s="105" t="s">
        <v>1776</v>
      </c>
      <c r="B138" s="105" t="s">
        <v>1981</v>
      </c>
      <c r="C138" s="105" t="s">
        <v>1982</v>
      </c>
      <c r="D138" s="105" t="s">
        <v>586</v>
      </c>
      <c r="E138" s="95" t="str">
        <f>IFERROR(VLOOKUP(D138,MATERIALES!A:B,2,FALSE()),"?")</f>
        <v>Trapo</v>
      </c>
      <c r="F138" s="129">
        <f>IFERROR(VLOOKUP(D138,MATERIALES!A:C,3,FALSE()),"?")</f>
        <v>0</v>
      </c>
      <c r="G138" s="119">
        <v>0.03</v>
      </c>
      <c r="H138" s="120">
        <v>0.05</v>
      </c>
      <c r="I138" s="96">
        <f>IFERROR(VLOOKUP(D138,MATERIALES!A:D,4,FALSE()),0)</f>
        <v>1182.6446280991699</v>
      </c>
      <c r="J138" s="31">
        <f t="shared" si="82"/>
        <v>37.25330578512385</v>
      </c>
      <c r="K138" s="32" t="str">
        <f t="shared" si="79"/>
        <v>PIN-146|MAT</v>
      </c>
      <c r="L138" s="32">
        <f>COUNTIFS($K$2:K138,K138)</f>
        <v>3</v>
      </c>
      <c r="M138" s="32" t="str">
        <f t="shared" si="80"/>
        <v>PIN-146|MAT|3</v>
      </c>
      <c r="N138" s="121">
        <f>IFERROR(VLOOKUP(A138,PARTIDAS!A:F,6,FALSE()),0)</f>
        <v>25</v>
      </c>
      <c r="O138" s="123">
        <f t="shared" si="77"/>
        <v>0</v>
      </c>
      <c r="P138" s="123" t="str">
        <f>+_xlfn.XLOOKUP(A138,PPTO_GENERADOR!Q:Q,PPTO_GENERADOR!E:E,"-",0)</f>
        <v>-</v>
      </c>
      <c r="Q138" s="123">
        <f t="shared" si="78"/>
        <v>0</v>
      </c>
      <c r="R138" s="125" t="str">
        <f>+_xlfn.XLOOKUP(A138,PPTO_GENERADOR!$Q:$Q,PPTO_GENERADOR!A:A,"-",0)</f>
        <v>-</v>
      </c>
    </row>
    <row r="139" spans="1:18" ht="14.25" customHeight="1" x14ac:dyDescent="0.35">
      <c r="A139" s="105" t="s">
        <v>1776</v>
      </c>
      <c r="B139" s="105" t="s">
        <v>1981</v>
      </c>
      <c r="C139" s="105" t="s">
        <v>1982</v>
      </c>
      <c r="D139" s="105" t="s">
        <v>584</v>
      </c>
      <c r="E139" s="95" t="str">
        <f>IFERROR(VLOOKUP(D139,MATERIALES!A:B,2,FALSE()),"?")</f>
        <v>Cinta de Papel 36 mm x 40m</v>
      </c>
      <c r="F139" s="129">
        <f>IFERROR(VLOOKUP(D139,MATERIALES!A:C,3,FALSE()),"?")</f>
        <v>0</v>
      </c>
      <c r="G139" s="119">
        <v>0.05</v>
      </c>
      <c r="H139" s="120">
        <v>0.1</v>
      </c>
      <c r="I139" s="96">
        <f>IFERROR(VLOOKUP(D139,MATERIALES!A:D,4,FALSE()),0)</f>
        <v>5885.9504132231395</v>
      </c>
      <c r="J139" s="31">
        <f t="shared" si="82"/>
        <v>323.72727272727269</v>
      </c>
      <c r="K139" s="32" t="str">
        <f t="shared" si="79"/>
        <v>PIN-146|MAT</v>
      </c>
      <c r="L139" s="32">
        <f>COUNTIFS($K$2:K139,K139)</f>
        <v>4</v>
      </c>
      <c r="M139" s="32" t="str">
        <f t="shared" si="80"/>
        <v>PIN-146|MAT|4</v>
      </c>
      <c r="N139" s="121">
        <f>IFERROR(VLOOKUP(A139,PARTIDAS!A:F,6,FALSE()),0)</f>
        <v>25</v>
      </c>
      <c r="O139" s="123">
        <f t="shared" si="77"/>
        <v>0</v>
      </c>
      <c r="P139" s="123" t="str">
        <f>+_xlfn.XLOOKUP(A139,PPTO_GENERADOR!Q:Q,PPTO_GENERADOR!E:E,"-",0)</f>
        <v>-</v>
      </c>
      <c r="Q139" s="123">
        <f t="shared" si="78"/>
        <v>0</v>
      </c>
      <c r="R139" s="125" t="str">
        <f>+_xlfn.XLOOKUP(A139,PPTO_GENERADOR!$Q:$Q,PPTO_GENERADOR!A:A,"-",0)</f>
        <v>-</v>
      </c>
    </row>
    <row r="140" spans="1:18" ht="14.25" customHeight="1" x14ac:dyDescent="0.35">
      <c r="A140" s="105" t="s">
        <v>1776</v>
      </c>
      <c r="B140" s="105" t="s">
        <v>1981</v>
      </c>
      <c r="C140" s="105" t="s">
        <v>1982</v>
      </c>
      <c r="D140" s="105" t="s">
        <v>922</v>
      </c>
      <c r="E140" s="95" t="str">
        <f>IFERROR(VLOOKUP(D140,MATERIALES!A:B,2,FALSE()),"?")</f>
        <v>Rodillo de lana pelo largo N°22 - El Galgo</v>
      </c>
      <c r="F140" s="129" t="str">
        <f>IFERROR(VLOOKUP(D140,MATERIALES!A:C,3,FALSE()),"?")</f>
        <v>u</v>
      </c>
      <c r="G140" s="119">
        <v>5.0000000000000001E-3</v>
      </c>
      <c r="H140" s="120">
        <v>0.05</v>
      </c>
      <c r="I140" s="96">
        <f>IFERROR(VLOOKUP(D140,MATERIALES!A:D,4,FALSE()),0)</f>
        <v>6442.15</v>
      </c>
      <c r="J140" s="31">
        <f t="shared" si="82"/>
        <v>33.821287499999997</v>
      </c>
      <c r="K140" s="32" t="str">
        <f t="shared" si="79"/>
        <v>PIN-146|MAT</v>
      </c>
      <c r="L140" s="32">
        <f>COUNTIFS($K$2:K140,K140)</f>
        <v>5</v>
      </c>
      <c r="M140" s="32" t="str">
        <f t="shared" si="80"/>
        <v>PIN-146|MAT|5</v>
      </c>
      <c r="N140" s="121">
        <f>IFERROR(VLOOKUP(A140,PARTIDAS!A:F,6,FALSE()),0)</f>
        <v>25</v>
      </c>
      <c r="O140" s="123">
        <f t="shared" si="77"/>
        <v>0</v>
      </c>
      <c r="P140" s="123" t="str">
        <f>+_xlfn.XLOOKUP(A140,PPTO_GENERADOR!Q:Q,PPTO_GENERADOR!E:E,"-",0)</f>
        <v>-</v>
      </c>
      <c r="Q140" s="123">
        <f t="shared" si="78"/>
        <v>0</v>
      </c>
      <c r="R140" s="125" t="str">
        <f>+_xlfn.XLOOKUP(A140,PPTO_GENERADOR!$Q:$Q,PPTO_GENERADOR!A:A,"-",0)</f>
        <v>-</v>
      </c>
    </row>
    <row r="141" spans="1:18" ht="14.25" customHeight="1" x14ac:dyDescent="0.35">
      <c r="A141" s="105" t="s">
        <v>1776</v>
      </c>
      <c r="B141" s="105" t="s">
        <v>1981</v>
      </c>
      <c r="C141" s="105" t="s">
        <v>1982</v>
      </c>
      <c r="D141" s="105" t="s">
        <v>1007</v>
      </c>
      <c r="E141" s="95" t="str">
        <f>IFERROR(VLOOKUP(D141,MATERIALES!A:B,2,FALSE()),"?")</f>
        <v>Pincel N° 20 - El Galgo</v>
      </c>
      <c r="F141" s="129" t="str">
        <f>IFERROR(VLOOKUP(D141,MATERIALES!A:C,3,FALSE()),"?")</f>
        <v>u</v>
      </c>
      <c r="G141" s="119">
        <v>5.0000000000000001E-3</v>
      </c>
      <c r="H141" s="120">
        <v>0.05</v>
      </c>
      <c r="I141" s="96">
        <f>IFERROR(VLOOKUP(D141,MATERIALES!A:D,4,FALSE()),0)</f>
        <v>4418.1818181818198</v>
      </c>
      <c r="J141" s="31">
        <f t="shared" si="82"/>
        <v>23.195454545454556</v>
      </c>
      <c r="K141" s="32" t="str">
        <f t="shared" si="79"/>
        <v>PIN-146|MAT</v>
      </c>
      <c r="L141" s="32">
        <f>COUNTIFS($K$2:K141,K141)</f>
        <v>6</v>
      </c>
      <c r="M141" s="32" t="str">
        <f t="shared" si="80"/>
        <v>PIN-146|MAT|6</v>
      </c>
      <c r="N141" s="121">
        <f>IFERROR(VLOOKUP(A141,PARTIDAS!A:F,6,FALSE()),0)</f>
        <v>25</v>
      </c>
      <c r="O141" s="123">
        <f t="shared" si="77"/>
        <v>0</v>
      </c>
      <c r="P141" s="123" t="str">
        <f>+_xlfn.XLOOKUP(A141,PPTO_GENERADOR!Q:Q,PPTO_GENERADOR!E:E,"-",0)</f>
        <v>-</v>
      </c>
      <c r="Q141" s="123">
        <f t="shared" si="78"/>
        <v>0</v>
      </c>
      <c r="R141" s="125" t="str">
        <f>+_xlfn.XLOOKUP(A141,PPTO_GENERADOR!$Q:$Q,PPTO_GENERADOR!A:A,"-",0)</f>
        <v>-</v>
      </c>
    </row>
    <row r="142" spans="1:18" ht="14.25" customHeight="1" x14ac:dyDescent="0.35">
      <c r="A142" s="105" t="s">
        <v>1776</v>
      </c>
      <c r="B142" s="105" t="s">
        <v>1981</v>
      </c>
      <c r="C142" s="105" t="s">
        <v>1982</v>
      </c>
      <c r="D142" s="105" t="s">
        <v>1033</v>
      </c>
      <c r="E142" s="95" t="str">
        <f>IFERROR(VLOOKUP(D142,MATERIALES!A:B,2,FALSE()),"?")</f>
        <v>Rollo de cartón corrugado 0,90 x 25 mts</v>
      </c>
      <c r="F142" s="129" t="str">
        <f>IFERROR(VLOOKUP(D142,MATERIALES!A:C,3,FALSE()),"?")</f>
        <v>u</v>
      </c>
      <c r="G142" s="119">
        <v>0.01</v>
      </c>
      <c r="H142" s="120">
        <v>0.05</v>
      </c>
      <c r="I142" s="96">
        <f>IFERROR(VLOOKUP(D142,MATERIALES!A:D,4,FALSE()),0)</f>
        <v>8173.5537190082696</v>
      </c>
      <c r="J142" s="31">
        <f t="shared" si="82"/>
        <v>85.822314049586836</v>
      </c>
      <c r="K142" s="32" t="str">
        <f t="shared" si="79"/>
        <v>PIN-146|MAT</v>
      </c>
      <c r="L142" s="32">
        <f>COUNTIFS($K$2:K142,K142)</f>
        <v>7</v>
      </c>
      <c r="M142" s="32" t="str">
        <f t="shared" si="80"/>
        <v>PIN-146|MAT|7</v>
      </c>
      <c r="N142" s="121">
        <f>IFERROR(VLOOKUP(A142,PARTIDAS!A:F,6,FALSE()),0)</f>
        <v>25</v>
      </c>
      <c r="O142" s="123">
        <f t="shared" si="77"/>
        <v>0</v>
      </c>
      <c r="P142" s="123" t="str">
        <f>+_xlfn.XLOOKUP(A142,PPTO_GENERADOR!Q:Q,PPTO_GENERADOR!E:E,"-",0)</f>
        <v>-</v>
      </c>
      <c r="Q142" s="123">
        <f t="shared" si="78"/>
        <v>0</v>
      </c>
      <c r="R142" s="125" t="str">
        <f>+_xlfn.XLOOKUP(A142,PPTO_GENERADOR!$Q:$Q,PPTO_GENERADOR!A:A,"-",0)</f>
        <v>-</v>
      </c>
    </row>
    <row r="143" spans="1:18" ht="14.25" customHeight="1" x14ac:dyDescent="0.35">
      <c r="A143" s="105" t="s">
        <v>1776</v>
      </c>
      <c r="B143" s="105" t="s">
        <v>1981</v>
      </c>
      <c r="C143" s="105" t="s">
        <v>1982</v>
      </c>
      <c r="D143" s="105" t="s">
        <v>578</v>
      </c>
      <c r="E143" s="95" t="str">
        <f>IFERROR(VLOOKUP(D143,MATERIALES!A:B,2,FALSE()),"?")</f>
        <v>Latex Loxon Interior Sherwin Williams Mate Bco x 20lts</v>
      </c>
      <c r="F143" s="129">
        <f>IFERROR(VLOOKUP(D143,MATERIALES!A:C,3,FALSE()),"?")</f>
        <v>0</v>
      </c>
      <c r="G143" s="119">
        <v>1.2500000000000001E-2</v>
      </c>
      <c r="H143" s="120">
        <v>0.1</v>
      </c>
      <c r="I143" s="96">
        <f>IFERROR(VLOOKUP(D143,MATERIALES!A:D,4,FALSE()),0)</f>
        <v>143389.25619834699</v>
      </c>
      <c r="J143" s="31">
        <f t="shared" si="82"/>
        <v>1971.6022727272714</v>
      </c>
      <c r="K143" s="32" t="str">
        <f t="shared" si="79"/>
        <v>PIN-146|MAT</v>
      </c>
      <c r="L143" s="32">
        <f>COUNTIFS($K$2:K143,K143)</f>
        <v>8</v>
      </c>
      <c r="M143" s="32" t="str">
        <f t="shared" si="80"/>
        <v>PIN-146|MAT|8</v>
      </c>
      <c r="N143" s="121">
        <f>IFERROR(VLOOKUP(A143,PARTIDAS!A:F,6,FALSE()),0)</f>
        <v>25</v>
      </c>
      <c r="O143" s="123">
        <f t="shared" si="77"/>
        <v>0</v>
      </c>
      <c r="P143" s="123" t="str">
        <f>+_xlfn.XLOOKUP(A143,PPTO_GENERADOR!Q:Q,PPTO_GENERADOR!E:E,"-",0)</f>
        <v>-</v>
      </c>
      <c r="Q143" s="123">
        <f t="shared" si="78"/>
        <v>0</v>
      </c>
      <c r="R143" s="125" t="str">
        <f>+_xlfn.XLOOKUP(A143,PPTO_GENERADOR!$Q:$Q,PPTO_GENERADOR!A:A,"-",0)</f>
        <v>-</v>
      </c>
    </row>
    <row r="144" spans="1:18" ht="14.25" customHeight="1" x14ac:dyDescent="0.35">
      <c r="A144" s="105" t="s">
        <v>1776</v>
      </c>
      <c r="B144" s="105" t="s">
        <v>1983</v>
      </c>
      <c r="C144" s="105"/>
      <c r="D144" s="105" t="s">
        <v>1327</v>
      </c>
      <c r="E144" s="95" t="str">
        <f>IFERROR(VLOOKUP(D144,EQUIPOS!A:B,2,FALSE()),"?")</f>
        <v>EQUIPO PARA PINTAR</v>
      </c>
      <c r="F144" s="129"/>
      <c r="G144" s="119">
        <v>1</v>
      </c>
      <c r="H144" s="120">
        <v>0</v>
      </c>
      <c r="I144" s="96">
        <f>IFERROR(VLOOKUP(D144,EQUIPOS!A:F,6,FALSE()),0)</f>
        <v>1873.3963608356808</v>
      </c>
      <c r="J144" s="31">
        <f>G144*I144</f>
        <v>1873.3963608356808</v>
      </c>
      <c r="K144" s="32" t="str">
        <f t="shared" si="79"/>
        <v>PIN-146|EQ</v>
      </c>
      <c r="L144" s="32">
        <f>COUNTIFS($K$2:K144,K144)</f>
        <v>1</v>
      </c>
      <c r="M144" s="32" t="str">
        <f t="shared" si="80"/>
        <v>PIN-146|EQ|1</v>
      </c>
      <c r="N144" s="121">
        <f>IFERROR(VLOOKUP(A144,PARTIDAS!A:F,6,FALSE()),0)</f>
        <v>25</v>
      </c>
      <c r="O144" s="123">
        <f t="shared" si="77"/>
        <v>0</v>
      </c>
      <c r="P144" s="123" t="str">
        <f>+_xlfn.XLOOKUP(A144,PPTO_GENERADOR!Q:Q,PPTO_GENERADOR!E:E,"-",0)</f>
        <v>-</v>
      </c>
      <c r="Q144" s="123">
        <f t="shared" si="78"/>
        <v>0</v>
      </c>
      <c r="R144" s="125" t="str">
        <f>+_xlfn.XLOOKUP(A144,PPTO_GENERADOR!$Q:$Q,PPTO_GENERADOR!A:A,"-",0)</f>
        <v>-</v>
      </c>
    </row>
    <row r="145" spans="1:18" ht="14.25" customHeight="1" x14ac:dyDescent="0.35">
      <c r="A145" s="105" t="s">
        <v>1776</v>
      </c>
      <c r="B145" s="105" t="s">
        <v>1979</v>
      </c>
      <c r="C145" s="105" t="s">
        <v>1980</v>
      </c>
      <c r="D145" s="105" t="s">
        <v>1292</v>
      </c>
      <c r="E145" s="95" t="str">
        <f>IFERROR(VLOOKUP(D145,MANO_DE_OBRA!A:B,2,FALSE()),"?")</f>
        <v>ESPECIALIZADO</v>
      </c>
      <c r="F145" s="129" t="s">
        <v>2042</v>
      </c>
      <c r="G145" s="119">
        <v>1</v>
      </c>
      <c r="H145" s="120">
        <v>0</v>
      </c>
      <c r="I145" s="96">
        <f>IFERROR(VLOOKUP(D145,MANO_DE_OBRA!A:C,3,FALSE()),0)</f>
        <v>94177.137883538904</v>
      </c>
      <c r="J145" s="31">
        <f t="shared" ref="J145" si="83">G145*I145</f>
        <v>94177.137883538904</v>
      </c>
      <c r="K145" s="32" t="str">
        <f t="shared" si="79"/>
        <v>PIN-146|MO</v>
      </c>
      <c r="L145" s="32">
        <f>COUNTIFS($K$2:K145,K145)</f>
        <v>1</v>
      </c>
      <c r="M145" s="32" t="str">
        <f t="shared" si="80"/>
        <v>PIN-146|MO|1</v>
      </c>
      <c r="N145" s="121">
        <f>IFERROR(VLOOKUP(A145,PARTIDAS!A:F,6,FALSE()),0)</f>
        <v>25</v>
      </c>
      <c r="O145" s="123">
        <f t="shared" si="77"/>
        <v>0.04</v>
      </c>
      <c r="P145" s="123" t="str">
        <f>+_xlfn.XLOOKUP(A145,PPTO_GENERADOR!Q:Q,PPTO_GENERADOR!E:E,"-",0)</f>
        <v>-</v>
      </c>
      <c r="Q145" s="123">
        <f t="shared" si="78"/>
        <v>0</v>
      </c>
      <c r="R145" s="125" t="str">
        <f>+_xlfn.XLOOKUP(A145,PPTO_GENERADOR!$Q:$Q,PPTO_GENERADOR!A:A,"-",0)</f>
        <v>-</v>
      </c>
    </row>
    <row r="146" spans="1:18" ht="14.25" customHeight="1" x14ac:dyDescent="0.35">
      <c r="A146" s="105" t="s">
        <v>1746</v>
      </c>
      <c r="B146" s="105" t="s">
        <v>1981</v>
      </c>
      <c r="C146" s="105" t="s">
        <v>1982</v>
      </c>
      <c r="D146" s="105" t="s">
        <v>1066</v>
      </c>
      <c r="E146" s="95" t="str">
        <f>IFERROR(VLOOKUP(D146,MATERIALES!A:B,2,FALSE()),"?")</f>
        <v>Caño rígido 7/8" x 3m</v>
      </c>
      <c r="F146" s="129" t="str">
        <f>IFERROR(VLOOKUP(D146,MATERIALES!A:C,3,FALSE()),"?")</f>
        <v>u</v>
      </c>
      <c r="G146" s="119">
        <v>5</v>
      </c>
      <c r="H146" s="120">
        <v>0.1</v>
      </c>
      <c r="I146" s="96">
        <f>IFERROR(VLOOKUP(D146,MATERIALES!A:D,4,FALSE()),0)</f>
        <v>514.58833333333303</v>
      </c>
      <c r="J146" s="31">
        <f t="shared" ref="J146:J154" si="84">G146*I146*(1+H146)</f>
        <v>2830.2358333333318</v>
      </c>
      <c r="K146" s="32" t="str">
        <f t="shared" si="79"/>
        <v>ELE-120|MAT</v>
      </c>
      <c r="L146" s="32">
        <f>COUNTIFS($K$2:K146,K146)</f>
        <v>2</v>
      </c>
      <c r="M146" s="32" t="str">
        <f t="shared" si="80"/>
        <v>ELE-120|MAT|2</v>
      </c>
      <c r="N146" s="121">
        <f>IFERROR(VLOOKUP(A146,PARTIDAS!A:F,6,FALSE()),0)</f>
        <v>3.25</v>
      </c>
      <c r="O146" s="123">
        <f t="shared" si="77"/>
        <v>0</v>
      </c>
      <c r="P146" s="123" t="str">
        <f>+_xlfn.XLOOKUP(A146,PPTO_GENERADOR!Q:Q,PPTO_GENERADOR!E:E,"-",0)</f>
        <v>-</v>
      </c>
      <c r="Q146" s="123">
        <f t="shared" si="78"/>
        <v>0</v>
      </c>
      <c r="R146" s="125" t="str">
        <f>+_xlfn.XLOOKUP(A146,PPTO_GENERADOR!$Q:$Q,PPTO_GENERADOR!A:A,"-",0)</f>
        <v>-</v>
      </c>
    </row>
    <row r="147" spans="1:18" ht="14.25" customHeight="1" x14ac:dyDescent="0.35">
      <c r="A147" s="105" t="s">
        <v>1746</v>
      </c>
      <c r="B147" s="105" t="s">
        <v>1981</v>
      </c>
      <c r="C147" s="105" t="s">
        <v>1982</v>
      </c>
      <c r="D147" s="105" t="s">
        <v>1072</v>
      </c>
      <c r="E147" s="95" t="str">
        <f>IFERROR(VLOOKUP(D147,MATERIALES!A:B,2,FALSE()),"?")</f>
        <v>Conector hierro 7/8"</v>
      </c>
      <c r="F147" s="129" t="str">
        <f>IFERROR(VLOOKUP(D147,MATERIALES!A:C,3,FALSE()),"?")</f>
        <v>u</v>
      </c>
      <c r="G147" s="119">
        <v>3</v>
      </c>
      <c r="H147" s="120">
        <v>0.1</v>
      </c>
      <c r="I147" s="96">
        <f>IFERROR(VLOOKUP(D147,MATERIALES!A:D,4,FALSE()),0)</f>
        <v>250.31899999999999</v>
      </c>
      <c r="J147" s="31">
        <f t="shared" si="84"/>
        <v>826.05270000000007</v>
      </c>
      <c r="K147" s="32" t="str">
        <f t="shared" si="79"/>
        <v>ELE-120|MAT</v>
      </c>
      <c r="L147" s="32">
        <f>COUNTIFS($K$2:K147,K147)</f>
        <v>3</v>
      </c>
      <c r="M147" s="32" t="str">
        <f t="shared" si="80"/>
        <v>ELE-120|MAT|3</v>
      </c>
      <c r="N147" s="121">
        <f>IFERROR(VLOOKUP(A147,PARTIDAS!A:F,6,FALSE()),0)</f>
        <v>3.25</v>
      </c>
      <c r="O147" s="123">
        <f t="shared" si="77"/>
        <v>0</v>
      </c>
      <c r="P147" s="123" t="str">
        <f>+_xlfn.XLOOKUP(A147,PPTO_GENERADOR!Q:Q,PPTO_GENERADOR!E:E,"-",0)</f>
        <v>-</v>
      </c>
      <c r="Q147" s="123">
        <f t="shared" si="78"/>
        <v>0</v>
      </c>
      <c r="R147" s="125" t="str">
        <f>+_xlfn.XLOOKUP(A147,PPTO_GENERADOR!$Q:$Q,PPTO_GENERADOR!A:A,"-",0)</f>
        <v>-</v>
      </c>
    </row>
    <row r="148" spans="1:18" ht="14.25" customHeight="1" x14ac:dyDescent="0.35">
      <c r="A148" s="105" t="s">
        <v>1746</v>
      </c>
      <c r="B148" s="105" t="s">
        <v>1981</v>
      </c>
      <c r="C148" s="105" t="s">
        <v>1982</v>
      </c>
      <c r="D148" s="105" t="s">
        <v>1074</v>
      </c>
      <c r="E148" s="95" t="str">
        <f>IFERROR(VLOOKUP(D148,MATERIALES!A:B,2,FALSE()),"?")</f>
        <v>Cupla PVC 7/8"</v>
      </c>
      <c r="F148" s="129" t="str">
        <f>IFERROR(VLOOKUP(D148,MATERIALES!A:C,3,FALSE()),"?")</f>
        <v>u</v>
      </c>
      <c r="G148" s="119">
        <v>2</v>
      </c>
      <c r="H148" s="120">
        <v>0.1</v>
      </c>
      <c r="I148" s="96">
        <f>IFERROR(VLOOKUP(D148,MATERIALES!A:D,4,FALSE()),0)</f>
        <v>110.121</v>
      </c>
      <c r="J148" s="31">
        <f t="shared" si="84"/>
        <v>242.2662</v>
      </c>
      <c r="K148" s="32" t="str">
        <f t="shared" si="79"/>
        <v>ELE-120|MAT</v>
      </c>
      <c r="L148" s="32">
        <f>COUNTIFS($K$2:K148,K148)</f>
        <v>4</v>
      </c>
      <c r="M148" s="32" t="str">
        <f t="shared" si="80"/>
        <v>ELE-120|MAT|4</v>
      </c>
      <c r="N148" s="121">
        <f>IFERROR(VLOOKUP(A148,PARTIDAS!A:F,6,FALSE()),0)</f>
        <v>3.25</v>
      </c>
      <c r="O148" s="123">
        <f t="shared" si="77"/>
        <v>0</v>
      </c>
      <c r="P148" s="123" t="str">
        <f>+_xlfn.XLOOKUP(A148,PPTO_GENERADOR!Q:Q,PPTO_GENERADOR!E:E,"-",0)</f>
        <v>-</v>
      </c>
      <c r="Q148" s="123">
        <f t="shared" si="78"/>
        <v>0</v>
      </c>
      <c r="R148" s="125" t="str">
        <f>+_xlfn.XLOOKUP(A148,PPTO_GENERADOR!$Q:$Q,PPTO_GENERADOR!A:A,"-",0)</f>
        <v>-</v>
      </c>
    </row>
    <row r="149" spans="1:18" ht="14.25" customHeight="1" x14ac:dyDescent="0.35">
      <c r="A149" s="105" t="s">
        <v>1746</v>
      </c>
      <c r="B149" s="105" t="s">
        <v>1981</v>
      </c>
      <c r="C149" s="105" t="s">
        <v>1982</v>
      </c>
      <c r="D149" s="105" t="s">
        <v>977</v>
      </c>
      <c r="E149" s="95" t="str">
        <f>IFERROR(VLOOKUP(D149,MATERIALES!A:B,2,FALSE()),"?")</f>
        <v>Caja rectangular chica</v>
      </c>
      <c r="F149" s="129" t="str">
        <f>IFERROR(VLOOKUP(D149,MATERIALES!A:C,3,FALSE()),"?")</f>
        <v>u</v>
      </c>
      <c r="G149" s="119">
        <v>0.5</v>
      </c>
      <c r="H149" s="120">
        <v>0.05</v>
      </c>
      <c r="I149" s="96">
        <f>IFERROR(VLOOKUP(D149,MATERIALES!A:D,4,FALSE()),0)</f>
        <v>217.14975799999999</v>
      </c>
      <c r="J149" s="31">
        <f t="shared" si="84"/>
        <v>114.00362294999999</v>
      </c>
      <c r="K149" s="32" t="str">
        <f t="shared" si="79"/>
        <v>ELE-120|MAT</v>
      </c>
      <c r="L149" s="32">
        <f>COUNTIFS($K$2:K149,K149)</f>
        <v>5</v>
      </c>
      <c r="M149" s="32" t="str">
        <f t="shared" si="80"/>
        <v>ELE-120|MAT|5</v>
      </c>
      <c r="N149" s="121">
        <f>IFERROR(VLOOKUP(A149,PARTIDAS!A:F,6,FALSE()),0)</f>
        <v>3.25</v>
      </c>
      <c r="O149" s="123">
        <f t="shared" si="77"/>
        <v>0</v>
      </c>
      <c r="P149" s="123" t="str">
        <f>+_xlfn.XLOOKUP(A149,PPTO_GENERADOR!Q:Q,PPTO_GENERADOR!E:E,"-",0)</f>
        <v>-</v>
      </c>
      <c r="Q149" s="123">
        <f t="shared" si="78"/>
        <v>0</v>
      </c>
      <c r="R149" s="125" t="str">
        <f>+_xlfn.XLOOKUP(A149,PPTO_GENERADOR!$Q:$Q,PPTO_GENERADOR!A:A,"-",0)</f>
        <v>-</v>
      </c>
    </row>
    <row r="150" spans="1:18" ht="14.25" customHeight="1" x14ac:dyDescent="0.35">
      <c r="A150" s="105" t="s">
        <v>1746</v>
      </c>
      <c r="B150" s="105" t="s">
        <v>1981</v>
      </c>
      <c r="C150" s="105" t="s">
        <v>1982</v>
      </c>
      <c r="D150" s="105" t="s">
        <v>1076</v>
      </c>
      <c r="E150" s="95" t="str">
        <f>IFERROR(VLOOKUP(D150,MATERIALES!A:B,2,FALSE()),"?")</f>
        <v>Caja octogonal chica</v>
      </c>
      <c r="F150" s="129" t="str">
        <f>IFERROR(VLOOKUP(D150,MATERIALES!A:C,3,FALSE()),"?")</f>
        <v>u</v>
      </c>
      <c r="G150" s="119">
        <v>1</v>
      </c>
      <c r="H150" s="120">
        <v>0.05</v>
      </c>
      <c r="I150" s="96">
        <f>IFERROR(VLOOKUP(D150,MATERIALES!A:D,4,FALSE()),0)</f>
        <v>217.14975799999999</v>
      </c>
      <c r="J150" s="31">
        <f t="shared" si="84"/>
        <v>228.00724589999999</v>
      </c>
      <c r="K150" s="32" t="str">
        <f t="shared" si="79"/>
        <v>ELE-120|MAT</v>
      </c>
      <c r="L150" s="32">
        <f>COUNTIFS($K$2:K150,K150)</f>
        <v>6</v>
      </c>
      <c r="M150" s="32" t="str">
        <f t="shared" si="80"/>
        <v>ELE-120|MAT|6</v>
      </c>
      <c r="N150" s="121">
        <f>IFERROR(VLOOKUP(A150,PARTIDAS!A:F,6,FALSE()),0)</f>
        <v>3.25</v>
      </c>
      <c r="O150" s="123">
        <f t="shared" si="77"/>
        <v>0</v>
      </c>
      <c r="P150" s="123" t="str">
        <f>+_xlfn.XLOOKUP(A150,PPTO_GENERADOR!Q:Q,PPTO_GENERADOR!E:E,"-",0)</f>
        <v>-</v>
      </c>
      <c r="Q150" s="123">
        <f t="shared" si="78"/>
        <v>0</v>
      </c>
      <c r="R150" s="125" t="str">
        <f>+_xlfn.XLOOKUP(A150,PPTO_GENERADOR!$Q:$Q,PPTO_GENERADOR!A:A,"-",0)</f>
        <v>-</v>
      </c>
    </row>
    <row r="151" spans="1:18" ht="14.25" customHeight="1" x14ac:dyDescent="0.35">
      <c r="A151" s="105" t="s">
        <v>1746</v>
      </c>
      <c r="B151" s="105" t="s">
        <v>1981</v>
      </c>
      <c r="C151" s="105" t="s">
        <v>1982</v>
      </c>
      <c r="D151" s="105" t="s">
        <v>1068</v>
      </c>
      <c r="E151" s="95" t="str">
        <f>IFERROR(VLOOKUP(D151,MATERIALES!A:B,2,FALSE()),"?")</f>
        <v>Cable unipolar 1 x 1,50</v>
      </c>
      <c r="F151" s="129" t="str">
        <f>IFERROR(VLOOKUP(D151,MATERIALES!A:C,3,FALSE()),"?")</f>
        <v>ml</v>
      </c>
      <c r="G151" s="119">
        <v>7.5</v>
      </c>
      <c r="H151" s="120">
        <v>0.1</v>
      </c>
      <c r="I151" s="96">
        <f>IFERROR(VLOOKUP(D151,MATERIALES!A:D,4,FALSE()),0)</f>
        <v>339.47162557191899</v>
      </c>
      <c r="J151" s="31">
        <f t="shared" si="84"/>
        <v>2800.6409109683323</v>
      </c>
      <c r="K151" s="32" t="str">
        <f t="shared" si="79"/>
        <v>ELE-120|MAT</v>
      </c>
      <c r="L151" s="32">
        <f>COUNTIFS($K$2:K151,K151)</f>
        <v>7</v>
      </c>
      <c r="M151" s="32" t="str">
        <f t="shared" si="80"/>
        <v>ELE-120|MAT|7</v>
      </c>
      <c r="N151" s="121">
        <f>IFERROR(VLOOKUP(A151,PARTIDAS!A:F,6,FALSE()),0)</f>
        <v>3.25</v>
      </c>
      <c r="O151" s="123">
        <f t="shared" si="77"/>
        <v>0</v>
      </c>
      <c r="P151" s="123" t="str">
        <f>+_xlfn.XLOOKUP(A151,PPTO_GENERADOR!Q:Q,PPTO_GENERADOR!E:E,"-",0)</f>
        <v>-</v>
      </c>
      <c r="Q151" s="123">
        <f t="shared" si="78"/>
        <v>0</v>
      </c>
      <c r="R151" s="125" t="str">
        <f>+_xlfn.XLOOKUP(A151,PPTO_GENERADOR!$Q:$Q,PPTO_GENERADOR!A:A,"-",0)</f>
        <v>-</v>
      </c>
    </row>
    <row r="152" spans="1:18" ht="14.25" customHeight="1" x14ac:dyDescent="0.35">
      <c r="A152" s="105" t="s">
        <v>1746</v>
      </c>
      <c r="B152" s="105" t="s">
        <v>1981</v>
      </c>
      <c r="C152" s="105" t="s">
        <v>1982</v>
      </c>
      <c r="D152" s="105" t="s">
        <v>974</v>
      </c>
      <c r="E152" s="95" t="str">
        <f>IFERROR(VLOOKUP(D152,MATERIALES!A:B,2,FALSE()),"?")</f>
        <v>Cable unipolar 1 x 2,50 VA</v>
      </c>
      <c r="F152" s="129" t="str">
        <f>IFERROR(VLOOKUP(D152,MATERIALES!A:C,3,FALSE()),"?")</f>
        <v>m</v>
      </c>
      <c r="G152" s="119">
        <v>5</v>
      </c>
      <c r="H152" s="120">
        <v>0.1</v>
      </c>
      <c r="I152" s="96">
        <f>IFERROR(VLOOKUP(D152,MATERIALES!A:D,4,FALSE()),0)</f>
        <v>546.37687500000004</v>
      </c>
      <c r="J152" s="31">
        <f t="shared" si="84"/>
        <v>3005.0728125000005</v>
      </c>
      <c r="K152" s="32" t="str">
        <f t="shared" si="79"/>
        <v>ELE-120|MAT</v>
      </c>
      <c r="L152" s="32">
        <f>COUNTIFS($K$2:K152,K152)</f>
        <v>8</v>
      </c>
      <c r="M152" s="32" t="str">
        <f t="shared" si="80"/>
        <v>ELE-120|MAT|8</v>
      </c>
      <c r="N152" s="121">
        <f>IFERROR(VLOOKUP(A152,PARTIDAS!A:F,6,FALSE()),0)</f>
        <v>3.25</v>
      </c>
      <c r="O152" s="123">
        <f t="shared" si="77"/>
        <v>0</v>
      </c>
      <c r="P152" s="123" t="str">
        <f>+_xlfn.XLOOKUP(A152,PPTO_GENERADOR!Q:Q,PPTO_GENERADOR!E:E,"-",0)</f>
        <v>-</v>
      </c>
      <c r="Q152" s="123">
        <f t="shared" si="78"/>
        <v>0</v>
      </c>
      <c r="R152" s="125" t="str">
        <f>+_xlfn.XLOOKUP(A152,PPTO_GENERADOR!$Q:$Q,PPTO_GENERADOR!A:A,"-",0)</f>
        <v>-</v>
      </c>
    </row>
    <row r="153" spans="1:18" ht="14.25" customHeight="1" x14ac:dyDescent="0.35">
      <c r="A153" s="105" t="s">
        <v>1746</v>
      </c>
      <c r="B153" s="105" t="s">
        <v>1981</v>
      </c>
      <c r="C153" s="105" t="s">
        <v>1982</v>
      </c>
      <c r="D153" s="105" t="s">
        <v>974</v>
      </c>
      <c r="E153" s="95" t="str">
        <f>IFERROR(VLOOKUP(D153,MATERIALES!A:B,2,FALSE()),"?")</f>
        <v>Cable unipolar 1 x 2,50 VA</v>
      </c>
      <c r="F153" s="129" t="str">
        <f>IFERROR(VLOOKUP(D153,MATERIALES!A:C,3,FALSE()),"?")</f>
        <v>m</v>
      </c>
      <c r="G153" s="119">
        <v>7.5</v>
      </c>
      <c r="H153" s="120">
        <v>0.1</v>
      </c>
      <c r="I153" s="96">
        <f>IFERROR(VLOOKUP(D153,MATERIALES!A:D,4,FALSE()),0)</f>
        <v>546.37687500000004</v>
      </c>
      <c r="J153" s="31">
        <f t="shared" si="84"/>
        <v>4507.6092187500008</v>
      </c>
      <c r="K153" s="32" t="str">
        <f t="shared" si="79"/>
        <v>ELE-120|MAT</v>
      </c>
      <c r="L153" s="32">
        <f>COUNTIFS($K$2:K153,K153)</f>
        <v>9</v>
      </c>
      <c r="M153" s="32" t="str">
        <f t="shared" si="80"/>
        <v>ELE-120|MAT|9</v>
      </c>
      <c r="N153" s="121">
        <f>IFERROR(VLOOKUP(A153,PARTIDAS!A:F,6,FALSE()),0)</f>
        <v>3.25</v>
      </c>
      <c r="O153" s="123">
        <f t="shared" si="77"/>
        <v>0</v>
      </c>
      <c r="P153" s="123" t="str">
        <f>+_xlfn.XLOOKUP(A153,PPTO_GENERADOR!Q:Q,PPTO_GENERADOR!E:E,"-",0)</f>
        <v>-</v>
      </c>
      <c r="Q153" s="123">
        <f t="shared" si="78"/>
        <v>0</v>
      </c>
      <c r="R153" s="125" t="str">
        <f>+_xlfn.XLOOKUP(A153,PPTO_GENERADOR!$Q:$Q,PPTO_GENERADOR!A:A,"-",0)</f>
        <v>-</v>
      </c>
    </row>
    <row r="154" spans="1:18" ht="14.25" customHeight="1" x14ac:dyDescent="0.35">
      <c r="A154" s="105" t="s">
        <v>1780</v>
      </c>
      <c r="B154" s="105" t="s">
        <v>1981</v>
      </c>
      <c r="C154" s="105" t="s">
        <v>1982</v>
      </c>
      <c r="D154" s="105" t="s">
        <v>979</v>
      </c>
      <c r="E154" s="95" t="str">
        <f>IFERROR(VLOOKUP(D154,MATERIALES!A:B,2,FALSE()),"?")</f>
        <v>Aporte de Tosca</v>
      </c>
      <c r="F154" s="129" t="str">
        <f>IFERROR(VLOOKUP(D154,MATERIALES!A:C,3,FALSE()),"?")</f>
        <v>m3</v>
      </c>
      <c r="G154" s="119">
        <v>1</v>
      </c>
      <c r="H154" s="120">
        <v>0.3</v>
      </c>
      <c r="I154" s="96">
        <f>IFERROR(VLOOKUP(D154,MATERIALES!A:D,4,FALSE()),0)</f>
        <v>9811.2871799999994</v>
      </c>
      <c r="J154" s="31">
        <f t="shared" si="84"/>
        <v>12754.673333999999</v>
      </c>
      <c r="K154" s="32" t="str">
        <f t="shared" si="79"/>
        <v>PRE-032|MAT</v>
      </c>
      <c r="L154" s="32">
        <f>COUNTIFS($K$2:K154,K154)</f>
        <v>1</v>
      </c>
      <c r="M154" s="32" t="str">
        <f t="shared" si="80"/>
        <v>PRE-032|MAT|1</v>
      </c>
      <c r="N154" s="121">
        <f>IFERROR(VLOOKUP(A154,PARTIDAS!A:F,6,FALSE()),0)</f>
        <v>25</v>
      </c>
      <c r="O154" s="123">
        <f t="shared" si="77"/>
        <v>0</v>
      </c>
      <c r="P154" s="123" t="str">
        <f>+_xlfn.XLOOKUP(A154,PPTO_GENERADOR!Q:Q,PPTO_GENERADOR!E:E,"-",0)</f>
        <v>-</v>
      </c>
      <c r="Q154" s="123">
        <f t="shared" si="78"/>
        <v>0</v>
      </c>
      <c r="R154" s="125" t="str">
        <f>+_xlfn.XLOOKUP(A154,PPTO_GENERADOR!$Q:$Q,PPTO_GENERADOR!A:A,"-",0)</f>
        <v>-</v>
      </c>
    </row>
    <row r="155" spans="1:18" ht="14.25" customHeight="1" x14ac:dyDescent="0.35">
      <c r="A155" s="105" t="s">
        <v>1780</v>
      </c>
      <c r="B155" s="105" t="s">
        <v>1979</v>
      </c>
      <c r="C155" s="105" t="s">
        <v>1980</v>
      </c>
      <c r="D155" s="105" t="s">
        <v>1292</v>
      </c>
      <c r="E155" s="95" t="str">
        <f>IFERROR(VLOOKUP(D155,MANO_DE_OBRA!A:B,2,FALSE()),"?")</f>
        <v>ESPECIALIZADO</v>
      </c>
      <c r="F155" s="129" t="s">
        <v>2042</v>
      </c>
      <c r="G155" s="119">
        <v>1</v>
      </c>
      <c r="H155" s="120">
        <v>0</v>
      </c>
      <c r="I155" s="96">
        <f>IFERROR(VLOOKUP(D155,MANO_DE_OBRA!A:C,3,FALSE()),0)</f>
        <v>94177.137883538904</v>
      </c>
      <c r="J155" s="31">
        <f t="shared" ref="J155:J156" si="85">G155*I155</f>
        <v>94177.137883538904</v>
      </c>
      <c r="K155" s="32" t="str">
        <f t="shared" si="79"/>
        <v>PRE-032|MO</v>
      </c>
      <c r="L155" s="32">
        <f>COUNTIFS($K$2:K155,K155)</f>
        <v>1</v>
      </c>
      <c r="M155" s="32" t="str">
        <f t="shared" si="80"/>
        <v>PRE-032|MO|1</v>
      </c>
      <c r="N155" s="121">
        <f>IFERROR(VLOOKUP(A155,PARTIDAS!A:F,6,FALSE()),0)</f>
        <v>25</v>
      </c>
      <c r="O155" s="123">
        <f t="shared" si="77"/>
        <v>0.04</v>
      </c>
      <c r="P155" s="123" t="str">
        <f>+_xlfn.XLOOKUP(A155,PPTO_GENERADOR!Q:Q,PPTO_GENERADOR!E:E,"-",0)</f>
        <v>-</v>
      </c>
      <c r="Q155" s="123">
        <f t="shared" si="78"/>
        <v>0</v>
      </c>
      <c r="R155" s="125" t="str">
        <f>+_xlfn.XLOOKUP(A155,PPTO_GENERADOR!$Q:$Q,PPTO_GENERADOR!A:A,"-",0)</f>
        <v>-</v>
      </c>
    </row>
    <row r="156" spans="1:18" ht="14.25" customHeight="1" x14ac:dyDescent="0.35">
      <c r="A156" s="105" t="s">
        <v>1780</v>
      </c>
      <c r="B156" s="105" t="s">
        <v>1979</v>
      </c>
      <c r="C156" s="105" t="s">
        <v>1980</v>
      </c>
      <c r="D156" s="105" t="s">
        <v>1288</v>
      </c>
      <c r="E156" s="95" t="str">
        <f>IFERROR(VLOOKUP(D156,MANO_DE_OBRA!A:B,2,FALSE()),"?")</f>
        <v>MEDIO OFICIAL</v>
      </c>
      <c r="F156" s="129" t="s">
        <v>2042</v>
      </c>
      <c r="G156" s="119">
        <v>1</v>
      </c>
      <c r="H156" s="120">
        <v>0</v>
      </c>
      <c r="I156" s="96">
        <f>IFERROR(VLOOKUP(D156,MANO_DE_OBRA!A:C,3,FALSE()),0)</f>
        <v>72132.138365590101</v>
      </c>
      <c r="J156" s="31">
        <f t="shared" si="85"/>
        <v>72132.138365590101</v>
      </c>
      <c r="K156" s="32" t="str">
        <f t="shared" si="79"/>
        <v>PRE-032|MO</v>
      </c>
      <c r="L156" s="32">
        <f>COUNTIFS($K$2:K156,K156)</f>
        <v>2</v>
      </c>
      <c r="M156" s="32" t="str">
        <f t="shared" si="80"/>
        <v>PRE-032|MO|2</v>
      </c>
      <c r="N156" s="121">
        <f>IFERROR(VLOOKUP(A156,PARTIDAS!A:F,6,FALSE()),0)</f>
        <v>25</v>
      </c>
      <c r="O156" s="123">
        <f t="shared" si="77"/>
        <v>0.04</v>
      </c>
      <c r="P156" s="123" t="str">
        <f>+_xlfn.XLOOKUP(A156,PPTO_GENERADOR!Q:Q,PPTO_GENERADOR!E:E,"-",0)</f>
        <v>-</v>
      </c>
      <c r="Q156" s="123">
        <f t="shared" si="78"/>
        <v>0</v>
      </c>
      <c r="R156" s="125" t="str">
        <f>+_xlfn.XLOOKUP(A156,PPTO_GENERADOR!$Q:$Q,PPTO_GENERADOR!A:A,"-",0)</f>
        <v>-</v>
      </c>
    </row>
    <row r="157" spans="1:18" ht="14.25" customHeight="1" x14ac:dyDescent="0.35">
      <c r="A157" s="105" t="s">
        <v>1784</v>
      </c>
      <c r="B157" s="105" t="s">
        <v>1981</v>
      </c>
      <c r="C157" s="105" t="s">
        <v>1982</v>
      </c>
      <c r="D157" s="105" t="s">
        <v>540</v>
      </c>
      <c r="E157" s="95" t="str">
        <f>IFERROR(VLOOKUP(D157,MATERIALES!A:B,2,FALSE()),"?")</f>
        <v>Cemento Portland x 50kg</v>
      </c>
      <c r="F157" s="129">
        <f>IFERROR(VLOOKUP(D157,MATERIALES!A:C,3,FALSE()),"?")</f>
        <v>0</v>
      </c>
      <c r="G157" s="119">
        <v>0.15</v>
      </c>
      <c r="H157" s="120">
        <v>0.1</v>
      </c>
      <c r="I157" s="96">
        <f>IFERROR(VLOOKUP(D157,MATERIALES!A:D,4,FALSE()),0)</f>
        <v>7891.74</v>
      </c>
      <c r="J157" s="31">
        <f t="shared" ref="J157:J162" si="86">G157*I157*(1+H157)</f>
        <v>1302.1371000000001</v>
      </c>
      <c r="K157" s="32" t="str">
        <f t="shared" si="79"/>
        <v>ALB-033|MAT</v>
      </c>
      <c r="L157" s="32">
        <f>COUNTIFS($K$2:K157,K157)</f>
        <v>1</v>
      </c>
      <c r="M157" s="32" t="str">
        <f t="shared" si="80"/>
        <v>ALB-033|MAT|1</v>
      </c>
      <c r="N157" s="121">
        <f>IFERROR(VLOOKUP(A157,PARTIDAS!A:F,6,FALSE()),0)</f>
        <v>7</v>
      </c>
      <c r="O157" s="123">
        <f t="shared" si="77"/>
        <v>0</v>
      </c>
      <c r="P157" s="123" t="str">
        <f>+_xlfn.XLOOKUP(A157,PPTO_GENERADOR!Q:Q,PPTO_GENERADOR!E:E,"-",0)</f>
        <v>-</v>
      </c>
      <c r="Q157" s="123">
        <f t="shared" si="78"/>
        <v>0</v>
      </c>
      <c r="R157" s="125" t="str">
        <f>+_xlfn.XLOOKUP(A157,PPTO_GENERADOR!$Q:$Q,PPTO_GENERADOR!A:A,"-",0)</f>
        <v>-</v>
      </c>
    </row>
    <row r="158" spans="1:18" ht="14.25" customHeight="1" x14ac:dyDescent="0.35">
      <c r="A158" s="105" t="s">
        <v>1784</v>
      </c>
      <c r="B158" s="105" t="s">
        <v>1981</v>
      </c>
      <c r="C158" s="105" t="s">
        <v>1982</v>
      </c>
      <c r="D158" s="105" t="s">
        <v>542</v>
      </c>
      <c r="E158" s="95" t="str">
        <f>IFERROR(VLOOKUP(D158,MATERIALES!A:B,2,FALSE()),"?")</f>
        <v>Cal Comun x 25kg</v>
      </c>
      <c r="F158" s="129">
        <f>IFERROR(VLOOKUP(D158,MATERIALES!A:C,3,FALSE()),"?")</f>
        <v>0</v>
      </c>
      <c r="G158" s="119">
        <v>0.3</v>
      </c>
      <c r="H158" s="120">
        <v>0.1</v>
      </c>
      <c r="I158" s="96">
        <f>IFERROR(VLOOKUP(D158,MATERIALES!A:D,4,FALSE()),0)</f>
        <v>3927.28</v>
      </c>
      <c r="J158" s="31">
        <f t="shared" si="86"/>
        <v>1296.0024000000001</v>
      </c>
      <c r="K158" s="32" t="str">
        <f t="shared" si="79"/>
        <v>ALB-033|MAT</v>
      </c>
      <c r="L158" s="32">
        <f>COUNTIFS($K$2:K158,K158)</f>
        <v>2</v>
      </c>
      <c r="M158" s="32" t="str">
        <f t="shared" si="80"/>
        <v>ALB-033|MAT|2</v>
      </c>
      <c r="N158" s="121">
        <f>IFERROR(VLOOKUP(A158,PARTIDAS!A:F,6,FALSE()),0)</f>
        <v>7</v>
      </c>
      <c r="O158" s="123">
        <f t="shared" si="77"/>
        <v>0</v>
      </c>
      <c r="P158" s="123" t="str">
        <f>+_xlfn.XLOOKUP(A158,PPTO_GENERADOR!Q:Q,PPTO_GENERADOR!E:E,"-",0)</f>
        <v>-</v>
      </c>
      <c r="Q158" s="123">
        <f t="shared" si="78"/>
        <v>0</v>
      </c>
      <c r="R158" s="125" t="str">
        <f>+_xlfn.XLOOKUP(A158,PPTO_GENERADOR!$Q:$Q,PPTO_GENERADOR!A:A,"-",0)</f>
        <v>-</v>
      </c>
    </row>
    <row r="159" spans="1:18" ht="14.25" customHeight="1" x14ac:dyDescent="0.35">
      <c r="A159" s="105" t="s">
        <v>1784</v>
      </c>
      <c r="B159" s="105" t="s">
        <v>1981</v>
      </c>
      <c r="C159" s="105" t="s">
        <v>1982</v>
      </c>
      <c r="D159" s="105" t="s">
        <v>533</v>
      </c>
      <c r="E159" s="95" t="str">
        <f>IFERROR(VLOOKUP(D159,MATERIALES!A:B,2,FALSE()),"?")</f>
        <v>Barra de Acero Aleteado - 6mm x 12m</v>
      </c>
      <c r="F159" s="129">
        <f>IFERROR(VLOOKUP(D159,MATERIALES!A:C,3,FALSE()),"?")</f>
        <v>0</v>
      </c>
      <c r="G159" s="119">
        <v>0.17</v>
      </c>
      <c r="H159" s="120">
        <v>0.1</v>
      </c>
      <c r="I159" s="96">
        <f>IFERROR(VLOOKUP(D159,MATERIALES!A:D,4,FALSE()),0)</f>
        <v>3620.13</v>
      </c>
      <c r="J159" s="31">
        <f t="shared" si="86"/>
        <v>676.96431000000018</v>
      </c>
      <c r="K159" s="32" t="str">
        <f t="shared" si="79"/>
        <v>ALB-033|MAT</v>
      </c>
      <c r="L159" s="32">
        <f>COUNTIFS($K$2:K159,K159)</f>
        <v>3</v>
      </c>
      <c r="M159" s="32" t="str">
        <f t="shared" si="80"/>
        <v>ALB-033|MAT|3</v>
      </c>
      <c r="N159" s="121">
        <f>IFERROR(VLOOKUP(A159,PARTIDAS!A:F,6,FALSE()),0)</f>
        <v>7</v>
      </c>
      <c r="O159" s="123">
        <f t="shared" si="77"/>
        <v>0</v>
      </c>
      <c r="P159" s="123" t="str">
        <f>+_xlfn.XLOOKUP(A159,PPTO_GENERADOR!Q:Q,PPTO_GENERADOR!E:E,"-",0)</f>
        <v>-</v>
      </c>
      <c r="Q159" s="123">
        <f t="shared" si="78"/>
        <v>0</v>
      </c>
      <c r="R159" s="125" t="str">
        <f>+_xlfn.XLOOKUP(A159,PPTO_GENERADOR!$Q:$Q,PPTO_GENERADOR!A:A,"-",0)</f>
        <v>-</v>
      </c>
    </row>
    <row r="160" spans="1:18" ht="14.25" customHeight="1" x14ac:dyDescent="0.35">
      <c r="A160" s="105" t="s">
        <v>1784</v>
      </c>
      <c r="B160" s="105" t="s">
        <v>1981</v>
      </c>
      <c r="C160" s="105" t="s">
        <v>1982</v>
      </c>
      <c r="D160" s="105" t="s">
        <v>547</v>
      </c>
      <c r="E160" s="95" t="str">
        <f>IFERROR(VLOOKUP(D160,MATERIALES!A:B,2,FALSE()),"?")</f>
        <v>Ladrillo Comun 12.5 x 5.5 x 25</v>
      </c>
      <c r="F160" s="129">
        <f>IFERROR(VLOOKUP(D160,MATERIALES!A:C,3,FALSE()),"?")</f>
        <v>0</v>
      </c>
      <c r="G160" s="119">
        <v>60</v>
      </c>
      <c r="H160" s="120">
        <v>0.05</v>
      </c>
      <c r="I160" s="96">
        <f>IFERROR(VLOOKUP(D160,MATERIALES!A:D,4,FALSE()),0)</f>
        <v>148.05000000000001</v>
      </c>
      <c r="J160" s="31">
        <f t="shared" si="86"/>
        <v>9327.15</v>
      </c>
      <c r="K160" s="32" t="str">
        <f t="shared" si="79"/>
        <v>ALB-033|MAT</v>
      </c>
      <c r="L160" s="32">
        <f>COUNTIFS($K$2:K160,K160)</f>
        <v>4</v>
      </c>
      <c r="M160" s="32" t="str">
        <f t="shared" si="80"/>
        <v>ALB-033|MAT|4</v>
      </c>
      <c r="N160" s="121">
        <f>IFERROR(VLOOKUP(A160,PARTIDAS!A:F,6,FALSE()),0)</f>
        <v>7</v>
      </c>
      <c r="O160" s="123">
        <f t="shared" si="77"/>
        <v>0</v>
      </c>
      <c r="P160" s="123" t="str">
        <f>+_xlfn.XLOOKUP(A160,PPTO_GENERADOR!Q:Q,PPTO_GENERADOR!E:E,"-",0)</f>
        <v>-</v>
      </c>
      <c r="Q160" s="123">
        <f t="shared" si="78"/>
        <v>0</v>
      </c>
      <c r="R160" s="125" t="str">
        <f>+_xlfn.XLOOKUP(A160,PPTO_GENERADOR!$Q:$Q,PPTO_GENERADOR!A:A,"-",0)</f>
        <v>-</v>
      </c>
    </row>
    <row r="161" spans="1:18" ht="14.25" customHeight="1" x14ac:dyDescent="0.35">
      <c r="A161" s="105" t="s">
        <v>1784</v>
      </c>
      <c r="B161" s="105" t="s">
        <v>1981</v>
      </c>
      <c r="C161" s="105" t="s">
        <v>1982</v>
      </c>
      <c r="D161" s="105" t="s">
        <v>538</v>
      </c>
      <c r="E161" s="95" t="str">
        <f>IFERROR(VLOOKUP(D161,MATERIALES!A:B,2,FALSE()),"?")</f>
        <v>ARENA LAVADA</v>
      </c>
      <c r="F161" s="129">
        <f>IFERROR(VLOOKUP(D161,MATERIALES!A:C,3,FALSE()),"?")</f>
        <v>0</v>
      </c>
      <c r="G161" s="119">
        <v>3.5000000000000003E-2</v>
      </c>
      <c r="H161" s="120">
        <v>0.1</v>
      </c>
      <c r="I161" s="96">
        <f>IFERROR(VLOOKUP(D161,MATERIALES!A:D,4,FALSE()),0)</f>
        <v>32620.38</v>
      </c>
      <c r="J161" s="31">
        <f t="shared" si="86"/>
        <v>1255.8846300000002</v>
      </c>
      <c r="K161" s="32" t="str">
        <f t="shared" si="79"/>
        <v>ALB-033|MAT</v>
      </c>
      <c r="L161" s="32">
        <f>COUNTIFS($K$2:K161,K161)</f>
        <v>5</v>
      </c>
      <c r="M161" s="32" t="str">
        <f t="shared" si="80"/>
        <v>ALB-033|MAT|5</v>
      </c>
      <c r="N161" s="121">
        <f>IFERROR(VLOOKUP(A161,PARTIDAS!A:F,6,FALSE()),0)</f>
        <v>7</v>
      </c>
      <c r="O161" s="123">
        <f t="shared" si="77"/>
        <v>0</v>
      </c>
      <c r="P161" s="123" t="str">
        <f>+_xlfn.XLOOKUP(A161,PPTO_GENERADOR!Q:Q,PPTO_GENERADOR!E:E,"-",0)</f>
        <v>-</v>
      </c>
      <c r="Q161" s="123">
        <f t="shared" si="78"/>
        <v>0</v>
      </c>
      <c r="R161" s="125" t="str">
        <f>+_xlfn.XLOOKUP(A161,PPTO_GENERADOR!$Q:$Q,PPTO_GENERADOR!A:A,"-",0)</f>
        <v>-</v>
      </c>
    </row>
    <row r="162" spans="1:18" ht="14.25" customHeight="1" x14ac:dyDescent="0.35">
      <c r="A162" s="105" t="s">
        <v>1784</v>
      </c>
      <c r="B162" s="105" t="s">
        <v>1981</v>
      </c>
      <c r="C162" s="105" t="s">
        <v>1982</v>
      </c>
      <c r="D162" s="105" t="s">
        <v>559</v>
      </c>
      <c r="E162" s="95" t="str">
        <f>IFERROR(VLOOKUP(D162,MATERIALES!A:B,2,FALSE()),"?")</f>
        <v>CONSUMIBLES (varios)</v>
      </c>
      <c r="F162" s="129" t="str">
        <f>IFERROR(VLOOKUP(D162,MATERIALES!A:C,3,FALSE()),"?")</f>
        <v>gl</v>
      </c>
      <c r="G162" s="119">
        <v>142.7388</v>
      </c>
      <c r="H162" s="120">
        <v>0</v>
      </c>
      <c r="I162" s="96">
        <f>IFERROR(VLOOKUP(D162,MATERIALES!A:D,4,FALSE()),0)</f>
        <v>1</v>
      </c>
      <c r="J162" s="31">
        <f t="shared" si="86"/>
        <v>142.7388</v>
      </c>
      <c r="K162" s="32" t="str">
        <f t="shared" si="79"/>
        <v>ALB-033|MAT</v>
      </c>
      <c r="L162" s="32">
        <f>COUNTIFS($K$2:K162,K162)</f>
        <v>6</v>
      </c>
      <c r="M162" s="32" t="str">
        <f t="shared" si="80"/>
        <v>ALB-033|MAT|6</v>
      </c>
      <c r="N162" s="121">
        <f>IFERROR(VLOOKUP(A162,PARTIDAS!A:F,6,FALSE()),0)</f>
        <v>7</v>
      </c>
      <c r="O162" s="123">
        <f t="shared" si="77"/>
        <v>0</v>
      </c>
      <c r="P162" s="123" t="str">
        <f>+_xlfn.XLOOKUP(A162,PPTO_GENERADOR!Q:Q,PPTO_GENERADOR!E:E,"-",0)</f>
        <v>-</v>
      </c>
      <c r="Q162" s="123">
        <f t="shared" si="78"/>
        <v>0</v>
      </c>
      <c r="R162" s="125" t="str">
        <f>+_xlfn.XLOOKUP(A162,PPTO_GENERADOR!$Q:$Q,PPTO_GENERADOR!A:A,"-",0)</f>
        <v>-</v>
      </c>
    </row>
    <row r="163" spans="1:18" ht="14.25" customHeight="1" x14ac:dyDescent="0.35">
      <c r="A163" s="105" t="s">
        <v>1784</v>
      </c>
      <c r="B163" s="105" t="s">
        <v>1983</v>
      </c>
      <c r="C163" s="105"/>
      <c r="D163" s="105" t="s">
        <v>1319</v>
      </c>
      <c r="E163" s="95" t="str">
        <f>IFERROR(VLOOKUP(D163,EQUIPOS!A:B,2,FALSE()),"?")</f>
        <v>EQUIPO DE ALBAÑILERIA, carpetas, ladrillo</v>
      </c>
      <c r="F163" s="129"/>
      <c r="G163" s="119">
        <v>1</v>
      </c>
      <c r="H163" s="120">
        <v>0</v>
      </c>
      <c r="I163" s="96">
        <f>IFERROR(VLOOKUP(D163,EQUIPOS!A:F,6,FALSE()),0)</f>
        <v>2485.8709964593982</v>
      </c>
      <c r="J163" s="31">
        <f t="shared" ref="J163:J165" si="87">G163*I163</f>
        <v>2485.8709964593982</v>
      </c>
      <c r="K163" s="32" t="str">
        <f t="shared" si="79"/>
        <v>ALB-033|EQ</v>
      </c>
      <c r="L163" s="32">
        <f>COUNTIFS($K$2:K163,K163)</f>
        <v>1</v>
      </c>
      <c r="M163" s="32" t="str">
        <f t="shared" si="80"/>
        <v>ALB-033|EQ|1</v>
      </c>
      <c r="N163" s="121">
        <f>IFERROR(VLOOKUP(A163,PARTIDAS!A:F,6,FALSE()),0)</f>
        <v>7</v>
      </c>
      <c r="O163" s="123">
        <f t="shared" si="77"/>
        <v>0</v>
      </c>
      <c r="P163" s="123" t="str">
        <f>+_xlfn.XLOOKUP(A163,PPTO_GENERADOR!Q:Q,PPTO_GENERADOR!E:E,"-",0)</f>
        <v>-</v>
      </c>
      <c r="Q163" s="123">
        <f t="shared" si="78"/>
        <v>0</v>
      </c>
      <c r="R163" s="125" t="str">
        <f>+_xlfn.XLOOKUP(A163,PPTO_GENERADOR!$Q:$Q,PPTO_GENERADOR!A:A,"-",0)</f>
        <v>-</v>
      </c>
    </row>
    <row r="164" spans="1:18" ht="14.25" customHeight="1" x14ac:dyDescent="0.35">
      <c r="A164" s="105" t="s">
        <v>1784</v>
      </c>
      <c r="B164" s="105" t="s">
        <v>1983</v>
      </c>
      <c r="C164" s="105"/>
      <c r="D164" s="105" t="s">
        <v>1313</v>
      </c>
      <c r="E164" s="95" t="str">
        <f>IFERROR(VLOOKUP(D164,EQUIPOS!A:B,2,FALSE()),"?")</f>
        <v>ANDAMIO TUBULAR DE UNO A TRES CUERPOS</v>
      </c>
      <c r="F164" s="129"/>
      <c r="G164" s="119">
        <v>0.5</v>
      </c>
      <c r="H164" s="120">
        <v>0</v>
      </c>
      <c r="I164" s="96">
        <f>IFERROR(VLOOKUP(D164,EQUIPOS!A:F,6,FALSE()),0)</f>
        <v>620.81078197718341</v>
      </c>
      <c r="J164" s="31">
        <f t="shared" si="87"/>
        <v>310.40539098859171</v>
      </c>
      <c r="K164" s="32" t="str">
        <f t="shared" si="79"/>
        <v>ALB-033|EQ</v>
      </c>
      <c r="L164" s="32">
        <f>COUNTIFS($K$2:K164,K164)</f>
        <v>2</v>
      </c>
      <c r="M164" s="32" t="str">
        <f t="shared" si="80"/>
        <v>ALB-033|EQ|2</v>
      </c>
      <c r="N164" s="121">
        <f>IFERROR(VLOOKUP(A164,PARTIDAS!A:F,6,FALSE()),0)</f>
        <v>7</v>
      </c>
      <c r="O164" s="123">
        <f t="shared" si="77"/>
        <v>0</v>
      </c>
      <c r="P164" s="123" t="str">
        <f>+_xlfn.XLOOKUP(A164,PPTO_GENERADOR!Q:Q,PPTO_GENERADOR!E:E,"-",0)</f>
        <v>-</v>
      </c>
      <c r="Q164" s="123">
        <f t="shared" si="78"/>
        <v>0</v>
      </c>
      <c r="R164" s="125" t="str">
        <f>+_xlfn.XLOOKUP(A164,PPTO_GENERADOR!$Q:$Q,PPTO_GENERADOR!A:A,"-",0)</f>
        <v>-</v>
      </c>
    </row>
    <row r="165" spans="1:18" ht="14.25" customHeight="1" x14ac:dyDescent="0.35">
      <c r="A165" s="105" t="s">
        <v>1784</v>
      </c>
      <c r="B165" s="105" t="s">
        <v>1983</v>
      </c>
      <c r="C165" s="105"/>
      <c r="D165" s="105" t="s">
        <v>1507</v>
      </c>
      <c r="E165" s="95" t="str">
        <f>IFERROR(VLOOKUP(D165,EQUIPOS!A:B,2,FALSE()),"?")</f>
        <v>Hormigonera De 150 Litros 1hp Con Rueda Maciza</v>
      </c>
      <c r="F165" s="129"/>
      <c r="G165" s="119">
        <v>1</v>
      </c>
      <c r="H165" s="120">
        <v>0</v>
      </c>
      <c r="I165" s="96">
        <f>IFERROR(VLOOKUP(D165,EQUIPOS!A:F,6,FALSE()),0)</f>
        <v>1040.4314486705237</v>
      </c>
      <c r="J165" s="31">
        <f t="shared" si="87"/>
        <v>1040.4314486705237</v>
      </c>
      <c r="K165" s="32" t="str">
        <f t="shared" si="79"/>
        <v>ALB-033|EQ</v>
      </c>
      <c r="L165" s="32">
        <f>COUNTIFS($K$2:K165,K165)</f>
        <v>3</v>
      </c>
      <c r="M165" s="32" t="str">
        <f t="shared" si="80"/>
        <v>ALB-033|EQ|3</v>
      </c>
      <c r="N165" s="121">
        <f>IFERROR(VLOOKUP(A165,PARTIDAS!A:F,6,FALSE()),0)</f>
        <v>7</v>
      </c>
      <c r="O165" s="123">
        <f t="shared" si="77"/>
        <v>0</v>
      </c>
      <c r="P165" s="123" t="str">
        <f>+_xlfn.XLOOKUP(A165,PPTO_GENERADOR!Q:Q,PPTO_GENERADOR!E:E,"-",0)</f>
        <v>-</v>
      </c>
      <c r="Q165" s="123">
        <f t="shared" si="78"/>
        <v>0</v>
      </c>
      <c r="R165" s="125" t="str">
        <f>+_xlfn.XLOOKUP(A165,PPTO_GENERADOR!$Q:$Q,PPTO_GENERADOR!A:A,"-",0)</f>
        <v>-</v>
      </c>
    </row>
    <row r="166" spans="1:18" ht="14.25" customHeight="1" x14ac:dyDescent="0.35">
      <c r="A166" s="105" t="s">
        <v>1784</v>
      </c>
      <c r="B166" s="105" t="s">
        <v>1979</v>
      </c>
      <c r="C166" s="105" t="s">
        <v>1980</v>
      </c>
      <c r="D166" s="105" t="s">
        <v>1292</v>
      </c>
      <c r="E166" s="95" t="str">
        <f>IFERROR(VLOOKUP(D166,MANO_DE_OBRA!A:B,2,FALSE()),"?")</f>
        <v>ESPECIALIZADO</v>
      </c>
      <c r="F166" s="129" t="s">
        <v>2042</v>
      </c>
      <c r="G166" s="119">
        <v>1</v>
      </c>
      <c r="H166" s="120">
        <v>0</v>
      </c>
      <c r="I166" s="96">
        <f>IFERROR(VLOOKUP(D166,MANO_DE_OBRA!A:C,3,FALSE()),0)</f>
        <v>94177.137883538904</v>
      </c>
      <c r="J166" s="31">
        <f t="shared" ref="J166:J167" si="88">G166*I166</f>
        <v>94177.137883538904</v>
      </c>
      <c r="K166" s="32" t="str">
        <f t="shared" si="79"/>
        <v>ALB-033|MO</v>
      </c>
      <c r="L166" s="32">
        <f>COUNTIFS($K$2:K166,K166)</f>
        <v>1</v>
      </c>
      <c r="M166" s="32" t="str">
        <f t="shared" si="80"/>
        <v>ALB-033|MO|1</v>
      </c>
      <c r="N166" s="121">
        <f>IFERROR(VLOOKUP(A166,PARTIDAS!A:F,6,FALSE()),0)</f>
        <v>7</v>
      </c>
      <c r="O166" s="123">
        <f t="shared" si="77"/>
        <v>0.14285714285714285</v>
      </c>
      <c r="P166" s="123" t="str">
        <f>+_xlfn.XLOOKUP(A166,PPTO_GENERADOR!Q:Q,PPTO_GENERADOR!E:E,"-",0)</f>
        <v>-</v>
      </c>
      <c r="Q166" s="123">
        <f t="shared" si="78"/>
        <v>0</v>
      </c>
      <c r="R166" s="125" t="str">
        <f>+_xlfn.XLOOKUP(A166,PPTO_GENERADOR!$Q:$Q,PPTO_GENERADOR!A:A,"-",0)</f>
        <v>-</v>
      </c>
    </row>
    <row r="167" spans="1:18" ht="14.25" customHeight="1" x14ac:dyDescent="0.35">
      <c r="A167" s="105" t="s">
        <v>1784</v>
      </c>
      <c r="B167" s="105" t="s">
        <v>1979</v>
      </c>
      <c r="C167" s="105" t="s">
        <v>1980</v>
      </c>
      <c r="D167" s="105" t="s">
        <v>2038</v>
      </c>
      <c r="E167" s="95" t="str">
        <f>IFERROR(VLOOKUP(D167,MANO_DE_OBRA!A:B,2,FALSE()),"?")</f>
        <v>AYUDANTE</v>
      </c>
      <c r="F167" s="129" t="s">
        <v>2042</v>
      </c>
      <c r="G167" s="119">
        <v>1</v>
      </c>
      <c r="H167" s="120">
        <v>0</v>
      </c>
      <c r="I167" s="96">
        <f>IFERROR(VLOOKUP(D167,MANO_DE_OBRA!A:C,3,FALSE()),0)</f>
        <v>67240.498860267602</v>
      </c>
      <c r="J167" s="31">
        <f t="shared" si="88"/>
        <v>67240.498860267602</v>
      </c>
      <c r="K167" s="32" t="str">
        <f t="shared" si="79"/>
        <v>ALB-033|MO</v>
      </c>
      <c r="L167" s="32">
        <f>COUNTIFS($K$2:K167,K167)</f>
        <v>2</v>
      </c>
      <c r="M167" s="32" t="str">
        <f t="shared" si="80"/>
        <v>ALB-033|MO|2</v>
      </c>
      <c r="N167" s="121">
        <f>IFERROR(VLOOKUP(A167,PARTIDAS!A:F,6,FALSE()),0)</f>
        <v>7</v>
      </c>
      <c r="O167" s="123">
        <f t="shared" si="77"/>
        <v>0.14285714285714285</v>
      </c>
      <c r="P167" s="123" t="str">
        <f>+_xlfn.XLOOKUP(A167,PPTO_GENERADOR!Q:Q,PPTO_GENERADOR!E:E,"-",0)</f>
        <v>-</v>
      </c>
      <c r="Q167" s="123">
        <f t="shared" si="78"/>
        <v>0</v>
      </c>
      <c r="R167" s="125" t="str">
        <f>+_xlfn.XLOOKUP(A167,PPTO_GENERADOR!$Q:$Q,PPTO_GENERADOR!A:A,"-",0)</f>
        <v>-</v>
      </c>
    </row>
    <row r="168" spans="1:18" ht="14.25" customHeight="1" x14ac:dyDescent="0.35">
      <c r="A168" s="105" t="s">
        <v>1787</v>
      </c>
      <c r="B168" s="105" t="s">
        <v>1981</v>
      </c>
      <c r="C168" s="105" t="s">
        <v>1982</v>
      </c>
      <c r="D168" s="105" t="s">
        <v>564</v>
      </c>
      <c r="E168" s="95" t="str">
        <f>IFERROR(VLOOKUP(D168,MATERIALES!A:B,2,FALSE()),"?")</f>
        <v>LADRILLO CERAMICO 8 x 18 x 33 cm</v>
      </c>
      <c r="F168" s="129">
        <f>IFERROR(VLOOKUP(D168,MATERIALES!A:C,3,FALSE()),"?")</f>
        <v>0</v>
      </c>
      <c r="G168" s="119">
        <v>15</v>
      </c>
      <c r="H168" s="120">
        <v>0.05</v>
      </c>
      <c r="I168" s="96">
        <f>IFERROR(VLOOKUP(D168,MATERIALES!A:D,4,FALSE()),0)</f>
        <v>506.52</v>
      </c>
      <c r="J168" s="31">
        <f t="shared" ref="J168:J173" si="89">G168*I168*(1+H168)</f>
        <v>7977.69</v>
      </c>
      <c r="K168" s="32" t="str">
        <f t="shared" si="79"/>
        <v>ALB-034|MAT</v>
      </c>
      <c r="L168" s="32">
        <f>COUNTIFS($K$2:K168,K168)</f>
        <v>1</v>
      </c>
      <c r="M168" s="32" t="str">
        <f t="shared" si="80"/>
        <v>ALB-034|MAT|1</v>
      </c>
      <c r="N168" s="121">
        <f>IFERROR(VLOOKUP(A168,PARTIDAS!A:F,6,FALSE()),0)</f>
        <v>15</v>
      </c>
      <c r="O168" s="123">
        <f t="shared" si="77"/>
        <v>0</v>
      </c>
      <c r="P168" s="123" t="str">
        <f>+_xlfn.XLOOKUP(A168,PPTO_GENERADOR!Q:Q,PPTO_GENERADOR!E:E,"-",0)</f>
        <v>-</v>
      </c>
      <c r="Q168" s="123">
        <f t="shared" si="78"/>
        <v>0</v>
      </c>
      <c r="R168" s="125" t="str">
        <f>+_xlfn.XLOOKUP(A168,PPTO_GENERADOR!$Q:$Q,PPTO_GENERADOR!A:A,"-",0)</f>
        <v>-</v>
      </c>
    </row>
    <row r="169" spans="1:18" ht="14.25" customHeight="1" x14ac:dyDescent="0.35">
      <c r="A169" s="105" t="s">
        <v>1787</v>
      </c>
      <c r="B169" s="105" t="s">
        <v>1981</v>
      </c>
      <c r="C169" s="105" t="s">
        <v>1982</v>
      </c>
      <c r="D169" s="105" t="s">
        <v>533</v>
      </c>
      <c r="E169" s="95" t="str">
        <f>IFERROR(VLOOKUP(D169,MATERIALES!A:B,2,FALSE()),"?")</f>
        <v>Barra de Acero Aleteado - 6mm x 12m</v>
      </c>
      <c r="F169" s="129">
        <f>IFERROR(VLOOKUP(D169,MATERIALES!A:C,3,FALSE()),"?")</f>
        <v>0</v>
      </c>
      <c r="G169" s="119">
        <v>0.17</v>
      </c>
      <c r="H169" s="120">
        <v>0.1</v>
      </c>
      <c r="I169" s="96">
        <f>IFERROR(VLOOKUP(D169,MATERIALES!A:D,4,FALSE()),0)</f>
        <v>3620.13</v>
      </c>
      <c r="J169" s="31">
        <f t="shared" si="89"/>
        <v>676.96431000000018</v>
      </c>
      <c r="K169" s="32" t="str">
        <f t="shared" si="79"/>
        <v>ALB-034|MAT</v>
      </c>
      <c r="L169" s="32">
        <f>COUNTIFS($K$2:K169,K169)</f>
        <v>2</v>
      </c>
      <c r="M169" s="32" t="str">
        <f t="shared" si="80"/>
        <v>ALB-034|MAT|2</v>
      </c>
      <c r="N169" s="121">
        <f>IFERROR(VLOOKUP(A169,PARTIDAS!A:F,6,FALSE()),0)</f>
        <v>15</v>
      </c>
      <c r="O169" s="123">
        <f t="shared" si="77"/>
        <v>0</v>
      </c>
      <c r="P169" s="123" t="str">
        <f>+_xlfn.XLOOKUP(A169,PPTO_GENERADOR!Q:Q,PPTO_GENERADOR!E:E,"-",0)</f>
        <v>-</v>
      </c>
      <c r="Q169" s="123">
        <f t="shared" si="78"/>
        <v>0</v>
      </c>
      <c r="R169" s="125" t="str">
        <f>+_xlfn.XLOOKUP(A169,PPTO_GENERADOR!$Q:$Q,PPTO_GENERADOR!A:A,"-",0)</f>
        <v>-</v>
      </c>
    </row>
    <row r="170" spans="1:18" ht="14.25" customHeight="1" x14ac:dyDescent="0.35">
      <c r="A170" s="105" t="s">
        <v>1787</v>
      </c>
      <c r="B170" s="105" t="s">
        <v>1981</v>
      </c>
      <c r="C170" s="105" t="s">
        <v>1982</v>
      </c>
      <c r="D170" s="105" t="s">
        <v>538</v>
      </c>
      <c r="E170" s="95" t="str">
        <f>IFERROR(VLOOKUP(D170,MATERIALES!A:B,2,FALSE()),"?")</f>
        <v>ARENA LAVADA</v>
      </c>
      <c r="F170" s="129">
        <f>IFERROR(VLOOKUP(D170,MATERIALES!A:C,3,FALSE()),"?")</f>
        <v>0</v>
      </c>
      <c r="G170" s="119">
        <v>1.2E-2</v>
      </c>
      <c r="H170" s="120">
        <v>0.1</v>
      </c>
      <c r="I170" s="96">
        <f>IFERROR(VLOOKUP(D170,MATERIALES!A:D,4,FALSE()),0)</f>
        <v>32620.38</v>
      </c>
      <c r="J170" s="31">
        <f t="shared" si="89"/>
        <v>430.58901600000007</v>
      </c>
      <c r="K170" s="32" t="str">
        <f t="shared" si="79"/>
        <v>ALB-034|MAT</v>
      </c>
      <c r="L170" s="32">
        <f>COUNTIFS($K$2:K170,K170)</f>
        <v>3</v>
      </c>
      <c r="M170" s="32" t="str">
        <f t="shared" si="80"/>
        <v>ALB-034|MAT|3</v>
      </c>
      <c r="N170" s="121">
        <f>IFERROR(VLOOKUP(A170,PARTIDAS!A:F,6,FALSE()),0)</f>
        <v>15</v>
      </c>
      <c r="O170" s="123">
        <f t="shared" si="77"/>
        <v>0</v>
      </c>
      <c r="P170" s="123" t="str">
        <f>+_xlfn.XLOOKUP(A170,PPTO_GENERADOR!Q:Q,PPTO_GENERADOR!E:E,"-",0)</f>
        <v>-</v>
      </c>
      <c r="Q170" s="123">
        <f t="shared" si="78"/>
        <v>0</v>
      </c>
      <c r="R170" s="125" t="str">
        <f>+_xlfn.XLOOKUP(A170,PPTO_GENERADOR!$Q:$Q,PPTO_GENERADOR!A:A,"-",0)</f>
        <v>-</v>
      </c>
    </row>
    <row r="171" spans="1:18" ht="14.25" customHeight="1" x14ac:dyDescent="0.35">
      <c r="A171" s="105" t="s">
        <v>1787</v>
      </c>
      <c r="B171" s="105" t="s">
        <v>1981</v>
      </c>
      <c r="C171" s="105" t="s">
        <v>1982</v>
      </c>
      <c r="D171" s="105" t="s">
        <v>542</v>
      </c>
      <c r="E171" s="95" t="str">
        <f>IFERROR(VLOOKUP(D171,MATERIALES!A:B,2,FALSE()),"?")</f>
        <v>Cal Comun x 25kg</v>
      </c>
      <c r="F171" s="129">
        <f>IFERROR(VLOOKUP(D171,MATERIALES!A:C,3,FALSE()),"?")</f>
        <v>0</v>
      </c>
      <c r="G171" s="119">
        <v>0.1</v>
      </c>
      <c r="H171" s="120">
        <v>0.1</v>
      </c>
      <c r="I171" s="96">
        <f>IFERROR(VLOOKUP(D171,MATERIALES!A:D,4,FALSE()),0)</f>
        <v>3927.28</v>
      </c>
      <c r="J171" s="31">
        <f t="shared" si="89"/>
        <v>432.00080000000008</v>
      </c>
      <c r="K171" s="32" t="str">
        <f t="shared" si="79"/>
        <v>ALB-034|MAT</v>
      </c>
      <c r="L171" s="32">
        <f>COUNTIFS($K$2:K171,K171)</f>
        <v>4</v>
      </c>
      <c r="M171" s="32" t="str">
        <f t="shared" si="80"/>
        <v>ALB-034|MAT|4</v>
      </c>
      <c r="N171" s="121">
        <f>IFERROR(VLOOKUP(A171,PARTIDAS!A:F,6,FALSE()),0)</f>
        <v>15</v>
      </c>
      <c r="O171" s="123">
        <f t="shared" si="77"/>
        <v>0</v>
      </c>
      <c r="P171" s="123" t="str">
        <f>+_xlfn.XLOOKUP(A171,PPTO_GENERADOR!Q:Q,PPTO_GENERADOR!E:E,"-",0)</f>
        <v>-</v>
      </c>
      <c r="Q171" s="123">
        <f t="shared" si="78"/>
        <v>0</v>
      </c>
      <c r="R171" s="125" t="str">
        <f>+_xlfn.XLOOKUP(A171,PPTO_GENERADOR!$Q:$Q,PPTO_GENERADOR!A:A,"-",0)</f>
        <v>-</v>
      </c>
    </row>
    <row r="172" spans="1:18" ht="14.25" customHeight="1" x14ac:dyDescent="0.35">
      <c r="A172" s="105" t="s">
        <v>1787</v>
      </c>
      <c r="B172" s="105" t="s">
        <v>1981</v>
      </c>
      <c r="C172" s="105" t="s">
        <v>1982</v>
      </c>
      <c r="D172" s="105" t="s">
        <v>540</v>
      </c>
      <c r="E172" s="95" t="str">
        <f>IFERROR(VLOOKUP(D172,MATERIALES!A:B,2,FALSE()),"?")</f>
        <v>Cemento Portland x 50kg</v>
      </c>
      <c r="F172" s="129">
        <f>IFERROR(VLOOKUP(D172,MATERIALES!A:C,3,FALSE()),"?")</f>
        <v>0</v>
      </c>
      <c r="G172" s="119">
        <v>0.05</v>
      </c>
      <c r="H172" s="120">
        <v>0.1</v>
      </c>
      <c r="I172" s="96">
        <f>IFERROR(VLOOKUP(D172,MATERIALES!A:D,4,FALSE()),0)</f>
        <v>7891.74</v>
      </c>
      <c r="J172" s="31">
        <f t="shared" si="89"/>
        <v>434.04570000000001</v>
      </c>
      <c r="K172" s="32" t="str">
        <f t="shared" si="79"/>
        <v>ALB-034|MAT</v>
      </c>
      <c r="L172" s="32">
        <f>COUNTIFS($K$2:K172,K172)</f>
        <v>5</v>
      </c>
      <c r="M172" s="32" t="str">
        <f t="shared" si="80"/>
        <v>ALB-034|MAT|5</v>
      </c>
      <c r="N172" s="121">
        <f>IFERROR(VLOOKUP(A172,PARTIDAS!A:F,6,FALSE()),0)</f>
        <v>15</v>
      </c>
      <c r="O172" s="123">
        <f t="shared" si="77"/>
        <v>0</v>
      </c>
      <c r="P172" s="123" t="str">
        <f>+_xlfn.XLOOKUP(A172,PPTO_GENERADOR!Q:Q,PPTO_GENERADOR!E:E,"-",0)</f>
        <v>-</v>
      </c>
      <c r="Q172" s="123">
        <f t="shared" si="78"/>
        <v>0</v>
      </c>
      <c r="R172" s="125" t="str">
        <f>+_xlfn.XLOOKUP(A172,PPTO_GENERADOR!$Q:$Q,PPTO_GENERADOR!A:A,"-",0)</f>
        <v>-</v>
      </c>
    </row>
    <row r="173" spans="1:18" ht="14.25" customHeight="1" x14ac:dyDescent="0.35">
      <c r="A173" s="105" t="s">
        <v>1787</v>
      </c>
      <c r="B173" s="105" t="s">
        <v>1981</v>
      </c>
      <c r="C173" s="105" t="s">
        <v>1982</v>
      </c>
      <c r="D173" s="105" t="s">
        <v>559</v>
      </c>
      <c r="E173" s="95" t="str">
        <f>IFERROR(VLOOKUP(D173,MATERIALES!A:B,2,FALSE()),"?")</f>
        <v>CONSUMIBLES (varios)</v>
      </c>
      <c r="F173" s="129" t="str">
        <f>IFERROR(VLOOKUP(D173,MATERIALES!A:C,3,FALSE()),"?")</f>
        <v>gl</v>
      </c>
      <c r="G173" s="119">
        <v>102.4983</v>
      </c>
      <c r="H173" s="120">
        <v>0</v>
      </c>
      <c r="I173" s="96">
        <f>IFERROR(VLOOKUP(D173,MATERIALES!A:D,4,FALSE()),0)</f>
        <v>1</v>
      </c>
      <c r="J173" s="31">
        <f t="shared" si="89"/>
        <v>102.4983</v>
      </c>
      <c r="K173" s="32" t="str">
        <f t="shared" si="79"/>
        <v>ALB-034|MAT</v>
      </c>
      <c r="L173" s="32">
        <f>COUNTIFS($K$2:K173,K173)</f>
        <v>6</v>
      </c>
      <c r="M173" s="32" t="str">
        <f t="shared" si="80"/>
        <v>ALB-034|MAT|6</v>
      </c>
      <c r="N173" s="121">
        <f>IFERROR(VLOOKUP(A173,PARTIDAS!A:F,6,FALSE()),0)</f>
        <v>15</v>
      </c>
      <c r="O173" s="123">
        <f t="shared" si="77"/>
        <v>0</v>
      </c>
      <c r="P173" s="123" t="str">
        <f>+_xlfn.XLOOKUP(A173,PPTO_GENERADOR!Q:Q,PPTO_GENERADOR!E:E,"-",0)</f>
        <v>-</v>
      </c>
      <c r="Q173" s="123">
        <f t="shared" si="78"/>
        <v>0</v>
      </c>
      <c r="R173" s="125" t="str">
        <f>+_xlfn.XLOOKUP(A173,PPTO_GENERADOR!$Q:$Q,PPTO_GENERADOR!A:A,"-",0)</f>
        <v>-</v>
      </c>
    </row>
    <row r="174" spans="1:18" ht="14.25" customHeight="1" x14ac:dyDescent="0.35">
      <c r="A174" s="105" t="s">
        <v>1787</v>
      </c>
      <c r="B174" s="105" t="s">
        <v>1983</v>
      </c>
      <c r="C174" s="105"/>
      <c r="D174" s="105" t="s">
        <v>1319</v>
      </c>
      <c r="E174" s="95" t="str">
        <f>IFERROR(VLOOKUP(D174,EQUIPOS!A:B,2,FALSE()),"?")</f>
        <v>EQUIPO DE ALBAÑILERIA, carpetas, ladrillo</v>
      </c>
      <c r="F174" s="129"/>
      <c r="G174" s="119">
        <v>1</v>
      </c>
      <c r="H174" s="120">
        <v>0</v>
      </c>
      <c r="I174" s="96">
        <f>IFERROR(VLOOKUP(D174,EQUIPOS!A:F,6,FALSE()),0)</f>
        <v>2485.8709964593982</v>
      </c>
      <c r="J174" s="31">
        <f t="shared" ref="J174:J176" si="90">G174*I174</f>
        <v>2485.8709964593982</v>
      </c>
      <c r="K174" s="32" t="str">
        <f t="shared" si="79"/>
        <v>ALB-034|EQ</v>
      </c>
      <c r="L174" s="32">
        <f>COUNTIFS($K$2:K174,K174)</f>
        <v>1</v>
      </c>
      <c r="M174" s="32" t="str">
        <f t="shared" si="80"/>
        <v>ALB-034|EQ|1</v>
      </c>
      <c r="N174" s="121">
        <f>IFERROR(VLOOKUP(A174,PARTIDAS!A:F,6,FALSE()),0)</f>
        <v>15</v>
      </c>
      <c r="O174" s="123">
        <f t="shared" si="77"/>
        <v>0</v>
      </c>
      <c r="P174" s="123" t="str">
        <f>+_xlfn.XLOOKUP(A174,PPTO_GENERADOR!Q:Q,PPTO_GENERADOR!E:E,"-",0)</f>
        <v>-</v>
      </c>
      <c r="Q174" s="123">
        <f t="shared" si="78"/>
        <v>0</v>
      </c>
      <c r="R174" s="125" t="str">
        <f>+_xlfn.XLOOKUP(A174,PPTO_GENERADOR!$Q:$Q,PPTO_GENERADOR!A:A,"-",0)</f>
        <v>-</v>
      </c>
    </row>
    <row r="175" spans="1:18" ht="14.25" customHeight="1" x14ac:dyDescent="0.35">
      <c r="A175" s="105" t="s">
        <v>1787</v>
      </c>
      <c r="B175" s="105" t="s">
        <v>1983</v>
      </c>
      <c r="C175" s="105"/>
      <c r="D175" s="105" t="s">
        <v>1313</v>
      </c>
      <c r="E175" s="95" t="str">
        <f>IFERROR(VLOOKUP(D175,EQUIPOS!A:B,2,FALSE()),"?")</f>
        <v>ANDAMIO TUBULAR DE UNO A TRES CUERPOS</v>
      </c>
      <c r="F175" s="129"/>
      <c r="G175" s="119">
        <v>0.5</v>
      </c>
      <c r="H175" s="120">
        <v>0</v>
      </c>
      <c r="I175" s="96">
        <f>IFERROR(VLOOKUP(D175,EQUIPOS!A:F,6,FALSE()),0)</f>
        <v>620.81078197718341</v>
      </c>
      <c r="J175" s="31">
        <f t="shared" si="90"/>
        <v>310.40539098859171</v>
      </c>
      <c r="K175" s="32" t="str">
        <f t="shared" si="79"/>
        <v>ALB-034|EQ</v>
      </c>
      <c r="L175" s="32">
        <f>COUNTIFS($K$2:K175,K175)</f>
        <v>2</v>
      </c>
      <c r="M175" s="32" t="str">
        <f t="shared" si="80"/>
        <v>ALB-034|EQ|2</v>
      </c>
      <c r="N175" s="121">
        <f>IFERROR(VLOOKUP(A175,PARTIDAS!A:F,6,FALSE()),0)</f>
        <v>15</v>
      </c>
      <c r="O175" s="123">
        <f t="shared" si="77"/>
        <v>0</v>
      </c>
      <c r="P175" s="123" t="str">
        <f>+_xlfn.XLOOKUP(A175,PPTO_GENERADOR!Q:Q,PPTO_GENERADOR!E:E,"-",0)</f>
        <v>-</v>
      </c>
      <c r="Q175" s="123">
        <f t="shared" si="78"/>
        <v>0</v>
      </c>
      <c r="R175" s="125" t="str">
        <f>+_xlfn.XLOOKUP(A175,PPTO_GENERADOR!$Q:$Q,PPTO_GENERADOR!A:A,"-",0)</f>
        <v>-</v>
      </c>
    </row>
    <row r="176" spans="1:18" ht="14.25" customHeight="1" x14ac:dyDescent="0.35">
      <c r="A176" s="105" t="s">
        <v>1787</v>
      </c>
      <c r="B176" s="105" t="s">
        <v>1983</v>
      </c>
      <c r="C176" s="105"/>
      <c r="D176" s="105" t="s">
        <v>1507</v>
      </c>
      <c r="E176" s="95" t="str">
        <f>IFERROR(VLOOKUP(D176,EQUIPOS!A:B,2,FALSE()),"?")</f>
        <v>Hormigonera De 150 Litros 1hp Con Rueda Maciza</v>
      </c>
      <c r="F176" s="129"/>
      <c r="G176" s="119">
        <v>1</v>
      </c>
      <c r="H176" s="120">
        <v>0</v>
      </c>
      <c r="I176" s="96">
        <f>IFERROR(VLOOKUP(D176,EQUIPOS!A:F,6,FALSE()),0)</f>
        <v>1040.4314486705237</v>
      </c>
      <c r="J176" s="31">
        <f t="shared" si="90"/>
        <v>1040.4314486705237</v>
      </c>
      <c r="K176" s="32" t="str">
        <f t="shared" si="79"/>
        <v>ALB-034|EQ</v>
      </c>
      <c r="L176" s="32">
        <f>COUNTIFS($K$2:K176,K176)</f>
        <v>3</v>
      </c>
      <c r="M176" s="32" t="str">
        <f t="shared" si="80"/>
        <v>ALB-034|EQ|3</v>
      </c>
      <c r="N176" s="121">
        <f>IFERROR(VLOOKUP(A176,PARTIDAS!A:F,6,FALSE()),0)</f>
        <v>15</v>
      </c>
      <c r="O176" s="123">
        <f t="shared" si="77"/>
        <v>0</v>
      </c>
      <c r="P176" s="123" t="str">
        <f>+_xlfn.XLOOKUP(A176,PPTO_GENERADOR!Q:Q,PPTO_GENERADOR!E:E,"-",0)</f>
        <v>-</v>
      </c>
      <c r="Q176" s="123">
        <f t="shared" si="78"/>
        <v>0</v>
      </c>
      <c r="R176" s="125" t="str">
        <f>+_xlfn.XLOOKUP(A176,PPTO_GENERADOR!$Q:$Q,PPTO_GENERADOR!A:A,"-",0)</f>
        <v>-</v>
      </c>
    </row>
    <row r="177" spans="1:18" ht="14.25" customHeight="1" x14ac:dyDescent="0.35">
      <c r="A177" s="105" t="s">
        <v>1787</v>
      </c>
      <c r="B177" s="105" t="s">
        <v>1979</v>
      </c>
      <c r="C177" s="105" t="s">
        <v>1980</v>
      </c>
      <c r="D177" s="105" t="s">
        <v>1292</v>
      </c>
      <c r="E177" s="95" t="str">
        <f>IFERROR(VLOOKUP(D177,MANO_DE_OBRA!A:B,2,FALSE()),"?")</f>
        <v>ESPECIALIZADO</v>
      </c>
      <c r="F177" s="129" t="s">
        <v>2042</v>
      </c>
      <c r="G177" s="119">
        <v>1</v>
      </c>
      <c r="H177" s="120">
        <v>0</v>
      </c>
      <c r="I177" s="96">
        <f>IFERROR(VLOOKUP(D177,MANO_DE_OBRA!A:C,3,FALSE()),0)</f>
        <v>94177.137883538904</v>
      </c>
      <c r="J177" s="31">
        <f t="shared" ref="J177:J178" si="91">G177*I177</f>
        <v>94177.137883538904</v>
      </c>
      <c r="K177" s="32" t="str">
        <f t="shared" si="79"/>
        <v>ALB-034|MO</v>
      </c>
      <c r="L177" s="32">
        <f>COUNTIFS($K$2:K177,K177)</f>
        <v>1</v>
      </c>
      <c r="M177" s="32" t="str">
        <f t="shared" si="80"/>
        <v>ALB-034|MO|1</v>
      </c>
      <c r="N177" s="121">
        <f>IFERROR(VLOOKUP(A177,PARTIDAS!A:F,6,FALSE()),0)</f>
        <v>15</v>
      </c>
      <c r="O177" s="123">
        <f t="shared" si="77"/>
        <v>6.6666666666666666E-2</v>
      </c>
      <c r="P177" s="123" t="str">
        <f>+_xlfn.XLOOKUP(A177,PPTO_GENERADOR!Q:Q,PPTO_GENERADOR!E:E,"-",0)</f>
        <v>-</v>
      </c>
      <c r="Q177" s="123">
        <f t="shared" si="78"/>
        <v>0</v>
      </c>
      <c r="R177" s="125" t="str">
        <f>+_xlfn.XLOOKUP(A177,PPTO_GENERADOR!$Q:$Q,PPTO_GENERADOR!A:A,"-",0)</f>
        <v>-</v>
      </c>
    </row>
    <row r="178" spans="1:18" ht="14.25" customHeight="1" x14ac:dyDescent="0.35">
      <c r="A178" s="105" t="s">
        <v>1787</v>
      </c>
      <c r="B178" s="105" t="s">
        <v>1979</v>
      </c>
      <c r="C178" s="105" t="s">
        <v>1980</v>
      </c>
      <c r="D178" s="105" t="s">
        <v>2038</v>
      </c>
      <c r="E178" s="95" t="str">
        <f>IFERROR(VLOOKUP(D178,MANO_DE_OBRA!A:B,2,FALSE()),"?")</f>
        <v>AYUDANTE</v>
      </c>
      <c r="F178" s="129" t="s">
        <v>2042</v>
      </c>
      <c r="G178" s="119">
        <v>1</v>
      </c>
      <c r="H178" s="120">
        <v>0</v>
      </c>
      <c r="I178" s="96">
        <f>IFERROR(VLOOKUP(D178,MANO_DE_OBRA!A:C,3,FALSE()),0)</f>
        <v>67240.498860267602</v>
      </c>
      <c r="J178" s="31">
        <f t="shared" si="91"/>
        <v>67240.498860267602</v>
      </c>
      <c r="K178" s="32" t="str">
        <f t="shared" si="79"/>
        <v>ALB-034|MO</v>
      </c>
      <c r="L178" s="32">
        <f>COUNTIFS($K$2:K178,K178)</f>
        <v>2</v>
      </c>
      <c r="M178" s="32" t="str">
        <f t="shared" si="80"/>
        <v>ALB-034|MO|2</v>
      </c>
      <c r="N178" s="121">
        <f>IFERROR(VLOOKUP(A178,PARTIDAS!A:F,6,FALSE()),0)</f>
        <v>15</v>
      </c>
      <c r="O178" s="123">
        <f t="shared" si="77"/>
        <v>6.6666666666666666E-2</v>
      </c>
      <c r="P178" s="123" t="str">
        <f>+_xlfn.XLOOKUP(A178,PPTO_GENERADOR!Q:Q,PPTO_GENERADOR!E:E,"-",0)</f>
        <v>-</v>
      </c>
      <c r="Q178" s="123">
        <f t="shared" si="78"/>
        <v>0</v>
      </c>
      <c r="R178" s="125" t="str">
        <f>+_xlfn.XLOOKUP(A178,PPTO_GENERADOR!$Q:$Q,PPTO_GENERADOR!A:A,"-",0)</f>
        <v>-</v>
      </c>
    </row>
    <row r="179" spans="1:18" ht="14.25" customHeight="1" x14ac:dyDescent="0.35">
      <c r="A179" s="105" t="s">
        <v>1790</v>
      </c>
      <c r="B179" s="105" t="s">
        <v>1981</v>
      </c>
      <c r="C179" s="105" t="s">
        <v>1982</v>
      </c>
      <c r="D179" s="105" t="s">
        <v>533</v>
      </c>
      <c r="E179" s="95" t="str">
        <f>IFERROR(VLOOKUP(D179,MATERIALES!A:B,2,FALSE()),"?")</f>
        <v>Barra de Acero Aleteado - 6mm x 12m</v>
      </c>
      <c r="F179" s="129">
        <f>IFERROR(VLOOKUP(D179,MATERIALES!A:C,3,FALSE()),"?")</f>
        <v>0</v>
      </c>
      <c r="G179" s="119">
        <v>0.17</v>
      </c>
      <c r="H179" s="120">
        <v>0.1</v>
      </c>
      <c r="I179" s="96">
        <f>IFERROR(VLOOKUP(D179,MATERIALES!A:D,4,FALSE()),0)</f>
        <v>3620.13</v>
      </c>
      <c r="J179" s="31">
        <f t="shared" ref="J179:J183" si="92">G179*I179*(1+H179)</f>
        <v>676.96431000000018</v>
      </c>
      <c r="K179" s="32" t="str">
        <f t="shared" si="79"/>
        <v>ALB-035|MAT</v>
      </c>
      <c r="L179" s="32">
        <f>COUNTIFS($K$2:K179,K179)</f>
        <v>1</v>
      </c>
      <c r="M179" s="32" t="str">
        <f t="shared" si="80"/>
        <v>ALB-035|MAT|1</v>
      </c>
      <c r="N179" s="121">
        <f>IFERROR(VLOOKUP(A179,PARTIDAS!A:F,6,FALSE()),0)</f>
        <v>15</v>
      </c>
      <c r="O179" s="123">
        <f t="shared" si="77"/>
        <v>0</v>
      </c>
      <c r="P179" s="123" t="str">
        <f>+_xlfn.XLOOKUP(A179,PPTO_GENERADOR!Q:Q,PPTO_GENERADOR!E:E,"-",0)</f>
        <v>-</v>
      </c>
      <c r="Q179" s="123">
        <f t="shared" si="78"/>
        <v>0</v>
      </c>
      <c r="R179" s="125" t="str">
        <f>+_xlfn.XLOOKUP(A179,PPTO_GENERADOR!$Q:$Q,PPTO_GENERADOR!A:A,"-",0)</f>
        <v>-</v>
      </c>
    </row>
    <row r="180" spans="1:18" ht="14.25" customHeight="1" x14ac:dyDescent="0.35">
      <c r="A180" s="105" t="s">
        <v>1790</v>
      </c>
      <c r="B180" s="105" t="s">
        <v>1981</v>
      </c>
      <c r="C180" s="105" t="s">
        <v>1982</v>
      </c>
      <c r="D180" s="105" t="s">
        <v>566</v>
      </c>
      <c r="E180" s="95" t="str">
        <f>IFERROR(VLOOKUP(D180,MATERIALES!A:B,2,FALSE()),"?")</f>
        <v>LADRILLO CERAMICO 12 x 18 x 33 cm</v>
      </c>
      <c r="F180" s="129">
        <f>IFERROR(VLOOKUP(D180,MATERIALES!A:C,3,FALSE()),"?")</f>
        <v>0</v>
      </c>
      <c r="G180" s="119">
        <v>15</v>
      </c>
      <c r="H180" s="120">
        <v>0.05</v>
      </c>
      <c r="I180" s="96">
        <f>IFERROR(VLOOKUP(D180,MATERIALES!A:D,4,FALSE()),0)</f>
        <v>624.96</v>
      </c>
      <c r="J180" s="31">
        <f t="shared" si="92"/>
        <v>9843.1200000000026</v>
      </c>
      <c r="K180" s="32" t="str">
        <f t="shared" si="79"/>
        <v>ALB-035|MAT</v>
      </c>
      <c r="L180" s="32">
        <f>COUNTIFS($K$2:K180,K180)</f>
        <v>2</v>
      </c>
      <c r="M180" s="32" t="str">
        <f t="shared" si="80"/>
        <v>ALB-035|MAT|2</v>
      </c>
      <c r="N180" s="121">
        <f>IFERROR(VLOOKUP(A180,PARTIDAS!A:F,6,FALSE()),0)</f>
        <v>15</v>
      </c>
      <c r="O180" s="123">
        <f t="shared" si="77"/>
        <v>0</v>
      </c>
      <c r="P180" s="123" t="str">
        <f>+_xlfn.XLOOKUP(A180,PPTO_GENERADOR!Q:Q,PPTO_GENERADOR!E:E,"-",0)</f>
        <v>-</v>
      </c>
      <c r="Q180" s="123">
        <f t="shared" si="78"/>
        <v>0</v>
      </c>
      <c r="R180" s="125" t="str">
        <f>+_xlfn.XLOOKUP(A180,PPTO_GENERADOR!$Q:$Q,PPTO_GENERADOR!A:A,"-",0)</f>
        <v>-</v>
      </c>
    </row>
    <row r="181" spans="1:18" ht="14.25" customHeight="1" x14ac:dyDescent="0.35">
      <c r="A181" s="105" t="s">
        <v>1790</v>
      </c>
      <c r="B181" s="105" t="s">
        <v>1981</v>
      </c>
      <c r="C181" s="105" t="s">
        <v>1982</v>
      </c>
      <c r="D181" s="105" t="s">
        <v>542</v>
      </c>
      <c r="E181" s="95" t="str">
        <f>IFERROR(VLOOKUP(D181,MATERIALES!A:B,2,FALSE()),"?")</f>
        <v>Cal Comun x 25kg</v>
      </c>
      <c r="F181" s="129">
        <f>IFERROR(VLOOKUP(D181,MATERIALES!A:C,3,FALSE()),"?")</f>
        <v>0</v>
      </c>
      <c r="G181" s="119">
        <v>0.15</v>
      </c>
      <c r="H181" s="120">
        <v>0.1</v>
      </c>
      <c r="I181" s="96">
        <f>IFERROR(VLOOKUP(D181,MATERIALES!A:D,4,FALSE()),0)</f>
        <v>3927.28</v>
      </c>
      <c r="J181" s="31">
        <f t="shared" si="92"/>
        <v>648.00120000000004</v>
      </c>
      <c r="K181" s="32" t="str">
        <f t="shared" si="79"/>
        <v>ALB-035|MAT</v>
      </c>
      <c r="L181" s="32">
        <f>COUNTIFS($K$2:K181,K181)</f>
        <v>3</v>
      </c>
      <c r="M181" s="32" t="str">
        <f t="shared" si="80"/>
        <v>ALB-035|MAT|3</v>
      </c>
      <c r="N181" s="121">
        <f>IFERROR(VLOOKUP(A181,PARTIDAS!A:F,6,FALSE()),0)</f>
        <v>15</v>
      </c>
      <c r="O181" s="123">
        <f t="shared" si="77"/>
        <v>0</v>
      </c>
      <c r="P181" s="123" t="str">
        <f>+_xlfn.XLOOKUP(A181,PPTO_GENERADOR!Q:Q,PPTO_GENERADOR!E:E,"-",0)</f>
        <v>-</v>
      </c>
      <c r="Q181" s="123">
        <f t="shared" si="78"/>
        <v>0</v>
      </c>
      <c r="R181" s="125" t="str">
        <f>+_xlfn.XLOOKUP(A181,PPTO_GENERADOR!$Q:$Q,PPTO_GENERADOR!A:A,"-",0)</f>
        <v>-</v>
      </c>
    </row>
    <row r="182" spans="1:18" ht="14.25" customHeight="1" x14ac:dyDescent="0.35">
      <c r="A182" s="105" t="s">
        <v>1790</v>
      </c>
      <c r="B182" s="105" t="s">
        <v>1981</v>
      </c>
      <c r="C182" s="105" t="s">
        <v>1982</v>
      </c>
      <c r="D182" s="105" t="s">
        <v>540</v>
      </c>
      <c r="E182" s="95" t="str">
        <f>IFERROR(VLOOKUP(D182,MATERIALES!A:B,2,FALSE()),"?")</f>
        <v>Cemento Portland x 50kg</v>
      </c>
      <c r="F182" s="129">
        <f>IFERROR(VLOOKUP(D182,MATERIALES!A:C,3,FALSE()),"?")</f>
        <v>0</v>
      </c>
      <c r="G182" s="119">
        <v>7.4999999999999997E-2</v>
      </c>
      <c r="H182" s="120">
        <v>0.1</v>
      </c>
      <c r="I182" s="96">
        <f>IFERROR(VLOOKUP(D182,MATERIALES!A:D,4,FALSE()),0)</f>
        <v>7891.74</v>
      </c>
      <c r="J182" s="31">
        <f t="shared" si="92"/>
        <v>651.06855000000007</v>
      </c>
      <c r="K182" s="32" t="str">
        <f t="shared" si="79"/>
        <v>ALB-035|MAT</v>
      </c>
      <c r="L182" s="32">
        <f>COUNTIFS($K$2:K182,K182)</f>
        <v>4</v>
      </c>
      <c r="M182" s="32" t="str">
        <f t="shared" si="80"/>
        <v>ALB-035|MAT|4</v>
      </c>
      <c r="N182" s="121">
        <f>IFERROR(VLOOKUP(A182,PARTIDAS!A:F,6,FALSE()),0)</f>
        <v>15</v>
      </c>
      <c r="O182" s="123">
        <f t="shared" si="77"/>
        <v>0</v>
      </c>
      <c r="P182" s="123" t="str">
        <f>+_xlfn.XLOOKUP(A182,PPTO_GENERADOR!Q:Q,PPTO_GENERADOR!E:E,"-",0)</f>
        <v>-</v>
      </c>
      <c r="Q182" s="123">
        <f t="shared" si="78"/>
        <v>0</v>
      </c>
      <c r="R182" s="125" t="str">
        <f>+_xlfn.XLOOKUP(A182,PPTO_GENERADOR!$Q:$Q,PPTO_GENERADOR!A:A,"-",0)</f>
        <v>-</v>
      </c>
    </row>
    <row r="183" spans="1:18" ht="14.25" customHeight="1" x14ac:dyDescent="0.35">
      <c r="A183" s="105" t="s">
        <v>1790</v>
      </c>
      <c r="B183" s="105" t="s">
        <v>1981</v>
      </c>
      <c r="C183" s="105" t="s">
        <v>1982</v>
      </c>
      <c r="D183" s="105" t="s">
        <v>538</v>
      </c>
      <c r="E183" s="95" t="str">
        <f>IFERROR(VLOOKUP(D183,MATERIALES!A:B,2,FALSE()),"?")</f>
        <v>ARENA LAVADA</v>
      </c>
      <c r="F183" s="129">
        <f>IFERROR(VLOOKUP(D183,MATERIALES!A:C,3,FALSE()),"?")</f>
        <v>0</v>
      </c>
      <c r="G183" s="119">
        <v>1.7999999999999999E-2</v>
      </c>
      <c r="H183" s="120">
        <v>0.1</v>
      </c>
      <c r="I183" s="96">
        <f>IFERROR(VLOOKUP(D183,MATERIALES!A:D,4,FALSE()),0)</f>
        <v>32620.38</v>
      </c>
      <c r="J183" s="31">
        <f t="shared" si="92"/>
        <v>645.88352400000008</v>
      </c>
      <c r="K183" s="32" t="str">
        <f t="shared" si="79"/>
        <v>ALB-035|MAT</v>
      </c>
      <c r="L183" s="32">
        <f>COUNTIFS($K$2:K183,K183)</f>
        <v>5</v>
      </c>
      <c r="M183" s="32" t="str">
        <f t="shared" si="80"/>
        <v>ALB-035|MAT|5</v>
      </c>
      <c r="N183" s="121">
        <f>IFERROR(VLOOKUP(A183,PARTIDAS!A:F,6,FALSE()),0)</f>
        <v>15</v>
      </c>
      <c r="O183" s="123">
        <f t="shared" si="77"/>
        <v>0</v>
      </c>
      <c r="P183" s="123" t="str">
        <f>+_xlfn.XLOOKUP(A183,PPTO_GENERADOR!Q:Q,PPTO_GENERADOR!E:E,"-",0)</f>
        <v>-</v>
      </c>
      <c r="Q183" s="123">
        <f t="shared" si="78"/>
        <v>0</v>
      </c>
      <c r="R183" s="125" t="str">
        <f>+_xlfn.XLOOKUP(A183,PPTO_GENERADOR!$Q:$Q,PPTO_GENERADOR!A:A,"-",0)</f>
        <v>-</v>
      </c>
    </row>
    <row r="184" spans="1:18" ht="14.25" customHeight="1" x14ac:dyDescent="0.35">
      <c r="A184" s="105" t="s">
        <v>1790</v>
      </c>
      <c r="B184" s="105" t="s">
        <v>1983</v>
      </c>
      <c r="C184" s="105"/>
      <c r="D184" s="105" t="s">
        <v>1319</v>
      </c>
      <c r="E184" s="95" t="str">
        <f>IFERROR(VLOOKUP(D184,EQUIPOS!A:B,2,FALSE()),"?")</f>
        <v>EQUIPO DE ALBAÑILERIA, carpetas, ladrillo</v>
      </c>
      <c r="F184" s="129"/>
      <c r="G184" s="119">
        <v>1</v>
      </c>
      <c r="H184" s="120">
        <v>0</v>
      </c>
      <c r="I184" s="96">
        <f>IFERROR(VLOOKUP(D184,EQUIPOS!A:F,6,FALSE()),0)</f>
        <v>2485.8709964593982</v>
      </c>
      <c r="J184" s="31">
        <f t="shared" ref="J184:J186" si="93">G184*I184</f>
        <v>2485.8709964593982</v>
      </c>
      <c r="K184" s="32" t="str">
        <f t="shared" si="79"/>
        <v>ALB-035|EQ</v>
      </c>
      <c r="L184" s="32">
        <f>COUNTIFS($K$2:K184,K184)</f>
        <v>1</v>
      </c>
      <c r="M184" s="32" t="str">
        <f t="shared" si="80"/>
        <v>ALB-035|EQ|1</v>
      </c>
      <c r="N184" s="121">
        <f>IFERROR(VLOOKUP(A184,PARTIDAS!A:F,6,FALSE()),0)</f>
        <v>15</v>
      </c>
      <c r="O184" s="123">
        <f t="shared" si="77"/>
        <v>0</v>
      </c>
      <c r="P184" s="123" t="str">
        <f>+_xlfn.XLOOKUP(A184,PPTO_GENERADOR!Q:Q,PPTO_GENERADOR!E:E,"-",0)</f>
        <v>-</v>
      </c>
      <c r="Q184" s="123">
        <f t="shared" si="78"/>
        <v>0</v>
      </c>
      <c r="R184" s="125" t="str">
        <f>+_xlfn.XLOOKUP(A184,PPTO_GENERADOR!$Q:$Q,PPTO_GENERADOR!A:A,"-",0)</f>
        <v>-</v>
      </c>
    </row>
    <row r="185" spans="1:18" ht="14.25" customHeight="1" x14ac:dyDescent="0.35">
      <c r="A185" s="105" t="s">
        <v>1790</v>
      </c>
      <c r="B185" s="105" t="s">
        <v>1983</v>
      </c>
      <c r="C185" s="105"/>
      <c r="D185" s="105" t="s">
        <v>1313</v>
      </c>
      <c r="E185" s="95" t="str">
        <f>IFERROR(VLOOKUP(D185,EQUIPOS!A:B,2,FALSE()),"?")</f>
        <v>ANDAMIO TUBULAR DE UNO A TRES CUERPOS</v>
      </c>
      <c r="F185" s="129"/>
      <c r="G185" s="119">
        <v>0.5</v>
      </c>
      <c r="H185" s="120">
        <v>0</v>
      </c>
      <c r="I185" s="96">
        <f>IFERROR(VLOOKUP(D185,EQUIPOS!A:F,6,FALSE()),0)</f>
        <v>620.81078197718341</v>
      </c>
      <c r="J185" s="31">
        <f t="shared" si="93"/>
        <v>310.40539098859171</v>
      </c>
      <c r="K185" s="32" t="str">
        <f t="shared" si="79"/>
        <v>ALB-035|EQ</v>
      </c>
      <c r="L185" s="32">
        <f>COUNTIFS($K$2:K185,K185)</f>
        <v>2</v>
      </c>
      <c r="M185" s="32" t="str">
        <f t="shared" si="80"/>
        <v>ALB-035|EQ|2</v>
      </c>
      <c r="N185" s="121">
        <f>IFERROR(VLOOKUP(A185,PARTIDAS!A:F,6,FALSE()),0)</f>
        <v>15</v>
      </c>
      <c r="O185" s="123">
        <f t="shared" si="77"/>
        <v>0</v>
      </c>
      <c r="P185" s="123" t="str">
        <f>+_xlfn.XLOOKUP(A185,PPTO_GENERADOR!Q:Q,PPTO_GENERADOR!E:E,"-",0)</f>
        <v>-</v>
      </c>
      <c r="Q185" s="123">
        <f t="shared" si="78"/>
        <v>0</v>
      </c>
      <c r="R185" s="125" t="str">
        <f>+_xlfn.XLOOKUP(A185,PPTO_GENERADOR!$Q:$Q,PPTO_GENERADOR!A:A,"-",0)</f>
        <v>-</v>
      </c>
    </row>
    <row r="186" spans="1:18" ht="14.25" customHeight="1" x14ac:dyDescent="0.35">
      <c r="A186" s="105" t="s">
        <v>1790</v>
      </c>
      <c r="B186" s="105" t="s">
        <v>1983</v>
      </c>
      <c r="C186" s="105"/>
      <c r="D186" s="105" t="s">
        <v>1507</v>
      </c>
      <c r="E186" s="95" t="str">
        <f>IFERROR(VLOOKUP(D186,EQUIPOS!A:B,2,FALSE()),"?")</f>
        <v>Hormigonera De 150 Litros 1hp Con Rueda Maciza</v>
      </c>
      <c r="F186" s="129"/>
      <c r="G186" s="119">
        <v>1</v>
      </c>
      <c r="H186" s="120">
        <v>0</v>
      </c>
      <c r="I186" s="96">
        <f>IFERROR(VLOOKUP(D186,EQUIPOS!A:F,6,FALSE()),0)</f>
        <v>1040.4314486705237</v>
      </c>
      <c r="J186" s="31">
        <f t="shared" si="93"/>
        <v>1040.4314486705237</v>
      </c>
      <c r="K186" s="32" t="str">
        <f t="shared" si="79"/>
        <v>ALB-035|EQ</v>
      </c>
      <c r="L186" s="32">
        <f>COUNTIFS($K$2:K186,K186)</f>
        <v>3</v>
      </c>
      <c r="M186" s="32" t="str">
        <f t="shared" si="80"/>
        <v>ALB-035|EQ|3</v>
      </c>
      <c r="N186" s="121">
        <f>IFERROR(VLOOKUP(A186,PARTIDAS!A:F,6,FALSE()),0)</f>
        <v>15</v>
      </c>
      <c r="O186" s="123">
        <f t="shared" si="77"/>
        <v>0</v>
      </c>
      <c r="P186" s="123" t="str">
        <f>+_xlfn.XLOOKUP(A186,PPTO_GENERADOR!Q:Q,PPTO_GENERADOR!E:E,"-",0)</f>
        <v>-</v>
      </c>
      <c r="Q186" s="123">
        <f t="shared" si="78"/>
        <v>0</v>
      </c>
      <c r="R186" s="125" t="str">
        <f>+_xlfn.XLOOKUP(A186,PPTO_GENERADOR!$Q:$Q,PPTO_GENERADOR!A:A,"-",0)</f>
        <v>-</v>
      </c>
    </row>
    <row r="187" spans="1:18" ht="14.25" customHeight="1" x14ac:dyDescent="0.35">
      <c r="A187" s="105" t="s">
        <v>1790</v>
      </c>
      <c r="B187" s="105" t="s">
        <v>1979</v>
      </c>
      <c r="C187" s="105" t="s">
        <v>1980</v>
      </c>
      <c r="D187" s="105" t="s">
        <v>1292</v>
      </c>
      <c r="E187" s="95" t="str">
        <f>IFERROR(VLOOKUP(D187,MANO_DE_OBRA!A:B,2,FALSE()),"?")</f>
        <v>ESPECIALIZADO</v>
      </c>
      <c r="F187" s="129" t="s">
        <v>2042</v>
      </c>
      <c r="G187" s="119">
        <v>1</v>
      </c>
      <c r="H187" s="120">
        <v>0</v>
      </c>
      <c r="I187" s="96">
        <f>IFERROR(VLOOKUP(D187,MANO_DE_OBRA!A:C,3,FALSE()),0)</f>
        <v>94177.137883538904</v>
      </c>
      <c r="J187" s="31">
        <f t="shared" ref="J187:J188" si="94">G187*I187</f>
        <v>94177.137883538904</v>
      </c>
      <c r="K187" s="32" t="str">
        <f t="shared" si="79"/>
        <v>ALB-035|MO</v>
      </c>
      <c r="L187" s="32">
        <f>COUNTIFS($K$2:K187,K187)</f>
        <v>1</v>
      </c>
      <c r="M187" s="32" t="str">
        <f t="shared" si="80"/>
        <v>ALB-035|MO|1</v>
      </c>
      <c r="N187" s="121">
        <f>IFERROR(VLOOKUP(A187,PARTIDAS!A:F,6,FALSE()),0)</f>
        <v>15</v>
      </c>
      <c r="O187" s="123">
        <f t="shared" si="77"/>
        <v>6.6666666666666666E-2</v>
      </c>
      <c r="P187" s="123" t="str">
        <f>+_xlfn.XLOOKUP(A187,PPTO_GENERADOR!Q:Q,PPTO_GENERADOR!E:E,"-",0)</f>
        <v>-</v>
      </c>
      <c r="Q187" s="123">
        <f t="shared" si="78"/>
        <v>0</v>
      </c>
      <c r="R187" s="125" t="str">
        <f>+_xlfn.XLOOKUP(A187,PPTO_GENERADOR!$Q:$Q,PPTO_GENERADOR!A:A,"-",0)</f>
        <v>-</v>
      </c>
    </row>
    <row r="188" spans="1:18" ht="14.25" customHeight="1" x14ac:dyDescent="0.35">
      <c r="A188" s="105" t="s">
        <v>1790</v>
      </c>
      <c r="B188" s="105" t="s">
        <v>1979</v>
      </c>
      <c r="C188" s="105" t="s">
        <v>1980</v>
      </c>
      <c r="D188" s="105" t="s">
        <v>2038</v>
      </c>
      <c r="E188" s="95" t="str">
        <f>IFERROR(VLOOKUP(D188,MANO_DE_OBRA!A:B,2,FALSE()),"?")</f>
        <v>AYUDANTE</v>
      </c>
      <c r="F188" s="129" t="s">
        <v>2042</v>
      </c>
      <c r="G188" s="119">
        <v>1</v>
      </c>
      <c r="H188" s="120">
        <v>0</v>
      </c>
      <c r="I188" s="96">
        <f>IFERROR(VLOOKUP(D188,MANO_DE_OBRA!A:C,3,FALSE()),0)</f>
        <v>67240.498860267602</v>
      </c>
      <c r="J188" s="31">
        <f t="shared" si="94"/>
        <v>67240.498860267602</v>
      </c>
      <c r="K188" s="32" t="str">
        <f t="shared" si="79"/>
        <v>ALB-035|MO</v>
      </c>
      <c r="L188" s="32">
        <f>COUNTIFS($K$2:K188,K188)</f>
        <v>2</v>
      </c>
      <c r="M188" s="32" t="str">
        <f t="shared" si="80"/>
        <v>ALB-035|MO|2</v>
      </c>
      <c r="N188" s="121">
        <f>IFERROR(VLOOKUP(A188,PARTIDAS!A:F,6,FALSE()),0)</f>
        <v>15</v>
      </c>
      <c r="O188" s="123">
        <f t="shared" si="77"/>
        <v>6.6666666666666666E-2</v>
      </c>
      <c r="P188" s="123" t="str">
        <f>+_xlfn.XLOOKUP(A188,PPTO_GENERADOR!Q:Q,PPTO_GENERADOR!E:E,"-",0)</f>
        <v>-</v>
      </c>
      <c r="Q188" s="123">
        <f t="shared" si="78"/>
        <v>0</v>
      </c>
      <c r="R188" s="125" t="str">
        <f>+_xlfn.XLOOKUP(A188,PPTO_GENERADOR!$Q:$Q,PPTO_GENERADOR!A:A,"-",0)</f>
        <v>-</v>
      </c>
    </row>
    <row r="189" spans="1:18" ht="14.25" customHeight="1" x14ac:dyDescent="0.35">
      <c r="A189" s="105" t="s">
        <v>1793</v>
      </c>
      <c r="B189" s="105" t="s">
        <v>1981</v>
      </c>
      <c r="C189" s="105" t="s">
        <v>1982</v>
      </c>
      <c r="D189" s="105" t="s">
        <v>568</v>
      </c>
      <c r="E189" s="95" t="str">
        <f>IFERROR(VLOOKUP(D189,MATERIALES!A:B,2,FALSE()),"?")</f>
        <v>LADRILLO CERAMICO 18 x 18 x 33 cm</v>
      </c>
      <c r="F189" s="129">
        <f>IFERROR(VLOOKUP(D189,MATERIALES!A:C,3,FALSE()),"?")</f>
        <v>0</v>
      </c>
      <c r="G189" s="119">
        <v>15</v>
      </c>
      <c r="H189" s="120">
        <v>0.05</v>
      </c>
      <c r="I189" s="96">
        <f>IFERROR(VLOOKUP(D189,MATERIALES!A:D,4,FALSE()),0)</f>
        <v>894.6</v>
      </c>
      <c r="J189" s="31">
        <f t="shared" ref="J189:J194" si="95">G189*I189*(1+H189)</f>
        <v>14089.95</v>
      </c>
      <c r="K189" s="32" t="str">
        <f t="shared" si="79"/>
        <v>ALB-036|MAT</v>
      </c>
      <c r="L189" s="32">
        <f>COUNTIFS($K$2:K189,K189)</f>
        <v>1</v>
      </c>
      <c r="M189" s="32" t="str">
        <f t="shared" si="80"/>
        <v>ALB-036|MAT|1</v>
      </c>
      <c r="N189" s="121">
        <f>IFERROR(VLOOKUP(A189,PARTIDAS!A:F,6,FALSE()),0)</f>
        <v>15</v>
      </c>
      <c r="O189" s="123">
        <f t="shared" si="77"/>
        <v>0</v>
      </c>
      <c r="P189" s="123" t="str">
        <f>+_xlfn.XLOOKUP(A189,PPTO_GENERADOR!Q:Q,PPTO_GENERADOR!E:E,"-",0)</f>
        <v>-</v>
      </c>
      <c r="Q189" s="123">
        <f t="shared" si="78"/>
        <v>0</v>
      </c>
      <c r="R189" s="125" t="str">
        <f>+_xlfn.XLOOKUP(A189,PPTO_GENERADOR!$Q:$Q,PPTO_GENERADOR!A:A,"-",0)</f>
        <v>-</v>
      </c>
    </row>
    <row r="190" spans="1:18" ht="14.25" customHeight="1" x14ac:dyDescent="0.35">
      <c r="A190" s="105" t="s">
        <v>1793</v>
      </c>
      <c r="B190" s="105" t="s">
        <v>1981</v>
      </c>
      <c r="C190" s="105" t="s">
        <v>1982</v>
      </c>
      <c r="D190" s="105" t="s">
        <v>533</v>
      </c>
      <c r="E190" s="95" t="str">
        <f>IFERROR(VLOOKUP(D190,MATERIALES!A:B,2,FALSE()),"?")</f>
        <v>Barra de Acero Aleteado - 6mm x 12m</v>
      </c>
      <c r="F190" s="129">
        <f>IFERROR(VLOOKUP(D190,MATERIALES!A:C,3,FALSE()),"?")</f>
        <v>0</v>
      </c>
      <c r="G190" s="119">
        <v>0.17</v>
      </c>
      <c r="H190" s="120">
        <v>0.1</v>
      </c>
      <c r="I190" s="96">
        <f>IFERROR(VLOOKUP(D190,MATERIALES!A:D,4,FALSE()),0)</f>
        <v>3620.13</v>
      </c>
      <c r="J190" s="31">
        <f t="shared" si="95"/>
        <v>676.96431000000018</v>
      </c>
      <c r="K190" s="32" t="str">
        <f t="shared" si="79"/>
        <v>ALB-036|MAT</v>
      </c>
      <c r="L190" s="32">
        <f>COUNTIFS($K$2:K190,K190)</f>
        <v>2</v>
      </c>
      <c r="M190" s="32" t="str">
        <f t="shared" si="80"/>
        <v>ALB-036|MAT|2</v>
      </c>
      <c r="N190" s="121">
        <f>IFERROR(VLOOKUP(A190,PARTIDAS!A:F,6,FALSE()),0)</f>
        <v>15</v>
      </c>
      <c r="O190" s="123">
        <f t="shared" si="77"/>
        <v>0</v>
      </c>
      <c r="P190" s="123" t="str">
        <f>+_xlfn.XLOOKUP(A190,PPTO_GENERADOR!Q:Q,PPTO_GENERADOR!E:E,"-",0)</f>
        <v>-</v>
      </c>
      <c r="Q190" s="123">
        <f t="shared" si="78"/>
        <v>0</v>
      </c>
      <c r="R190" s="125" t="str">
        <f>+_xlfn.XLOOKUP(A190,PPTO_GENERADOR!$Q:$Q,PPTO_GENERADOR!A:A,"-",0)</f>
        <v>-</v>
      </c>
    </row>
    <row r="191" spans="1:18" ht="14.25" customHeight="1" x14ac:dyDescent="0.35">
      <c r="A191" s="105" t="s">
        <v>1793</v>
      </c>
      <c r="B191" s="105" t="s">
        <v>1981</v>
      </c>
      <c r="C191" s="105" t="s">
        <v>1982</v>
      </c>
      <c r="D191" s="105" t="s">
        <v>542</v>
      </c>
      <c r="E191" s="95" t="str">
        <f>IFERROR(VLOOKUP(D191,MATERIALES!A:B,2,FALSE()),"?")</f>
        <v>Cal Comun x 25kg</v>
      </c>
      <c r="F191" s="129">
        <f>IFERROR(VLOOKUP(D191,MATERIALES!A:C,3,FALSE()),"?")</f>
        <v>0</v>
      </c>
      <c r="G191" s="119">
        <v>0.2</v>
      </c>
      <c r="H191" s="120">
        <v>0.1</v>
      </c>
      <c r="I191" s="96">
        <f>IFERROR(VLOOKUP(D191,MATERIALES!A:D,4,FALSE()),0)</f>
        <v>3927.28</v>
      </c>
      <c r="J191" s="31">
        <f t="shared" si="95"/>
        <v>864.00160000000017</v>
      </c>
      <c r="K191" s="32" t="str">
        <f t="shared" si="79"/>
        <v>ALB-036|MAT</v>
      </c>
      <c r="L191" s="32">
        <f>COUNTIFS($K$2:K191,K191)</f>
        <v>3</v>
      </c>
      <c r="M191" s="32" t="str">
        <f t="shared" si="80"/>
        <v>ALB-036|MAT|3</v>
      </c>
      <c r="N191" s="121">
        <f>IFERROR(VLOOKUP(A191,PARTIDAS!A:F,6,FALSE()),0)</f>
        <v>15</v>
      </c>
      <c r="O191" s="123">
        <f t="shared" si="77"/>
        <v>0</v>
      </c>
      <c r="P191" s="123" t="str">
        <f>+_xlfn.XLOOKUP(A191,PPTO_GENERADOR!Q:Q,PPTO_GENERADOR!E:E,"-",0)</f>
        <v>-</v>
      </c>
      <c r="Q191" s="123">
        <f t="shared" si="78"/>
        <v>0</v>
      </c>
      <c r="R191" s="125" t="str">
        <f>+_xlfn.XLOOKUP(A191,PPTO_GENERADOR!$Q:$Q,PPTO_GENERADOR!A:A,"-",0)</f>
        <v>-</v>
      </c>
    </row>
    <row r="192" spans="1:18" ht="14.25" customHeight="1" x14ac:dyDescent="0.35">
      <c r="A192" s="105" t="s">
        <v>1793</v>
      </c>
      <c r="B192" s="105" t="s">
        <v>1981</v>
      </c>
      <c r="C192" s="105" t="s">
        <v>1982</v>
      </c>
      <c r="D192" s="105" t="s">
        <v>540</v>
      </c>
      <c r="E192" s="95" t="str">
        <f>IFERROR(VLOOKUP(D192,MATERIALES!A:B,2,FALSE()),"?")</f>
        <v>Cemento Portland x 50kg</v>
      </c>
      <c r="F192" s="129">
        <f>IFERROR(VLOOKUP(D192,MATERIALES!A:C,3,FALSE()),"?")</f>
        <v>0</v>
      </c>
      <c r="G192" s="119">
        <v>0.1</v>
      </c>
      <c r="H192" s="120">
        <v>0.1</v>
      </c>
      <c r="I192" s="96">
        <f>IFERROR(VLOOKUP(D192,MATERIALES!A:D,4,FALSE()),0)</f>
        <v>7891.74</v>
      </c>
      <c r="J192" s="31">
        <f t="shared" si="95"/>
        <v>868.09140000000002</v>
      </c>
      <c r="K192" s="32" t="str">
        <f t="shared" si="79"/>
        <v>ALB-036|MAT</v>
      </c>
      <c r="L192" s="32">
        <f>COUNTIFS($K$2:K192,K192)</f>
        <v>4</v>
      </c>
      <c r="M192" s="32" t="str">
        <f t="shared" si="80"/>
        <v>ALB-036|MAT|4</v>
      </c>
      <c r="N192" s="121">
        <f>IFERROR(VLOOKUP(A192,PARTIDAS!A:F,6,FALSE()),0)</f>
        <v>15</v>
      </c>
      <c r="O192" s="123">
        <f t="shared" si="77"/>
        <v>0</v>
      </c>
      <c r="P192" s="123" t="str">
        <f>+_xlfn.XLOOKUP(A192,PPTO_GENERADOR!Q:Q,PPTO_GENERADOR!E:E,"-",0)</f>
        <v>-</v>
      </c>
      <c r="Q192" s="123">
        <f t="shared" si="78"/>
        <v>0</v>
      </c>
      <c r="R192" s="125" t="str">
        <f>+_xlfn.XLOOKUP(A192,PPTO_GENERADOR!$Q:$Q,PPTO_GENERADOR!A:A,"-",0)</f>
        <v>-</v>
      </c>
    </row>
    <row r="193" spans="1:18" ht="14.25" customHeight="1" x14ac:dyDescent="0.35">
      <c r="A193" s="105" t="s">
        <v>1793</v>
      </c>
      <c r="B193" s="105" t="s">
        <v>1981</v>
      </c>
      <c r="C193" s="105" t="s">
        <v>1982</v>
      </c>
      <c r="D193" s="105" t="s">
        <v>538</v>
      </c>
      <c r="E193" s="95" t="str">
        <f>IFERROR(VLOOKUP(D193,MATERIALES!A:B,2,FALSE()),"?")</f>
        <v>ARENA LAVADA</v>
      </c>
      <c r="F193" s="129">
        <f>IFERROR(VLOOKUP(D193,MATERIALES!A:C,3,FALSE()),"?")</f>
        <v>0</v>
      </c>
      <c r="G193" s="119">
        <v>2.4E-2</v>
      </c>
      <c r="H193" s="120">
        <v>0.1</v>
      </c>
      <c r="I193" s="96">
        <f>IFERROR(VLOOKUP(D193,MATERIALES!A:D,4,FALSE()),0)</f>
        <v>32620.38</v>
      </c>
      <c r="J193" s="31">
        <f t="shared" si="95"/>
        <v>861.17803200000014</v>
      </c>
      <c r="K193" s="32" t="str">
        <f t="shared" si="79"/>
        <v>ALB-036|MAT</v>
      </c>
      <c r="L193" s="32">
        <f>COUNTIFS($K$2:K193,K193)</f>
        <v>5</v>
      </c>
      <c r="M193" s="32" t="str">
        <f t="shared" si="80"/>
        <v>ALB-036|MAT|5</v>
      </c>
      <c r="N193" s="121">
        <f>IFERROR(VLOOKUP(A193,PARTIDAS!A:F,6,FALSE()),0)</f>
        <v>15</v>
      </c>
      <c r="O193" s="123">
        <f t="shared" si="77"/>
        <v>0</v>
      </c>
      <c r="P193" s="123" t="str">
        <f>+_xlfn.XLOOKUP(A193,PPTO_GENERADOR!Q:Q,PPTO_GENERADOR!E:E,"-",0)</f>
        <v>-</v>
      </c>
      <c r="Q193" s="123">
        <f t="shared" si="78"/>
        <v>0</v>
      </c>
      <c r="R193" s="125" t="str">
        <f>+_xlfn.XLOOKUP(A193,PPTO_GENERADOR!$Q:$Q,PPTO_GENERADOR!A:A,"-",0)</f>
        <v>-</v>
      </c>
    </row>
    <row r="194" spans="1:18" ht="14.25" customHeight="1" x14ac:dyDescent="0.35">
      <c r="A194" s="105" t="s">
        <v>1793</v>
      </c>
      <c r="B194" s="105" t="s">
        <v>1981</v>
      </c>
      <c r="C194" s="105" t="s">
        <v>1982</v>
      </c>
      <c r="D194" s="105" t="s">
        <v>559</v>
      </c>
      <c r="E194" s="95" t="str">
        <f>IFERROR(VLOOKUP(D194,MATERIALES!A:B,2,FALSE()),"?")</f>
        <v>CONSUMIBLES (varios)</v>
      </c>
      <c r="F194" s="129" t="str">
        <f>IFERROR(VLOOKUP(D194,MATERIALES!A:C,3,FALSE()),"?")</f>
        <v>gl</v>
      </c>
      <c r="G194" s="119">
        <v>178.8099</v>
      </c>
      <c r="H194" s="120">
        <v>0</v>
      </c>
      <c r="I194" s="96">
        <f>IFERROR(VLOOKUP(D194,MATERIALES!A:D,4,FALSE()),0)</f>
        <v>1</v>
      </c>
      <c r="J194" s="31">
        <f t="shared" si="95"/>
        <v>178.8099</v>
      </c>
      <c r="K194" s="32" t="str">
        <f t="shared" ref="K194" si="96">A194&amp;"|"&amp;B194</f>
        <v>ALB-036|MAT</v>
      </c>
      <c r="L194" s="32">
        <f>COUNTIFS($K$2:K194,K194)</f>
        <v>6</v>
      </c>
      <c r="M194" s="32" t="str">
        <f t="shared" ref="M194" si="97">K194&amp;"|"&amp;L194</f>
        <v>ALB-036|MAT|6</v>
      </c>
      <c r="N194" s="121">
        <f>IFERROR(VLOOKUP(A194,PARTIDAS!A:F,6,FALSE()),0)</f>
        <v>15</v>
      </c>
      <c r="O194" s="123">
        <f t="shared" si="77"/>
        <v>0</v>
      </c>
      <c r="P194" s="123" t="str">
        <f>+_xlfn.XLOOKUP(A194,PPTO_GENERADOR!Q:Q,PPTO_GENERADOR!E:E,"-",0)</f>
        <v>-</v>
      </c>
      <c r="Q194" s="123">
        <f t="shared" si="78"/>
        <v>0</v>
      </c>
      <c r="R194" s="125" t="str">
        <f>+_xlfn.XLOOKUP(A194,PPTO_GENERADOR!$Q:$Q,PPTO_GENERADOR!A:A,"-",0)</f>
        <v>-</v>
      </c>
    </row>
    <row r="195" spans="1:18" ht="14.25" customHeight="1" x14ac:dyDescent="0.35">
      <c r="A195" s="105" t="s">
        <v>1793</v>
      </c>
      <c r="B195" s="105" t="s">
        <v>1983</v>
      </c>
      <c r="C195" s="105"/>
      <c r="D195" s="105" t="s">
        <v>1319</v>
      </c>
      <c r="E195" s="95" t="str">
        <f>IFERROR(VLOOKUP(D195,EQUIPOS!A:B,2,FALSE()),"?")</f>
        <v>EQUIPO DE ALBAÑILERIA, carpetas, ladrillo</v>
      </c>
      <c r="F195" s="129"/>
      <c r="G195" s="119">
        <v>1</v>
      </c>
      <c r="H195" s="120">
        <v>0</v>
      </c>
      <c r="I195" s="96">
        <f>IFERROR(VLOOKUP(D195,EQUIPOS!A:F,6,FALSE()),0)</f>
        <v>2485.8709964593982</v>
      </c>
      <c r="J195" s="31">
        <f t="shared" ref="J195:J197" si="98">G195*I195</f>
        <v>2485.8709964593982</v>
      </c>
      <c r="K195" s="32" t="str">
        <f t="shared" ref="K195:K257" si="99">A195&amp;"|"&amp;B195</f>
        <v>ALB-036|EQ</v>
      </c>
      <c r="L195" s="32">
        <f>COUNTIFS($K$2:K195,K195)</f>
        <v>1</v>
      </c>
      <c r="M195" s="32" t="str">
        <f t="shared" ref="M195:M257" si="100">K195&amp;"|"&amp;L195</f>
        <v>ALB-036|EQ|1</v>
      </c>
      <c r="N195" s="121">
        <f>IFERROR(VLOOKUP(A195,PARTIDAS!A:F,6,FALSE()),0)</f>
        <v>15</v>
      </c>
      <c r="O195" s="123">
        <f t="shared" ref="O195:O258" si="101">+IF(C195="ALB",G195/N195,0)</f>
        <v>0</v>
      </c>
      <c r="P195" s="123" t="str">
        <f>+_xlfn.XLOOKUP(A195,PPTO_GENERADOR!Q:Q,PPTO_GENERADOR!E:E,"-",0)</f>
        <v>-</v>
      </c>
      <c r="Q195" s="123">
        <f t="shared" ref="Q195:Q258" si="102">IFERROR(P195*O195,0)</f>
        <v>0</v>
      </c>
      <c r="R195" s="125" t="str">
        <f>+_xlfn.XLOOKUP(A195,PPTO_GENERADOR!$Q:$Q,PPTO_GENERADOR!A:A,"-",0)</f>
        <v>-</v>
      </c>
    </row>
    <row r="196" spans="1:18" ht="14.25" customHeight="1" x14ac:dyDescent="0.35">
      <c r="A196" s="105" t="s">
        <v>1793</v>
      </c>
      <c r="B196" s="105" t="s">
        <v>1983</v>
      </c>
      <c r="C196" s="105"/>
      <c r="D196" s="105" t="s">
        <v>1313</v>
      </c>
      <c r="E196" s="95" t="str">
        <f>IFERROR(VLOOKUP(D196,EQUIPOS!A:B,2,FALSE()),"?")</f>
        <v>ANDAMIO TUBULAR DE UNO A TRES CUERPOS</v>
      </c>
      <c r="F196" s="129"/>
      <c r="G196" s="119">
        <v>0.5</v>
      </c>
      <c r="H196" s="120">
        <v>0</v>
      </c>
      <c r="I196" s="96">
        <f>IFERROR(VLOOKUP(D196,EQUIPOS!A:F,6,FALSE()),0)</f>
        <v>620.81078197718341</v>
      </c>
      <c r="J196" s="31">
        <f t="shared" si="98"/>
        <v>310.40539098859171</v>
      </c>
      <c r="K196" s="32" t="str">
        <f t="shared" si="99"/>
        <v>ALB-036|EQ</v>
      </c>
      <c r="L196" s="32">
        <f>COUNTIFS($K$2:K196,K196)</f>
        <v>2</v>
      </c>
      <c r="M196" s="32" t="str">
        <f t="shared" si="100"/>
        <v>ALB-036|EQ|2</v>
      </c>
      <c r="N196" s="121">
        <f>IFERROR(VLOOKUP(A196,PARTIDAS!A:F,6,FALSE()),0)</f>
        <v>15</v>
      </c>
      <c r="O196" s="123">
        <f t="shared" si="101"/>
        <v>0</v>
      </c>
      <c r="P196" s="123" t="str">
        <f>+_xlfn.XLOOKUP(A196,PPTO_GENERADOR!Q:Q,PPTO_GENERADOR!E:E,"-",0)</f>
        <v>-</v>
      </c>
      <c r="Q196" s="123">
        <f t="shared" si="102"/>
        <v>0</v>
      </c>
      <c r="R196" s="125" t="str">
        <f>+_xlfn.XLOOKUP(A196,PPTO_GENERADOR!$Q:$Q,PPTO_GENERADOR!A:A,"-",0)</f>
        <v>-</v>
      </c>
    </row>
    <row r="197" spans="1:18" ht="14.25" customHeight="1" x14ac:dyDescent="0.35">
      <c r="A197" s="105" t="s">
        <v>1793</v>
      </c>
      <c r="B197" s="105" t="s">
        <v>1983</v>
      </c>
      <c r="C197" s="105"/>
      <c r="D197" s="105" t="s">
        <v>1507</v>
      </c>
      <c r="E197" s="95" t="str">
        <f>IFERROR(VLOOKUP(D197,EQUIPOS!A:B,2,FALSE()),"?")</f>
        <v>Hormigonera De 150 Litros 1hp Con Rueda Maciza</v>
      </c>
      <c r="F197" s="129"/>
      <c r="G197" s="119">
        <v>1</v>
      </c>
      <c r="H197" s="120">
        <v>0</v>
      </c>
      <c r="I197" s="96">
        <f>IFERROR(VLOOKUP(D197,EQUIPOS!A:F,6,FALSE()),0)</f>
        <v>1040.4314486705237</v>
      </c>
      <c r="J197" s="31">
        <f t="shared" si="98"/>
        <v>1040.4314486705237</v>
      </c>
      <c r="K197" s="32" t="str">
        <f t="shared" si="99"/>
        <v>ALB-036|EQ</v>
      </c>
      <c r="L197" s="32">
        <f>COUNTIFS($K$2:K197,K197)</f>
        <v>3</v>
      </c>
      <c r="M197" s="32" t="str">
        <f t="shared" si="100"/>
        <v>ALB-036|EQ|3</v>
      </c>
      <c r="N197" s="121">
        <f>IFERROR(VLOOKUP(A197,PARTIDAS!A:F,6,FALSE()),0)</f>
        <v>15</v>
      </c>
      <c r="O197" s="123">
        <f t="shared" si="101"/>
        <v>0</v>
      </c>
      <c r="P197" s="123" t="str">
        <f>+_xlfn.XLOOKUP(A197,PPTO_GENERADOR!Q:Q,PPTO_GENERADOR!E:E,"-",0)</f>
        <v>-</v>
      </c>
      <c r="Q197" s="123">
        <f t="shared" si="102"/>
        <v>0</v>
      </c>
      <c r="R197" s="125" t="str">
        <f>+_xlfn.XLOOKUP(A197,PPTO_GENERADOR!$Q:$Q,PPTO_GENERADOR!A:A,"-",0)</f>
        <v>-</v>
      </c>
    </row>
    <row r="198" spans="1:18" ht="14.25" customHeight="1" x14ac:dyDescent="0.35">
      <c r="A198" s="105" t="s">
        <v>1793</v>
      </c>
      <c r="B198" s="105" t="s">
        <v>1979</v>
      </c>
      <c r="C198" s="105" t="s">
        <v>1980</v>
      </c>
      <c r="D198" s="105" t="s">
        <v>1292</v>
      </c>
      <c r="E198" s="95" t="str">
        <f>IFERROR(VLOOKUP(D198,MANO_DE_OBRA!A:B,2,FALSE()),"?")</f>
        <v>ESPECIALIZADO</v>
      </c>
      <c r="F198" s="129" t="s">
        <v>2042</v>
      </c>
      <c r="G198" s="119">
        <v>1</v>
      </c>
      <c r="H198" s="120">
        <v>0</v>
      </c>
      <c r="I198" s="96">
        <f>IFERROR(VLOOKUP(D198,MANO_DE_OBRA!A:C,3,FALSE()),0)</f>
        <v>94177.137883538904</v>
      </c>
      <c r="J198" s="31">
        <f t="shared" ref="J198:J199" si="103">G198*I198</f>
        <v>94177.137883538904</v>
      </c>
      <c r="K198" s="32" t="str">
        <f t="shared" si="99"/>
        <v>ALB-036|MO</v>
      </c>
      <c r="L198" s="32">
        <f>COUNTIFS($K$2:K198,K198)</f>
        <v>1</v>
      </c>
      <c r="M198" s="32" t="str">
        <f t="shared" si="100"/>
        <v>ALB-036|MO|1</v>
      </c>
      <c r="N198" s="121">
        <f>IFERROR(VLOOKUP(A198,PARTIDAS!A:F,6,FALSE()),0)</f>
        <v>15</v>
      </c>
      <c r="O198" s="123">
        <f t="shared" si="101"/>
        <v>6.6666666666666666E-2</v>
      </c>
      <c r="P198" s="123" t="str">
        <f>+_xlfn.XLOOKUP(A198,PPTO_GENERADOR!Q:Q,PPTO_GENERADOR!E:E,"-",0)</f>
        <v>-</v>
      </c>
      <c r="Q198" s="123">
        <f t="shared" si="102"/>
        <v>0</v>
      </c>
      <c r="R198" s="125" t="str">
        <f>+_xlfn.XLOOKUP(A198,PPTO_GENERADOR!$Q:$Q,PPTO_GENERADOR!A:A,"-",0)</f>
        <v>-</v>
      </c>
    </row>
    <row r="199" spans="1:18" ht="14.25" customHeight="1" x14ac:dyDescent="0.35">
      <c r="A199" s="105" t="s">
        <v>1793</v>
      </c>
      <c r="B199" s="105" t="s">
        <v>1979</v>
      </c>
      <c r="C199" s="105" t="s">
        <v>1980</v>
      </c>
      <c r="D199" s="105" t="s">
        <v>2038</v>
      </c>
      <c r="E199" s="95" t="str">
        <f>IFERROR(VLOOKUP(D199,MANO_DE_OBRA!A:B,2,FALSE()),"?")</f>
        <v>AYUDANTE</v>
      </c>
      <c r="F199" s="129" t="s">
        <v>2042</v>
      </c>
      <c r="G199" s="119">
        <v>1</v>
      </c>
      <c r="H199" s="120">
        <v>0</v>
      </c>
      <c r="I199" s="96">
        <f>IFERROR(VLOOKUP(D199,MANO_DE_OBRA!A:C,3,FALSE()),0)</f>
        <v>67240.498860267602</v>
      </c>
      <c r="J199" s="31">
        <f t="shared" si="103"/>
        <v>67240.498860267602</v>
      </c>
      <c r="K199" s="32" t="str">
        <f t="shared" si="99"/>
        <v>ALB-036|MO</v>
      </c>
      <c r="L199" s="32">
        <f>COUNTIFS($K$2:K199,K199)</f>
        <v>2</v>
      </c>
      <c r="M199" s="32" t="str">
        <f t="shared" si="100"/>
        <v>ALB-036|MO|2</v>
      </c>
      <c r="N199" s="121">
        <f>IFERROR(VLOOKUP(A199,PARTIDAS!A:F,6,FALSE()),0)</f>
        <v>15</v>
      </c>
      <c r="O199" s="123">
        <f t="shared" si="101"/>
        <v>6.6666666666666666E-2</v>
      </c>
      <c r="P199" s="123" t="str">
        <f>+_xlfn.XLOOKUP(A199,PPTO_GENERADOR!Q:Q,PPTO_GENERADOR!E:E,"-",0)</f>
        <v>-</v>
      </c>
      <c r="Q199" s="123">
        <f t="shared" si="102"/>
        <v>0</v>
      </c>
      <c r="R199" s="125" t="str">
        <f>+_xlfn.XLOOKUP(A199,PPTO_GENERADOR!$Q:$Q,PPTO_GENERADOR!A:A,"-",0)</f>
        <v>-</v>
      </c>
    </row>
    <row r="200" spans="1:18" ht="14.25" customHeight="1" x14ac:dyDescent="0.35">
      <c r="A200" s="105" t="s">
        <v>1796</v>
      </c>
      <c r="B200" s="105" t="s">
        <v>1981</v>
      </c>
      <c r="C200" s="105" t="s">
        <v>1982</v>
      </c>
      <c r="D200" s="105" t="s">
        <v>542</v>
      </c>
      <c r="E200" s="95" t="str">
        <f>IFERROR(VLOOKUP(D200,MATERIALES!A:B,2,FALSE()),"?")</f>
        <v>Cal Comun x 25kg</v>
      </c>
      <c r="F200" s="129">
        <f>IFERROR(VLOOKUP(D200,MATERIALES!A:C,3,FALSE()),"?")</f>
        <v>0</v>
      </c>
      <c r="G200" s="119">
        <v>0.4</v>
      </c>
      <c r="H200" s="120">
        <v>0.1</v>
      </c>
      <c r="I200" s="96">
        <f>IFERROR(VLOOKUP(D200,MATERIALES!A:D,4,FALSE()),0)</f>
        <v>3927.28</v>
      </c>
      <c r="J200" s="31">
        <f t="shared" ref="J200:J210" si="104">G200*I200*(1+H200)</f>
        <v>1728.0032000000003</v>
      </c>
      <c r="K200" s="32" t="str">
        <f t="shared" si="99"/>
        <v>ALB-037|MAT</v>
      </c>
      <c r="L200" s="32">
        <f>COUNTIFS($K$2:K200,K200)</f>
        <v>1</v>
      </c>
      <c r="M200" s="32" t="str">
        <f t="shared" si="100"/>
        <v>ALB-037|MAT|1</v>
      </c>
      <c r="N200" s="121">
        <f>IFERROR(VLOOKUP(A200,PARTIDAS!A:F,6,FALSE()),0)</f>
        <v>4</v>
      </c>
      <c r="O200" s="123">
        <f t="shared" si="101"/>
        <v>0</v>
      </c>
      <c r="P200" s="123" t="str">
        <f>+_xlfn.XLOOKUP(A200,PPTO_GENERADOR!Q:Q,PPTO_GENERADOR!E:E,"-",0)</f>
        <v>-</v>
      </c>
      <c r="Q200" s="123">
        <f t="shared" si="102"/>
        <v>0</v>
      </c>
      <c r="R200" s="125" t="str">
        <f>+_xlfn.XLOOKUP(A200,PPTO_GENERADOR!$Q:$Q,PPTO_GENERADOR!A:A,"-",0)</f>
        <v>-</v>
      </c>
    </row>
    <row r="201" spans="1:18" ht="14.25" customHeight="1" x14ac:dyDescent="0.35">
      <c r="A201" s="105" t="s">
        <v>1796</v>
      </c>
      <c r="B201" s="105" t="s">
        <v>1981</v>
      </c>
      <c r="C201" s="105" t="s">
        <v>1982</v>
      </c>
      <c r="D201" s="105" t="s">
        <v>540</v>
      </c>
      <c r="E201" s="95" t="str">
        <f>IFERROR(VLOOKUP(D201,MATERIALES!A:B,2,FALSE()),"?")</f>
        <v>Cemento Portland x 50kg</v>
      </c>
      <c r="F201" s="129">
        <f>IFERROR(VLOOKUP(D201,MATERIALES!A:C,3,FALSE()),"?")</f>
        <v>0</v>
      </c>
      <c r="G201" s="119">
        <v>0.254</v>
      </c>
      <c r="H201" s="120">
        <v>0.1</v>
      </c>
      <c r="I201" s="96">
        <f>IFERROR(VLOOKUP(D201,MATERIALES!A:D,4,FALSE()),0)</f>
        <v>7891.74</v>
      </c>
      <c r="J201" s="31">
        <f t="shared" si="104"/>
        <v>2204.9521560000003</v>
      </c>
      <c r="K201" s="32" t="str">
        <f t="shared" si="99"/>
        <v>ALB-037|MAT</v>
      </c>
      <c r="L201" s="32">
        <f>COUNTIFS($K$2:K201,K201)</f>
        <v>2</v>
      </c>
      <c r="M201" s="32" t="str">
        <f t="shared" si="100"/>
        <v>ALB-037|MAT|2</v>
      </c>
      <c r="N201" s="121">
        <f>IFERROR(VLOOKUP(A201,PARTIDAS!A:F,6,FALSE()),0)</f>
        <v>4</v>
      </c>
      <c r="O201" s="123">
        <f t="shared" si="101"/>
        <v>0</v>
      </c>
      <c r="P201" s="123" t="str">
        <f>+_xlfn.XLOOKUP(A201,PPTO_GENERADOR!Q:Q,PPTO_GENERADOR!E:E,"-",0)</f>
        <v>-</v>
      </c>
      <c r="Q201" s="123">
        <f t="shared" si="102"/>
        <v>0</v>
      </c>
      <c r="R201" s="125" t="str">
        <f>+_xlfn.XLOOKUP(A201,PPTO_GENERADOR!$Q:$Q,PPTO_GENERADOR!A:A,"-",0)</f>
        <v>-</v>
      </c>
    </row>
    <row r="202" spans="1:18" ht="14.25" customHeight="1" x14ac:dyDescent="0.35">
      <c r="A202" s="105" t="s">
        <v>1796</v>
      </c>
      <c r="B202" s="105" t="s">
        <v>1981</v>
      </c>
      <c r="C202" s="105" t="s">
        <v>1982</v>
      </c>
      <c r="D202" s="105" t="s">
        <v>538</v>
      </c>
      <c r="E202" s="95" t="str">
        <f>IFERROR(VLOOKUP(D202,MATERIALES!A:B,2,FALSE()),"?")</f>
        <v>ARENA LAVADA</v>
      </c>
      <c r="F202" s="129">
        <f>IFERROR(VLOOKUP(D202,MATERIALES!A:C,3,FALSE()),"?")</f>
        <v>0</v>
      </c>
      <c r="G202" s="119">
        <v>5.2999999999999999E-2</v>
      </c>
      <c r="H202" s="120">
        <v>0.1</v>
      </c>
      <c r="I202" s="96">
        <f>IFERROR(VLOOKUP(D202,MATERIALES!A:D,4,FALSE()),0)</f>
        <v>32620.38</v>
      </c>
      <c r="J202" s="31">
        <f t="shared" si="104"/>
        <v>1901.7681540000001</v>
      </c>
      <c r="K202" s="32" t="str">
        <f t="shared" si="99"/>
        <v>ALB-037|MAT</v>
      </c>
      <c r="L202" s="32">
        <f>COUNTIFS($K$2:K202,K202)</f>
        <v>3</v>
      </c>
      <c r="M202" s="32" t="str">
        <f t="shared" si="100"/>
        <v>ALB-037|MAT|3</v>
      </c>
      <c r="N202" s="121">
        <f>IFERROR(VLOOKUP(A202,PARTIDAS!A:F,6,FALSE()),0)</f>
        <v>4</v>
      </c>
      <c r="O202" s="123">
        <f t="shared" si="101"/>
        <v>0</v>
      </c>
      <c r="P202" s="123" t="str">
        <f>+_xlfn.XLOOKUP(A202,PPTO_GENERADOR!Q:Q,PPTO_GENERADOR!E:E,"-",0)</f>
        <v>-</v>
      </c>
      <c r="Q202" s="123">
        <f t="shared" si="102"/>
        <v>0</v>
      </c>
      <c r="R202" s="125" t="str">
        <f>+_xlfn.XLOOKUP(A202,PPTO_GENERADOR!$Q:$Q,PPTO_GENERADOR!A:A,"-",0)</f>
        <v>-</v>
      </c>
    </row>
    <row r="203" spans="1:18" ht="14.25" customHeight="1" x14ac:dyDescent="0.35">
      <c r="A203" s="105" t="s">
        <v>1796</v>
      </c>
      <c r="B203" s="105" t="s">
        <v>1981</v>
      </c>
      <c r="C203" s="105" t="s">
        <v>1982</v>
      </c>
      <c r="D203" s="105" t="s">
        <v>918</v>
      </c>
      <c r="E203" s="95" t="str">
        <f>IFERROR(VLOOKUP(D203,MATERIALES!A:B,2,FALSE()),"?")</f>
        <v>Ladrillo a la vista 1 cara</v>
      </c>
      <c r="F203" s="129" t="str">
        <f>IFERROR(VLOOKUP(D203,MATERIALES!A:C,3,FALSE()),"?")</f>
        <v>u</v>
      </c>
      <c r="G203" s="119">
        <v>60</v>
      </c>
      <c r="H203" s="120">
        <v>0.05</v>
      </c>
      <c r="I203" s="96">
        <f>IFERROR(VLOOKUP(D203,MATERIALES!A:D,4,FALSE()),0)</f>
        <v>233.44</v>
      </c>
      <c r="J203" s="31">
        <f t="shared" si="104"/>
        <v>14706.72</v>
      </c>
      <c r="K203" s="32" t="str">
        <f t="shared" si="99"/>
        <v>ALB-037|MAT</v>
      </c>
      <c r="L203" s="32">
        <f>COUNTIFS($K$2:K203,K203)</f>
        <v>4</v>
      </c>
      <c r="M203" s="32" t="str">
        <f t="shared" si="100"/>
        <v>ALB-037|MAT|4</v>
      </c>
      <c r="N203" s="121">
        <f>IFERROR(VLOOKUP(A203,PARTIDAS!A:F,6,FALSE()),0)</f>
        <v>4</v>
      </c>
      <c r="O203" s="123">
        <f t="shared" si="101"/>
        <v>0</v>
      </c>
      <c r="P203" s="123" t="str">
        <f>+_xlfn.XLOOKUP(A203,PPTO_GENERADOR!Q:Q,PPTO_GENERADOR!E:E,"-",0)</f>
        <v>-</v>
      </c>
      <c r="Q203" s="123">
        <f t="shared" si="102"/>
        <v>0</v>
      </c>
      <c r="R203" s="125" t="str">
        <f>+_xlfn.XLOOKUP(A203,PPTO_GENERADOR!$Q:$Q,PPTO_GENERADOR!A:A,"-",0)</f>
        <v>-</v>
      </c>
    </row>
    <row r="204" spans="1:18" ht="14.25" customHeight="1" x14ac:dyDescent="0.35">
      <c r="A204" s="105" t="s">
        <v>1796</v>
      </c>
      <c r="B204" s="105" t="s">
        <v>1981</v>
      </c>
      <c r="C204" s="105" t="s">
        <v>1982</v>
      </c>
      <c r="D204" s="105" t="s">
        <v>533</v>
      </c>
      <c r="E204" s="95" t="str">
        <f>IFERROR(VLOOKUP(D204,MATERIALES!A:B,2,FALSE()),"?")</f>
        <v>Barra de Acero Aleteado - 6mm x 12m</v>
      </c>
      <c r="F204" s="129">
        <f>IFERROR(VLOOKUP(D204,MATERIALES!A:C,3,FALSE()),"?")</f>
        <v>0</v>
      </c>
      <c r="G204" s="119">
        <v>0.34</v>
      </c>
      <c r="H204" s="120">
        <v>0.1</v>
      </c>
      <c r="I204" s="96">
        <f>IFERROR(VLOOKUP(D204,MATERIALES!A:D,4,FALSE()),0)</f>
        <v>3620.13</v>
      </c>
      <c r="J204" s="31">
        <f t="shared" si="104"/>
        <v>1353.9286200000004</v>
      </c>
      <c r="K204" s="32" t="str">
        <f t="shared" si="99"/>
        <v>ALB-037|MAT</v>
      </c>
      <c r="L204" s="32">
        <f>COUNTIFS($K$2:K204,K204)</f>
        <v>5</v>
      </c>
      <c r="M204" s="32" t="str">
        <f t="shared" si="100"/>
        <v>ALB-037|MAT|5</v>
      </c>
      <c r="N204" s="121">
        <f>IFERROR(VLOOKUP(A204,PARTIDAS!A:F,6,FALSE()),0)</f>
        <v>4</v>
      </c>
      <c r="O204" s="123">
        <f t="shared" si="101"/>
        <v>0</v>
      </c>
      <c r="P204" s="123" t="str">
        <f>+_xlfn.XLOOKUP(A204,PPTO_GENERADOR!Q:Q,PPTO_GENERADOR!E:E,"-",0)</f>
        <v>-</v>
      </c>
      <c r="Q204" s="123">
        <f t="shared" si="102"/>
        <v>0</v>
      </c>
      <c r="R204" s="125" t="str">
        <f>+_xlfn.XLOOKUP(A204,PPTO_GENERADOR!$Q:$Q,PPTO_GENERADOR!A:A,"-",0)</f>
        <v>-</v>
      </c>
    </row>
    <row r="205" spans="1:18" ht="14.25" customHeight="1" x14ac:dyDescent="0.35">
      <c r="A205" s="105" t="s">
        <v>1796</v>
      </c>
      <c r="B205" s="105" t="s">
        <v>1981</v>
      </c>
      <c r="C205" s="105" t="s">
        <v>1982</v>
      </c>
      <c r="D205" s="105" t="s">
        <v>544</v>
      </c>
      <c r="E205" s="95" t="str">
        <f>IFERROR(VLOOKUP(D205,MATERIALES!A:B,2,FALSE()),"?")</f>
        <v>Aditivo Hidrofugo en pasta - Ceresita x 1kg</v>
      </c>
      <c r="F205" s="129">
        <f>IFERROR(VLOOKUP(D205,MATERIALES!A:C,3,FALSE()),"?")</f>
        <v>0</v>
      </c>
      <c r="G205" s="119">
        <v>0.1</v>
      </c>
      <c r="H205" s="120">
        <v>0.05</v>
      </c>
      <c r="I205" s="96">
        <f>IFERROR(VLOOKUP(D205,MATERIALES!A:D,4,FALSE()),0)</f>
        <v>1363.95</v>
      </c>
      <c r="J205" s="31">
        <f t="shared" si="104"/>
        <v>143.21475000000001</v>
      </c>
      <c r="K205" s="32" t="str">
        <f t="shared" si="99"/>
        <v>ALB-037|MAT</v>
      </c>
      <c r="L205" s="32">
        <f>COUNTIFS($K$2:K205,K205)</f>
        <v>6</v>
      </c>
      <c r="M205" s="32" t="str">
        <f t="shared" si="100"/>
        <v>ALB-037|MAT|6</v>
      </c>
      <c r="N205" s="121">
        <f>IFERROR(VLOOKUP(A205,PARTIDAS!A:F,6,FALSE()),0)</f>
        <v>4</v>
      </c>
      <c r="O205" s="123">
        <f t="shared" si="101"/>
        <v>0</v>
      </c>
      <c r="P205" s="123" t="str">
        <f>+_xlfn.XLOOKUP(A205,PPTO_GENERADOR!Q:Q,PPTO_GENERADOR!E:E,"-",0)</f>
        <v>-</v>
      </c>
      <c r="Q205" s="123">
        <f t="shared" si="102"/>
        <v>0</v>
      </c>
      <c r="R205" s="125" t="str">
        <f>+_xlfn.XLOOKUP(A205,PPTO_GENERADOR!$Q:$Q,PPTO_GENERADOR!A:A,"-",0)</f>
        <v>-</v>
      </c>
    </row>
    <row r="206" spans="1:18" ht="14.25" customHeight="1" x14ac:dyDescent="0.35">
      <c r="A206" s="105" t="s">
        <v>1796</v>
      </c>
      <c r="B206" s="105" t="s">
        <v>1981</v>
      </c>
      <c r="C206" s="105" t="s">
        <v>1982</v>
      </c>
      <c r="D206" s="105" t="s">
        <v>572</v>
      </c>
      <c r="E206" s="95" t="str">
        <f>IFERROR(VLOOKUP(D206,MATERIALES!A:B,2,FALSE()),"?")</f>
        <v>Pintura Asfaltica Asfasol x18ts</v>
      </c>
      <c r="F206" s="129">
        <f>IFERROR(VLOOKUP(D206,MATERIALES!A:C,3,FALSE()),"?")</f>
        <v>0</v>
      </c>
      <c r="G206" s="119">
        <v>2.7777779999999998E-2</v>
      </c>
      <c r="H206" s="120">
        <v>0.1</v>
      </c>
      <c r="I206" s="96">
        <f>IFERROR(VLOOKUP(D206,MATERIALES!A:D,4,FALSE()),0)</f>
        <v>35525.949999999997</v>
      </c>
      <c r="J206" s="31">
        <f t="shared" si="104"/>
        <v>1085.5152257300999</v>
      </c>
      <c r="K206" s="32" t="str">
        <f t="shared" si="99"/>
        <v>ALB-037|MAT</v>
      </c>
      <c r="L206" s="32">
        <f>COUNTIFS($K$2:K206,K206)</f>
        <v>7</v>
      </c>
      <c r="M206" s="32" t="str">
        <f t="shared" si="100"/>
        <v>ALB-037|MAT|7</v>
      </c>
      <c r="N206" s="121">
        <f>IFERROR(VLOOKUP(A206,PARTIDAS!A:F,6,FALSE()),0)</f>
        <v>4</v>
      </c>
      <c r="O206" s="123">
        <f t="shared" si="101"/>
        <v>0</v>
      </c>
      <c r="P206" s="123" t="str">
        <f>+_xlfn.XLOOKUP(A206,PPTO_GENERADOR!Q:Q,PPTO_GENERADOR!E:E,"-",0)</f>
        <v>-</v>
      </c>
      <c r="Q206" s="123">
        <f t="shared" si="102"/>
        <v>0</v>
      </c>
      <c r="R206" s="125" t="str">
        <f>+_xlfn.XLOOKUP(A206,PPTO_GENERADOR!$Q:$Q,PPTO_GENERADOR!A:A,"-",0)</f>
        <v>-</v>
      </c>
    </row>
    <row r="207" spans="1:18" ht="14.25" customHeight="1" x14ac:dyDescent="0.35">
      <c r="A207" s="105" t="s">
        <v>1796</v>
      </c>
      <c r="B207" s="105" t="s">
        <v>1981</v>
      </c>
      <c r="C207" s="105" t="s">
        <v>1982</v>
      </c>
      <c r="D207" s="105" t="s">
        <v>593</v>
      </c>
      <c r="E207" s="95" t="str">
        <f>IFERROR(VLOOKUP(D207,MATERIALES!A:B,2,FALSE()),"?")</f>
        <v>Aguarras Hydrarras Hydra x 18lts</v>
      </c>
      <c r="F207" s="129">
        <f>IFERROR(VLOOKUP(D207,MATERIALES!A:C,3,FALSE()),"?")</f>
        <v>0</v>
      </c>
      <c r="G207" s="119">
        <v>5.0000000000000001E-3</v>
      </c>
      <c r="H207" s="120">
        <v>0.05</v>
      </c>
      <c r="I207" s="96">
        <f>IFERROR(VLOOKUP(D207,MATERIALES!A:D,4,FALSE()),0)</f>
        <v>58016.528925619801</v>
      </c>
      <c r="J207" s="31">
        <f t="shared" si="104"/>
        <v>304.58677685950397</v>
      </c>
      <c r="K207" s="32" t="str">
        <f t="shared" si="99"/>
        <v>ALB-037|MAT</v>
      </c>
      <c r="L207" s="32">
        <f>COUNTIFS($K$2:K207,K207)</f>
        <v>8</v>
      </c>
      <c r="M207" s="32" t="str">
        <f t="shared" si="100"/>
        <v>ALB-037|MAT|8</v>
      </c>
      <c r="N207" s="121">
        <f>IFERROR(VLOOKUP(A207,PARTIDAS!A:F,6,FALSE()),0)</f>
        <v>4</v>
      </c>
      <c r="O207" s="123">
        <f t="shared" si="101"/>
        <v>0</v>
      </c>
      <c r="P207" s="123" t="str">
        <f>+_xlfn.XLOOKUP(A207,PPTO_GENERADOR!Q:Q,PPTO_GENERADOR!E:E,"-",0)</f>
        <v>-</v>
      </c>
      <c r="Q207" s="123">
        <f t="shared" si="102"/>
        <v>0</v>
      </c>
      <c r="R207" s="125" t="str">
        <f>+_xlfn.XLOOKUP(A207,PPTO_GENERADOR!$Q:$Q,PPTO_GENERADOR!A:A,"-",0)</f>
        <v>-</v>
      </c>
    </row>
    <row r="208" spans="1:18" ht="14.25" customHeight="1" x14ac:dyDescent="0.35">
      <c r="A208" s="105" t="s">
        <v>1796</v>
      </c>
      <c r="B208" s="105" t="s">
        <v>1981</v>
      </c>
      <c r="C208" s="105" t="s">
        <v>1982</v>
      </c>
      <c r="D208" s="105" t="s">
        <v>922</v>
      </c>
      <c r="E208" s="95" t="str">
        <f>IFERROR(VLOOKUP(D208,MATERIALES!A:B,2,FALSE()),"?")</f>
        <v>Rodillo de lana pelo largo N°22 - El Galgo</v>
      </c>
      <c r="F208" s="129" t="str">
        <f>IFERROR(VLOOKUP(D208,MATERIALES!A:C,3,FALSE()),"?")</f>
        <v>u</v>
      </c>
      <c r="G208" s="119">
        <v>0.01</v>
      </c>
      <c r="H208" s="120">
        <v>0.05</v>
      </c>
      <c r="I208" s="96">
        <f>IFERROR(VLOOKUP(D208,MATERIALES!A:D,4,FALSE()),0)</f>
        <v>6442.15</v>
      </c>
      <c r="J208" s="31">
        <f t="shared" si="104"/>
        <v>67.642574999999994</v>
      </c>
      <c r="K208" s="32" t="str">
        <f t="shared" si="99"/>
        <v>ALB-037|MAT</v>
      </c>
      <c r="L208" s="32">
        <f>COUNTIFS($K$2:K208,K208)</f>
        <v>9</v>
      </c>
      <c r="M208" s="32" t="str">
        <f t="shared" si="100"/>
        <v>ALB-037|MAT|9</v>
      </c>
      <c r="N208" s="121">
        <f>IFERROR(VLOOKUP(A208,PARTIDAS!A:F,6,FALSE()),0)</f>
        <v>4</v>
      </c>
      <c r="O208" s="123">
        <f t="shared" si="101"/>
        <v>0</v>
      </c>
      <c r="P208" s="123" t="str">
        <f>+_xlfn.XLOOKUP(A208,PPTO_GENERADOR!Q:Q,PPTO_GENERADOR!E:E,"-",0)</f>
        <v>-</v>
      </c>
      <c r="Q208" s="123">
        <f t="shared" si="102"/>
        <v>0</v>
      </c>
      <c r="R208" s="125" t="str">
        <f>+_xlfn.XLOOKUP(A208,PPTO_GENERADOR!$Q:$Q,PPTO_GENERADOR!A:A,"-",0)</f>
        <v>-</v>
      </c>
    </row>
    <row r="209" spans="1:18" ht="14.25" customHeight="1" x14ac:dyDescent="0.35">
      <c r="A209" s="105" t="s">
        <v>1796</v>
      </c>
      <c r="B209" s="105" t="s">
        <v>1981</v>
      </c>
      <c r="C209" s="105" t="s">
        <v>1982</v>
      </c>
      <c r="D209" s="105" t="s">
        <v>559</v>
      </c>
      <c r="E209" s="95" t="str">
        <f>IFERROR(VLOOKUP(D209,MATERIALES!A:B,2,FALSE()),"?")</f>
        <v>CONSUMIBLES (varios)</v>
      </c>
      <c r="F209" s="129" t="str">
        <f>IFERROR(VLOOKUP(D209,MATERIALES!A:C,3,FALSE()),"?")</f>
        <v>gl</v>
      </c>
      <c r="G209" s="119">
        <v>324.18239999999997</v>
      </c>
      <c r="H209" s="120">
        <v>0</v>
      </c>
      <c r="I209" s="96">
        <f>IFERROR(VLOOKUP(D209,MATERIALES!A:D,4,FALSE()),0)</f>
        <v>1</v>
      </c>
      <c r="J209" s="31">
        <f t="shared" si="104"/>
        <v>324.18239999999997</v>
      </c>
      <c r="K209" s="32" t="str">
        <f t="shared" si="99"/>
        <v>ALB-037|MAT</v>
      </c>
      <c r="L209" s="32">
        <f>COUNTIFS($K$2:K209,K209)</f>
        <v>10</v>
      </c>
      <c r="M209" s="32" t="str">
        <f t="shared" si="100"/>
        <v>ALB-037|MAT|10</v>
      </c>
      <c r="N209" s="121">
        <f>IFERROR(VLOOKUP(A209,PARTIDAS!A:F,6,FALSE()),0)</f>
        <v>4</v>
      </c>
      <c r="O209" s="123">
        <f t="shared" si="101"/>
        <v>0</v>
      </c>
      <c r="P209" s="123" t="str">
        <f>+_xlfn.XLOOKUP(A209,PPTO_GENERADOR!Q:Q,PPTO_GENERADOR!E:E,"-",0)</f>
        <v>-</v>
      </c>
      <c r="Q209" s="123">
        <f t="shared" si="102"/>
        <v>0</v>
      </c>
      <c r="R209" s="125" t="str">
        <f>+_xlfn.XLOOKUP(A209,PPTO_GENERADOR!$Q:$Q,PPTO_GENERADOR!A:A,"-",0)</f>
        <v>-</v>
      </c>
    </row>
    <row r="210" spans="1:18" ht="14.25" customHeight="1" x14ac:dyDescent="0.35">
      <c r="A210" s="105" t="s">
        <v>1796</v>
      </c>
      <c r="B210" s="105" t="s">
        <v>1981</v>
      </c>
      <c r="C210" s="105" t="s">
        <v>1982</v>
      </c>
      <c r="D210" s="105" t="s">
        <v>564</v>
      </c>
      <c r="E210" s="95" t="str">
        <f>IFERROR(VLOOKUP(D210,MATERIALES!A:B,2,FALSE()),"?")</f>
        <v>LADRILLO CERAMICO 8 x 18 x 33 cm</v>
      </c>
      <c r="F210" s="129">
        <f>IFERROR(VLOOKUP(D210,MATERIALES!A:C,3,FALSE()),"?")</f>
        <v>0</v>
      </c>
      <c r="G210" s="119">
        <v>15</v>
      </c>
      <c r="H210" s="120">
        <v>0.05</v>
      </c>
      <c r="I210" s="96">
        <f>IFERROR(VLOOKUP(D210,MATERIALES!A:D,4,FALSE()),0)</f>
        <v>506.52</v>
      </c>
      <c r="J210" s="31">
        <f t="shared" si="104"/>
        <v>7977.69</v>
      </c>
      <c r="K210" s="32" t="str">
        <f t="shared" si="99"/>
        <v>ALB-037|MAT</v>
      </c>
      <c r="L210" s="32">
        <f>COUNTIFS($K$2:K210,K210)</f>
        <v>11</v>
      </c>
      <c r="M210" s="32" t="str">
        <f t="shared" si="100"/>
        <v>ALB-037|MAT|11</v>
      </c>
      <c r="N210" s="121">
        <f>IFERROR(VLOOKUP(A210,PARTIDAS!A:F,6,FALSE()),0)</f>
        <v>4</v>
      </c>
      <c r="O210" s="123">
        <f t="shared" si="101"/>
        <v>0</v>
      </c>
      <c r="P210" s="123" t="str">
        <f>+_xlfn.XLOOKUP(A210,PPTO_GENERADOR!Q:Q,PPTO_GENERADOR!E:E,"-",0)</f>
        <v>-</v>
      </c>
      <c r="Q210" s="123">
        <f t="shared" si="102"/>
        <v>0</v>
      </c>
      <c r="R210" s="125" t="str">
        <f>+_xlfn.XLOOKUP(A210,PPTO_GENERADOR!$Q:$Q,PPTO_GENERADOR!A:A,"-",0)</f>
        <v>-</v>
      </c>
    </row>
    <row r="211" spans="1:18" ht="14.25" customHeight="1" x14ac:dyDescent="0.35">
      <c r="A211" s="105" t="s">
        <v>1796</v>
      </c>
      <c r="B211" s="105" t="s">
        <v>1983</v>
      </c>
      <c r="C211" s="105"/>
      <c r="D211" s="105" t="s">
        <v>1319</v>
      </c>
      <c r="E211" s="95" t="str">
        <f>IFERROR(VLOOKUP(D211,EQUIPOS!A:B,2,FALSE()),"?")</f>
        <v>EQUIPO DE ALBAÑILERIA, carpetas, ladrillo</v>
      </c>
      <c r="F211" s="129"/>
      <c r="G211" s="119">
        <v>1</v>
      </c>
      <c r="H211" s="120">
        <v>0</v>
      </c>
      <c r="I211" s="96">
        <f>IFERROR(VLOOKUP(D211,EQUIPOS!A:F,6,FALSE()),0)</f>
        <v>2485.8709964593982</v>
      </c>
      <c r="J211" s="31">
        <f t="shared" ref="J211:J213" si="105">G211*I211</f>
        <v>2485.8709964593982</v>
      </c>
      <c r="K211" s="32" t="str">
        <f t="shared" si="99"/>
        <v>ALB-037|EQ</v>
      </c>
      <c r="L211" s="32">
        <f>COUNTIFS($K$2:K211,K211)</f>
        <v>1</v>
      </c>
      <c r="M211" s="32" t="str">
        <f t="shared" si="100"/>
        <v>ALB-037|EQ|1</v>
      </c>
      <c r="N211" s="121">
        <f>IFERROR(VLOOKUP(A211,PARTIDAS!A:F,6,FALSE()),0)</f>
        <v>4</v>
      </c>
      <c r="O211" s="123">
        <f t="shared" si="101"/>
        <v>0</v>
      </c>
      <c r="P211" s="123" t="str">
        <f>+_xlfn.XLOOKUP(A211,PPTO_GENERADOR!Q:Q,PPTO_GENERADOR!E:E,"-",0)</f>
        <v>-</v>
      </c>
      <c r="Q211" s="123">
        <f t="shared" si="102"/>
        <v>0</v>
      </c>
      <c r="R211" s="125" t="str">
        <f>+_xlfn.XLOOKUP(A211,PPTO_GENERADOR!$Q:$Q,PPTO_GENERADOR!A:A,"-",0)</f>
        <v>-</v>
      </c>
    </row>
    <row r="212" spans="1:18" ht="14.25" customHeight="1" x14ac:dyDescent="0.35">
      <c r="A212" s="105" t="s">
        <v>1796</v>
      </c>
      <c r="B212" s="105" t="s">
        <v>1983</v>
      </c>
      <c r="C212" s="105"/>
      <c r="D212" s="105" t="s">
        <v>1313</v>
      </c>
      <c r="E212" s="95" t="str">
        <f>IFERROR(VLOOKUP(D212,EQUIPOS!A:B,2,FALSE()),"?")</f>
        <v>ANDAMIO TUBULAR DE UNO A TRES CUERPOS</v>
      </c>
      <c r="F212" s="129"/>
      <c r="G212" s="119">
        <v>0.5</v>
      </c>
      <c r="H212" s="120">
        <v>0</v>
      </c>
      <c r="I212" s="96">
        <f>IFERROR(VLOOKUP(D212,EQUIPOS!A:F,6,FALSE()),0)</f>
        <v>620.81078197718341</v>
      </c>
      <c r="J212" s="31">
        <f t="shared" si="105"/>
        <v>310.40539098859171</v>
      </c>
      <c r="K212" s="32" t="str">
        <f t="shared" si="99"/>
        <v>ALB-037|EQ</v>
      </c>
      <c r="L212" s="32">
        <f>COUNTIFS($K$2:K212,K212)</f>
        <v>2</v>
      </c>
      <c r="M212" s="32" t="str">
        <f t="shared" si="100"/>
        <v>ALB-037|EQ|2</v>
      </c>
      <c r="N212" s="121">
        <f>IFERROR(VLOOKUP(A212,PARTIDAS!A:F,6,FALSE()),0)</f>
        <v>4</v>
      </c>
      <c r="O212" s="123">
        <f t="shared" si="101"/>
        <v>0</v>
      </c>
      <c r="P212" s="123" t="str">
        <f>+_xlfn.XLOOKUP(A212,PPTO_GENERADOR!Q:Q,PPTO_GENERADOR!E:E,"-",0)</f>
        <v>-</v>
      </c>
      <c r="Q212" s="123">
        <f t="shared" si="102"/>
        <v>0</v>
      </c>
      <c r="R212" s="125" t="str">
        <f>+_xlfn.XLOOKUP(A212,PPTO_GENERADOR!$Q:$Q,PPTO_GENERADOR!A:A,"-",0)</f>
        <v>-</v>
      </c>
    </row>
    <row r="213" spans="1:18" ht="14.25" customHeight="1" x14ac:dyDescent="0.35">
      <c r="A213" s="105" t="s">
        <v>1796</v>
      </c>
      <c r="B213" s="105" t="s">
        <v>1983</v>
      </c>
      <c r="C213" s="105"/>
      <c r="D213" s="105" t="s">
        <v>1507</v>
      </c>
      <c r="E213" s="95" t="str">
        <f>IFERROR(VLOOKUP(D213,EQUIPOS!A:B,2,FALSE()),"?")</f>
        <v>Hormigonera De 150 Litros 1hp Con Rueda Maciza</v>
      </c>
      <c r="F213" s="129"/>
      <c r="G213" s="119">
        <v>1</v>
      </c>
      <c r="H213" s="120">
        <v>0</v>
      </c>
      <c r="I213" s="96">
        <f>IFERROR(VLOOKUP(D213,EQUIPOS!A:F,6,FALSE()),0)</f>
        <v>1040.4314486705237</v>
      </c>
      <c r="J213" s="31">
        <f t="shared" si="105"/>
        <v>1040.4314486705237</v>
      </c>
      <c r="K213" s="32" t="str">
        <f t="shared" si="99"/>
        <v>ALB-037|EQ</v>
      </c>
      <c r="L213" s="32">
        <f>COUNTIFS($K$2:K213,K213)</f>
        <v>3</v>
      </c>
      <c r="M213" s="32" t="str">
        <f t="shared" si="100"/>
        <v>ALB-037|EQ|3</v>
      </c>
      <c r="N213" s="121">
        <f>IFERROR(VLOOKUP(A213,PARTIDAS!A:F,6,FALSE()),0)</f>
        <v>4</v>
      </c>
      <c r="O213" s="123">
        <f t="shared" si="101"/>
        <v>0</v>
      </c>
      <c r="P213" s="123" t="str">
        <f>+_xlfn.XLOOKUP(A213,PPTO_GENERADOR!Q:Q,PPTO_GENERADOR!E:E,"-",0)</f>
        <v>-</v>
      </c>
      <c r="Q213" s="123">
        <f t="shared" si="102"/>
        <v>0</v>
      </c>
      <c r="R213" s="125" t="str">
        <f>+_xlfn.XLOOKUP(A213,PPTO_GENERADOR!$Q:$Q,PPTO_GENERADOR!A:A,"-",0)</f>
        <v>-</v>
      </c>
    </row>
    <row r="214" spans="1:18" ht="14.25" customHeight="1" x14ac:dyDescent="0.35">
      <c r="A214" s="105" t="s">
        <v>1796</v>
      </c>
      <c r="B214" s="105" t="s">
        <v>1979</v>
      </c>
      <c r="C214" s="105" t="s">
        <v>1980</v>
      </c>
      <c r="D214" s="105" t="s">
        <v>1292</v>
      </c>
      <c r="E214" s="95" t="str">
        <f>IFERROR(VLOOKUP(D214,MANO_DE_OBRA!A:B,2,FALSE()),"?")</f>
        <v>ESPECIALIZADO</v>
      </c>
      <c r="F214" s="129" t="s">
        <v>2042</v>
      </c>
      <c r="G214" s="119">
        <v>1</v>
      </c>
      <c r="H214" s="120">
        <v>0</v>
      </c>
      <c r="I214" s="96">
        <f>IFERROR(VLOOKUP(D214,MANO_DE_OBRA!A:C,3,FALSE()),0)</f>
        <v>94177.137883538904</v>
      </c>
      <c r="J214" s="31">
        <f t="shared" ref="J214:J215" si="106">G214*I214</f>
        <v>94177.137883538904</v>
      </c>
      <c r="K214" s="32" t="str">
        <f t="shared" si="99"/>
        <v>ALB-037|MO</v>
      </c>
      <c r="L214" s="32">
        <f>COUNTIFS($K$2:K214,K214)</f>
        <v>1</v>
      </c>
      <c r="M214" s="32" t="str">
        <f t="shared" si="100"/>
        <v>ALB-037|MO|1</v>
      </c>
      <c r="N214" s="121">
        <f>IFERROR(VLOOKUP(A214,PARTIDAS!A:F,6,FALSE()),0)</f>
        <v>4</v>
      </c>
      <c r="O214" s="123">
        <f t="shared" si="101"/>
        <v>0.25</v>
      </c>
      <c r="P214" s="123" t="str">
        <f>+_xlfn.XLOOKUP(A214,PPTO_GENERADOR!Q:Q,PPTO_GENERADOR!E:E,"-",0)</f>
        <v>-</v>
      </c>
      <c r="Q214" s="123">
        <f t="shared" si="102"/>
        <v>0</v>
      </c>
      <c r="R214" s="125" t="str">
        <f>+_xlfn.XLOOKUP(A214,PPTO_GENERADOR!$Q:$Q,PPTO_GENERADOR!A:A,"-",0)</f>
        <v>-</v>
      </c>
    </row>
    <row r="215" spans="1:18" ht="14.25" customHeight="1" x14ac:dyDescent="0.35">
      <c r="A215" s="105" t="s">
        <v>1796</v>
      </c>
      <c r="B215" s="105" t="s">
        <v>1979</v>
      </c>
      <c r="C215" s="105" t="s">
        <v>1980</v>
      </c>
      <c r="D215" s="105" t="s">
        <v>2038</v>
      </c>
      <c r="E215" s="95" t="str">
        <f>IFERROR(VLOOKUP(D215,MANO_DE_OBRA!A:B,2,FALSE()),"?")</f>
        <v>AYUDANTE</v>
      </c>
      <c r="F215" s="129" t="s">
        <v>2042</v>
      </c>
      <c r="G215" s="119">
        <v>0.91</v>
      </c>
      <c r="H215" s="120">
        <v>0</v>
      </c>
      <c r="I215" s="96">
        <f>IFERROR(VLOOKUP(D215,MANO_DE_OBRA!A:C,3,FALSE()),0)</f>
        <v>67240.498860267602</v>
      </c>
      <c r="J215" s="31">
        <f t="shared" si="106"/>
        <v>61188.853962843517</v>
      </c>
      <c r="K215" s="32" t="str">
        <f t="shared" si="99"/>
        <v>ALB-037|MO</v>
      </c>
      <c r="L215" s="32">
        <f>COUNTIFS($K$2:K215,K215)</f>
        <v>2</v>
      </c>
      <c r="M215" s="32" t="str">
        <f t="shared" si="100"/>
        <v>ALB-037|MO|2</v>
      </c>
      <c r="N215" s="121">
        <f>IFERROR(VLOOKUP(A215,PARTIDAS!A:F,6,FALSE()),0)</f>
        <v>4</v>
      </c>
      <c r="O215" s="123">
        <f t="shared" si="101"/>
        <v>0.22750000000000001</v>
      </c>
      <c r="P215" s="123" t="str">
        <f>+_xlfn.XLOOKUP(A215,PPTO_GENERADOR!Q:Q,PPTO_GENERADOR!E:E,"-",0)</f>
        <v>-</v>
      </c>
      <c r="Q215" s="123">
        <f t="shared" si="102"/>
        <v>0</v>
      </c>
      <c r="R215" s="125" t="str">
        <f>+_xlfn.XLOOKUP(A215,PPTO_GENERADOR!$Q:$Q,PPTO_GENERADOR!A:A,"-",0)</f>
        <v>-</v>
      </c>
    </row>
    <row r="216" spans="1:18" ht="14.25" customHeight="1" x14ac:dyDescent="0.35">
      <c r="A216" s="105" t="s">
        <v>1799</v>
      </c>
      <c r="B216" s="105" t="s">
        <v>1981</v>
      </c>
      <c r="C216" s="105" t="s">
        <v>1982</v>
      </c>
      <c r="D216" s="105" t="s">
        <v>570</v>
      </c>
      <c r="E216" s="95" t="str">
        <f>IFERROR(VLOOKUP(D216,MATERIALES!A:B,2,FALSE()),"?")</f>
        <v>Ladrillo hueco ceramico 12x19x33 - Portante</v>
      </c>
      <c r="F216" s="129">
        <f>IFERROR(VLOOKUP(D216,MATERIALES!A:C,3,FALSE()),"?")</f>
        <v>0</v>
      </c>
      <c r="G216" s="119">
        <v>15</v>
      </c>
      <c r="H216" s="120">
        <v>0.05</v>
      </c>
      <c r="I216" s="96">
        <f>IFERROR(VLOOKUP(D216,MATERIALES!A:D,4,FALSE()),0)</f>
        <v>977.76</v>
      </c>
      <c r="J216" s="31">
        <f t="shared" ref="J216:J221" si="107">G216*I216*(1+H216)</f>
        <v>15399.720000000001</v>
      </c>
      <c r="K216" s="32" t="str">
        <f t="shared" si="99"/>
        <v>ALB-038|MAT</v>
      </c>
      <c r="L216" s="32">
        <f>COUNTIFS($K$2:K216,K216)</f>
        <v>1</v>
      </c>
      <c r="M216" s="32" t="str">
        <f t="shared" si="100"/>
        <v>ALB-038|MAT|1</v>
      </c>
      <c r="N216" s="121">
        <f>IFERROR(VLOOKUP(A216,PARTIDAS!A:F,6,FALSE()),0)</f>
        <v>15</v>
      </c>
      <c r="O216" s="123">
        <f t="shared" si="101"/>
        <v>0</v>
      </c>
      <c r="P216" s="123" t="str">
        <f>+_xlfn.XLOOKUP(A216,PPTO_GENERADOR!Q:Q,PPTO_GENERADOR!E:E,"-",0)</f>
        <v>-</v>
      </c>
      <c r="Q216" s="123">
        <f t="shared" si="102"/>
        <v>0</v>
      </c>
      <c r="R216" s="125" t="str">
        <f>+_xlfn.XLOOKUP(A216,PPTO_GENERADOR!$Q:$Q,PPTO_GENERADOR!A:A,"-",0)</f>
        <v>-</v>
      </c>
    </row>
    <row r="217" spans="1:18" ht="14.25" customHeight="1" x14ac:dyDescent="0.35">
      <c r="A217" s="105" t="s">
        <v>1799</v>
      </c>
      <c r="B217" s="105" t="s">
        <v>1981</v>
      </c>
      <c r="C217" s="105" t="s">
        <v>1982</v>
      </c>
      <c r="D217" s="105" t="s">
        <v>533</v>
      </c>
      <c r="E217" s="95" t="str">
        <f>IFERROR(VLOOKUP(D217,MATERIALES!A:B,2,FALSE()),"?")</f>
        <v>Barra de Acero Aleteado - 6mm x 12m</v>
      </c>
      <c r="F217" s="129">
        <f>IFERROR(VLOOKUP(D217,MATERIALES!A:C,3,FALSE()),"?")</f>
        <v>0</v>
      </c>
      <c r="G217" s="119">
        <v>0.17</v>
      </c>
      <c r="H217" s="120">
        <v>0.1</v>
      </c>
      <c r="I217" s="96">
        <f>IFERROR(VLOOKUP(D217,MATERIALES!A:D,4,FALSE()),0)</f>
        <v>3620.13</v>
      </c>
      <c r="J217" s="31">
        <f t="shared" si="107"/>
        <v>676.96431000000018</v>
      </c>
      <c r="K217" s="32" t="str">
        <f t="shared" si="99"/>
        <v>ALB-038|MAT</v>
      </c>
      <c r="L217" s="32">
        <f>COUNTIFS($K$2:K217,K217)</f>
        <v>2</v>
      </c>
      <c r="M217" s="32" t="str">
        <f t="shared" si="100"/>
        <v>ALB-038|MAT|2</v>
      </c>
      <c r="N217" s="121">
        <f>IFERROR(VLOOKUP(A217,PARTIDAS!A:F,6,FALSE()),0)</f>
        <v>15</v>
      </c>
      <c r="O217" s="123">
        <f t="shared" si="101"/>
        <v>0</v>
      </c>
      <c r="P217" s="123" t="str">
        <f>+_xlfn.XLOOKUP(A217,PPTO_GENERADOR!Q:Q,PPTO_GENERADOR!E:E,"-",0)</f>
        <v>-</v>
      </c>
      <c r="Q217" s="123">
        <f t="shared" si="102"/>
        <v>0</v>
      </c>
      <c r="R217" s="125" t="str">
        <f>+_xlfn.XLOOKUP(A217,PPTO_GENERADOR!$Q:$Q,PPTO_GENERADOR!A:A,"-",0)</f>
        <v>-</v>
      </c>
    </row>
    <row r="218" spans="1:18" ht="14.25" customHeight="1" x14ac:dyDescent="0.35">
      <c r="A218" s="105" t="s">
        <v>1799</v>
      </c>
      <c r="B218" s="105" t="s">
        <v>1981</v>
      </c>
      <c r="C218" s="105" t="s">
        <v>1982</v>
      </c>
      <c r="D218" s="105" t="s">
        <v>542</v>
      </c>
      <c r="E218" s="95" t="str">
        <f>IFERROR(VLOOKUP(D218,MATERIALES!A:B,2,FALSE()),"?")</f>
        <v>Cal Comun x 25kg</v>
      </c>
      <c r="F218" s="129">
        <f>IFERROR(VLOOKUP(D218,MATERIALES!A:C,3,FALSE()),"?")</f>
        <v>0</v>
      </c>
      <c r="G218" s="119">
        <v>0.15</v>
      </c>
      <c r="H218" s="120">
        <v>0.1</v>
      </c>
      <c r="I218" s="96">
        <f>IFERROR(VLOOKUP(D218,MATERIALES!A:D,4,FALSE()),0)</f>
        <v>3927.28</v>
      </c>
      <c r="J218" s="31">
        <f t="shared" si="107"/>
        <v>648.00120000000004</v>
      </c>
      <c r="K218" s="32" t="str">
        <f t="shared" si="99"/>
        <v>ALB-038|MAT</v>
      </c>
      <c r="L218" s="32">
        <f>COUNTIFS($K$2:K218,K218)</f>
        <v>3</v>
      </c>
      <c r="M218" s="32" t="str">
        <f t="shared" si="100"/>
        <v>ALB-038|MAT|3</v>
      </c>
      <c r="N218" s="121">
        <f>IFERROR(VLOOKUP(A218,PARTIDAS!A:F,6,FALSE()),0)</f>
        <v>15</v>
      </c>
      <c r="O218" s="123">
        <f t="shared" si="101"/>
        <v>0</v>
      </c>
      <c r="P218" s="123" t="str">
        <f>+_xlfn.XLOOKUP(A218,PPTO_GENERADOR!Q:Q,PPTO_GENERADOR!E:E,"-",0)</f>
        <v>-</v>
      </c>
      <c r="Q218" s="123">
        <f t="shared" si="102"/>
        <v>0</v>
      </c>
      <c r="R218" s="125" t="str">
        <f>+_xlfn.XLOOKUP(A218,PPTO_GENERADOR!$Q:$Q,PPTO_GENERADOR!A:A,"-",0)</f>
        <v>-</v>
      </c>
    </row>
    <row r="219" spans="1:18" ht="14.25" customHeight="1" x14ac:dyDescent="0.35">
      <c r="A219" s="105" t="s">
        <v>1799</v>
      </c>
      <c r="B219" s="105" t="s">
        <v>1981</v>
      </c>
      <c r="C219" s="105" t="s">
        <v>1982</v>
      </c>
      <c r="D219" s="105" t="s">
        <v>540</v>
      </c>
      <c r="E219" s="95" t="str">
        <f>IFERROR(VLOOKUP(D219,MATERIALES!A:B,2,FALSE()),"?")</f>
        <v>Cemento Portland x 50kg</v>
      </c>
      <c r="F219" s="129">
        <f>IFERROR(VLOOKUP(D219,MATERIALES!A:C,3,FALSE()),"?")</f>
        <v>0</v>
      </c>
      <c r="G219" s="119">
        <v>7.4999999999999997E-2</v>
      </c>
      <c r="H219" s="120">
        <v>0.1</v>
      </c>
      <c r="I219" s="96">
        <f>IFERROR(VLOOKUP(D219,MATERIALES!A:D,4,FALSE()),0)</f>
        <v>7891.74</v>
      </c>
      <c r="J219" s="31">
        <f t="shared" si="107"/>
        <v>651.06855000000007</v>
      </c>
      <c r="K219" s="32" t="str">
        <f t="shared" si="99"/>
        <v>ALB-038|MAT</v>
      </c>
      <c r="L219" s="32">
        <f>COUNTIFS($K$2:K219,K219)</f>
        <v>4</v>
      </c>
      <c r="M219" s="32" t="str">
        <f t="shared" si="100"/>
        <v>ALB-038|MAT|4</v>
      </c>
      <c r="N219" s="121">
        <f>IFERROR(VLOOKUP(A219,PARTIDAS!A:F,6,FALSE()),0)</f>
        <v>15</v>
      </c>
      <c r="O219" s="123">
        <f t="shared" si="101"/>
        <v>0</v>
      </c>
      <c r="P219" s="123" t="str">
        <f>+_xlfn.XLOOKUP(A219,PPTO_GENERADOR!Q:Q,PPTO_GENERADOR!E:E,"-",0)</f>
        <v>-</v>
      </c>
      <c r="Q219" s="123">
        <f t="shared" si="102"/>
        <v>0</v>
      </c>
      <c r="R219" s="125" t="str">
        <f>+_xlfn.XLOOKUP(A219,PPTO_GENERADOR!$Q:$Q,PPTO_GENERADOR!A:A,"-",0)</f>
        <v>-</v>
      </c>
    </row>
    <row r="220" spans="1:18" ht="14.25" customHeight="1" x14ac:dyDescent="0.35">
      <c r="A220" s="105" t="s">
        <v>1799</v>
      </c>
      <c r="B220" s="105" t="s">
        <v>1981</v>
      </c>
      <c r="C220" s="105" t="s">
        <v>1982</v>
      </c>
      <c r="D220" s="105" t="s">
        <v>538</v>
      </c>
      <c r="E220" s="95" t="str">
        <f>IFERROR(VLOOKUP(D220,MATERIALES!A:B,2,FALSE()),"?")</f>
        <v>ARENA LAVADA</v>
      </c>
      <c r="F220" s="129">
        <f>IFERROR(VLOOKUP(D220,MATERIALES!A:C,3,FALSE()),"?")</f>
        <v>0</v>
      </c>
      <c r="G220" s="119">
        <v>1.7999999999999999E-2</v>
      </c>
      <c r="H220" s="120">
        <v>0.1</v>
      </c>
      <c r="I220" s="96">
        <f>IFERROR(VLOOKUP(D220,MATERIALES!A:D,4,FALSE()),0)</f>
        <v>32620.38</v>
      </c>
      <c r="J220" s="31">
        <f t="shared" si="107"/>
        <v>645.88352400000008</v>
      </c>
      <c r="K220" s="32" t="str">
        <f t="shared" si="99"/>
        <v>ALB-038|MAT</v>
      </c>
      <c r="L220" s="32">
        <f>COUNTIFS($K$2:K220,K220)</f>
        <v>5</v>
      </c>
      <c r="M220" s="32" t="str">
        <f t="shared" si="100"/>
        <v>ALB-038|MAT|5</v>
      </c>
      <c r="N220" s="121">
        <f>IFERROR(VLOOKUP(A220,PARTIDAS!A:F,6,FALSE()),0)</f>
        <v>15</v>
      </c>
      <c r="O220" s="123">
        <f t="shared" si="101"/>
        <v>0</v>
      </c>
      <c r="P220" s="123" t="str">
        <f>+_xlfn.XLOOKUP(A220,PPTO_GENERADOR!Q:Q,PPTO_GENERADOR!E:E,"-",0)</f>
        <v>-</v>
      </c>
      <c r="Q220" s="123">
        <f t="shared" si="102"/>
        <v>0</v>
      </c>
      <c r="R220" s="125" t="str">
        <f>+_xlfn.XLOOKUP(A220,PPTO_GENERADOR!$Q:$Q,PPTO_GENERADOR!A:A,"-",0)</f>
        <v>-</v>
      </c>
    </row>
    <row r="221" spans="1:18" ht="14.25" customHeight="1" x14ac:dyDescent="0.35">
      <c r="A221" s="105" t="s">
        <v>1799</v>
      </c>
      <c r="B221" s="105" t="s">
        <v>1981</v>
      </c>
      <c r="C221" s="105" t="s">
        <v>1982</v>
      </c>
      <c r="D221" s="105" t="s">
        <v>559</v>
      </c>
      <c r="E221" s="95" t="str">
        <f>IFERROR(VLOOKUP(D221,MATERIALES!A:B,2,FALSE()),"?")</f>
        <v>CONSUMIBLES (varios)</v>
      </c>
      <c r="F221" s="129" t="str">
        <f>IFERROR(VLOOKUP(D221,MATERIALES!A:C,3,FALSE()),"?")</f>
        <v>gl</v>
      </c>
      <c r="G221" s="119">
        <v>185.62289999999999</v>
      </c>
      <c r="H221" s="120">
        <v>0</v>
      </c>
      <c r="I221" s="96">
        <f>IFERROR(VLOOKUP(D221,MATERIALES!A:D,4,FALSE()),0)</f>
        <v>1</v>
      </c>
      <c r="J221" s="31">
        <f t="shared" si="107"/>
        <v>185.62289999999999</v>
      </c>
      <c r="K221" s="32" t="str">
        <f t="shared" si="99"/>
        <v>ALB-038|MAT</v>
      </c>
      <c r="L221" s="32">
        <f>COUNTIFS($K$2:K221,K221)</f>
        <v>6</v>
      </c>
      <c r="M221" s="32" t="str">
        <f t="shared" si="100"/>
        <v>ALB-038|MAT|6</v>
      </c>
      <c r="N221" s="121">
        <f>IFERROR(VLOOKUP(A221,PARTIDAS!A:F,6,FALSE()),0)</f>
        <v>15</v>
      </c>
      <c r="O221" s="123">
        <f t="shared" si="101"/>
        <v>0</v>
      </c>
      <c r="P221" s="123" t="str">
        <f>+_xlfn.XLOOKUP(A221,PPTO_GENERADOR!Q:Q,PPTO_GENERADOR!E:E,"-",0)</f>
        <v>-</v>
      </c>
      <c r="Q221" s="123">
        <f t="shared" si="102"/>
        <v>0</v>
      </c>
      <c r="R221" s="125" t="str">
        <f>+_xlfn.XLOOKUP(A221,PPTO_GENERADOR!$Q:$Q,PPTO_GENERADOR!A:A,"-",0)</f>
        <v>-</v>
      </c>
    </row>
    <row r="222" spans="1:18" ht="14.25" customHeight="1" x14ac:dyDescent="0.35">
      <c r="A222" s="105" t="s">
        <v>1799</v>
      </c>
      <c r="B222" s="105" t="s">
        <v>1983</v>
      </c>
      <c r="C222" s="105"/>
      <c r="D222" s="105" t="s">
        <v>1319</v>
      </c>
      <c r="E222" s="95" t="str">
        <f>IFERROR(VLOOKUP(D222,EQUIPOS!A:B,2,FALSE()),"?")</f>
        <v>EQUIPO DE ALBAÑILERIA, carpetas, ladrillo</v>
      </c>
      <c r="F222" s="129"/>
      <c r="G222" s="119">
        <v>1</v>
      </c>
      <c r="H222" s="120">
        <v>0</v>
      </c>
      <c r="I222" s="96">
        <f>IFERROR(VLOOKUP(D222,EQUIPOS!A:F,6,FALSE()),0)</f>
        <v>2485.8709964593982</v>
      </c>
      <c r="J222" s="31">
        <f t="shared" ref="J222:J224" si="108">G222*I222</f>
        <v>2485.8709964593982</v>
      </c>
      <c r="K222" s="32" t="str">
        <f t="shared" si="99"/>
        <v>ALB-038|EQ</v>
      </c>
      <c r="L222" s="32">
        <f>COUNTIFS($K$2:K222,K222)</f>
        <v>1</v>
      </c>
      <c r="M222" s="32" t="str">
        <f t="shared" si="100"/>
        <v>ALB-038|EQ|1</v>
      </c>
      <c r="N222" s="121">
        <f>IFERROR(VLOOKUP(A222,PARTIDAS!A:F,6,FALSE()),0)</f>
        <v>15</v>
      </c>
      <c r="O222" s="123">
        <f t="shared" si="101"/>
        <v>0</v>
      </c>
      <c r="P222" s="123" t="str">
        <f>+_xlfn.XLOOKUP(A222,PPTO_GENERADOR!Q:Q,PPTO_GENERADOR!E:E,"-",0)</f>
        <v>-</v>
      </c>
      <c r="Q222" s="123">
        <f t="shared" si="102"/>
        <v>0</v>
      </c>
      <c r="R222" s="125" t="str">
        <f>+_xlfn.XLOOKUP(A222,PPTO_GENERADOR!$Q:$Q,PPTO_GENERADOR!A:A,"-",0)</f>
        <v>-</v>
      </c>
    </row>
    <row r="223" spans="1:18" ht="14.25" customHeight="1" x14ac:dyDescent="0.35">
      <c r="A223" s="105" t="s">
        <v>1799</v>
      </c>
      <c r="B223" s="105" t="s">
        <v>1983</v>
      </c>
      <c r="C223" s="105"/>
      <c r="D223" s="105" t="s">
        <v>1313</v>
      </c>
      <c r="E223" s="95" t="str">
        <f>IFERROR(VLOOKUP(D223,EQUIPOS!A:B,2,FALSE()),"?")</f>
        <v>ANDAMIO TUBULAR DE UNO A TRES CUERPOS</v>
      </c>
      <c r="F223" s="129"/>
      <c r="G223" s="119">
        <v>0.5</v>
      </c>
      <c r="H223" s="120">
        <v>0</v>
      </c>
      <c r="I223" s="96">
        <f>IFERROR(VLOOKUP(D223,EQUIPOS!A:F,6,FALSE()),0)</f>
        <v>620.81078197718341</v>
      </c>
      <c r="J223" s="31">
        <f t="shared" si="108"/>
        <v>310.40539098859171</v>
      </c>
      <c r="K223" s="32" t="str">
        <f t="shared" si="99"/>
        <v>ALB-038|EQ</v>
      </c>
      <c r="L223" s="32">
        <f>COUNTIFS($K$2:K223,K223)</f>
        <v>2</v>
      </c>
      <c r="M223" s="32" t="str">
        <f t="shared" si="100"/>
        <v>ALB-038|EQ|2</v>
      </c>
      <c r="N223" s="121">
        <f>IFERROR(VLOOKUP(A223,PARTIDAS!A:F,6,FALSE()),0)</f>
        <v>15</v>
      </c>
      <c r="O223" s="123">
        <f t="shared" si="101"/>
        <v>0</v>
      </c>
      <c r="P223" s="123" t="str">
        <f>+_xlfn.XLOOKUP(A223,PPTO_GENERADOR!Q:Q,PPTO_GENERADOR!E:E,"-",0)</f>
        <v>-</v>
      </c>
      <c r="Q223" s="123">
        <f t="shared" si="102"/>
        <v>0</v>
      </c>
      <c r="R223" s="125" t="str">
        <f>+_xlfn.XLOOKUP(A223,PPTO_GENERADOR!$Q:$Q,PPTO_GENERADOR!A:A,"-",0)</f>
        <v>-</v>
      </c>
    </row>
    <row r="224" spans="1:18" ht="14.25" customHeight="1" x14ac:dyDescent="0.35">
      <c r="A224" s="105" t="s">
        <v>1799</v>
      </c>
      <c r="B224" s="105" t="s">
        <v>1983</v>
      </c>
      <c r="C224" s="105"/>
      <c r="D224" s="105" t="s">
        <v>1507</v>
      </c>
      <c r="E224" s="95" t="str">
        <f>IFERROR(VLOOKUP(D224,EQUIPOS!A:B,2,FALSE()),"?")</f>
        <v>Hormigonera De 150 Litros 1hp Con Rueda Maciza</v>
      </c>
      <c r="F224" s="129"/>
      <c r="G224" s="119">
        <v>1</v>
      </c>
      <c r="H224" s="120">
        <v>0</v>
      </c>
      <c r="I224" s="96">
        <f>IFERROR(VLOOKUP(D224,EQUIPOS!A:F,6,FALSE()),0)</f>
        <v>1040.4314486705237</v>
      </c>
      <c r="J224" s="31">
        <f t="shared" si="108"/>
        <v>1040.4314486705237</v>
      </c>
      <c r="K224" s="32" t="str">
        <f t="shared" si="99"/>
        <v>ALB-038|EQ</v>
      </c>
      <c r="L224" s="32">
        <f>COUNTIFS($K$2:K224,K224)</f>
        <v>3</v>
      </c>
      <c r="M224" s="32" t="str">
        <f t="shared" si="100"/>
        <v>ALB-038|EQ|3</v>
      </c>
      <c r="N224" s="121">
        <f>IFERROR(VLOOKUP(A224,PARTIDAS!A:F,6,FALSE()),0)</f>
        <v>15</v>
      </c>
      <c r="O224" s="123">
        <f t="shared" si="101"/>
        <v>0</v>
      </c>
      <c r="P224" s="123" t="str">
        <f>+_xlfn.XLOOKUP(A224,PPTO_GENERADOR!Q:Q,PPTO_GENERADOR!E:E,"-",0)</f>
        <v>-</v>
      </c>
      <c r="Q224" s="123">
        <f t="shared" si="102"/>
        <v>0</v>
      </c>
      <c r="R224" s="125" t="str">
        <f>+_xlfn.XLOOKUP(A224,PPTO_GENERADOR!$Q:$Q,PPTO_GENERADOR!A:A,"-",0)</f>
        <v>-</v>
      </c>
    </row>
    <row r="225" spans="1:18" ht="14.25" customHeight="1" x14ac:dyDescent="0.35">
      <c r="A225" s="105" t="s">
        <v>1799</v>
      </c>
      <c r="B225" s="105" t="s">
        <v>1979</v>
      </c>
      <c r="C225" s="105" t="s">
        <v>1980</v>
      </c>
      <c r="D225" s="105" t="s">
        <v>1292</v>
      </c>
      <c r="E225" s="95" t="str">
        <f>IFERROR(VLOOKUP(D225,MANO_DE_OBRA!A:B,2,FALSE()),"?")</f>
        <v>ESPECIALIZADO</v>
      </c>
      <c r="F225" s="129" t="s">
        <v>2042</v>
      </c>
      <c r="G225" s="119">
        <v>1</v>
      </c>
      <c r="H225" s="120">
        <v>0</v>
      </c>
      <c r="I225" s="96">
        <f>IFERROR(VLOOKUP(D225,MANO_DE_OBRA!A:C,3,FALSE()),0)</f>
        <v>94177.137883538904</v>
      </c>
      <c r="J225" s="31">
        <f t="shared" ref="J225:J226" si="109">G225*I225</f>
        <v>94177.137883538904</v>
      </c>
      <c r="K225" s="32" t="str">
        <f t="shared" si="99"/>
        <v>ALB-038|MO</v>
      </c>
      <c r="L225" s="32">
        <f>COUNTIFS($K$2:K225,K225)</f>
        <v>1</v>
      </c>
      <c r="M225" s="32" t="str">
        <f t="shared" si="100"/>
        <v>ALB-038|MO|1</v>
      </c>
      <c r="N225" s="121">
        <f>IFERROR(VLOOKUP(A225,PARTIDAS!A:F,6,FALSE()),0)</f>
        <v>15</v>
      </c>
      <c r="O225" s="123">
        <f t="shared" si="101"/>
        <v>6.6666666666666666E-2</v>
      </c>
      <c r="P225" s="123" t="str">
        <f>+_xlfn.XLOOKUP(A225,PPTO_GENERADOR!Q:Q,PPTO_GENERADOR!E:E,"-",0)</f>
        <v>-</v>
      </c>
      <c r="Q225" s="123">
        <f t="shared" si="102"/>
        <v>0</v>
      </c>
      <c r="R225" s="125" t="str">
        <f>+_xlfn.XLOOKUP(A225,PPTO_GENERADOR!$Q:$Q,PPTO_GENERADOR!A:A,"-",0)</f>
        <v>-</v>
      </c>
    </row>
    <row r="226" spans="1:18" ht="14.25" customHeight="1" x14ac:dyDescent="0.35">
      <c r="A226" s="105" t="s">
        <v>1799</v>
      </c>
      <c r="B226" s="105" t="s">
        <v>1979</v>
      </c>
      <c r="C226" s="105" t="s">
        <v>1980</v>
      </c>
      <c r="D226" s="105" t="s">
        <v>2038</v>
      </c>
      <c r="E226" s="95" t="str">
        <f>IFERROR(VLOOKUP(D226,MANO_DE_OBRA!A:B,2,FALSE()),"?")</f>
        <v>AYUDANTE</v>
      </c>
      <c r="F226" s="129" t="s">
        <v>2042</v>
      </c>
      <c r="G226" s="119">
        <v>1</v>
      </c>
      <c r="H226" s="120">
        <v>0</v>
      </c>
      <c r="I226" s="96">
        <f>IFERROR(VLOOKUP(D226,MANO_DE_OBRA!A:C,3,FALSE()),0)</f>
        <v>67240.498860267602</v>
      </c>
      <c r="J226" s="31">
        <f t="shared" si="109"/>
        <v>67240.498860267602</v>
      </c>
      <c r="K226" s="32" t="str">
        <f t="shared" si="99"/>
        <v>ALB-038|MO</v>
      </c>
      <c r="L226" s="32">
        <f>COUNTIFS($K$2:K226,K226)</f>
        <v>2</v>
      </c>
      <c r="M226" s="32" t="str">
        <f t="shared" si="100"/>
        <v>ALB-038|MO|2</v>
      </c>
      <c r="N226" s="121">
        <f>IFERROR(VLOOKUP(A226,PARTIDAS!A:F,6,FALSE()),0)</f>
        <v>15</v>
      </c>
      <c r="O226" s="123">
        <f t="shared" si="101"/>
        <v>6.6666666666666666E-2</v>
      </c>
      <c r="P226" s="123" t="str">
        <f>+_xlfn.XLOOKUP(A226,PPTO_GENERADOR!Q:Q,PPTO_GENERADOR!E:E,"-",0)</f>
        <v>-</v>
      </c>
      <c r="Q226" s="123">
        <f t="shared" si="102"/>
        <v>0</v>
      </c>
      <c r="R226" s="125" t="str">
        <f>+_xlfn.XLOOKUP(A226,PPTO_GENERADOR!$Q:$Q,PPTO_GENERADOR!A:A,"-",0)</f>
        <v>-</v>
      </c>
    </row>
    <row r="227" spans="1:18" ht="14.25" customHeight="1" x14ac:dyDescent="0.35">
      <c r="A227" s="105" t="s">
        <v>1802</v>
      </c>
      <c r="B227" s="105" t="s">
        <v>1981</v>
      </c>
      <c r="C227" s="105" t="s">
        <v>1982</v>
      </c>
      <c r="D227" s="105" t="s">
        <v>538</v>
      </c>
      <c r="E227" s="95" t="str">
        <f>IFERROR(VLOOKUP(D227,MATERIALES!A:B,2,FALSE()),"?")</f>
        <v>ARENA LAVADA</v>
      </c>
      <c r="F227" s="129">
        <f>IFERROR(VLOOKUP(D227,MATERIALES!A:C,3,FALSE()),"?")</f>
        <v>0</v>
      </c>
      <c r="G227" s="119">
        <v>3.5999999999999997E-2</v>
      </c>
      <c r="H227" s="120">
        <v>0.1</v>
      </c>
      <c r="I227" s="96">
        <f>IFERROR(VLOOKUP(D227,MATERIALES!A:D,4,FALSE()),0)</f>
        <v>32620.38</v>
      </c>
      <c r="J227" s="31">
        <f t="shared" ref="J227:J228" si="110">G227*I227*(1+H227)</f>
        <v>1291.7670480000002</v>
      </c>
      <c r="K227" s="32" t="str">
        <f t="shared" si="99"/>
        <v>ALB-039|MAT</v>
      </c>
      <c r="L227" s="32">
        <f>COUNTIFS($K$2:K227,K227)</f>
        <v>1</v>
      </c>
      <c r="M227" s="32" t="str">
        <f t="shared" si="100"/>
        <v>ALB-039|MAT|1</v>
      </c>
      <c r="N227" s="121">
        <f>IFERROR(VLOOKUP(A227,PARTIDAS!A:F,6,FALSE()),0)</f>
        <v>2</v>
      </c>
      <c r="O227" s="123">
        <f t="shared" si="101"/>
        <v>0</v>
      </c>
      <c r="P227" s="123" t="str">
        <f>+_xlfn.XLOOKUP(A227,PPTO_GENERADOR!Q:Q,PPTO_GENERADOR!E:E,"-",0)</f>
        <v>-</v>
      </c>
      <c r="Q227" s="123">
        <f t="shared" si="102"/>
        <v>0</v>
      </c>
      <c r="R227" s="125" t="str">
        <f>+_xlfn.XLOOKUP(A227,PPTO_GENERADOR!$Q:$Q,PPTO_GENERADOR!A:A,"-",0)</f>
        <v>-</v>
      </c>
    </row>
    <row r="228" spans="1:18" ht="14.25" customHeight="1" x14ac:dyDescent="0.35">
      <c r="A228" s="105" t="s">
        <v>1802</v>
      </c>
      <c r="B228" s="105" t="s">
        <v>1981</v>
      </c>
      <c r="C228" s="105" t="s">
        <v>1982</v>
      </c>
      <c r="D228" s="105" t="s">
        <v>540</v>
      </c>
      <c r="E228" s="95" t="str">
        <f>IFERROR(VLOOKUP(D228,MATERIALES!A:B,2,FALSE()),"?")</f>
        <v>Cemento Portland x 50kg</v>
      </c>
      <c r="F228" s="129">
        <f>IFERROR(VLOOKUP(D228,MATERIALES!A:C,3,FALSE()),"?")</f>
        <v>0</v>
      </c>
      <c r="G228" s="119">
        <v>0.32400000000000001</v>
      </c>
      <c r="H228" s="120">
        <v>0.1</v>
      </c>
      <c r="I228" s="96">
        <f>IFERROR(VLOOKUP(D228,MATERIALES!A:D,4,FALSE()),0)</f>
        <v>7891.74</v>
      </c>
      <c r="J228" s="31">
        <f t="shared" si="110"/>
        <v>2812.6161360000006</v>
      </c>
      <c r="K228" s="32" t="str">
        <f t="shared" si="99"/>
        <v>ALB-039|MAT</v>
      </c>
      <c r="L228" s="32">
        <f>COUNTIFS($K$2:K228,K228)</f>
        <v>2</v>
      </c>
      <c r="M228" s="32" t="str">
        <f t="shared" si="100"/>
        <v>ALB-039|MAT|2</v>
      </c>
      <c r="N228" s="121">
        <f>IFERROR(VLOOKUP(A228,PARTIDAS!A:F,6,FALSE()),0)</f>
        <v>2</v>
      </c>
      <c r="O228" s="123">
        <f t="shared" si="101"/>
        <v>0</v>
      </c>
      <c r="P228" s="123" t="str">
        <f>+_xlfn.XLOOKUP(A228,PPTO_GENERADOR!Q:Q,PPTO_GENERADOR!E:E,"-",0)</f>
        <v>-</v>
      </c>
      <c r="Q228" s="123">
        <f t="shared" si="102"/>
        <v>0</v>
      </c>
      <c r="R228" s="125" t="str">
        <f>+_xlfn.XLOOKUP(A228,PPTO_GENERADOR!$Q:$Q,PPTO_GENERADOR!A:A,"-",0)</f>
        <v>-</v>
      </c>
    </row>
    <row r="229" spans="1:18" ht="14.25" customHeight="1" x14ac:dyDescent="0.35">
      <c r="A229" s="105" t="s">
        <v>1802</v>
      </c>
      <c r="B229" s="105" t="s">
        <v>1983</v>
      </c>
      <c r="C229" s="105"/>
      <c r="D229" s="105" t="s">
        <v>1319</v>
      </c>
      <c r="E229" s="95" t="str">
        <f>IFERROR(VLOOKUP(D229,EQUIPOS!A:B,2,FALSE()),"?")</f>
        <v>EQUIPO DE ALBAÑILERIA, carpetas, ladrillo</v>
      </c>
      <c r="F229" s="129"/>
      <c r="G229" s="119">
        <v>0.25</v>
      </c>
      <c r="H229" s="120">
        <v>0</v>
      </c>
      <c r="I229" s="96">
        <f>IFERROR(VLOOKUP(D229,EQUIPOS!A:F,6,FALSE()),0)</f>
        <v>2485.8709964593982</v>
      </c>
      <c r="J229" s="31">
        <f t="shared" ref="J229:J230" si="111">G229*I229</f>
        <v>621.46774911484954</v>
      </c>
      <c r="K229" s="32" t="str">
        <f t="shared" si="99"/>
        <v>ALB-039|EQ</v>
      </c>
      <c r="L229" s="32">
        <f>COUNTIFS($K$2:K229,K229)</f>
        <v>1</v>
      </c>
      <c r="M229" s="32" t="str">
        <f t="shared" si="100"/>
        <v>ALB-039|EQ|1</v>
      </c>
      <c r="N229" s="121">
        <f>IFERROR(VLOOKUP(A229,PARTIDAS!A:F,6,FALSE()),0)</f>
        <v>2</v>
      </c>
      <c r="O229" s="123">
        <f t="shared" si="101"/>
        <v>0</v>
      </c>
      <c r="P229" s="123" t="str">
        <f>+_xlfn.XLOOKUP(A229,PPTO_GENERADOR!Q:Q,PPTO_GENERADOR!E:E,"-",0)</f>
        <v>-</v>
      </c>
      <c r="Q229" s="123">
        <f t="shared" si="102"/>
        <v>0</v>
      </c>
      <c r="R229" s="125" t="str">
        <f>+_xlfn.XLOOKUP(A229,PPTO_GENERADOR!$Q:$Q,PPTO_GENERADOR!A:A,"-",0)</f>
        <v>-</v>
      </c>
    </row>
    <row r="230" spans="1:18" ht="14.25" customHeight="1" x14ac:dyDescent="0.35">
      <c r="A230" s="105" t="s">
        <v>1802</v>
      </c>
      <c r="B230" s="105" t="s">
        <v>1983</v>
      </c>
      <c r="C230" s="105"/>
      <c r="D230" s="105" t="s">
        <v>1507</v>
      </c>
      <c r="E230" s="95" t="str">
        <f>IFERROR(VLOOKUP(D230,EQUIPOS!A:B,2,FALSE()),"?")</f>
        <v>Hormigonera De 150 Litros 1hp Con Rueda Maciza</v>
      </c>
      <c r="F230" s="129"/>
      <c r="G230" s="119">
        <v>0.25</v>
      </c>
      <c r="H230" s="120">
        <v>0</v>
      </c>
      <c r="I230" s="96">
        <f>IFERROR(VLOOKUP(D230,EQUIPOS!A:F,6,FALSE()),0)</f>
        <v>1040.4314486705237</v>
      </c>
      <c r="J230" s="31">
        <f t="shared" si="111"/>
        <v>260.10786216763091</v>
      </c>
      <c r="K230" s="32" t="str">
        <f t="shared" si="99"/>
        <v>ALB-039|EQ</v>
      </c>
      <c r="L230" s="32">
        <f>COUNTIFS($K$2:K230,K230)</f>
        <v>2</v>
      </c>
      <c r="M230" s="32" t="str">
        <f t="shared" si="100"/>
        <v>ALB-039|EQ|2</v>
      </c>
      <c r="N230" s="121">
        <f>IFERROR(VLOOKUP(A230,PARTIDAS!A:F,6,FALSE()),0)</f>
        <v>2</v>
      </c>
      <c r="O230" s="123">
        <f t="shared" si="101"/>
        <v>0</v>
      </c>
      <c r="P230" s="123" t="str">
        <f>+_xlfn.XLOOKUP(A230,PPTO_GENERADOR!Q:Q,PPTO_GENERADOR!E:E,"-",0)</f>
        <v>-</v>
      </c>
      <c r="Q230" s="123">
        <f t="shared" si="102"/>
        <v>0</v>
      </c>
      <c r="R230" s="125" t="str">
        <f>+_xlfn.XLOOKUP(A230,PPTO_GENERADOR!$Q:$Q,PPTO_GENERADOR!A:A,"-",0)</f>
        <v>-</v>
      </c>
    </row>
    <row r="231" spans="1:18" ht="14.25" customHeight="1" x14ac:dyDescent="0.35">
      <c r="A231" s="105" t="s">
        <v>1802</v>
      </c>
      <c r="B231" s="105" t="s">
        <v>1979</v>
      </c>
      <c r="C231" s="105" t="s">
        <v>1980</v>
      </c>
      <c r="D231" s="105" t="s">
        <v>2038</v>
      </c>
      <c r="E231" s="95" t="str">
        <f>IFERROR(VLOOKUP(D231,MANO_DE_OBRA!A:B,2,FALSE()),"?")</f>
        <v>AYUDANTE</v>
      </c>
      <c r="F231" s="129" t="s">
        <v>2042</v>
      </c>
      <c r="G231" s="119">
        <v>0.75</v>
      </c>
      <c r="H231" s="120">
        <v>0</v>
      </c>
      <c r="I231" s="96">
        <f>IFERROR(VLOOKUP(D231,MANO_DE_OBRA!A:C,3,FALSE()),0)</f>
        <v>67240.498860267602</v>
      </c>
      <c r="J231" s="31">
        <f t="shared" ref="J231:J232" si="112">G231*I231</f>
        <v>50430.374145200702</v>
      </c>
      <c r="K231" s="32" t="str">
        <f t="shared" si="99"/>
        <v>ALB-039|MO</v>
      </c>
      <c r="L231" s="32">
        <f>COUNTIFS($K$2:K231,K231)</f>
        <v>1</v>
      </c>
      <c r="M231" s="32" t="str">
        <f t="shared" si="100"/>
        <v>ALB-039|MO|1</v>
      </c>
      <c r="N231" s="121">
        <f>IFERROR(VLOOKUP(A231,PARTIDAS!A:F,6,FALSE()),0)</f>
        <v>2</v>
      </c>
      <c r="O231" s="123">
        <f t="shared" si="101"/>
        <v>0.375</v>
      </c>
      <c r="P231" s="123" t="str">
        <f>+_xlfn.XLOOKUP(A231,PPTO_GENERADOR!Q:Q,PPTO_GENERADOR!E:E,"-",0)</f>
        <v>-</v>
      </c>
      <c r="Q231" s="123">
        <f t="shared" si="102"/>
        <v>0</v>
      </c>
      <c r="R231" s="125" t="str">
        <f>+_xlfn.XLOOKUP(A231,PPTO_GENERADOR!$Q:$Q,PPTO_GENERADOR!A:A,"-",0)</f>
        <v>-</v>
      </c>
    </row>
    <row r="232" spans="1:18" ht="14.25" customHeight="1" x14ac:dyDescent="0.35">
      <c r="A232" s="105" t="s">
        <v>1802</v>
      </c>
      <c r="B232" s="105" t="s">
        <v>1979</v>
      </c>
      <c r="C232" s="105" t="s">
        <v>1980</v>
      </c>
      <c r="D232" s="105" t="s">
        <v>1292</v>
      </c>
      <c r="E232" s="95" t="str">
        <f>IFERROR(VLOOKUP(D232,MANO_DE_OBRA!A:B,2,FALSE()),"?")</f>
        <v>ESPECIALIZADO</v>
      </c>
      <c r="F232" s="129" t="s">
        <v>2042</v>
      </c>
      <c r="G232" s="119">
        <v>0.75</v>
      </c>
      <c r="H232" s="120">
        <v>0</v>
      </c>
      <c r="I232" s="96">
        <f>IFERROR(VLOOKUP(D232,MANO_DE_OBRA!A:C,3,FALSE()),0)</f>
        <v>94177.137883538904</v>
      </c>
      <c r="J232" s="31">
        <f t="shared" si="112"/>
        <v>70632.853412654178</v>
      </c>
      <c r="K232" s="32" t="str">
        <f t="shared" si="99"/>
        <v>ALB-039|MO</v>
      </c>
      <c r="L232" s="32">
        <f>COUNTIFS($K$2:K232,K232)</f>
        <v>2</v>
      </c>
      <c r="M232" s="32" t="str">
        <f t="shared" si="100"/>
        <v>ALB-039|MO|2</v>
      </c>
      <c r="N232" s="121">
        <f>IFERROR(VLOOKUP(A232,PARTIDAS!A:F,6,FALSE()),0)</f>
        <v>2</v>
      </c>
      <c r="O232" s="123">
        <f t="shared" si="101"/>
        <v>0.375</v>
      </c>
      <c r="P232" s="123" t="str">
        <f>+_xlfn.XLOOKUP(A232,PPTO_GENERADOR!Q:Q,PPTO_GENERADOR!E:E,"-",0)</f>
        <v>-</v>
      </c>
      <c r="Q232" s="123">
        <f t="shared" si="102"/>
        <v>0</v>
      </c>
      <c r="R232" s="125" t="str">
        <f>+_xlfn.XLOOKUP(A232,PPTO_GENERADOR!$Q:$Q,PPTO_GENERADOR!A:A,"-",0)</f>
        <v>-</v>
      </c>
    </row>
    <row r="233" spans="1:18" ht="14.25" customHeight="1" x14ac:dyDescent="0.35">
      <c r="A233" s="105" t="s">
        <v>1805</v>
      </c>
      <c r="B233" s="105" t="s">
        <v>1981</v>
      </c>
      <c r="C233" s="105" t="s">
        <v>1982</v>
      </c>
      <c r="D233" s="105" t="s">
        <v>538</v>
      </c>
      <c r="E233" s="95" t="str">
        <f>IFERROR(VLOOKUP(D233,MATERIALES!A:B,2,FALSE()),"?")</f>
        <v>ARENA LAVADA</v>
      </c>
      <c r="F233" s="129">
        <f>IFERROR(VLOOKUP(D233,MATERIALES!A:C,3,FALSE()),"?")</f>
        <v>0</v>
      </c>
      <c r="G233" s="119">
        <v>1.38E-2</v>
      </c>
      <c r="H233" s="120">
        <v>0.05</v>
      </c>
      <c r="I233" s="96">
        <f>IFERROR(VLOOKUP(D233,MATERIALES!A:D,4,FALSE()),0)</f>
        <v>32620.38</v>
      </c>
      <c r="J233" s="31">
        <f t="shared" ref="J233:J234" si="113">G233*I233*(1+H233)</f>
        <v>472.66930620000005</v>
      </c>
      <c r="K233" s="32" t="str">
        <f t="shared" si="99"/>
        <v>ALB-040|MAT</v>
      </c>
      <c r="L233" s="32">
        <f>COUNTIFS($K$2:K233,K233)</f>
        <v>1</v>
      </c>
      <c r="M233" s="32" t="str">
        <f t="shared" si="100"/>
        <v>ALB-040|MAT|1</v>
      </c>
      <c r="N233" s="121">
        <f>IFERROR(VLOOKUP(A233,PARTIDAS!A:F,6,FALSE()),0)</f>
        <v>4</v>
      </c>
      <c r="O233" s="123">
        <f t="shared" si="101"/>
        <v>0</v>
      </c>
      <c r="P233" s="123" t="str">
        <f>+_xlfn.XLOOKUP(A233,PPTO_GENERADOR!Q:Q,PPTO_GENERADOR!E:E,"-",0)</f>
        <v>-</v>
      </c>
      <c r="Q233" s="123">
        <f t="shared" si="102"/>
        <v>0</v>
      </c>
      <c r="R233" s="125" t="str">
        <f>+_xlfn.XLOOKUP(A233,PPTO_GENERADOR!$Q:$Q,PPTO_GENERADOR!A:A,"-",0)</f>
        <v>-</v>
      </c>
    </row>
    <row r="234" spans="1:18" ht="14.25" customHeight="1" x14ac:dyDescent="0.35">
      <c r="A234" s="105" t="s">
        <v>1805</v>
      </c>
      <c r="B234" s="105" t="s">
        <v>1981</v>
      </c>
      <c r="C234" s="105" t="s">
        <v>1982</v>
      </c>
      <c r="D234" s="105" t="s">
        <v>540</v>
      </c>
      <c r="E234" s="95" t="str">
        <f>IFERROR(VLOOKUP(D234,MATERIALES!A:B,2,FALSE()),"?")</f>
        <v>Cemento Portland x 50kg</v>
      </c>
      <c r="F234" s="129">
        <f>IFERROR(VLOOKUP(D234,MATERIALES!A:C,3,FALSE()),"?")</f>
        <v>0</v>
      </c>
      <c r="G234" s="119">
        <v>0.1242</v>
      </c>
      <c r="H234" s="120">
        <v>0.05</v>
      </c>
      <c r="I234" s="96">
        <f>IFERROR(VLOOKUP(D234,MATERIALES!A:D,4,FALSE()),0)</f>
        <v>7891.74</v>
      </c>
      <c r="J234" s="31">
        <f t="shared" si="113"/>
        <v>1029.1618134</v>
      </c>
      <c r="K234" s="32" t="str">
        <f t="shared" si="99"/>
        <v>ALB-040|MAT</v>
      </c>
      <c r="L234" s="32">
        <f>COUNTIFS($K$2:K234,K234)</f>
        <v>2</v>
      </c>
      <c r="M234" s="32" t="str">
        <f t="shared" si="100"/>
        <v>ALB-040|MAT|2</v>
      </c>
      <c r="N234" s="121">
        <f>IFERROR(VLOOKUP(A234,PARTIDAS!A:F,6,FALSE()),0)</f>
        <v>4</v>
      </c>
      <c r="O234" s="123">
        <f t="shared" si="101"/>
        <v>0</v>
      </c>
      <c r="P234" s="123" t="str">
        <f>+_xlfn.XLOOKUP(A234,PPTO_GENERADOR!Q:Q,PPTO_GENERADOR!E:E,"-",0)</f>
        <v>-</v>
      </c>
      <c r="Q234" s="123">
        <f t="shared" si="102"/>
        <v>0</v>
      </c>
      <c r="R234" s="125" t="str">
        <f>+_xlfn.XLOOKUP(A234,PPTO_GENERADOR!$Q:$Q,PPTO_GENERADOR!A:A,"-",0)</f>
        <v>-</v>
      </c>
    </row>
    <row r="235" spans="1:18" ht="14.25" customHeight="1" x14ac:dyDescent="0.35">
      <c r="A235" s="105" t="s">
        <v>1805</v>
      </c>
      <c r="B235" s="105" t="s">
        <v>1983</v>
      </c>
      <c r="C235" s="105"/>
      <c r="D235" s="105" t="s">
        <v>1319</v>
      </c>
      <c r="E235" s="95" t="str">
        <f>IFERROR(VLOOKUP(D235,EQUIPOS!A:B,2,FALSE()),"?")</f>
        <v>EQUIPO DE ALBAÑILERIA, carpetas, ladrillo</v>
      </c>
      <c r="F235" s="129"/>
      <c r="G235" s="119">
        <v>0.25</v>
      </c>
      <c r="H235" s="120">
        <v>0</v>
      </c>
      <c r="I235" s="96">
        <f>IFERROR(VLOOKUP(D235,EQUIPOS!A:F,6,FALSE()),0)</f>
        <v>2485.8709964593982</v>
      </c>
      <c r="J235" s="31">
        <f t="shared" ref="J235:J236" si="114">G235*I235</f>
        <v>621.46774911484954</v>
      </c>
      <c r="K235" s="32" t="str">
        <f t="shared" si="99"/>
        <v>ALB-040|EQ</v>
      </c>
      <c r="L235" s="32">
        <f>COUNTIFS($K$2:K235,K235)</f>
        <v>1</v>
      </c>
      <c r="M235" s="32" t="str">
        <f t="shared" si="100"/>
        <v>ALB-040|EQ|1</v>
      </c>
      <c r="N235" s="121">
        <f>IFERROR(VLOOKUP(A235,PARTIDAS!A:F,6,FALSE()),0)</f>
        <v>4</v>
      </c>
      <c r="O235" s="123">
        <f t="shared" si="101"/>
        <v>0</v>
      </c>
      <c r="P235" s="123" t="str">
        <f>+_xlfn.XLOOKUP(A235,PPTO_GENERADOR!Q:Q,PPTO_GENERADOR!E:E,"-",0)</f>
        <v>-</v>
      </c>
      <c r="Q235" s="123">
        <f t="shared" si="102"/>
        <v>0</v>
      </c>
      <c r="R235" s="125" t="str">
        <f>+_xlfn.XLOOKUP(A235,PPTO_GENERADOR!$Q:$Q,PPTO_GENERADOR!A:A,"-",0)</f>
        <v>-</v>
      </c>
    </row>
    <row r="236" spans="1:18" ht="14.25" customHeight="1" x14ac:dyDescent="0.35">
      <c r="A236" s="105" t="s">
        <v>1805</v>
      </c>
      <c r="B236" s="105" t="s">
        <v>1983</v>
      </c>
      <c r="C236" s="105"/>
      <c r="D236" s="105" t="s">
        <v>1507</v>
      </c>
      <c r="E236" s="95" t="str">
        <f>IFERROR(VLOOKUP(D236,EQUIPOS!A:B,2,FALSE()),"?")</f>
        <v>Hormigonera De 150 Litros 1hp Con Rueda Maciza</v>
      </c>
      <c r="F236" s="129"/>
      <c r="G236" s="119">
        <v>0.25</v>
      </c>
      <c r="H236" s="120">
        <v>0</v>
      </c>
      <c r="I236" s="96">
        <f>IFERROR(VLOOKUP(D236,EQUIPOS!A:F,6,FALSE()),0)</f>
        <v>1040.4314486705237</v>
      </c>
      <c r="J236" s="31">
        <f t="shared" si="114"/>
        <v>260.10786216763091</v>
      </c>
      <c r="K236" s="32" t="str">
        <f t="shared" si="99"/>
        <v>ALB-040|EQ</v>
      </c>
      <c r="L236" s="32">
        <f>COUNTIFS($K$2:K236,K236)</f>
        <v>2</v>
      </c>
      <c r="M236" s="32" t="str">
        <f t="shared" si="100"/>
        <v>ALB-040|EQ|2</v>
      </c>
      <c r="N236" s="121">
        <f>IFERROR(VLOOKUP(A236,PARTIDAS!A:F,6,FALSE()),0)</f>
        <v>4</v>
      </c>
      <c r="O236" s="123">
        <f t="shared" si="101"/>
        <v>0</v>
      </c>
      <c r="P236" s="123" t="str">
        <f>+_xlfn.XLOOKUP(A236,PPTO_GENERADOR!Q:Q,PPTO_GENERADOR!E:E,"-",0)</f>
        <v>-</v>
      </c>
      <c r="Q236" s="123">
        <f t="shared" si="102"/>
        <v>0</v>
      </c>
      <c r="R236" s="125" t="str">
        <f>+_xlfn.XLOOKUP(A236,PPTO_GENERADOR!$Q:$Q,PPTO_GENERADOR!A:A,"-",0)</f>
        <v>-</v>
      </c>
    </row>
    <row r="237" spans="1:18" ht="14.25" customHeight="1" x14ac:dyDescent="0.35">
      <c r="A237" s="105" t="s">
        <v>1805</v>
      </c>
      <c r="B237" s="105" t="s">
        <v>1979</v>
      </c>
      <c r="C237" s="105" t="s">
        <v>1980</v>
      </c>
      <c r="D237" s="105" t="s">
        <v>2038</v>
      </c>
      <c r="E237" s="95" t="str">
        <f>IFERROR(VLOOKUP(D237,MANO_DE_OBRA!A:B,2,FALSE()),"?")</f>
        <v>AYUDANTE</v>
      </c>
      <c r="F237" s="129" t="s">
        <v>2042</v>
      </c>
      <c r="G237" s="119">
        <v>1</v>
      </c>
      <c r="H237" s="120">
        <v>0</v>
      </c>
      <c r="I237" s="96">
        <f>IFERROR(VLOOKUP(D237,MANO_DE_OBRA!A:C,3,FALSE()),0)</f>
        <v>67240.498860267602</v>
      </c>
      <c r="J237" s="31">
        <f t="shared" ref="J237:J238" si="115">G237*I237</f>
        <v>67240.498860267602</v>
      </c>
      <c r="K237" s="32" t="str">
        <f t="shared" si="99"/>
        <v>ALB-040|MO</v>
      </c>
      <c r="L237" s="32">
        <f>COUNTIFS($K$2:K237,K237)</f>
        <v>1</v>
      </c>
      <c r="M237" s="32" t="str">
        <f t="shared" si="100"/>
        <v>ALB-040|MO|1</v>
      </c>
      <c r="N237" s="121">
        <f>IFERROR(VLOOKUP(A237,PARTIDAS!A:F,6,FALSE()),0)</f>
        <v>4</v>
      </c>
      <c r="O237" s="123">
        <f t="shared" si="101"/>
        <v>0.25</v>
      </c>
      <c r="P237" s="123" t="str">
        <f>+_xlfn.XLOOKUP(A237,PPTO_GENERADOR!Q:Q,PPTO_GENERADOR!E:E,"-",0)</f>
        <v>-</v>
      </c>
      <c r="Q237" s="123">
        <f t="shared" si="102"/>
        <v>0</v>
      </c>
      <c r="R237" s="125" t="str">
        <f>+_xlfn.XLOOKUP(A237,PPTO_GENERADOR!$Q:$Q,PPTO_GENERADOR!A:A,"-",0)</f>
        <v>-</v>
      </c>
    </row>
    <row r="238" spans="1:18" ht="14.25" customHeight="1" x14ac:dyDescent="0.35">
      <c r="A238" s="105" t="s">
        <v>1805</v>
      </c>
      <c r="B238" s="105" t="s">
        <v>1979</v>
      </c>
      <c r="C238" s="105" t="s">
        <v>1980</v>
      </c>
      <c r="D238" s="105" t="s">
        <v>1292</v>
      </c>
      <c r="E238" s="95" t="str">
        <f>IFERROR(VLOOKUP(D238,MANO_DE_OBRA!A:B,2,FALSE()),"?")</f>
        <v>ESPECIALIZADO</v>
      </c>
      <c r="F238" s="129" t="s">
        <v>2042</v>
      </c>
      <c r="G238" s="119">
        <v>1</v>
      </c>
      <c r="H238" s="120">
        <v>0</v>
      </c>
      <c r="I238" s="96">
        <f>IFERROR(VLOOKUP(D238,MANO_DE_OBRA!A:C,3,FALSE()),0)</f>
        <v>94177.137883538904</v>
      </c>
      <c r="J238" s="31">
        <f t="shared" si="115"/>
        <v>94177.137883538904</v>
      </c>
      <c r="K238" s="32" t="str">
        <f t="shared" si="99"/>
        <v>ALB-040|MO</v>
      </c>
      <c r="L238" s="32">
        <f>COUNTIFS($K$2:K238,K238)</f>
        <v>2</v>
      </c>
      <c r="M238" s="32" t="str">
        <f t="shared" si="100"/>
        <v>ALB-040|MO|2</v>
      </c>
      <c r="N238" s="121">
        <f>IFERROR(VLOOKUP(A238,PARTIDAS!A:F,6,FALSE()),0)</f>
        <v>4</v>
      </c>
      <c r="O238" s="123">
        <f t="shared" si="101"/>
        <v>0.25</v>
      </c>
      <c r="P238" s="123" t="str">
        <f>+_xlfn.XLOOKUP(A238,PPTO_GENERADOR!Q:Q,PPTO_GENERADOR!E:E,"-",0)</f>
        <v>-</v>
      </c>
      <c r="Q238" s="123">
        <f t="shared" si="102"/>
        <v>0</v>
      </c>
      <c r="R238" s="125" t="str">
        <f>+_xlfn.XLOOKUP(A238,PPTO_GENERADOR!$Q:$Q,PPTO_GENERADOR!A:A,"-",0)</f>
        <v>-</v>
      </c>
    </row>
    <row r="239" spans="1:18" ht="14.25" customHeight="1" x14ac:dyDescent="0.35">
      <c r="A239" s="105" t="s">
        <v>1808</v>
      </c>
      <c r="B239" s="105" t="s">
        <v>1981</v>
      </c>
      <c r="C239" s="105" t="s">
        <v>1982</v>
      </c>
      <c r="D239" s="105" t="s">
        <v>538</v>
      </c>
      <c r="E239" s="95" t="str">
        <f>IFERROR(VLOOKUP(D239,MATERIALES!A:B,2,FALSE()),"?")</f>
        <v>ARENA LAVADA</v>
      </c>
      <c r="F239" s="129">
        <f>IFERROR(VLOOKUP(D239,MATERIALES!A:C,3,FALSE()),"?")</f>
        <v>0</v>
      </c>
      <c r="G239" s="119">
        <v>1.8E-3</v>
      </c>
      <c r="H239" s="120">
        <v>0.1</v>
      </c>
      <c r="I239" s="96">
        <f>IFERROR(VLOOKUP(D239,MATERIALES!A:D,4,FALSE()),0)</f>
        <v>32620.38</v>
      </c>
      <c r="J239" s="31">
        <f t="shared" ref="J239:J241" si="116">G239*I239*(1+H239)</f>
        <v>64.588352400000005</v>
      </c>
      <c r="K239" s="32" t="str">
        <f t="shared" si="99"/>
        <v>ALB-041|MAT</v>
      </c>
      <c r="L239" s="32">
        <f>COUNTIFS($K$2:K239,K239)</f>
        <v>1</v>
      </c>
      <c r="M239" s="32" t="str">
        <f t="shared" si="100"/>
        <v>ALB-041|MAT|1</v>
      </c>
      <c r="N239" s="121">
        <f>IFERROR(VLOOKUP(A239,PARTIDAS!A:F,6,FALSE()),0)</f>
        <v>5</v>
      </c>
      <c r="O239" s="123">
        <f t="shared" si="101"/>
        <v>0</v>
      </c>
      <c r="P239" s="123" t="str">
        <f>+_xlfn.XLOOKUP(A239,PPTO_GENERADOR!Q:Q,PPTO_GENERADOR!E:E,"-",0)</f>
        <v>-</v>
      </c>
      <c r="Q239" s="123">
        <f t="shared" si="102"/>
        <v>0</v>
      </c>
      <c r="R239" s="125" t="str">
        <f>+_xlfn.XLOOKUP(A239,PPTO_GENERADOR!$Q:$Q,PPTO_GENERADOR!A:A,"-",0)</f>
        <v>-</v>
      </c>
    </row>
    <row r="240" spans="1:18" ht="14.25" customHeight="1" x14ac:dyDescent="0.35">
      <c r="A240" s="105" t="s">
        <v>1808</v>
      </c>
      <c r="B240" s="105" t="s">
        <v>1981</v>
      </c>
      <c r="C240" s="105" t="s">
        <v>1982</v>
      </c>
      <c r="D240" s="105" t="s">
        <v>540</v>
      </c>
      <c r="E240" s="95" t="str">
        <f>IFERROR(VLOOKUP(D240,MATERIALES!A:B,2,FALSE()),"?")</f>
        <v>Cemento Portland x 50kg</v>
      </c>
      <c r="F240" s="129">
        <f>IFERROR(VLOOKUP(D240,MATERIALES!A:C,3,FALSE()),"?")</f>
        <v>0</v>
      </c>
      <c r="G240" s="119">
        <v>1.6199999999999999E-2</v>
      </c>
      <c r="H240" s="120">
        <v>0.1</v>
      </c>
      <c r="I240" s="96">
        <f>IFERROR(VLOOKUP(D240,MATERIALES!A:D,4,FALSE()),0)</f>
        <v>7891.74</v>
      </c>
      <c r="J240" s="31">
        <f t="shared" si="116"/>
        <v>140.63080679999999</v>
      </c>
      <c r="K240" s="32" t="str">
        <f t="shared" si="99"/>
        <v>ALB-041|MAT</v>
      </c>
      <c r="L240" s="32">
        <f>COUNTIFS($K$2:K240,K240)</f>
        <v>2</v>
      </c>
      <c r="M240" s="32" t="str">
        <f t="shared" si="100"/>
        <v>ALB-041|MAT|2</v>
      </c>
      <c r="N240" s="121">
        <f>IFERROR(VLOOKUP(A240,PARTIDAS!A:F,6,FALSE()),0)</f>
        <v>5</v>
      </c>
      <c r="O240" s="123">
        <f t="shared" si="101"/>
        <v>0</v>
      </c>
      <c r="P240" s="123" t="str">
        <f>+_xlfn.XLOOKUP(A240,PPTO_GENERADOR!Q:Q,PPTO_GENERADOR!E:E,"-",0)</f>
        <v>-</v>
      </c>
      <c r="Q240" s="123">
        <f t="shared" si="102"/>
        <v>0</v>
      </c>
      <c r="R240" s="125" t="str">
        <f>+_xlfn.XLOOKUP(A240,PPTO_GENERADOR!$Q:$Q,PPTO_GENERADOR!A:A,"-",0)</f>
        <v>-</v>
      </c>
    </row>
    <row r="241" spans="1:18" ht="14.25" customHeight="1" x14ac:dyDescent="0.35">
      <c r="A241" s="105" t="s">
        <v>1808</v>
      </c>
      <c r="B241" s="105" t="s">
        <v>1981</v>
      </c>
      <c r="C241" s="105" t="s">
        <v>1982</v>
      </c>
      <c r="D241" s="105" t="s">
        <v>559</v>
      </c>
      <c r="E241" s="95" t="str">
        <f>IFERROR(VLOOKUP(D241,MATERIALES!A:B,2,FALSE()),"?")</f>
        <v>CONSUMIBLES (varios)</v>
      </c>
      <c r="F241" s="129" t="str">
        <f>IFERROR(VLOOKUP(D241,MATERIALES!A:C,3,FALSE()),"?")</f>
        <v>gl</v>
      </c>
      <c r="G241" s="119">
        <v>105.6879</v>
      </c>
      <c r="H241" s="120">
        <v>0</v>
      </c>
      <c r="I241" s="96">
        <f>IFERROR(VLOOKUP(D241,MATERIALES!A:D,4,FALSE()),0)</f>
        <v>1</v>
      </c>
      <c r="J241" s="31">
        <f t="shared" si="116"/>
        <v>105.6879</v>
      </c>
      <c r="K241" s="32" t="str">
        <f t="shared" si="99"/>
        <v>ALB-041|MAT</v>
      </c>
      <c r="L241" s="32">
        <f>COUNTIFS($K$2:K241,K241)</f>
        <v>3</v>
      </c>
      <c r="M241" s="32" t="str">
        <f t="shared" si="100"/>
        <v>ALB-041|MAT|3</v>
      </c>
      <c r="N241" s="121">
        <f>IFERROR(VLOOKUP(A241,PARTIDAS!A:F,6,FALSE()),0)</f>
        <v>5</v>
      </c>
      <c r="O241" s="123">
        <f t="shared" si="101"/>
        <v>0</v>
      </c>
      <c r="P241" s="123" t="str">
        <f>+_xlfn.XLOOKUP(A241,PPTO_GENERADOR!Q:Q,PPTO_GENERADOR!E:E,"-",0)</f>
        <v>-</v>
      </c>
      <c r="Q241" s="123">
        <f t="shared" si="102"/>
        <v>0</v>
      </c>
      <c r="R241" s="125" t="str">
        <f>+_xlfn.XLOOKUP(A241,PPTO_GENERADOR!$Q:$Q,PPTO_GENERADOR!A:A,"-",0)</f>
        <v>-</v>
      </c>
    </row>
    <row r="242" spans="1:18" ht="14.25" customHeight="1" x14ac:dyDescent="0.35">
      <c r="A242" s="105" t="s">
        <v>1808</v>
      </c>
      <c r="B242" s="105" t="s">
        <v>1983</v>
      </c>
      <c r="C242" s="105"/>
      <c r="D242" s="105" t="s">
        <v>1319</v>
      </c>
      <c r="E242" s="95" t="str">
        <f>IFERROR(VLOOKUP(D242,EQUIPOS!A:B,2,FALSE()),"?")</f>
        <v>EQUIPO DE ALBAÑILERIA, carpetas, ladrillo</v>
      </c>
      <c r="F242" s="129"/>
      <c r="G242" s="119">
        <v>0.5</v>
      </c>
      <c r="H242" s="120">
        <v>0</v>
      </c>
      <c r="I242" s="96">
        <f>IFERROR(VLOOKUP(D242,EQUIPOS!A:F,6,FALSE()),0)</f>
        <v>2485.8709964593982</v>
      </c>
      <c r="J242" s="31">
        <f t="shared" ref="J242:J243" si="117">G242*I242</f>
        <v>1242.9354982296991</v>
      </c>
      <c r="K242" s="32" t="str">
        <f t="shared" si="99"/>
        <v>ALB-041|EQ</v>
      </c>
      <c r="L242" s="32">
        <f>COUNTIFS($K$2:K242,K242)</f>
        <v>1</v>
      </c>
      <c r="M242" s="32" t="str">
        <f t="shared" si="100"/>
        <v>ALB-041|EQ|1</v>
      </c>
      <c r="N242" s="121">
        <f>IFERROR(VLOOKUP(A242,PARTIDAS!A:F,6,FALSE()),0)</f>
        <v>5</v>
      </c>
      <c r="O242" s="123">
        <f t="shared" si="101"/>
        <v>0</v>
      </c>
      <c r="P242" s="123" t="str">
        <f>+_xlfn.XLOOKUP(A242,PPTO_GENERADOR!Q:Q,PPTO_GENERADOR!E:E,"-",0)</f>
        <v>-</v>
      </c>
      <c r="Q242" s="123">
        <f t="shared" si="102"/>
        <v>0</v>
      </c>
      <c r="R242" s="125" t="str">
        <f>+_xlfn.XLOOKUP(A242,PPTO_GENERADOR!$Q:$Q,PPTO_GENERADOR!A:A,"-",0)</f>
        <v>-</v>
      </c>
    </row>
    <row r="243" spans="1:18" ht="14.25" customHeight="1" x14ac:dyDescent="0.35">
      <c r="A243" s="105" t="s">
        <v>1808</v>
      </c>
      <c r="B243" s="105" t="s">
        <v>1983</v>
      </c>
      <c r="C243" s="105"/>
      <c r="D243" s="105" t="s">
        <v>1507</v>
      </c>
      <c r="E243" s="95" t="str">
        <f>IFERROR(VLOOKUP(D243,EQUIPOS!A:B,2,FALSE()),"?")</f>
        <v>Hormigonera De 150 Litros 1hp Con Rueda Maciza</v>
      </c>
      <c r="F243" s="129"/>
      <c r="G243" s="119">
        <v>0.25</v>
      </c>
      <c r="H243" s="120">
        <v>0</v>
      </c>
      <c r="I243" s="96">
        <f>IFERROR(VLOOKUP(D243,EQUIPOS!A:F,6,FALSE()),0)</f>
        <v>1040.4314486705237</v>
      </c>
      <c r="J243" s="31">
        <f t="shared" si="117"/>
        <v>260.10786216763091</v>
      </c>
      <c r="K243" s="32" t="str">
        <f t="shared" si="99"/>
        <v>ALB-041|EQ</v>
      </c>
      <c r="L243" s="32">
        <f>COUNTIFS($K$2:K243,K243)</f>
        <v>2</v>
      </c>
      <c r="M243" s="32" t="str">
        <f t="shared" si="100"/>
        <v>ALB-041|EQ|2</v>
      </c>
      <c r="N243" s="121">
        <f>IFERROR(VLOOKUP(A243,PARTIDAS!A:F,6,FALSE()),0)</f>
        <v>5</v>
      </c>
      <c r="O243" s="123">
        <f t="shared" si="101"/>
        <v>0</v>
      </c>
      <c r="P243" s="123" t="str">
        <f>+_xlfn.XLOOKUP(A243,PPTO_GENERADOR!Q:Q,PPTO_GENERADOR!E:E,"-",0)</f>
        <v>-</v>
      </c>
      <c r="Q243" s="123">
        <f t="shared" si="102"/>
        <v>0</v>
      </c>
      <c r="R243" s="125" t="str">
        <f>+_xlfn.XLOOKUP(A243,PPTO_GENERADOR!$Q:$Q,PPTO_GENERADOR!A:A,"-",0)</f>
        <v>-</v>
      </c>
    </row>
    <row r="244" spans="1:18" ht="14.25" customHeight="1" x14ac:dyDescent="0.35">
      <c r="A244" s="105" t="s">
        <v>1808</v>
      </c>
      <c r="B244" s="105" t="s">
        <v>1979</v>
      </c>
      <c r="C244" s="105" t="s">
        <v>1980</v>
      </c>
      <c r="D244" s="105" t="s">
        <v>2038</v>
      </c>
      <c r="E244" s="95" t="str">
        <f>IFERROR(VLOOKUP(D244,MANO_DE_OBRA!A:B,2,FALSE()),"?")</f>
        <v>AYUDANTE</v>
      </c>
      <c r="F244" s="129" t="s">
        <v>2042</v>
      </c>
      <c r="G244" s="119">
        <v>1</v>
      </c>
      <c r="H244" s="120">
        <v>0</v>
      </c>
      <c r="I244" s="96">
        <f>IFERROR(VLOOKUP(D244,MANO_DE_OBRA!A:C,3,FALSE()),0)</f>
        <v>67240.498860267602</v>
      </c>
      <c r="J244" s="31">
        <f t="shared" ref="J244:J245" si="118">G244*I244</f>
        <v>67240.498860267602</v>
      </c>
      <c r="K244" s="32" t="str">
        <f t="shared" si="99"/>
        <v>ALB-041|MO</v>
      </c>
      <c r="L244" s="32">
        <f>COUNTIFS($K$2:K244,K244)</f>
        <v>1</v>
      </c>
      <c r="M244" s="32" t="str">
        <f t="shared" si="100"/>
        <v>ALB-041|MO|1</v>
      </c>
      <c r="N244" s="121">
        <f>IFERROR(VLOOKUP(A244,PARTIDAS!A:F,6,FALSE()),0)</f>
        <v>5</v>
      </c>
      <c r="O244" s="123">
        <f t="shared" si="101"/>
        <v>0.2</v>
      </c>
      <c r="P244" s="123" t="str">
        <f>+_xlfn.XLOOKUP(A244,PPTO_GENERADOR!Q:Q,PPTO_GENERADOR!E:E,"-",0)</f>
        <v>-</v>
      </c>
      <c r="Q244" s="123">
        <f t="shared" si="102"/>
        <v>0</v>
      </c>
      <c r="R244" s="125" t="str">
        <f>+_xlfn.XLOOKUP(A244,PPTO_GENERADOR!$Q:$Q,PPTO_GENERADOR!A:A,"-",0)</f>
        <v>-</v>
      </c>
    </row>
    <row r="245" spans="1:18" ht="14.25" customHeight="1" x14ac:dyDescent="0.35">
      <c r="A245" s="105" t="s">
        <v>1808</v>
      </c>
      <c r="B245" s="105" t="s">
        <v>1979</v>
      </c>
      <c r="C245" s="105" t="s">
        <v>1980</v>
      </c>
      <c r="D245" s="105" t="s">
        <v>1292</v>
      </c>
      <c r="E245" s="95" t="str">
        <f>IFERROR(VLOOKUP(D245,MANO_DE_OBRA!A:B,2,FALSE()),"?")</f>
        <v>ESPECIALIZADO</v>
      </c>
      <c r="F245" s="129" t="s">
        <v>2042</v>
      </c>
      <c r="G245" s="119">
        <v>1</v>
      </c>
      <c r="H245" s="120">
        <v>0</v>
      </c>
      <c r="I245" s="96">
        <f>IFERROR(VLOOKUP(D245,MANO_DE_OBRA!A:C,3,FALSE()),0)</f>
        <v>94177.137883538904</v>
      </c>
      <c r="J245" s="31">
        <f t="shared" si="118"/>
        <v>94177.137883538904</v>
      </c>
      <c r="K245" s="32" t="str">
        <f t="shared" si="99"/>
        <v>ALB-041|MO</v>
      </c>
      <c r="L245" s="32">
        <f>COUNTIFS($K$2:K245,K245)</f>
        <v>2</v>
      </c>
      <c r="M245" s="32" t="str">
        <f t="shared" si="100"/>
        <v>ALB-041|MO|2</v>
      </c>
      <c r="N245" s="121">
        <f>IFERROR(VLOOKUP(A245,PARTIDAS!A:F,6,FALSE()),0)</f>
        <v>5</v>
      </c>
      <c r="O245" s="123">
        <f t="shared" si="101"/>
        <v>0.2</v>
      </c>
      <c r="P245" s="123" t="str">
        <f>+_xlfn.XLOOKUP(A245,PPTO_GENERADOR!Q:Q,PPTO_GENERADOR!E:E,"-",0)</f>
        <v>-</v>
      </c>
      <c r="Q245" s="123">
        <f t="shared" si="102"/>
        <v>0</v>
      </c>
      <c r="R245" s="125" t="str">
        <f>+_xlfn.XLOOKUP(A245,PPTO_GENERADOR!$Q:$Q,PPTO_GENERADOR!A:A,"-",0)</f>
        <v>-</v>
      </c>
    </row>
    <row r="246" spans="1:18" ht="14.25" customHeight="1" x14ac:dyDescent="0.35">
      <c r="A246" s="105" t="s">
        <v>1812</v>
      </c>
      <c r="B246" s="105" t="s">
        <v>1981</v>
      </c>
      <c r="C246" s="105" t="s">
        <v>1982</v>
      </c>
      <c r="D246" s="105" t="s">
        <v>538</v>
      </c>
      <c r="E246" s="95" t="str">
        <f>IFERROR(VLOOKUP(D246,MATERIALES!A:B,2,FALSE()),"?")</f>
        <v>ARENA LAVADA</v>
      </c>
      <c r="F246" s="129">
        <f>IFERROR(VLOOKUP(D246,MATERIALES!A:C,3,FALSE()),"?")</f>
        <v>0</v>
      </c>
      <c r="G246" s="119">
        <v>6.0000000000000001E-3</v>
      </c>
      <c r="H246" s="120">
        <v>0.1</v>
      </c>
      <c r="I246" s="96">
        <f>IFERROR(VLOOKUP(D246,MATERIALES!A:D,4,FALSE()),0)</f>
        <v>32620.38</v>
      </c>
      <c r="J246" s="31">
        <f t="shared" ref="J246:J248" si="119">G246*I246*(1+H246)</f>
        <v>215.29450800000004</v>
      </c>
      <c r="K246" s="32" t="str">
        <f t="shared" si="99"/>
        <v>IMP-042|MAT</v>
      </c>
      <c r="L246" s="32">
        <f>COUNTIFS($K$2:K246,K246)</f>
        <v>1</v>
      </c>
      <c r="M246" s="32" t="str">
        <f t="shared" si="100"/>
        <v>IMP-042|MAT|1</v>
      </c>
      <c r="N246" s="121">
        <f>IFERROR(VLOOKUP(A246,PARTIDAS!A:F,6,FALSE()),0)</f>
        <v>28</v>
      </c>
      <c r="O246" s="123">
        <f t="shared" si="101"/>
        <v>0</v>
      </c>
      <c r="P246" s="123" t="str">
        <f>+_xlfn.XLOOKUP(A246,PPTO_GENERADOR!Q:Q,PPTO_GENERADOR!E:E,"-",0)</f>
        <v>-</v>
      </c>
      <c r="Q246" s="123">
        <f t="shared" si="102"/>
        <v>0</v>
      </c>
      <c r="R246" s="125" t="str">
        <f>+_xlfn.XLOOKUP(A246,PPTO_GENERADOR!$Q:$Q,PPTO_GENERADOR!A:A,"-",0)</f>
        <v>-</v>
      </c>
    </row>
    <row r="247" spans="1:18" ht="14.25" customHeight="1" x14ac:dyDescent="0.35">
      <c r="A247" s="105" t="s">
        <v>1812</v>
      </c>
      <c r="B247" s="105" t="s">
        <v>1981</v>
      </c>
      <c r="C247" s="105" t="s">
        <v>1982</v>
      </c>
      <c r="D247" s="105" t="s">
        <v>544</v>
      </c>
      <c r="E247" s="95" t="str">
        <f>IFERROR(VLOOKUP(D247,MATERIALES!A:B,2,FALSE()),"?")</f>
        <v>Aditivo Hidrofugo en pasta - Ceresita x 1kg</v>
      </c>
      <c r="F247" s="129">
        <f>IFERROR(VLOOKUP(D247,MATERIALES!A:C,3,FALSE()),"?")</f>
        <v>0</v>
      </c>
      <c r="G247" s="119">
        <v>0.1</v>
      </c>
      <c r="H247" s="120">
        <v>0.05</v>
      </c>
      <c r="I247" s="96">
        <f>IFERROR(VLOOKUP(D247,MATERIALES!A:D,4,FALSE()),0)</f>
        <v>1363.95</v>
      </c>
      <c r="J247" s="31">
        <f t="shared" si="119"/>
        <v>143.21475000000001</v>
      </c>
      <c r="K247" s="32" t="str">
        <f t="shared" si="99"/>
        <v>IMP-042|MAT</v>
      </c>
      <c r="L247" s="32">
        <f>COUNTIFS($K$2:K247,K247)</f>
        <v>2</v>
      </c>
      <c r="M247" s="32" t="str">
        <f t="shared" si="100"/>
        <v>IMP-042|MAT|2</v>
      </c>
      <c r="N247" s="121">
        <f>IFERROR(VLOOKUP(A247,PARTIDAS!A:F,6,FALSE()),0)</f>
        <v>28</v>
      </c>
      <c r="O247" s="123">
        <f t="shared" si="101"/>
        <v>0</v>
      </c>
      <c r="P247" s="123" t="str">
        <f>+_xlfn.XLOOKUP(A247,PPTO_GENERADOR!Q:Q,PPTO_GENERADOR!E:E,"-",0)</f>
        <v>-</v>
      </c>
      <c r="Q247" s="123">
        <f t="shared" si="102"/>
        <v>0</v>
      </c>
      <c r="R247" s="125" t="str">
        <f>+_xlfn.XLOOKUP(A247,PPTO_GENERADOR!$Q:$Q,PPTO_GENERADOR!A:A,"-",0)</f>
        <v>-</v>
      </c>
    </row>
    <row r="248" spans="1:18" ht="14.25" customHeight="1" x14ac:dyDescent="0.35">
      <c r="A248" s="105" t="s">
        <v>1812</v>
      </c>
      <c r="B248" s="105" t="s">
        <v>1981</v>
      </c>
      <c r="C248" s="105" t="s">
        <v>1982</v>
      </c>
      <c r="D248" s="105" t="s">
        <v>540</v>
      </c>
      <c r="E248" s="95" t="str">
        <f>IFERROR(VLOOKUP(D248,MATERIALES!A:B,2,FALSE()),"?")</f>
        <v>Cemento Portland x 50kg</v>
      </c>
      <c r="F248" s="129">
        <f>IFERROR(VLOOKUP(D248,MATERIALES!A:C,3,FALSE()),"?")</f>
        <v>0</v>
      </c>
      <c r="G248" s="119">
        <v>5.3999999999999999E-2</v>
      </c>
      <c r="H248" s="120">
        <v>0.1</v>
      </c>
      <c r="I248" s="96">
        <f>IFERROR(VLOOKUP(D248,MATERIALES!A:D,4,FALSE()),0)</f>
        <v>7891.74</v>
      </c>
      <c r="J248" s="31">
        <f t="shared" si="119"/>
        <v>468.76935600000002</v>
      </c>
      <c r="K248" s="32" t="str">
        <f t="shared" si="99"/>
        <v>IMP-042|MAT</v>
      </c>
      <c r="L248" s="32">
        <f>COUNTIFS($K$2:K248,K248)</f>
        <v>3</v>
      </c>
      <c r="M248" s="32" t="str">
        <f t="shared" si="100"/>
        <v>IMP-042|MAT|3</v>
      </c>
      <c r="N248" s="121">
        <f>IFERROR(VLOOKUP(A248,PARTIDAS!A:F,6,FALSE()),0)</f>
        <v>28</v>
      </c>
      <c r="O248" s="123">
        <f t="shared" si="101"/>
        <v>0</v>
      </c>
      <c r="P248" s="123" t="str">
        <f>+_xlfn.XLOOKUP(A248,PPTO_GENERADOR!Q:Q,PPTO_GENERADOR!E:E,"-",0)</f>
        <v>-</v>
      </c>
      <c r="Q248" s="123">
        <f t="shared" si="102"/>
        <v>0</v>
      </c>
      <c r="R248" s="125" t="str">
        <f>+_xlfn.XLOOKUP(A248,PPTO_GENERADOR!$Q:$Q,PPTO_GENERADOR!A:A,"-",0)</f>
        <v>-</v>
      </c>
    </row>
    <row r="249" spans="1:18" ht="14.25" customHeight="1" x14ac:dyDescent="0.35">
      <c r="A249" s="105" t="s">
        <v>1812</v>
      </c>
      <c r="B249" s="105" t="s">
        <v>1983</v>
      </c>
      <c r="C249" s="105"/>
      <c r="D249" s="105" t="s">
        <v>1313</v>
      </c>
      <c r="E249" s="95" t="str">
        <f>IFERROR(VLOOKUP(D249,EQUIPOS!A:B,2,FALSE()),"?")</f>
        <v>ANDAMIO TUBULAR DE UNO A TRES CUERPOS</v>
      </c>
      <c r="F249" s="129"/>
      <c r="G249" s="119">
        <v>0.5</v>
      </c>
      <c r="H249" s="120">
        <v>0</v>
      </c>
      <c r="I249" s="96">
        <f>IFERROR(VLOOKUP(D249,EQUIPOS!A:F,6,FALSE()),0)</f>
        <v>620.81078197718341</v>
      </c>
      <c r="J249" s="31">
        <f t="shared" ref="J249:J251" si="120">G249*I249</f>
        <v>310.40539098859171</v>
      </c>
      <c r="K249" s="32" t="str">
        <f t="shared" si="99"/>
        <v>IMP-042|EQ</v>
      </c>
      <c r="L249" s="32">
        <f>COUNTIFS($K$2:K249,K249)</f>
        <v>1</v>
      </c>
      <c r="M249" s="32" t="str">
        <f t="shared" si="100"/>
        <v>IMP-042|EQ|1</v>
      </c>
      <c r="N249" s="121">
        <f>IFERROR(VLOOKUP(A249,PARTIDAS!A:F,6,FALSE()),0)</f>
        <v>28</v>
      </c>
      <c r="O249" s="123">
        <f t="shared" si="101"/>
        <v>0</v>
      </c>
      <c r="P249" s="123" t="str">
        <f>+_xlfn.XLOOKUP(A249,PPTO_GENERADOR!Q:Q,PPTO_GENERADOR!E:E,"-",0)</f>
        <v>-</v>
      </c>
      <c r="Q249" s="123">
        <f t="shared" si="102"/>
        <v>0</v>
      </c>
      <c r="R249" s="125" t="str">
        <f>+_xlfn.XLOOKUP(A249,PPTO_GENERADOR!$Q:$Q,PPTO_GENERADOR!A:A,"-",0)</f>
        <v>-</v>
      </c>
    </row>
    <row r="250" spans="1:18" ht="14.25" customHeight="1" x14ac:dyDescent="0.35">
      <c r="A250" s="105" t="s">
        <v>1812</v>
      </c>
      <c r="B250" s="105" t="s">
        <v>1983</v>
      </c>
      <c r="C250" s="105"/>
      <c r="D250" s="105" t="s">
        <v>1319</v>
      </c>
      <c r="E250" s="95" t="str">
        <f>IFERROR(VLOOKUP(D250,EQUIPOS!A:B,2,FALSE()),"?")</f>
        <v>EQUIPO DE ALBAÑILERIA, carpetas, ladrillo</v>
      </c>
      <c r="F250" s="129"/>
      <c r="G250" s="119">
        <v>1</v>
      </c>
      <c r="H250" s="120">
        <v>0</v>
      </c>
      <c r="I250" s="96">
        <f>IFERROR(VLOOKUP(D250,EQUIPOS!A:F,6,FALSE()),0)</f>
        <v>2485.8709964593982</v>
      </c>
      <c r="J250" s="31">
        <f t="shared" si="120"/>
        <v>2485.8709964593982</v>
      </c>
      <c r="K250" s="32" t="str">
        <f t="shared" si="99"/>
        <v>IMP-042|EQ</v>
      </c>
      <c r="L250" s="32">
        <f>COUNTIFS($K$2:K250,K250)</f>
        <v>2</v>
      </c>
      <c r="M250" s="32" t="str">
        <f t="shared" si="100"/>
        <v>IMP-042|EQ|2</v>
      </c>
      <c r="N250" s="121">
        <f>IFERROR(VLOOKUP(A250,PARTIDAS!A:F,6,FALSE()),0)</f>
        <v>28</v>
      </c>
      <c r="O250" s="123">
        <f t="shared" si="101"/>
        <v>0</v>
      </c>
      <c r="P250" s="123" t="str">
        <f>+_xlfn.XLOOKUP(A250,PPTO_GENERADOR!Q:Q,PPTO_GENERADOR!E:E,"-",0)</f>
        <v>-</v>
      </c>
      <c r="Q250" s="123">
        <f t="shared" si="102"/>
        <v>0</v>
      </c>
      <c r="R250" s="125" t="str">
        <f>+_xlfn.XLOOKUP(A250,PPTO_GENERADOR!$Q:$Q,PPTO_GENERADOR!A:A,"-",0)</f>
        <v>-</v>
      </c>
    </row>
    <row r="251" spans="1:18" ht="14.25" customHeight="1" x14ac:dyDescent="0.35">
      <c r="A251" s="105" t="s">
        <v>1812</v>
      </c>
      <c r="B251" s="105" t="s">
        <v>1983</v>
      </c>
      <c r="C251" s="105"/>
      <c r="D251" s="105" t="s">
        <v>1507</v>
      </c>
      <c r="E251" s="95" t="str">
        <f>IFERROR(VLOOKUP(D251,EQUIPOS!A:B,2,FALSE()),"?")</f>
        <v>Hormigonera De 150 Litros 1hp Con Rueda Maciza</v>
      </c>
      <c r="F251" s="129"/>
      <c r="G251" s="119">
        <v>1</v>
      </c>
      <c r="H251" s="120">
        <v>0</v>
      </c>
      <c r="I251" s="96">
        <f>IFERROR(VLOOKUP(D251,EQUIPOS!A:F,6,FALSE()),0)</f>
        <v>1040.4314486705237</v>
      </c>
      <c r="J251" s="31">
        <f t="shared" si="120"/>
        <v>1040.4314486705237</v>
      </c>
      <c r="K251" s="32" t="str">
        <f t="shared" si="99"/>
        <v>IMP-042|EQ</v>
      </c>
      <c r="L251" s="32">
        <f>COUNTIFS($K$2:K251,K251)</f>
        <v>3</v>
      </c>
      <c r="M251" s="32" t="str">
        <f t="shared" si="100"/>
        <v>IMP-042|EQ|3</v>
      </c>
      <c r="N251" s="121">
        <f>IFERROR(VLOOKUP(A251,PARTIDAS!A:F,6,FALSE()),0)</f>
        <v>28</v>
      </c>
      <c r="O251" s="123">
        <f t="shared" si="101"/>
        <v>0</v>
      </c>
      <c r="P251" s="123" t="str">
        <f>+_xlfn.XLOOKUP(A251,PPTO_GENERADOR!Q:Q,PPTO_GENERADOR!E:E,"-",0)</f>
        <v>-</v>
      </c>
      <c r="Q251" s="123">
        <f t="shared" si="102"/>
        <v>0</v>
      </c>
      <c r="R251" s="125" t="str">
        <f>+_xlfn.XLOOKUP(A251,PPTO_GENERADOR!$Q:$Q,PPTO_GENERADOR!A:A,"-",0)</f>
        <v>-</v>
      </c>
    </row>
    <row r="252" spans="1:18" ht="14.25" customHeight="1" x14ac:dyDescent="0.35">
      <c r="A252" s="105" t="s">
        <v>1812</v>
      </c>
      <c r="B252" s="105" t="s">
        <v>1979</v>
      </c>
      <c r="C252" s="105" t="s">
        <v>1980</v>
      </c>
      <c r="D252" s="105" t="s">
        <v>2038</v>
      </c>
      <c r="E252" s="95" t="str">
        <f>IFERROR(VLOOKUP(D252,MANO_DE_OBRA!A:B,2,FALSE()),"?")</f>
        <v>AYUDANTE</v>
      </c>
      <c r="F252" s="129" t="s">
        <v>2042</v>
      </c>
      <c r="G252" s="119">
        <v>0.4</v>
      </c>
      <c r="H252" s="120">
        <v>0</v>
      </c>
      <c r="I252" s="96">
        <f>IFERROR(VLOOKUP(D252,MANO_DE_OBRA!A:C,3,FALSE()),0)</f>
        <v>67240.498860267602</v>
      </c>
      <c r="J252" s="31">
        <f t="shared" ref="J252:J253" si="121">G252*I252</f>
        <v>26896.199544107043</v>
      </c>
      <c r="K252" s="32" t="str">
        <f t="shared" si="99"/>
        <v>IMP-042|MO</v>
      </c>
      <c r="L252" s="32">
        <f>COUNTIFS($K$2:K252,K252)</f>
        <v>1</v>
      </c>
      <c r="M252" s="32" t="str">
        <f t="shared" si="100"/>
        <v>IMP-042|MO|1</v>
      </c>
      <c r="N252" s="121">
        <f>IFERROR(VLOOKUP(A252,PARTIDAS!A:F,6,FALSE()),0)</f>
        <v>28</v>
      </c>
      <c r="O252" s="123">
        <f t="shared" si="101"/>
        <v>1.4285714285714287E-2</v>
      </c>
      <c r="P252" s="123" t="str">
        <f>+_xlfn.XLOOKUP(A252,PPTO_GENERADOR!Q:Q,PPTO_GENERADOR!E:E,"-",0)</f>
        <v>-</v>
      </c>
      <c r="Q252" s="123">
        <f t="shared" si="102"/>
        <v>0</v>
      </c>
      <c r="R252" s="125" t="str">
        <f>+_xlfn.XLOOKUP(A252,PPTO_GENERADOR!$Q:$Q,PPTO_GENERADOR!A:A,"-",0)</f>
        <v>-</v>
      </c>
    </row>
    <row r="253" spans="1:18" ht="14.25" customHeight="1" x14ac:dyDescent="0.35">
      <c r="A253" s="105" t="s">
        <v>1812</v>
      </c>
      <c r="B253" s="105" t="s">
        <v>1979</v>
      </c>
      <c r="C253" s="105" t="s">
        <v>1980</v>
      </c>
      <c r="D253" s="105" t="s">
        <v>1292</v>
      </c>
      <c r="E253" s="95" t="str">
        <f>IFERROR(VLOOKUP(D253,MANO_DE_OBRA!A:B,2,FALSE()),"?")</f>
        <v>ESPECIALIZADO</v>
      </c>
      <c r="F253" s="129" t="s">
        <v>2042</v>
      </c>
      <c r="G253" s="119">
        <v>1</v>
      </c>
      <c r="H253" s="120">
        <v>0</v>
      </c>
      <c r="I253" s="96">
        <f>IFERROR(VLOOKUP(D253,MANO_DE_OBRA!A:C,3,FALSE()),0)</f>
        <v>94177.137883538904</v>
      </c>
      <c r="J253" s="31">
        <f t="shared" si="121"/>
        <v>94177.137883538904</v>
      </c>
      <c r="K253" s="32" t="str">
        <f t="shared" si="99"/>
        <v>IMP-042|MO</v>
      </c>
      <c r="L253" s="32">
        <f>COUNTIFS($K$2:K253,K253)</f>
        <v>2</v>
      </c>
      <c r="M253" s="32" t="str">
        <f t="shared" si="100"/>
        <v>IMP-042|MO|2</v>
      </c>
      <c r="N253" s="121">
        <f>IFERROR(VLOOKUP(A253,PARTIDAS!A:F,6,FALSE()),0)</f>
        <v>28</v>
      </c>
      <c r="O253" s="123">
        <f t="shared" si="101"/>
        <v>3.5714285714285712E-2</v>
      </c>
      <c r="P253" s="123" t="str">
        <f>+_xlfn.XLOOKUP(A253,PPTO_GENERADOR!Q:Q,PPTO_GENERADOR!E:E,"-",0)</f>
        <v>-</v>
      </c>
      <c r="Q253" s="123">
        <f t="shared" si="102"/>
        <v>0</v>
      </c>
      <c r="R253" s="125" t="str">
        <f>+_xlfn.XLOOKUP(A253,PPTO_GENERADOR!$Q:$Q,PPTO_GENERADOR!A:A,"-",0)</f>
        <v>-</v>
      </c>
    </row>
    <row r="254" spans="1:18" ht="14.25" customHeight="1" x14ac:dyDescent="0.35">
      <c r="A254" s="105" t="s">
        <v>1815</v>
      </c>
      <c r="B254" s="105" t="s">
        <v>1981</v>
      </c>
      <c r="C254" s="105" t="s">
        <v>1982</v>
      </c>
      <c r="D254" s="105" t="s">
        <v>538</v>
      </c>
      <c r="E254" s="95" t="str">
        <f>IFERROR(VLOOKUP(D254,MATERIALES!A:B,2,FALSE()),"?")</f>
        <v>ARENA LAVADA</v>
      </c>
      <c r="F254" s="129">
        <f>IFERROR(VLOOKUP(D254,MATERIALES!A:C,3,FALSE()),"?")</f>
        <v>0</v>
      </c>
      <c r="G254" s="119">
        <v>2.7E-2</v>
      </c>
      <c r="H254" s="120">
        <v>0.1</v>
      </c>
      <c r="I254" s="96">
        <f>IFERROR(VLOOKUP(D254,MATERIALES!A:D,4,FALSE()),0)</f>
        <v>32620.38</v>
      </c>
      <c r="J254" s="31">
        <f t="shared" ref="J254:J256" si="122">G254*I254*(1+H254)</f>
        <v>968.82528600000012</v>
      </c>
      <c r="K254" s="32" t="str">
        <f t="shared" si="99"/>
        <v>REV-043|MAT</v>
      </c>
      <c r="L254" s="32">
        <f>COUNTIFS($K$2:K254,K254)</f>
        <v>1</v>
      </c>
      <c r="M254" s="32" t="str">
        <f t="shared" si="100"/>
        <v>REV-043|MAT|1</v>
      </c>
      <c r="N254" s="121">
        <f>IFERROR(VLOOKUP(A254,PARTIDAS!A:F,6,FALSE()),0)</f>
        <v>6</v>
      </c>
      <c r="O254" s="123">
        <f t="shared" si="101"/>
        <v>0</v>
      </c>
      <c r="P254" s="123" t="str">
        <f>+_xlfn.XLOOKUP(A254,PPTO_GENERADOR!Q:Q,PPTO_GENERADOR!E:E,"-",0)</f>
        <v>-</v>
      </c>
      <c r="Q254" s="123">
        <f t="shared" si="102"/>
        <v>0</v>
      </c>
      <c r="R254" s="125" t="str">
        <f>+_xlfn.XLOOKUP(A254,PPTO_GENERADOR!$Q:$Q,PPTO_GENERADOR!A:A,"-",0)</f>
        <v>-</v>
      </c>
    </row>
    <row r="255" spans="1:18" ht="14.25" customHeight="1" x14ac:dyDescent="0.35">
      <c r="A255" s="105" t="s">
        <v>1815</v>
      </c>
      <c r="B255" s="105" t="s">
        <v>1981</v>
      </c>
      <c r="C255" s="105" t="s">
        <v>1982</v>
      </c>
      <c r="D255" s="105" t="s">
        <v>542</v>
      </c>
      <c r="E255" s="95" t="str">
        <f>IFERROR(VLOOKUP(D255,MATERIALES!A:B,2,FALSE()),"?")</f>
        <v>Cal Comun x 25kg</v>
      </c>
      <c r="F255" s="129">
        <f>IFERROR(VLOOKUP(D255,MATERIALES!A:C,3,FALSE()),"?")</f>
        <v>0</v>
      </c>
      <c r="G255" s="119">
        <v>0.14399999999999999</v>
      </c>
      <c r="H255" s="120">
        <v>0.1</v>
      </c>
      <c r="I255" s="96">
        <f>IFERROR(VLOOKUP(D255,MATERIALES!A:D,4,FALSE()),0)</f>
        <v>3927.28</v>
      </c>
      <c r="J255" s="31">
        <f t="shared" si="122"/>
        <v>622.08115200000009</v>
      </c>
      <c r="K255" s="32" t="str">
        <f t="shared" si="99"/>
        <v>REV-043|MAT</v>
      </c>
      <c r="L255" s="32">
        <f>COUNTIFS($K$2:K255,K255)</f>
        <v>2</v>
      </c>
      <c r="M255" s="32" t="str">
        <f t="shared" si="100"/>
        <v>REV-043|MAT|2</v>
      </c>
      <c r="N255" s="121">
        <f>IFERROR(VLOOKUP(A255,PARTIDAS!A:F,6,FALSE()),0)</f>
        <v>6</v>
      </c>
      <c r="O255" s="123">
        <f t="shared" si="101"/>
        <v>0</v>
      </c>
      <c r="P255" s="123" t="str">
        <f>+_xlfn.XLOOKUP(A255,PPTO_GENERADOR!Q:Q,PPTO_GENERADOR!E:E,"-",0)</f>
        <v>-</v>
      </c>
      <c r="Q255" s="123">
        <f t="shared" si="102"/>
        <v>0</v>
      </c>
      <c r="R255" s="125" t="str">
        <f>+_xlfn.XLOOKUP(A255,PPTO_GENERADOR!$Q:$Q,PPTO_GENERADOR!A:A,"-",0)</f>
        <v>-</v>
      </c>
    </row>
    <row r="256" spans="1:18" ht="14.25" customHeight="1" x14ac:dyDescent="0.35">
      <c r="A256" s="105" t="s">
        <v>1815</v>
      </c>
      <c r="B256" s="105" t="s">
        <v>1981</v>
      </c>
      <c r="C256" s="105" t="s">
        <v>1982</v>
      </c>
      <c r="D256" s="105" t="s">
        <v>540</v>
      </c>
      <c r="E256" s="95" t="str">
        <f>IFERROR(VLOOKUP(D256,MATERIALES!A:B,2,FALSE()),"?")</f>
        <v>Cemento Portland x 50kg</v>
      </c>
      <c r="F256" s="129">
        <f>IFERROR(VLOOKUP(D256,MATERIALES!A:C,3,FALSE()),"?")</f>
        <v>0</v>
      </c>
      <c r="G256" s="119">
        <v>4.5999999999999999E-2</v>
      </c>
      <c r="H256" s="120">
        <v>0.1</v>
      </c>
      <c r="I256" s="96">
        <f>IFERROR(VLOOKUP(D256,MATERIALES!A:D,4,FALSE()),0)</f>
        <v>7891.74</v>
      </c>
      <c r="J256" s="31">
        <f t="shared" si="122"/>
        <v>399.32204400000001</v>
      </c>
      <c r="K256" s="32" t="str">
        <f t="shared" si="99"/>
        <v>REV-043|MAT</v>
      </c>
      <c r="L256" s="32">
        <f>COUNTIFS($K$2:K256,K256)</f>
        <v>3</v>
      </c>
      <c r="M256" s="32" t="str">
        <f t="shared" si="100"/>
        <v>REV-043|MAT|3</v>
      </c>
      <c r="N256" s="121">
        <f>IFERROR(VLOOKUP(A256,PARTIDAS!A:F,6,FALSE()),0)</f>
        <v>6</v>
      </c>
      <c r="O256" s="123">
        <f t="shared" si="101"/>
        <v>0</v>
      </c>
      <c r="P256" s="123" t="str">
        <f>+_xlfn.XLOOKUP(A256,PPTO_GENERADOR!Q:Q,PPTO_GENERADOR!E:E,"-",0)</f>
        <v>-</v>
      </c>
      <c r="Q256" s="123">
        <f t="shared" si="102"/>
        <v>0</v>
      </c>
      <c r="R256" s="125" t="str">
        <f>+_xlfn.XLOOKUP(A256,PPTO_GENERADOR!$Q:$Q,PPTO_GENERADOR!A:A,"-",0)</f>
        <v>-</v>
      </c>
    </row>
    <row r="257" spans="1:18" ht="14.25" customHeight="1" x14ac:dyDescent="0.35">
      <c r="A257" s="105" t="s">
        <v>1815</v>
      </c>
      <c r="B257" s="105" t="s">
        <v>1983</v>
      </c>
      <c r="C257" s="105"/>
      <c r="D257" s="105" t="s">
        <v>1313</v>
      </c>
      <c r="E257" s="95" t="str">
        <f>IFERROR(VLOOKUP(D257,EQUIPOS!A:B,2,FALSE()),"?")</f>
        <v>ANDAMIO TUBULAR DE UNO A TRES CUERPOS</v>
      </c>
      <c r="F257" s="129"/>
      <c r="G257" s="119">
        <v>0.5</v>
      </c>
      <c r="H257" s="120">
        <v>0</v>
      </c>
      <c r="I257" s="96">
        <f>IFERROR(VLOOKUP(D257,EQUIPOS!A:F,6,FALSE()),0)</f>
        <v>620.81078197718341</v>
      </c>
      <c r="J257" s="31">
        <f t="shared" ref="J257:J259" si="123">G257*I257</f>
        <v>310.40539098859171</v>
      </c>
      <c r="K257" s="32" t="str">
        <f t="shared" si="99"/>
        <v>REV-043|EQ</v>
      </c>
      <c r="L257" s="32">
        <f>COUNTIFS($K$2:K257,K257)</f>
        <v>1</v>
      </c>
      <c r="M257" s="32" t="str">
        <f t="shared" si="100"/>
        <v>REV-043|EQ|1</v>
      </c>
      <c r="N257" s="121">
        <f>IFERROR(VLOOKUP(A257,PARTIDAS!A:F,6,FALSE()),0)</f>
        <v>6</v>
      </c>
      <c r="O257" s="123">
        <f t="shared" si="101"/>
        <v>0</v>
      </c>
      <c r="P257" s="123" t="str">
        <f>+_xlfn.XLOOKUP(A257,PPTO_GENERADOR!Q:Q,PPTO_GENERADOR!E:E,"-",0)</f>
        <v>-</v>
      </c>
      <c r="Q257" s="123">
        <f t="shared" si="102"/>
        <v>0</v>
      </c>
      <c r="R257" s="125" t="str">
        <f>+_xlfn.XLOOKUP(A257,PPTO_GENERADOR!$Q:$Q,PPTO_GENERADOR!A:A,"-",0)</f>
        <v>-</v>
      </c>
    </row>
    <row r="258" spans="1:18" ht="14.25" customHeight="1" x14ac:dyDescent="0.35">
      <c r="A258" s="105" t="s">
        <v>1815</v>
      </c>
      <c r="B258" s="105" t="s">
        <v>1983</v>
      </c>
      <c r="C258" s="105"/>
      <c r="D258" s="105" t="s">
        <v>1319</v>
      </c>
      <c r="E258" s="95" t="str">
        <f>IFERROR(VLOOKUP(D258,EQUIPOS!A:B,2,FALSE()),"?")</f>
        <v>EQUIPO DE ALBAÑILERIA, carpetas, ladrillo</v>
      </c>
      <c r="F258" s="129"/>
      <c r="G258" s="119">
        <v>1</v>
      </c>
      <c r="H258" s="120">
        <v>0</v>
      </c>
      <c r="I258" s="96">
        <f>IFERROR(VLOOKUP(D258,EQUIPOS!A:F,6,FALSE()),0)</f>
        <v>2485.8709964593982</v>
      </c>
      <c r="J258" s="31">
        <f t="shared" si="123"/>
        <v>2485.8709964593982</v>
      </c>
      <c r="K258" s="32" t="str">
        <f t="shared" ref="K258:K259" si="124">A258&amp;"|"&amp;B258</f>
        <v>REV-043|EQ</v>
      </c>
      <c r="L258" s="32">
        <f>COUNTIFS($K$2:K258,K258)</f>
        <v>2</v>
      </c>
      <c r="M258" s="32" t="str">
        <f t="shared" ref="M258:M259" si="125">K258&amp;"|"&amp;L258</f>
        <v>REV-043|EQ|2</v>
      </c>
      <c r="N258" s="121">
        <f>IFERROR(VLOOKUP(A258,PARTIDAS!A:F,6,FALSE()),0)</f>
        <v>6</v>
      </c>
      <c r="O258" s="123">
        <f t="shared" si="101"/>
        <v>0</v>
      </c>
      <c r="P258" s="123" t="str">
        <f>+_xlfn.XLOOKUP(A258,PPTO_GENERADOR!Q:Q,PPTO_GENERADOR!E:E,"-",0)</f>
        <v>-</v>
      </c>
      <c r="Q258" s="123">
        <f t="shared" si="102"/>
        <v>0</v>
      </c>
      <c r="R258" s="125" t="str">
        <f>+_xlfn.XLOOKUP(A258,PPTO_GENERADOR!$Q:$Q,PPTO_GENERADOR!A:A,"-",0)</f>
        <v>-</v>
      </c>
    </row>
    <row r="259" spans="1:18" ht="14.25" customHeight="1" x14ac:dyDescent="0.35">
      <c r="A259" s="105" t="s">
        <v>1815</v>
      </c>
      <c r="B259" s="105" t="s">
        <v>1983</v>
      </c>
      <c r="C259" s="105"/>
      <c r="D259" s="105" t="s">
        <v>1507</v>
      </c>
      <c r="E259" s="95" t="str">
        <f>IFERROR(VLOOKUP(D259,EQUIPOS!A:B,2,FALSE()),"?")</f>
        <v>Hormigonera De 150 Litros 1hp Con Rueda Maciza</v>
      </c>
      <c r="F259" s="129"/>
      <c r="G259" s="119">
        <v>1</v>
      </c>
      <c r="H259" s="120">
        <v>0</v>
      </c>
      <c r="I259" s="96">
        <f>IFERROR(VLOOKUP(D259,EQUIPOS!A:F,6,FALSE()),0)</f>
        <v>1040.4314486705237</v>
      </c>
      <c r="J259" s="31">
        <f t="shared" si="123"/>
        <v>1040.4314486705237</v>
      </c>
      <c r="K259" s="32" t="str">
        <f t="shared" si="124"/>
        <v>REV-043|EQ</v>
      </c>
      <c r="L259" s="32">
        <f>COUNTIFS($K$2:K259,K259)</f>
        <v>3</v>
      </c>
      <c r="M259" s="32" t="str">
        <f t="shared" si="125"/>
        <v>REV-043|EQ|3</v>
      </c>
      <c r="N259" s="121">
        <f>IFERROR(VLOOKUP(A259,PARTIDAS!A:F,6,FALSE()),0)</f>
        <v>6</v>
      </c>
      <c r="O259" s="123">
        <f t="shared" ref="O259:O322" si="126">+IF(C259="ALB",G259/N259,0)</f>
        <v>0</v>
      </c>
      <c r="P259" s="123" t="str">
        <f>+_xlfn.XLOOKUP(A259,PPTO_GENERADOR!Q:Q,PPTO_GENERADOR!E:E,"-",0)</f>
        <v>-</v>
      </c>
      <c r="Q259" s="123">
        <f t="shared" ref="Q259:Q322" si="127">IFERROR(P259*O259,0)</f>
        <v>0</v>
      </c>
      <c r="R259" s="125" t="str">
        <f>+_xlfn.XLOOKUP(A259,PPTO_GENERADOR!$Q:$Q,PPTO_GENERADOR!A:A,"-",0)</f>
        <v>-</v>
      </c>
    </row>
    <row r="260" spans="1:18" ht="14.25" customHeight="1" x14ac:dyDescent="0.35">
      <c r="A260" s="105" t="s">
        <v>1815</v>
      </c>
      <c r="B260" s="105" t="s">
        <v>1979</v>
      </c>
      <c r="C260" s="105" t="s">
        <v>1980</v>
      </c>
      <c r="D260" s="105" t="s">
        <v>2038</v>
      </c>
      <c r="E260" s="95" t="str">
        <f>IFERROR(VLOOKUP(D260,MANO_DE_OBRA!A:B,2,FALSE()),"?")</f>
        <v>AYUDANTE</v>
      </c>
      <c r="F260" s="129" t="s">
        <v>2042</v>
      </c>
      <c r="G260" s="119">
        <v>0.65</v>
      </c>
      <c r="H260" s="120">
        <v>0</v>
      </c>
      <c r="I260" s="96">
        <f>IFERROR(VLOOKUP(D260,MANO_DE_OBRA!A:C,3,FALSE()),0)</f>
        <v>67240.498860267602</v>
      </c>
      <c r="J260" s="31">
        <f t="shared" ref="J260:J261" si="128">G260*I260</f>
        <v>43706.32425917394</v>
      </c>
      <c r="K260" s="32" t="str">
        <f t="shared" ref="K260:K321" si="129">A260&amp;"|"&amp;B260</f>
        <v>REV-043|MO</v>
      </c>
      <c r="L260" s="32">
        <f>COUNTIFS($K$2:K260,K260)</f>
        <v>1</v>
      </c>
      <c r="M260" s="32" t="str">
        <f t="shared" ref="M260:M321" si="130">K260&amp;"|"&amp;L260</f>
        <v>REV-043|MO|1</v>
      </c>
      <c r="N260" s="121">
        <f>IFERROR(VLOOKUP(A260,PARTIDAS!A:F,6,FALSE()),0)</f>
        <v>6</v>
      </c>
      <c r="O260" s="123">
        <f t="shared" si="126"/>
        <v>0.10833333333333334</v>
      </c>
      <c r="P260" s="123" t="str">
        <f>+_xlfn.XLOOKUP(A260,PPTO_GENERADOR!Q:Q,PPTO_GENERADOR!E:E,"-",0)</f>
        <v>-</v>
      </c>
      <c r="Q260" s="123">
        <f t="shared" si="127"/>
        <v>0</v>
      </c>
      <c r="R260" s="125" t="str">
        <f>+_xlfn.XLOOKUP(A260,PPTO_GENERADOR!$Q:$Q,PPTO_GENERADOR!A:A,"-",0)</f>
        <v>-</v>
      </c>
    </row>
    <row r="261" spans="1:18" ht="14.25" customHeight="1" x14ac:dyDescent="0.35">
      <c r="A261" s="105" t="s">
        <v>1815</v>
      </c>
      <c r="B261" s="105" t="s">
        <v>1979</v>
      </c>
      <c r="C261" s="105" t="s">
        <v>1980</v>
      </c>
      <c r="D261" s="105" t="s">
        <v>1292</v>
      </c>
      <c r="E261" s="95" t="str">
        <f>IFERROR(VLOOKUP(D261,MANO_DE_OBRA!A:B,2,FALSE()),"?")</f>
        <v>ESPECIALIZADO</v>
      </c>
      <c r="F261" s="129" t="s">
        <v>2042</v>
      </c>
      <c r="G261" s="119">
        <v>1</v>
      </c>
      <c r="H261" s="120">
        <v>0</v>
      </c>
      <c r="I261" s="96">
        <f>IFERROR(VLOOKUP(D261,MANO_DE_OBRA!A:C,3,FALSE()),0)</f>
        <v>94177.137883538904</v>
      </c>
      <c r="J261" s="31">
        <f t="shared" si="128"/>
        <v>94177.137883538904</v>
      </c>
      <c r="K261" s="32" t="str">
        <f t="shared" si="129"/>
        <v>REV-043|MO</v>
      </c>
      <c r="L261" s="32">
        <f>COUNTIFS($K$2:K261,K261)</f>
        <v>2</v>
      </c>
      <c r="M261" s="32" t="str">
        <f t="shared" si="130"/>
        <v>REV-043|MO|2</v>
      </c>
      <c r="N261" s="121">
        <f>IFERROR(VLOOKUP(A261,PARTIDAS!A:F,6,FALSE()),0)</f>
        <v>6</v>
      </c>
      <c r="O261" s="123">
        <f t="shared" si="126"/>
        <v>0.16666666666666666</v>
      </c>
      <c r="P261" s="123" t="str">
        <f>+_xlfn.XLOOKUP(A261,PPTO_GENERADOR!Q:Q,PPTO_GENERADOR!E:E,"-",0)</f>
        <v>-</v>
      </c>
      <c r="Q261" s="123">
        <f t="shared" si="127"/>
        <v>0</v>
      </c>
      <c r="R261" s="125" t="str">
        <f>+_xlfn.XLOOKUP(A261,PPTO_GENERADOR!$Q:$Q,PPTO_GENERADOR!A:A,"-",0)</f>
        <v>-</v>
      </c>
    </row>
    <row r="262" spans="1:18" ht="14.25" customHeight="1" x14ac:dyDescent="0.35">
      <c r="A262" s="105" t="s">
        <v>1818</v>
      </c>
      <c r="B262" s="105" t="s">
        <v>1981</v>
      </c>
      <c r="C262" s="105" t="s">
        <v>1982</v>
      </c>
      <c r="D262" s="105" t="s">
        <v>538</v>
      </c>
      <c r="E262" s="95" t="str">
        <f>IFERROR(VLOOKUP(D262,MATERIALES!A:B,2,FALSE()),"?")</f>
        <v>ARENA LAVADA</v>
      </c>
      <c r="F262" s="129">
        <f>IFERROR(VLOOKUP(D262,MATERIALES!A:C,3,FALSE()),"?")</f>
        <v>0</v>
      </c>
      <c r="G262" s="119">
        <v>2.5999999999999999E-2</v>
      </c>
      <c r="H262" s="120">
        <v>0.1</v>
      </c>
      <c r="I262" s="96">
        <f>IFERROR(VLOOKUP(D262,MATERIALES!A:D,4,FALSE()),0)</f>
        <v>32620.38</v>
      </c>
      <c r="J262" s="31">
        <f t="shared" ref="J262:J265" si="131">G262*I262*(1+H262)</f>
        <v>932.94286799999998</v>
      </c>
      <c r="K262" s="32" t="str">
        <f t="shared" si="129"/>
        <v>REV-044|MAT</v>
      </c>
      <c r="L262" s="32">
        <f>COUNTIFS($K$2:K262,K262)</f>
        <v>1</v>
      </c>
      <c r="M262" s="32" t="str">
        <f t="shared" si="130"/>
        <v>REV-044|MAT|1</v>
      </c>
      <c r="N262" s="121">
        <f>IFERROR(VLOOKUP(A262,PARTIDAS!A:F,6,FALSE()),0)</f>
        <v>11.5</v>
      </c>
      <c r="O262" s="123">
        <f t="shared" si="126"/>
        <v>0</v>
      </c>
      <c r="P262" s="123" t="str">
        <f>+_xlfn.XLOOKUP(A262,PPTO_GENERADOR!Q:Q,PPTO_GENERADOR!E:E,"-",0)</f>
        <v>-</v>
      </c>
      <c r="Q262" s="123">
        <f t="shared" si="127"/>
        <v>0</v>
      </c>
      <c r="R262" s="125" t="str">
        <f>+_xlfn.XLOOKUP(A262,PPTO_GENERADOR!$Q:$Q,PPTO_GENERADOR!A:A,"-",0)</f>
        <v>-</v>
      </c>
    </row>
    <row r="263" spans="1:18" ht="14.25" customHeight="1" x14ac:dyDescent="0.35">
      <c r="A263" s="105" t="s">
        <v>1818</v>
      </c>
      <c r="B263" s="105" t="s">
        <v>1981</v>
      </c>
      <c r="C263" s="105" t="s">
        <v>1982</v>
      </c>
      <c r="D263" s="105" t="s">
        <v>544</v>
      </c>
      <c r="E263" s="95" t="str">
        <f>IFERROR(VLOOKUP(D263,MATERIALES!A:B,2,FALSE()),"?")</f>
        <v>Aditivo Hidrofugo en pasta - Ceresita x 1kg</v>
      </c>
      <c r="F263" s="129">
        <f>IFERROR(VLOOKUP(D263,MATERIALES!A:C,3,FALSE()),"?")</f>
        <v>0</v>
      </c>
      <c r="G263" s="119">
        <v>0.1</v>
      </c>
      <c r="H263" s="120">
        <v>0.05</v>
      </c>
      <c r="I263" s="96">
        <f>IFERROR(VLOOKUP(D263,MATERIALES!A:D,4,FALSE()),0)</f>
        <v>1363.95</v>
      </c>
      <c r="J263" s="31">
        <f t="shared" si="131"/>
        <v>143.21475000000001</v>
      </c>
      <c r="K263" s="32" t="str">
        <f t="shared" si="129"/>
        <v>REV-044|MAT</v>
      </c>
      <c r="L263" s="32">
        <f>COUNTIFS($K$2:K263,K263)</f>
        <v>2</v>
      </c>
      <c r="M263" s="32" t="str">
        <f t="shared" si="130"/>
        <v>REV-044|MAT|2</v>
      </c>
      <c r="N263" s="121">
        <f>IFERROR(VLOOKUP(A263,PARTIDAS!A:F,6,FALSE()),0)</f>
        <v>11.5</v>
      </c>
      <c r="O263" s="123">
        <f t="shared" si="126"/>
        <v>0</v>
      </c>
      <c r="P263" s="123" t="str">
        <f>+_xlfn.XLOOKUP(A263,PPTO_GENERADOR!Q:Q,PPTO_GENERADOR!E:E,"-",0)</f>
        <v>-</v>
      </c>
      <c r="Q263" s="123">
        <f t="shared" si="127"/>
        <v>0</v>
      </c>
      <c r="R263" s="125" t="str">
        <f>+_xlfn.XLOOKUP(A263,PPTO_GENERADOR!$Q:$Q,PPTO_GENERADOR!A:A,"-",0)</f>
        <v>-</v>
      </c>
    </row>
    <row r="264" spans="1:18" ht="14.25" customHeight="1" x14ac:dyDescent="0.35">
      <c r="A264" s="105" t="s">
        <v>1818</v>
      </c>
      <c r="B264" s="105" t="s">
        <v>1981</v>
      </c>
      <c r="C264" s="105" t="s">
        <v>1982</v>
      </c>
      <c r="D264" s="105" t="s">
        <v>540</v>
      </c>
      <c r="E264" s="95" t="str">
        <f>IFERROR(VLOOKUP(D264,MATERIALES!A:B,2,FALSE()),"?")</f>
        <v>Cemento Portland x 50kg</v>
      </c>
      <c r="F264" s="129">
        <f>IFERROR(VLOOKUP(D264,MATERIALES!A:C,3,FALSE()),"?")</f>
        <v>0</v>
      </c>
      <c r="G264" s="119">
        <v>0.314</v>
      </c>
      <c r="H264" s="120">
        <v>0.1</v>
      </c>
      <c r="I264" s="96">
        <f>IFERROR(VLOOKUP(D264,MATERIALES!A:D,4,FALSE()),0)</f>
        <v>7891.74</v>
      </c>
      <c r="J264" s="31">
        <f t="shared" si="131"/>
        <v>2725.8069960000003</v>
      </c>
      <c r="K264" s="32" t="str">
        <f t="shared" si="129"/>
        <v>REV-044|MAT</v>
      </c>
      <c r="L264" s="32">
        <f>COUNTIFS($K$2:K264,K264)</f>
        <v>3</v>
      </c>
      <c r="M264" s="32" t="str">
        <f t="shared" si="130"/>
        <v>REV-044|MAT|3</v>
      </c>
      <c r="N264" s="121">
        <f>IFERROR(VLOOKUP(A264,PARTIDAS!A:F,6,FALSE()),0)</f>
        <v>11.5</v>
      </c>
      <c r="O264" s="123">
        <f t="shared" si="126"/>
        <v>0</v>
      </c>
      <c r="P264" s="123" t="str">
        <f>+_xlfn.XLOOKUP(A264,PPTO_GENERADOR!Q:Q,PPTO_GENERADOR!E:E,"-",0)</f>
        <v>-</v>
      </c>
      <c r="Q264" s="123">
        <f t="shared" si="127"/>
        <v>0</v>
      </c>
      <c r="R264" s="125" t="str">
        <f>+_xlfn.XLOOKUP(A264,PPTO_GENERADOR!$Q:$Q,PPTO_GENERADOR!A:A,"-",0)</f>
        <v>-</v>
      </c>
    </row>
    <row r="265" spans="1:18" ht="14.25" customHeight="1" x14ac:dyDescent="0.35">
      <c r="A265" s="105" t="s">
        <v>1818</v>
      </c>
      <c r="B265" s="105" t="s">
        <v>1981</v>
      </c>
      <c r="C265" s="105" t="s">
        <v>1982</v>
      </c>
      <c r="D265" s="105" t="s">
        <v>542</v>
      </c>
      <c r="E265" s="95" t="str">
        <f>IFERROR(VLOOKUP(D265,MATERIALES!A:B,2,FALSE()),"?")</f>
        <v>Cal Comun x 25kg</v>
      </c>
      <c r="F265" s="129">
        <f>IFERROR(VLOOKUP(D265,MATERIALES!A:C,3,FALSE()),"?")</f>
        <v>0</v>
      </c>
      <c r="G265" s="119">
        <v>0.06</v>
      </c>
      <c r="H265" s="120">
        <v>0.1</v>
      </c>
      <c r="I265" s="96">
        <f>IFERROR(VLOOKUP(D265,MATERIALES!A:D,4,FALSE()),0)</f>
        <v>3927.28</v>
      </c>
      <c r="J265" s="31">
        <f t="shared" si="131"/>
        <v>259.20048000000003</v>
      </c>
      <c r="K265" s="32" t="str">
        <f t="shared" si="129"/>
        <v>REV-044|MAT</v>
      </c>
      <c r="L265" s="32">
        <f>COUNTIFS($K$2:K265,K265)</f>
        <v>4</v>
      </c>
      <c r="M265" s="32" t="str">
        <f t="shared" si="130"/>
        <v>REV-044|MAT|4</v>
      </c>
      <c r="N265" s="121">
        <f>IFERROR(VLOOKUP(A265,PARTIDAS!A:F,6,FALSE()),0)</f>
        <v>11.5</v>
      </c>
      <c r="O265" s="123">
        <f t="shared" si="126"/>
        <v>0</v>
      </c>
      <c r="P265" s="123" t="str">
        <f>+_xlfn.XLOOKUP(A265,PPTO_GENERADOR!Q:Q,PPTO_GENERADOR!E:E,"-",0)</f>
        <v>-</v>
      </c>
      <c r="Q265" s="123">
        <f t="shared" si="127"/>
        <v>0</v>
      </c>
      <c r="R265" s="125" t="str">
        <f>+_xlfn.XLOOKUP(A265,PPTO_GENERADOR!$Q:$Q,PPTO_GENERADOR!A:A,"-",0)</f>
        <v>-</v>
      </c>
    </row>
    <row r="266" spans="1:18" ht="14.25" customHeight="1" x14ac:dyDescent="0.35">
      <c r="A266" s="105" t="s">
        <v>1818</v>
      </c>
      <c r="B266" s="105" t="s">
        <v>1983</v>
      </c>
      <c r="C266" s="105"/>
      <c r="D266" s="105" t="s">
        <v>1313</v>
      </c>
      <c r="E266" s="95" t="str">
        <f>IFERROR(VLOOKUP(D266,EQUIPOS!A:B,2,FALSE()),"?")</f>
        <v>ANDAMIO TUBULAR DE UNO A TRES CUERPOS</v>
      </c>
      <c r="F266" s="129"/>
      <c r="G266" s="119">
        <v>0.5</v>
      </c>
      <c r="H266" s="120">
        <v>0</v>
      </c>
      <c r="I266" s="96">
        <f>IFERROR(VLOOKUP(D266,EQUIPOS!A:F,6,FALSE()),0)</f>
        <v>620.81078197718341</v>
      </c>
      <c r="J266" s="31">
        <f t="shared" ref="J266:J268" si="132">G266*I266</f>
        <v>310.40539098859171</v>
      </c>
      <c r="K266" s="32" t="str">
        <f t="shared" si="129"/>
        <v>REV-044|EQ</v>
      </c>
      <c r="L266" s="32">
        <f>COUNTIFS($K$2:K266,K266)</f>
        <v>1</v>
      </c>
      <c r="M266" s="32" t="str">
        <f t="shared" si="130"/>
        <v>REV-044|EQ|1</v>
      </c>
      <c r="N266" s="121">
        <f>IFERROR(VLOOKUP(A266,PARTIDAS!A:F,6,FALSE()),0)</f>
        <v>11.5</v>
      </c>
      <c r="O266" s="123">
        <f t="shared" si="126"/>
        <v>0</v>
      </c>
      <c r="P266" s="123" t="str">
        <f>+_xlfn.XLOOKUP(A266,PPTO_GENERADOR!Q:Q,PPTO_GENERADOR!E:E,"-",0)</f>
        <v>-</v>
      </c>
      <c r="Q266" s="123">
        <f t="shared" si="127"/>
        <v>0</v>
      </c>
      <c r="R266" s="125" t="str">
        <f>+_xlfn.XLOOKUP(A266,PPTO_GENERADOR!$Q:$Q,PPTO_GENERADOR!A:A,"-",0)</f>
        <v>-</v>
      </c>
    </row>
    <row r="267" spans="1:18" ht="14.25" customHeight="1" x14ac:dyDescent="0.35">
      <c r="A267" s="105" t="s">
        <v>1818</v>
      </c>
      <c r="B267" s="105" t="s">
        <v>1983</v>
      </c>
      <c r="C267" s="105"/>
      <c r="D267" s="105" t="s">
        <v>1319</v>
      </c>
      <c r="E267" s="95" t="str">
        <f>IFERROR(VLOOKUP(D267,EQUIPOS!A:B,2,FALSE()),"?")</f>
        <v>EQUIPO DE ALBAÑILERIA, carpetas, ladrillo</v>
      </c>
      <c r="F267" s="129"/>
      <c r="G267" s="119">
        <v>1</v>
      </c>
      <c r="H267" s="120">
        <v>0</v>
      </c>
      <c r="I267" s="96">
        <f>IFERROR(VLOOKUP(D267,EQUIPOS!A:F,6,FALSE()),0)</f>
        <v>2485.8709964593982</v>
      </c>
      <c r="J267" s="31">
        <f t="shared" si="132"/>
        <v>2485.8709964593982</v>
      </c>
      <c r="K267" s="32" t="str">
        <f t="shared" si="129"/>
        <v>REV-044|EQ</v>
      </c>
      <c r="L267" s="32">
        <f>COUNTIFS($K$2:K267,K267)</f>
        <v>2</v>
      </c>
      <c r="M267" s="32" t="str">
        <f t="shared" si="130"/>
        <v>REV-044|EQ|2</v>
      </c>
      <c r="N267" s="121">
        <f>IFERROR(VLOOKUP(A267,PARTIDAS!A:F,6,FALSE()),0)</f>
        <v>11.5</v>
      </c>
      <c r="O267" s="123">
        <f t="shared" si="126"/>
        <v>0</v>
      </c>
      <c r="P267" s="123" t="str">
        <f>+_xlfn.XLOOKUP(A267,PPTO_GENERADOR!Q:Q,PPTO_GENERADOR!E:E,"-",0)</f>
        <v>-</v>
      </c>
      <c r="Q267" s="123">
        <f t="shared" si="127"/>
        <v>0</v>
      </c>
      <c r="R267" s="125" t="str">
        <f>+_xlfn.XLOOKUP(A267,PPTO_GENERADOR!$Q:$Q,PPTO_GENERADOR!A:A,"-",0)</f>
        <v>-</v>
      </c>
    </row>
    <row r="268" spans="1:18" ht="14.25" customHeight="1" x14ac:dyDescent="0.35">
      <c r="A268" s="105" t="s">
        <v>1818</v>
      </c>
      <c r="B268" s="105" t="s">
        <v>1983</v>
      </c>
      <c r="C268" s="105"/>
      <c r="D268" s="105" t="s">
        <v>1507</v>
      </c>
      <c r="E268" s="95" t="str">
        <f>IFERROR(VLOOKUP(D268,EQUIPOS!A:B,2,FALSE()),"?")</f>
        <v>Hormigonera De 150 Litros 1hp Con Rueda Maciza</v>
      </c>
      <c r="F268" s="129"/>
      <c r="G268" s="119">
        <v>1</v>
      </c>
      <c r="H268" s="120">
        <v>0</v>
      </c>
      <c r="I268" s="96">
        <f>IFERROR(VLOOKUP(D268,EQUIPOS!A:F,6,FALSE()),0)</f>
        <v>1040.4314486705237</v>
      </c>
      <c r="J268" s="31">
        <f t="shared" si="132"/>
        <v>1040.4314486705237</v>
      </c>
      <c r="K268" s="32" t="str">
        <f t="shared" si="129"/>
        <v>REV-044|EQ</v>
      </c>
      <c r="L268" s="32">
        <f>COUNTIFS($K$2:K268,K268)</f>
        <v>3</v>
      </c>
      <c r="M268" s="32" t="str">
        <f t="shared" si="130"/>
        <v>REV-044|EQ|3</v>
      </c>
      <c r="N268" s="121">
        <f>IFERROR(VLOOKUP(A268,PARTIDAS!A:F,6,FALSE()),0)</f>
        <v>11.5</v>
      </c>
      <c r="O268" s="123">
        <f t="shared" si="126"/>
        <v>0</v>
      </c>
      <c r="P268" s="123" t="str">
        <f>+_xlfn.XLOOKUP(A268,PPTO_GENERADOR!Q:Q,PPTO_GENERADOR!E:E,"-",0)</f>
        <v>-</v>
      </c>
      <c r="Q268" s="123">
        <f t="shared" si="127"/>
        <v>0</v>
      </c>
      <c r="R268" s="125" t="str">
        <f>+_xlfn.XLOOKUP(A268,PPTO_GENERADOR!$Q:$Q,PPTO_GENERADOR!A:A,"-",0)</f>
        <v>-</v>
      </c>
    </row>
    <row r="269" spans="1:18" ht="14.25" customHeight="1" x14ac:dyDescent="0.35">
      <c r="A269" s="105" t="s">
        <v>1818</v>
      </c>
      <c r="B269" s="105" t="s">
        <v>1979</v>
      </c>
      <c r="C269" s="105" t="s">
        <v>1980</v>
      </c>
      <c r="D269" s="105" t="s">
        <v>1292</v>
      </c>
      <c r="E269" s="95" t="str">
        <f>IFERROR(VLOOKUP(D269,MANO_DE_OBRA!A:B,2,FALSE()),"?")</f>
        <v>ESPECIALIZADO</v>
      </c>
      <c r="F269" s="129" t="s">
        <v>2042</v>
      </c>
      <c r="G269" s="119">
        <v>1</v>
      </c>
      <c r="H269" s="120">
        <v>0</v>
      </c>
      <c r="I269" s="96">
        <f>IFERROR(VLOOKUP(D269,MANO_DE_OBRA!A:C,3,FALSE()),0)</f>
        <v>94177.137883538904</v>
      </c>
      <c r="J269" s="31">
        <f t="shared" ref="J269:J270" si="133">G269*I269</f>
        <v>94177.137883538904</v>
      </c>
      <c r="K269" s="32" t="str">
        <f t="shared" si="129"/>
        <v>REV-044|MO</v>
      </c>
      <c r="L269" s="32">
        <f>COUNTIFS($K$2:K269,K269)</f>
        <v>1</v>
      </c>
      <c r="M269" s="32" t="str">
        <f t="shared" si="130"/>
        <v>REV-044|MO|1</v>
      </c>
      <c r="N269" s="121">
        <f>IFERROR(VLOOKUP(A269,PARTIDAS!A:F,6,FALSE()),0)</f>
        <v>11.5</v>
      </c>
      <c r="O269" s="123">
        <f t="shared" si="126"/>
        <v>8.6956521739130432E-2</v>
      </c>
      <c r="P269" s="123" t="str">
        <f>+_xlfn.XLOOKUP(A269,PPTO_GENERADOR!Q:Q,PPTO_GENERADOR!E:E,"-",0)</f>
        <v>-</v>
      </c>
      <c r="Q269" s="123">
        <f t="shared" si="127"/>
        <v>0</v>
      </c>
      <c r="R269" s="125" t="str">
        <f>+_xlfn.XLOOKUP(A269,PPTO_GENERADOR!$Q:$Q,PPTO_GENERADOR!A:A,"-",0)</f>
        <v>-</v>
      </c>
    </row>
    <row r="270" spans="1:18" ht="14.25" customHeight="1" x14ac:dyDescent="0.35">
      <c r="A270" s="105" t="s">
        <v>1818</v>
      </c>
      <c r="B270" s="105" t="s">
        <v>1979</v>
      </c>
      <c r="C270" s="105" t="s">
        <v>1980</v>
      </c>
      <c r="D270" s="105" t="s">
        <v>2038</v>
      </c>
      <c r="E270" s="95" t="str">
        <f>IFERROR(VLOOKUP(D270,MANO_DE_OBRA!A:B,2,FALSE()),"?")</f>
        <v>AYUDANTE</v>
      </c>
      <c r="F270" s="129" t="s">
        <v>2042</v>
      </c>
      <c r="G270" s="119">
        <v>0.6</v>
      </c>
      <c r="H270" s="120">
        <v>0</v>
      </c>
      <c r="I270" s="96">
        <f>IFERROR(VLOOKUP(D270,MANO_DE_OBRA!A:C,3,FALSE()),0)</f>
        <v>67240.498860267602</v>
      </c>
      <c r="J270" s="31">
        <f t="shared" si="133"/>
        <v>40344.299316160563</v>
      </c>
      <c r="K270" s="32" t="str">
        <f t="shared" si="129"/>
        <v>REV-044|MO</v>
      </c>
      <c r="L270" s="32">
        <f>COUNTIFS($K$2:K270,K270)</f>
        <v>2</v>
      </c>
      <c r="M270" s="32" t="str">
        <f t="shared" si="130"/>
        <v>REV-044|MO|2</v>
      </c>
      <c r="N270" s="121">
        <f>IFERROR(VLOOKUP(A270,PARTIDAS!A:F,6,FALSE()),0)</f>
        <v>11.5</v>
      </c>
      <c r="O270" s="123">
        <f t="shared" si="126"/>
        <v>5.2173913043478258E-2</v>
      </c>
      <c r="P270" s="123" t="str">
        <f>+_xlfn.XLOOKUP(A270,PPTO_GENERADOR!Q:Q,PPTO_GENERADOR!E:E,"-",0)</f>
        <v>-</v>
      </c>
      <c r="Q270" s="123">
        <f t="shared" si="127"/>
        <v>0</v>
      </c>
      <c r="R270" s="125" t="str">
        <f>+_xlfn.XLOOKUP(A270,PPTO_GENERADOR!$Q:$Q,PPTO_GENERADOR!A:A,"-",0)</f>
        <v>-</v>
      </c>
    </row>
    <row r="271" spans="1:18" ht="14.25" customHeight="1" x14ac:dyDescent="0.35">
      <c r="A271" s="105" t="s">
        <v>1821</v>
      </c>
      <c r="B271" s="105" t="s">
        <v>1981</v>
      </c>
      <c r="C271" s="105" t="s">
        <v>1982</v>
      </c>
      <c r="D271" s="105" t="s">
        <v>538</v>
      </c>
      <c r="E271" s="95" t="str">
        <f>IFERROR(VLOOKUP(D271,MATERIALES!A:B,2,FALSE()),"?")</f>
        <v>ARENA LAVADA</v>
      </c>
      <c r="F271" s="129">
        <f>IFERROR(VLOOKUP(D271,MATERIALES!A:C,3,FALSE()),"?")</f>
        <v>0</v>
      </c>
      <c r="G271" s="119">
        <v>2.5999999999999999E-2</v>
      </c>
      <c r="H271" s="120">
        <v>0.1</v>
      </c>
      <c r="I271" s="96">
        <f>IFERROR(VLOOKUP(D271,MATERIALES!A:D,4,FALSE()),0)</f>
        <v>32620.38</v>
      </c>
      <c r="J271" s="31">
        <f t="shared" ref="J271:J274" si="134">G271*I271*(1+H271)</f>
        <v>932.94286799999998</v>
      </c>
      <c r="K271" s="32" t="str">
        <f t="shared" si="129"/>
        <v>REV-045|MAT</v>
      </c>
      <c r="L271" s="32">
        <f>COUNTIFS($K$2:K271,K271)</f>
        <v>1</v>
      </c>
      <c r="M271" s="32" t="str">
        <f t="shared" si="130"/>
        <v>REV-045|MAT|1</v>
      </c>
      <c r="N271" s="121">
        <f>IFERROR(VLOOKUP(A271,PARTIDAS!A:F,6,FALSE()),0)</f>
        <v>8</v>
      </c>
      <c r="O271" s="123">
        <f t="shared" si="126"/>
        <v>0</v>
      </c>
      <c r="P271" s="123" t="str">
        <f>+_xlfn.XLOOKUP(A271,PPTO_GENERADOR!Q:Q,PPTO_GENERADOR!E:E,"-",0)</f>
        <v>-</v>
      </c>
      <c r="Q271" s="123">
        <f t="shared" si="127"/>
        <v>0</v>
      </c>
      <c r="R271" s="125" t="str">
        <f>+_xlfn.XLOOKUP(A271,PPTO_GENERADOR!$Q:$Q,PPTO_GENERADOR!A:A,"-",0)</f>
        <v>-</v>
      </c>
    </row>
    <row r="272" spans="1:18" ht="14.25" customHeight="1" x14ac:dyDescent="0.35">
      <c r="A272" s="105" t="s">
        <v>1821</v>
      </c>
      <c r="B272" s="105" t="s">
        <v>1981</v>
      </c>
      <c r="C272" s="105" t="s">
        <v>1982</v>
      </c>
      <c r="D272" s="105" t="s">
        <v>544</v>
      </c>
      <c r="E272" s="95" t="str">
        <f>IFERROR(VLOOKUP(D272,MATERIALES!A:B,2,FALSE()),"?")</f>
        <v>Aditivo Hidrofugo en pasta - Ceresita x 1kg</v>
      </c>
      <c r="F272" s="129">
        <f>IFERROR(VLOOKUP(D272,MATERIALES!A:C,3,FALSE()),"?")</f>
        <v>0</v>
      </c>
      <c r="G272" s="119">
        <v>0.1</v>
      </c>
      <c r="H272" s="120">
        <v>0.05</v>
      </c>
      <c r="I272" s="96">
        <f>IFERROR(VLOOKUP(D272,MATERIALES!A:D,4,FALSE()),0)</f>
        <v>1363.95</v>
      </c>
      <c r="J272" s="31">
        <f t="shared" si="134"/>
        <v>143.21475000000001</v>
      </c>
      <c r="K272" s="32" t="str">
        <f t="shared" si="129"/>
        <v>REV-045|MAT</v>
      </c>
      <c r="L272" s="32">
        <f>COUNTIFS($K$2:K272,K272)</f>
        <v>2</v>
      </c>
      <c r="M272" s="32" t="str">
        <f t="shared" si="130"/>
        <v>REV-045|MAT|2</v>
      </c>
      <c r="N272" s="121">
        <f>IFERROR(VLOOKUP(A272,PARTIDAS!A:F,6,FALSE()),0)</f>
        <v>8</v>
      </c>
      <c r="O272" s="123">
        <f t="shared" si="126"/>
        <v>0</v>
      </c>
      <c r="P272" s="123" t="str">
        <f>+_xlfn.XLOOKUP(A272,PPTO_GENERADOR!Q:Q,PPTO_GENERADOR!E:E,"-",0)</f>
        <v>-</v>
      </c>
      <c r="Q272" s="123">
        <f t="shared" si="127"/>
        <v>0</v>
      </c>
      <c r="R272" s="125" t="str">
        <f>+_xlfn.XLOOKUP(A272,PPTO_GENERADOR!$Q:$Q,PPTO_GENERADOR!A:A,"-",0)</f>
        <v>-</v>
      </c>
    </row>
    <row r="273" spans="1:18" ht="14.25" customHeight="1" x14ac:dyDescent="0.35">
      <c r="A273" s="105" t="s">
        <v>1821</v>
      </c>
      <c r="B273" s="105" t="s">
        <v>1981</v>
      </c>
      <c r="C273" s="105" t="s">
        <v>1982</v>
      </c>
      <c r="D273" s="105" t="s">
        <v>540</v>
      </c>
      <c r="E273" s="95" t="str">
        <f>IFERROR(VLOOKUP(D273,MATERIALES!A:B,2,FALSE()),"?")</f>
        <v>Cemento Portland x 50kg</v>
      </c>
      <c r="F273" s="129">
        <f>IFERROR(VLOOKUP(D273,MATERIALES!A:C,3,FALSE()),"?")</f>
        <v>0</v>
      </c>
      <c r="G273" s="119">
        <v>0.314</v>
      </c>
      <c r="H273" s="120">
        <v>0.1</v>
      </c>
      <c r="I273" s="96">
        <f>IFERROR(VLOOKUP(D273,MATERIALES!A:D,4,FALSE()),0)</f>
        <v>7891.74</v>
      </c>
      <c r="J273" s="31">
        <f t="shared" si="134"/>
        <v>2725.8069960000003</v>
      </c>
      <c r="K273" s="32" t="str">
        <f t="shared" si="129"/>
        <v>REV-045|MAT</v>
      </c>
      <c r="L273" s="32">
        <f>COUNTIFS($K$2:K273,K273)</f>
        <v>3</v>
      </c>
      <c r="M273" s="32" t="str">
        <f t="shared" si="130"/>
        <v>REV-045|MAT|3</v>
      </c>
      <c r="N273" s="121">
        <f>IFERROR(VLOOKUP(A273,PARTIDAS!A:F,6,FALSE()),0)</f>
        <v>8</v>
      </c>
      <c r="O273" s="123">
        <f t="shared" si="126"/>
        <v>0</v>
      </c>
      <c r="P273" s="123" t="str">
        <f>+_xlfn.XLOOKUP(A273,PPTO_GENERADOR!Q:Q,PPTO_GENERADOR!E:E,"-",0)</f>
        <v>-</v>
      </c>
      <c r="Q273" s="123">
        <f t="shared" si="127"/>
        <v>0</v>
      </c>
      <c r="R273" s="125" t="str">
        <f>+_xlfn.XLOOKUP(A273,PPTO_GENERADOR!$Q:$Q,PPTO_GENERADOR!A:A,"-",0)</f>
        <v>-</v>
      </c>
    </row>
    <row r="274" spans="1:18" ht="14.25" customHeight="1" x14ac:dyDescent="0.35">
      <c r="A274" s="105" t="s">
        <v>1821</v>
      </c>
      <c r="B274" s="105" t="s">
        <v>1981</v>
      </c>
      <c r="C274" s="105" t="s">
        <v>1982</v>
      </c>
      <c r="D274" s="105" t="s">
        <v>542</v>
      </c>
      <c r="E274" s="95" t="str">
        <f>IFERROR(VLOOKUP(D274,MATERIALES!A:B,2,FALSE()),"?")</f>
        <v>Cal Comun x 25kg</v>
      </c>
      <c r="F274" s="129">
        <f>IFERROR(VLOOKUP(D274,MATERIALES!A:C,3,FALSE()),"?")</f>
        <v>0</v>
      </c>
      <c r="G274" s="119">
        <v>0.06</v>
      </c>
      <c r="H274" s="120">
        <v>0.1</v>
      </c>
      <c r="I274" s="96">
        <f>IFERROR(VLOOKUP(D274,MATERIALES!A:D,4,FALSE()),0)</f>
        <v>3927.28</v>
      </c>
      <c r="J274" s="31">
        <f t="shared" si="134"/>
        <v>259.20048000000003</v>
      </c>
      <c r="K274" s="32" t="str">
        <f t="shared" si="129"/>
        <v>REV-045|MAT</v>
      </c>
      <c r="L274" s="32">
        <f>COUNTIFS($K$2:K274,K274)</f>
        <v>4</v>
      </c>
      <c r="M274" s="32" t="str">
        <f t="shared" si="130"/>
        <v>REV-045|MAT|4</v>
      </c>
      <c r="N274" s="121">
        <f>IFERROR(VLOOKUP(A274,PARTIDAS!A:F,6,FALSE()),0)</f>
        <v>8</v>
      </c>
      <c r="O274" s="123">
        <f t="shared" si="126"/>
        <v>0</v>
      </c>
      <c r="P274" s="123" t="str">
        <f>+_xlfn.XLOOKUP(A274,PPTO_GENERADOR!Q:Q,PPTO_GENERADOR!E:E,"-",0)</f>
        <v>-</v>
      </c>
      <c r="Q274" s="123">
        <f t="shared" si="127"/>
        <v>0</v>
      </c>
      <c r="R274" s="125" t="str">
        <f>+_xlfn.XLOOKUP(A274,PPTO_GENERADOR!$Q:$Q,PPTO_GENERADOR!A:A,"-",0)</f>
        <v>-</v>
      </c>
    </row>
    <row r="275" spans="1:18" ht="14.25" customHeight="1" x14ac:dyDescent="0.35">
      <c r="A275" s="105" t="s">
        <v>1821</v>
      </c>
      <c r="B275" s="105" t="s">
        <v>1983</v>
      </c>
      <c r="C275" s="105"/>
      <c r="D275" s="105" t="s">
        <v>1315</v>
      </c>
      <c r="E275" s="95" t="str">
        <f>IFERROR(VLOOKUP(D275,EQUIPOS!A:B,2,FALSE()),"?")</f>
        <v>Balancin</v>
      </c>
      <c r="F275" s="129"/>
      <c r="G275" s="119">
        <v>1</v>
      </c>
      <c r="H275" s="120">
        <v>0</v>
      </c>
      <c r="I275" s="96">
        <f>IFERROR(VLOOKUP(D275,EQUIPOS!A:F,6,FALSE()),0)</f>
        <v>3380.6</v>
      </c>
      <c r="J275" s="31">
        <f t="shared" ref="J275:J278" si="135">G275*I275</f>
        <v>3380.6</v>
      </c>
      <c r="K275" s="32" t="str">
        <f t="shared" si="129"/>
        <v>REV-045|EQ</v>
      </c>
      <c r="L275" s="32">
        <f>COUNTIFS($K$2:K275,K275)</f>
        <v>1</v>
      </c>
      <c r="M275" s="32" t="str">
        <f t="shared" si="130"/>
        <v>REV-045|EQ|1</v>
      </c>
      <c r="N275" s="121">
        <f>IFERROR(VLOOKUP(A275,PARTIDAS!A:F,6,FALSE()),0)</f>
        <v>8</v>
      </c>
      <c r="O275" s="123">
        <f t="shared" si="126"/>
        <v>0</v>
      </c>
      <c r="P275" s="123" t="str">
        <f>+_xlfn.XLOOKUP(A275,PPTO_GENERADOR!Q:Q,PPTO_GENERADOR!E:E,"-",0)</f>
        <v>-</v>
      </c>
      <c r="Q275" s="123">
        <f t="shared" si="127"/>
        <v>0</v>
      </c>
      <c r="R275" s="125" t="str">
        <f>+_xlfn.XLOOKUP(A275,PPTO_GENERADOR!$Q:$Q,PPTO_GENERADOR!A:A,"-",0)</f>
        <v>-</v>
      </c>
    </row>
    <row r="276" spans="1:18" ht="14.25" customHeight="1" x14ac:dyDescent="0.35">
      <c r="A276" s="105" t="s">
        <v>1821</v>
      </c>
      <c r="B276" s="105" t="s">
        <v>1983</v>
      </c>
      <c r="C276" s="105"/>
      <c r="D276" s="105" t="s">
        <v>1313</v>
      </c>
      <c r="E276" s="95" t="str">
        <f>IFERROR(VLOOKUP(D276,EQUIPOS!A:B,2,FALSE()),"?")</f>
        <v>ANDAMIO TUBULAR DE UNO A TRES CUERPOS</v>
      </c>
      <c r="F276" s="129"/>
      <c r="G276" s="119">
        <v>0</v>
      </c>
      <c r="H276" s="120">
        <v>0</v>
      </c>
      <c r="I276" s="96">
        <f>IFERROR(VLOOKUP(D276,EQUIPOS!A:F,6,FALSE()),0)</f>
        <v>620.81078197718341</v>
      </c>
      <c r="J276" s="31">
        <f t="shared" si="135"/>
        <v>0</v>
      </c>
      <c r="K276" s="32" t="str">
        <f t="shared" si="129"/>
        <v>REV-045|EQ</v>
      </c>
      <c r="L276" s="32">
        <f>COUNTIFS($K$2:K276,K276)</f>
        <v>2</v>
      </c>
      <c r="M276" s="32" t="str">
        <f t="shared" si="130"/>
        <v>REV-045|EQ|2</v>
      </c>
      <c r="N276" s="121">
        <f>IFERROR(VLOOKUP(A276,PARTIDAS!A:F,6,FALSE()),0)</f>
        <v>8</v>
      </c>
      <c r="O276" s="123">
        <f t="shared" si="126"/>
        <v>0</v>
      </c>
      <c r="P276" s="123" t="str">
        <f>+_xlfn.XLOOKUP(A276,PPTO_GENERADOR!Q:Q,PPTO_GENERADOR!E:E,"-",0)</f>
        <v>-</v>
      </c>
      <c r="Q276" s="123">
        <f t="shared" si="127"/>
        <v>0</v>
      </c>
      <c r="R276" s="125" t="str">
        <f>+_xlfn.XLOOKUP(A276,PPTO_GENERADOR!$Q:$Q,PPTO_GENERADOR!A:A,"-",0)</f>
        <v>-</v>
      </c>
    </row>
    <row r="277" spans="1:18" ht="14.25" customHeight="1" x14ac:dyDescent="0.35">
      <c r="A277" s="105" t="s">
        <v>1821</v>
      </c>
      <c r="B277" s="105" t="s">
        <v>1983</v>
      </c>
      <c r="C277" s="105"/>
      <c r="D277" s="105" t="s">
        <v>1319</v>
      </c>
      <c r="E277" s="95" t="str">
        <f>IFERROR(VLOOKUP(D277,EQUIPOS!A:B,2,FALSE()),"?")</f>
        <v>EQUIPO DE ALBAÑILERIA, carpetas, ladrillo</v>
      </c>
      <c r="F277" s="129"/>
      <c r="G277" s="119">
        <v>1</v>
      </c>
      <c r="H277" s="120">
        <v>0</v>
      </c>
      <c r="I277" s="96">
        <f>IFERROR(VLOOKUP(D277,EQUIPOS!A:F,6,FALSE()),0)</f>
        <v>2485.8709964593982</v>
      </c>
      <c r="J277" s="31">
        <f t="shared" si="135"/>
        <v>2485.8709964593982</v>
      </c>
      <c r="K277" s="32" t="str">
        <f t="shared" si="129"/>
        <v>REV-045|EQ</v>
      </c>
      <c r="L277" s="32">
        <f>COUNTIFS($K$2:K277,K277)</f>
        <v>3</v>
      </c>
      <c r="M277" s="32" t="str">
        <f t="shared" si="130"/>
        <v>REV-045|EQ|3</v>
      </c>
      <c r="N277" s="121">
        <f>IFERROR(VLOOKUP(A277,PARTIDAS!A:F,6,FALSE()),0)</f>
        <v>8</v>
      </c>
      <c r="O277" s="123">
        <f t="shared" si="126"/>
        <v>0</v>
      </c>
      <c r="P277" s="123" t="str">
        <f>+_xlfn.XLOOKUP(A277,PPTO_GENERADOR!Q:Q,PPTO_GENERADOR!E:E,"-",0)</f>
        <v>-</v>
      </c>
      <c r="Q277" s="123">
        <f t="shared" si="127"/>
        <v>0</v>
      </c>
      <c r="R277" s="125" t="str">
        <f>+_xlfn.XLOOKUP(A277,PPTO_GENERADOR!$Q:$Q,PPTO_GENERADOR!A:A,"-",0)</f>
        <v>-</v>
      </c>
    </row>
    <row r="278" spans="1:18" ht="14.25" customHeight="1" x14ac:dyDescent="0.35">
      <c r="A278" s="105" t="s">
        <v>1821</v>
      </c>
      <c r="B278" s="105" t="s">
        <v>1983</v>
      </c>
      <c r="C278" s="105"/>
      <c r="D278" s="105" t="s">
        <v>1507</v>
      </c>
      <c r="E278" s="95" t="str">
        <f>IFERROR(VLOOKUP(D278,EQUIPOS!A:B,2,FALSE()),"?")</f>
        <v>Hormigonera De 150 Litros 1hp Con Rueda Maciza</v>
      </c>
      <c r="F278" s="129"/>
      <c r="G278" s="119">
        <v>1</v>
      </c>
      <c r="H278" s="120">
        <v>0</v>
      </c>
      <c r="I278" s="96">
        <f>IFERROR(VLOOKUP(D278,EQUIPOS!A:F,6,FALSE()),0)</f>
        <v>1040.4314486705237</v>
      </c>
      <c r="J278" s="31">
        <f t="shared" si="135"/>
        <v>1040.4314486705237</v>
      </c>
      <c r="K278" s="32" t="str">
        <f t="shared" si="129"/>
        <v>REV-045|EQ</v>
      </c>
      <c r="L278" s="32">
        <f>COUNTIFS($K$2:K278,K278)</f>
        <v>4</v>
      </c>
      <c r="M278" s="32" t="str">
        <f t="shared" si="130"/>
        <v>REV-045|EQ|4</v>
      </c>
      <c r="N278" s="121">
        <f>IFERROR(VLOOKUP(A278,PARTIDAS!A:F,6,FALSE()),0)</f>
        <v>8</v>
      </c>
      <c r="O278" s="123">
        <f t="shared" si="126"/>
        <v>0</v>
      </c>
      <c r="P278" s="123" t="str">
        <f>+_xlfn.XLOOKUP(A278,PPTO_GENERADOR!Q:Q,PPTO_GENERADOR!E:E,"-",0)</f>
        <v>-</v>
      </c>
      <c r="Q278" s="123">
        <f t="shared" si="127"/>
        <v>0</v>
      </c>
      <c r="R278" s="125" t="str">
        <f>+_xlfn.XLOOKUP(A278,PPTO_GENERADOR!$Q:$Q,PPTO_GENERADOR!A:A,"-",0)</f>
        <v>-</v>
      </c>
    </row>
    <row r="279" spans="1:18" ht="14.25" customHeight="1" x14ac:dyDescent="0.35">
      <c r="A279" s="105" t="s">
        <v>1821</v>
      </c>
      <c r="B279" s="105" t="s">
        <v>1979</v>
      </c>
      <c r="C279" s="105" t="s">
        <v>1980</v>
      </c>
      <c r="D279" s="105" t="s">
        <v>1292</v>
      </c>
      <c r="E279" s="95" t="str">
        <f>IFERROR(VLOOKUP(D279,MANO_DE_OBRA!A:B,2,FALSE()),"?")</f>
        <v>ESPECIALIZADO</v>
      </c>
      <c r="F279" s="129" t="s">
        <v>2042</v>
      </c>
      <c r="G279" s="119">
        <v>1</v>
      </c>
      <c r="H279" s="120">
        <v>0</v>
      </c>
      <c r="I279" s="96">
        <f>IFERROR(VLOOKUP(D279,MANO_DE_OBRA!A:C,3,FALSE()),0)</f>
        <v>94177.137883538904</v>
      </c>
      <c r="J279" s="31">
        <f t="shared" ref="J279:J280" si="136">G279*I279</f>
        <v>94177.137883538904</v>
      </c>
      <c r="K279" s="32" t="str">
        <f t="shared" si="129"/>
        <v>REV-045|MO</v>
      </c>
      <c r="L279" s="32">
        <f>COUNTIFS($K$2:K279,K279)</f>
        <v>1</v>
      </c>
      <c r="M279" s="32" t="str">
        <f t="shared" si="130"/>
        <v>REV-045|MO|1</v>
      </c>
      <c r="N279" s="121">
        <f>IFERROR(VLOOKUP(A279,PARTIDAS!A:F,6,FALSE()),0)</f>
        <v>8</v>
      </c>
      <c r="O279" s="123">
        <f t="shared" si="126"/>
        <v>0.125</v>
      </c>
      <c r="P279" s="123" t="str">
        <f>+_xlfn.XLOOKUP(A279,PPTO_GENERADOR!Q:Q,PPTO_GENERADOR!E:E,"-",0)</f>
        <v>-</v>
      </c>
      <c r="Q279" s="123">
        <f t="shared" si="127"/>
        <v>0</v>
      </c>
      <c r="R279" s="125" t="str">
        <f>+_xlfn.XLOOKUP(A279,PPTO_GENERADOR!$Q:$Q,PPTO_GENERADOR!A:A,"-",0)</f>
        <v>-</v>
      </c>
    </row>
    <row r="280" spans="1:18" ht="14.25" customHeight="1" x14ac:dyDescent="0.35">
      <c r="A280" s="105" t="s">
        <v>1821</v>
      </c>
      <c r="B280" s="105" t="s">
        <v>1979</v>
      </c>
      <c r="C280" s="105" t="s">
        <v>1980</v>
      </c>
      <c r="D280" s="105" t="s">
        <v>2038</v>
      </c>
      <c r="E280" s="95" t="str">
        <f>IFERROR(VLOOKUP(D280,MANO_DE_OBRA!A:B,2,FALSE()),"?")</f>
        <v>AYUDANTE</v>
      </c>
      <c r="F280" s="129" t="s">
        <v>2042</v>
      </c>
      <c r="G280" s="119">
        <v>0.6</v>
      </c>
      <c r="H280" s="120">
        <v>0</v>
      </c>
      <c r="I280" s="96">
        <f>IFERROR(VLOOKUP(D280,MANO_DE_OBRA!A:C,3,FALSE()),0)</f>
        <v>67240.498860267602</v>
      </c>
      <c r="J280" s="31">
        <f t="shared" si="136"/>
        <v>40344.299316160563</v>
      </c>
      <c r="K280" s="32" t="str">
        <f t="shared" si="129"/>
        <v>REV-045|MO</v>
      </c>
      <c r="L280" s="32">
        <f>COUNTIFS($K$2:K280,K280)</f>
        <v>2</v>
      </c>
      <c r="M280" s="32" t="str">
        <f t="shared" si="130"/>
        <v>REV-045|MO|2</v>
      </c>
      <c r="N280" s="121">
        <f>IFERROR(VLOOKUP(A280,PARTIDAS!A:F,6,FALSE()),0)</f>
        <v>8</v>
      </c>
      <c r="O280" s="123">
        <f t="shared" si="126"/>
        <v>7.4999999999999997E-2</v>
      </c>
      <c r="P280" s="123" t="str">
        <f>+_xlfn.XLOOKUP(A280,PPTO_GENERADOR!Q:Q,PPTO_GENERADOR!E:E,"-",0)</f>
        <v>-</v>
      </c>
      <c r="Q280" s="123">
        <f t="shared" si="127"/>
        <v>0</v>
      </c>
      <c r="R280" s="125" t="str">
        <f>+_xlfn.XLOOKUP(A280,PPTO_GENERADOR!$Q:$Q,PPTO_GENERADOR!A:A,"-",0)</f>
        <v>-</v>
      </c>
    </row>
    <row r="281" spans="1:18" ht="14.25" customHeight="1" x14ac:dyDescent="0.35">
      <c r="A281" s="105" t="s">
        <v>1824</v>
      </c>
      <c r="B281" s="105" t="s">
        <v>1981</v>
      </c>
      <c r="C281" s="105" t="s">
        <v>1982</v>
      </c>
      <c r="D281" s="105" t="s">
        <v>540</v>
      </c>
      <c r="E281" s="95" t="str">
        <f>IFERROR(VLOOKUP(D281,MATERIALES!A:B,2,FALSE()),"?")</f>
        <v>Cemento Portland x 50kg</v>
      </c>
      <c r="F281" s="129">
        <f>IFERROR(VLOOKUP(D281,MATERIALES!A:C,3,FALSE()),"?")</f>
        <v>0</v>
      </c>
      <c r="G281" s="119">
        <v>0.748</v>
      </c>
      <c r="H281" s="120">
        <v>0.1</v>
      </c>
      <c r="I281" s="96">
        <f>IFERROR(VLOOKUP(D281,MATERIALES!A:D,4,FALSE()),0)</f>
        <v>7891.74</v>
      </c>
      <c r="J281" s="31">
        <f t="shared" ref="J281:J284" si="137">G281*I281*(1+H281)</f>
        <v>6493.3236720000004</v>
      </c>
      <c r="K281" s="32" t="str">
        <f t="shared" si="129"/>
        <v>REV-046|MAT</v>
      </c>
      <c r="L281" s="32">
        <f>COUNTIFS($K$2:K281,K281)</f>
        <v>1</v>
      </c>
      <c r="M281" s="32" t="str">
        <f t="shared" si="130"/>
        <v>REV-046|MAT|1</v>
      </c>
      <c r="N281" s="121">
        <f>IFERROR(VLOOKUP(A281,PARTIDAS!A:F,6,FALSE()),0)</f>
        <v>1.4</v>
      </c>
      <c r="O281" s="123">
        <f t="shared" si="126"/>
        <v>0</v>
      </c>
      <c r="P281" s="123" t="str">
        <f>+_xlfn.XLOOKUP(A281,PPTO_GENERADOR!Q:Q,PPTO_GENERADOR!E:E,"-",0)</f>
        <v>-</v>
      </c>
      <c r="Q281" s="123">
        <f t="shared" si="127"/>
        <v>0</v>
      </c>
      <c r="R281" s="125" t="str">
        <f>+_xlfn.XLOOKUP(A281,PPTO_GENERADOR!$Q:$Q,PPTO_GENERADOR!A:A,"-",0)</f>
        <v>-</v>
      </c>
    </row>
    <row r="282" spans="1:18" ht="14.25" customHeight="1" x14ac:dyDescent="0.35">
      <c r="A282" s="105" t="s">
        <v>1824</v>
      </c>
      <c r="B282" s="105" t="s">
        <v>1981</v>
      </c>
      <c r="C282" s="105" t="s">
        <v>1982</v>
      </c>
      <c r="D282" s="105" t="s">
        <v>542</v>
      </c>
      <c r="E282" s="95" t="str">
        <f>IFERROR(VLOOKUP(D282,MATERIALES!A:B,2,FALSE()),"?")</f>
        <v>Cal Comun x 25kg</v>
      </c>
      <c r="F282" s="129">
        <f>IFERROR(VLOOKUP(D282,MATERIALES!A:C,3,FALSE()),"?")</f>
        <v>0</v>
      </c>
      <c r="G282" s="119">
        <v>3.24</v>
      </c>
      <c r="H282" s="120">
        <v>0.1</v>
      </c>
      <c r="I282" s="96">
        <f>IFERROR(VLOOKUP(D282,MATERIALES!A:D,4,FALSE()),0)</f>
        <v>3927.28</v>
      </c>
      <c r="J282" s="31">
        <f t="shared" si="137"/>
        <v>13996.825920000003</v>
      </c>
      <c r="K282" s="32" t="str">
        <f t="shared" si="129"/>
        <v>REV-046|MAT</v>
      </c>
      <c r="L282" s="32">
        <f>COUNTIFS($K$2:K282,K282)</f>
        <v>2</v>
      </c>
      <c r="M282" s="32" t="str">
        <f t="shared" si="130"/>
        <v>REV-046|MAT|2</v>
      </c>
      <c r="N282" s="121">
        <f>IFERROR(VLOOKUP(A282,PARTIDAS!A:F,6,FALSE()),0)</f>
        <v>1.4</v>
      </c>
      <c r="O282" s="123">
        <f t="shared" si="126"/>
        <v>0</v>
      </c>
      <c r="P282" s="123" t="str">
        <f>+_xlfn.XLOOKUP(A282,PPTO_GENERADOR!Q:Q,PPTO_GENERADOR!E:E,"-",0)</f>
        <v>-</v>
      </c>
      <c r="Q282" s="123">
        <f t="shared" si="127"/>
        <v>0</v>
      </c>
      <c r="R282" s="125" t="str">
        <f>+_xlfn.XLOOKUP(A282,PPTO_GENERADOR!$Q:$Q,PPTO_GENERADOR!A:A,"-",0)</f>
        <v>-</v>
      </c>
    </row>
    <row r="283" spans="1:18" ht="14.25" customHeight="1" x14ac:dyDescent="0.35">
      <c r="A283" s="105" t="s">
        <v>1824</v>
      </c>
      <c r="B283" s="105" t="s">
        <v>1981</v>
      </c>
      <c r="C283" s="105" t="s">
        <v>1982</v>
      </c>
      <c r="D283" s="105" t="s">
        <v>1031</v>
      </c>
      <c r="E283" s="95" t="str">
        <f>IFERROR(VLOOKUP(D283,MATERIALES!A:B,2,FALSE()),"?")</f>
        <v>Cascote</v>
      </c>
      <c r="F283" s="129" t="str">
        <f>IFERROR(VLOOKUP(D283,MATERIALES!A:C,3,FALSE()),"?")</f>
        <v>m3</v>
      </c>
      <c r="G283" s="119">
        <v>0.77</v>
      </c>
      <c r="H283" s="120">
        <v>0.1</v>
      </c>
      <c r="I283" s="96">
        <f>IFERROR(VLOOKUP(D283,MATERIALES!A:D,4,FALSE()),0)</f>
        <v>34246.800000000003</v>
      </c>
      <c r="J283" s="31">
        <f t="shared" si="137"/>
        <v>29007.039600000007</v>
      </c>
      <c r="K283" s="32" t="str">
        <f t="shared" si="129"/>
        <v>REV-046|MAT</v>
      </c>
      <c r="L283" s="32">
        <f>COUNTIFS($K$2:K283,K283)</f>
        <v>3</v>
      </c>
      <c r="M283" s="32" t="str">
        <f t="shared" si="130"/>
        <v>REV-046|MAT|3</v>
      </c>
      <c r="N283" s="121">
        <f>IFERROR(VLOOKUP(A283,PARTIDAS!A:F,6,FALSE()),0)</f>
        <v>1.4</v>
      </c>
      <c r="O283" s="123">
        <f t="shared" si="126"/>
        <v>0</v>
      </c>
      <c r="P283" s="123" t="str">
        <f>+_xlfn.XLOOKUP(A283,PPTO_GENERADOR!Q:Q,PPTO_GENERADOR!E:E,"-",0)</f>
        <v>-</v>
      </c>
      <c r="Q283" s="123">
        <f t="shared" si="127"/>
        <v>0</v>
      </c>
      <c r="R283" s="125" t="str">
        <f>+_xlfn.XLOOKUP(A283,PPTO_GENERADOR!$Q:$Q,PPTO_GENERADOR!A:A,"-",0)</f>
        <v>-</v>
      </c>
    </row>
    <row r="284" spans="1:18" ht="14.25" customHeight="1" x14ac:dyDescent="0.35">
      <c r="A284" s="105" t="s">
        <v>1824</v>
      </c>
      <c r="B284" s="105" t="s">
        <v>1981</v>
      </c>
      <c r="C284" s="105" t="s">
        <v>1982</v>
      </c>
      <c r="D284" s="105" t="s">
        <v>538</v>
      </c>
      <c r="E284" s="95" t="str">
        <f>IFERROR(VLOOKUP(D284,MATERIALES!A:B,2,FALSE()),"?")</f>
        <v>ARENA LAVADA</v>
      </c>
      <c r="F284" s="129">
        <f>IFERROR(VLOOKUP(D284,MATERIALES!A:C,3,FALSE()),"?")</f>
        <v>0</v>
      </c>
      <c r="G284" s="119">
        <v>0.51500000000000001</v>
      </c>
      <c r="H284" s="120">
        <v>0.1</v>
      </c>
      <c r="I284" s="96">
        <f>IFERROR(VLOOKUP(D284,MATERIALES!A:D,4,FALSE()),0)</f>
        <v>32620.38</v>
      </c>
      <c r="J284" s="31">
        <f t="shared" si="137"/>
        <v>18479.44527</v>
      </c>
      <c r="K284" s="32" t="str">
        <f t="shared" si="129"/>
        <v>REV-046|MAT</v>
      </c>
      <c r="L284" s="32">
        <f>COUNTIFS($K$2:K284,K284)</f>
        <v>4</v>
      </c>
      <c r="M284" s="32" t="str">
        <f t="shared" si="130"/>
        <v>REV-046|MAT|4</v>
      </c>
      <c r="N284" s="121">
        <f>IFERROR(VLOOKUP(A284,PARTIDAS!A:F,6,FALSE()),0)</f>
        <v>1.4</v>
      </c>
      <c r="O284" s="123">
        <f t="shared" si="126"/>
        <v>0</v>
      </c>
      <c r="P284" s="123" t="str">
        <f>+_xlfn.XLOOKUP(A284,PPTO_GENERADOR!Q:Q,PPTO_GENERADOR!E:E,"-",0)</f>
        <v>-</v>
      </c>
      <c r="Q284" s="123">
        <f t="shared" si="127"/>
        <v>0</v>
      </c>
      <c r="R284" s="125" t="str">
        <f>+_xlfn.XLOOKUP(A284,PPTO_GENERADOR!$Q:$Q,PPTO_GENERADOR!A:A,"-",0)</f>
        <v>-</v>
      </c>
    </row>
    <row r="285" spans="1:18" ht="14.25" customHeight="1" x14ac:dyDescent="0.35">
      <c r="A285" s="105" t="s">
        <v>1824</v>
      </c>
      <c r="B285" s="105" t="s">
        <v>1983</v>
      </c>
      <c r="C285" s="105"/>
      <c r="D285" s="105" t="s">
        <v>1507</v>
      </c>
      <c r="E285" s="95" t="str">
        <f>IFERROR(VLOOKUP(D285,EQUIPOS!A:B,2,FALSE()),"?")</f>
        <v>Hormigonera De 150 Litros 1hp Con Rueda Maciza</v>
      </c>
      <c r="F285" s="129"/>
      <c r="G285" s="119">
        <v>1</v>
      </c>
      <c r="H285" s="120">
        <v>0</v>
      </c>
      <c r="I285" s="96">
        <f>IFERROR(VLOOKUP(D285,EQUIPOS!A:F,6,FALSE()),0)</f>
        <v>1040.4314486705237</v>
      </c>
      <c r="J285" s="31">
        <f t="shared" ref="J285:J286" si="138">G285*I285</f>
        <v>1040.4314486705237</v>
      </c>
      <c r="K285" s="32" t="str">
        <f t="shared" si="129"/>
        <v>REV-046|EQ</v>
      </c>
      <c r="L285" s="32">
        <f>COUNTIFS($K$2:K285,K285)</f>
        <v>1</v>
      </c>
      <c r="M285" s="32" t="str">
        <f t="shared" si="130"/>
        <v>REV-046|EQ|1</v>
      </c>
      <c r="N285" s="121">
        <f>IFERROR(VLOOKUP(A285,PARTIDAS!A:F,6,FALSE()),0)</f>
        <v>1.4</v>
      </c>
      <c r="O285" s="123">
        <f t="shared" si="126"/>
        <v>0</v>
      </c>
      <c r="P285" s="123" t="str">
        <f>+_xlfn.XLOOKUP(A285,PPTO_GENERADOR!Q:Q,PPTO_GENERADOR!E:E,"-",0)</f>
        <v>-</v>
      </c>
      <c r="Q285" s="123">
        <f t="shared" si="127"/>
        <v>0</v>
      </c>
      <c r="R285" s="125" t="str">
        <f>+_xlfn.XLOOKUP(A285,PPTO_GENERADOR!$Q:$Q,PPTO_GENERADOR!A:A,"-",0)</f>
        <v>-</v>
      </c>
    </row>
    <row r="286" spans="1:18" ht="14.25" customHeight="1" x14ac:dyDescent="0.35">
      <c r="A286" s="105" t="s">
        <v>1824</v>
      </c>
      <c r="B286" s="105" t="s">
        <v>1983</v>
      </c>
      <c r="C286" s="105"/>
      <c r="D286" s="105" t="s">
        <v>1319</v>
      </c>
      <c r="E286" s="95" t="str">
        <f>IFERROR(VLOOKUP(D286,EQUIPOS!A:B,2,FALSE()),"?")</f>
        <v>EQUIPO DE ALBAÑILERIA, carpetas, ladrillo</v>
      </c>
      <c r="F286" s="129"/>
      <c r="G286" s="119">
        <v>1</v>
      </c>
      <c r="H286" s="120">
        <v>0</v>
      </c>
      <c r="I286" s="96">
        <f>IFERROR(VLOOKUP(D286,EQUIPOS!A:F,6,FALSE()),0)</f>
        <v>2485.8709964593982</v>
      </c>
      <c r="J286" s="31">
        <f t="shared" si="138"/>
        <v>2485.8709964593982</v>
      </c>
      <c r="K286" s="32" t="str">
        <f t="shared" si="129"/>
        <v>REV-046|EQ</v>
      </c>
      <c r="L286" s="32">
        <f>COUNTIFS($K$2:K286,K286)</f>
        <v>2</v>
      </c>
      <c r="M286" s="32" t="str">
        <f t="shared" si="130"/>
        <v>REV-046|EQ|2</v>
      </c>
      <c r="N286" s="121">
        <f>IFERROR(VLOOKUP(A286,PARTIDAS!A:F,6,FALSE()),0)</f>
        <v>1.4</v>
      </c>
      <c r="O286" s="123">
        <f t="shared" si="126"/>
        <v>0</v>
      </c>
      <c r="P286" s="123" t="str">
        <f>+_xlfn.XLOOKUP(A286,PPTO_GENERADOR!Q:Q,PPTO_GENERADOR!E:E,"-",0)</f>
        <v>-</v>
      </c>
      <c r="Q286" s="123">
        <f t="shared" si="127"/>
        <v>0</v>
      </c>
      <c r="R286" s="125" t="str">
        <f>+_xlfn.XLOOKUP(A286,PPTO_GENERADOR!$Q:$Q,PPTO_GENERADOR!A:A,"-",0)</f>
        <v>-</v>
      </c>
    </row>
    <row r="287" spans="1:18" ht="14.25" customHeight="1" x14ac:dyDescent="0.35">
      <c r="A287" s="105" t="s">
        <v>1824</v>
      </c>
      <c r="B287" s="105" t="s">
        <v>1979</v>
      </c>
      <c r="C287" s="105" t="s">
        <v>1980</v>
      </c>
      <c r="D287" s="105" t="s">
        <v>2038</v>
      </c>
      <c r="E287" s="95" t="str">
        <f>IFERROR(VLOOKUP(D287,MANO_DE_OBRA!A:B,2,FALSE()),"?")</f>
        <v>AYUDANTE</v>
      </c>
      <c r="F287" s="129" t="s">
        <v>2042</v>
      </c>
      <c r="G287" s="119">
        <v>1</v>
      </c>
      <c r="H287" s="120">
        <v>0</v>
      </c>
      <c r="I287" s="96">
        <f>IFERROR(VLOOKUP(D287,MANO_DE_OBRA!A:C,3,FALSE()),0)</f>
        <v>67240.498860267602</v>
      </c>
      <c r="J287" s="31">
        <f t="shared" ref="J287:J288" si="139">G287*I287</f>
        <v>67240.498860267602</v>
      </c>
      <c r="K287" s="32" t="str">
        <f t="shared" si="129"/>
        <v>REV-046|MO</v>
      </c>
      <c r="L287" s="32">
        <f>COUNTIFS($K$2:K287,K287)</f>
        <v>1</v>
      </c>
      <c r="M287" s="32" t="str">
        <f t="shared" si="130"/>
        <v>REV-046|MO|1</v>
      </c>
      <c r="N287" s="121">
        <f>IFERROR(VLOOKUP(A287,PARTIDAS!A:F,6,FALSE()),0)</f>
        <v>1.4</v>
      </c>
      <c r="O287" s="123">
        <f t="shared" si="126"/>
        <v>0.7142857142857143</v>
      </c>
      <c r="P287" s="123" t="str">
        <f>+_xlfn.XLOOKUP(A287,PPTO_GENERADOR!Q:Q,PPTO_GENERADOR!E:E,"-",0)</f>
        <v>-</v>
      </c>
      <c r="Q287" s="123">
        <f t="shared" si="127"/>
        <v>0</v>
      </c>
      <c r="R287" s="125" t="str">
        <f>+_xlfn.XLOOKUP(A287,PPTO_GENERADOR!$Q:$Q,PPTO_GENERADOR!A:A,"-",0)</f>
        <v>-</v>
      </c>
    </row>
    <row r="288" spans="1:18" ht="14.25" customHeight="1" x14ac:dyDescent="0.35">
      <c r="A288" s="105" t="s">
        <v>1824</v>
      </c>
      <c r="B288" s="105" t="s">
        <v>1979</v>
      </c>
      <c r="C288" s="105" t="s">
        <v>1980</v>
      </c>
      <c r="D288" s="105" t="s">
        <v>1292</v>
      </c>
      <c r="E288" s="95" t="str">
        <f>IFERROR(VLOOKUP(D288,MANO_DE_OBRA!A:B,2,FALSE()),"?")</f>
        <v>ESPECIALIZADO</v>
      </c>
      <c r="F288" s="129" t="s">
        <v>2042</v>
      </c>
      <c r="G288" s="119">
        <v>0.75</v>
      </c>
      <c r="H288" s="120">
        <v>0</v>
      </c>
      <c r="I288" s="96">
        <f>IFERROR(VLOOKUP(D288,MANO_DE_OBRA!A:C,3,FALSE()),0)</f>
        <v>94177.137883538904</v>
      </c>
      <c r="J288" s="31">
        <f t="shared" si="139"/>
        <v>70632.853412654178</v>
      </c>
      <c r="K288" s="32" t="str">
        <f t="shared" si="129"/>
        <v>REV-046|MO</v>
      </c>
      <c r="L288" s="32">
        <f>COUNTIFS($K$2:K288,K288)</f>
        <v>2</v>
      </c>
      <c r="M288" s="32" t="str">
        <f t="shared" si="130"/>
        <v>REV-046|MO|2</v>
      </c>
      <c r="N288" s="121">
        <f>IFERROR(VLOOKUP(A288,PARTIDAS!A:F,6,FALSE()),0)</f>
        <v>1.4</v>
      </c>
      <c r="O288" s="123">
        <f t="shared" si="126"/>
        <v>0.5357142857142857</v>
      </c>
      <c r="P288" s="123" t="str">
        <f>+_xlfn.XLOOKUP(A288,PPTO_GENERADOR!Q:Q,PPTO_GENERADOR!E:E,"-",0)</f>
        <v>-</v>
      </c>
      <c r="Q288" s="123">
        <f t="shared" si="127"/>
        <v>0</v>
      </c>
      <c r="R288" s="125" t="str">
        <f>+_xlfn.XLOOKUP(A288,PPTO_GENERADOR!$Q:$Q,PPTO_GENERADOR!A:A,"-",0)</f>
        <v>-</v>
      </c>
    </row>
    <row r="289" spans="1:18" ht="14.25" customHeight="1" x14ac:dyDescent="0.35">
      <c r="A289" s="105" t="s">
        <v>1827</v>
      </c>
      <c r="B289" s="105" t="s">
        <v>1981</v>
      </c>
      <c r="C289" s="105" t="s">
        <v>1982</v>
      </c>
      <c r="D289" s="105" t="s">
        <v>540</v>
      </c>
      <c r="E289" s="95" t="str">
        <f>IFERROR(VLOOKUP(D289,MATERIALES!A:B,2,FALSE()),"?")</f>
        <v>Cemento Portland x 50kg</v>
      </c>
      <c r="F289" s="129">
        <f>IFERROR(VLOOKUP(D289,MATERIALES!A:C,3,FALSE()),"?")</f>
        <v>0</v>
      </c>
      <c r="G289" s="119">
        <v>0.27</v>
      </c>
      <c r="H289" s="120">
        <v>0.1</v>
      </c>
      <c r="I289" s="96">
        <f>IFERROR(VLOOKUP(D289,MATERIALES!A:D,4,FALSE()),0)</f>
        <v>7891.74</v>
      </c>
      <c r="J289" s="31">
        <f t="shared" ref="J289:J290" si="140">G289*I289*(1+H289)</f>
        <v>2343.8467800000003</v>
      </c>
      <c r="K289" s="32" t="str">
        <f t="shared" si="129"/>
        <v>REV-047|MAT</v>
      </c>
      <c r="L289" s="32">
        <f>COUNTIFS($K$2:K289,K289)</f>
        <v>1</v>
      </c>
      <c r="M289" s="32" t="str">
        <f t="shared" si="130"/>
        <v>REV-047|MAT|1</v>
      </c>
      <c r="N289" s="121">
        <f>IFERROR(VLOOKUP(A289,PARTIDAS!A:F,6,FALSE()),0)</f>
        <v>15</v>
      </c>
      <c r="O289" s="123">
        <f t="shared" si="126"/>
        <v>0</v>
      </c>
      <c r="P289" s="123" t="str">
        <f>+_xlfn.XLOOKUP(A289,PPTO_GENERADOR!Q:Q,PPTO_GENERADOR!E:E,"-",0)</f>
        <v>-</v>
      </c>
      <c r="Q289" s="123">
        <f t="shared" si="127"/>
        <v>0</v>
      </c>
      <c r="R289" s="125" t="str">
        <f>+_xlfn.XLOOKUP(A289,PPTO_GENERADOR!$Q:$Q,PPTO_GENERADOR!A:A,"-",0)</f>
        <v>-</v>
      </c>
    </row>
    <row r="290" spans="1:18" ht="14.25" customHeight="1" x14ac:dyDescent="0.35">
      <c r="A290" s="105" t="s">
        <v>1827</v>
      </c>
      <c r="B290" s="105" t="s">
        <v>1981</v>
      </c>
      <c r="C290" s="105" t="s">
        <v>1982</v>
      </c>
      <c r="D290" s="105" t="s">
        <v>538</v>
      </c>
      <c r="E290" s="95" t="str">
        <f>IFERROR(VLOOKUP(D290,MATERIALES!A:B,2,FALSE()),"?")</f>
        <v>ARENA LAVADA</v>
      </c>
      <c r="F290" s="129">
        <f>IFERROR(VLOOKUP(D290,MATERIALES!A:C,3,FALSE()),"?")</f>
        <v>0</v>
      </c>
      <c r="G290" s="119">
        <v>0.03</v>
      </c>
      <c r="H290" s="120">
        <v>0.1</v>
      </c>
      <c r="I290" s="96">
        <f>IFERROR(VLOOKUP(D290,MATERIALES!A:D,4,FALSE()),0)</f>
        <v>32620.38</v>
      </c>
      <c r="J290" s="31">
        <f t="shared" si="140"/>
        <v>1076.47254</v>
      </c>
      <c r="K290" s="32" t="str">
        <f t="shared" si="129"/>
        <v>REV-047|MAT</v>
      </c>
      <c r="L290" s="32">
        <f>COUNTIFS($K$2:K290,K290)</f>
        <v>2</v>
      </c>
      <c r="M290" s="32" t="str">
        <f t="shared" si="130"/>
        <v>REV-047|MAT|2</v>
      </c>
      <c r="N290" s="121">
        <f>IFERROR(VLOOKUP(A290,PARTIDAS!A:F,6,FALSE()),0)</f>
        <v>15</v>
      </c>
      <c r="O290" s="123">
        <f t="shared" si="126"/>
        <v>0</v>
      </c>
      <c r="P290" s="123" t="str">
        <f>+_xlfn.XLOOKUP(A290,PPTO_GENERADOR!Q:Q,PPTO_GENERADOR!E:E,"-",0)</f>
        <v>-</v>
      </c>
      <c r="Q290" s="123">
        <f t="shared" si="127"/>
        <v>0</v>
      </c>
      <c r="R290" s="125" t="str">
        <f>+_xlfn.XLOOKUP(A290,PPTO_GENERADOR!$Q:$Q,PPTO_GENERADOR!A:A,"-",0)</f>
        <v>-</v>
      </c>
    </row>
    <row r="291" spans="1:18" ht="14.25" customHeight="1" x14ac:dyDescent="0.35">
      <c r="A291" s="105" t="s">
        <v>1827</v>
      </c>
      <c r="B291" s="105" t="s">
        <v>1983</v>
      </c>
      <c r="C291" s="105"/>
      <c r="D291" s="105" t="s">
        <v>1507</v>
      </c>
      <c r="E291" s="95" t="str">
        <f>IFERROR(VLOOKUP(D291,EQUIPOS!A:B,2,FALSE()),"?")</f>
        <v>Hormigonera De 150 Litros 1hp Con Rueda Maciza</v>
      </c>
      <c r="F291" s="129"/>
      <c r="G291" s="119">
        <v>1</v>
      </c>
      <c r="H291" s="120">
        <v>0</v>
      </c>
      <c r="I291" s="96">
        <f>IFERROR(VLOOKUP(D291,EQUIPOS!A:F,6,FALSE()),0)</f>
        <v>1040.4314486705237</v>
      </c>
      <c r="J291" s="31">
        <f t="shared" ref="J291:J292" si="141">G291*I291</f>
        <v>1040.4314486705237</v>
      </c>
      <c r="K291" s="32" t="str">
        <f t="shared" si="129"/>
        <v>REV-047|EQ</v>
      </c>
      <c r="L291" s="32">
        <f>COUNTIFS($K$2:K291,K291)</f>
        <v>1</v>
      </c>
      <c r="M291" s="32" t="str">
        <f t="shared" si="130"/>
        <v>REV-047|EQ|1</v>
      </c>
      <c r="N291" s="121">
        <f>IFERROR(VLOOKUP(A291,PARTIDAS!A:F,6,FALSE()),0)</f>
        <v>15</v>
      </c>
      <c r="O291" s="123">
        <f t="shared" si="126"/>
        <v>0</v>
      </c>
      <c r="P291" s="123" t="str">
        <f>+_xlfn.XLOOKUP(A291,PPTO_GENERADOR!Q:Q,PPTO_GENERADOR!E:E,"-",0)</f>
        <v>-</v>
      </c>
      <c r="Q291" s="123">
        <f t="shared" si="127"/>
        <v>0</v>
      </c>
      <c r="R291" s="125" t="str">
        <f>+_xlfn.XLOOKUP(A291,PPTO_GENERADOR!$Q:$Q,PPTO_GENERADOR!A:A,"-",0)</f>
        <v>-</v>
      </c>
    </row>
    <row r="292" spans="1:18" ht="14.25" customHeight="1" x14ac:dyDescent="0.35">
      <c r="A292" s="105" t="s">
        <v>1827</v>
      </c>
      <c r="B292" s="105" t="s">
        <v>1983</v>
      </c>
      <c r="C292" s="105"/>
      <c r="D292" s="105" t="s">
        <v>1319</v>
      </c>
      <c r="E292" s="95" t="str">
        <f>IFERROR(VLOOKUP(D292,EQUIPOS!A:B,2,FALSE()),"?")</f>
        <v>EQUIPO DE ALBAÑILERIA, carpetas, ladrillo</v>
      </c>
      <c r="F292" s="129"/>
      <c r="G292" s="119">
        <v>1</v>
      </c>
      <c r="H292" s="120">
        <v>0</v>
      </c>
      <c r="I292" s="96">
        <f>IFERROR(VLOOKUP(D292,EQUIPOS!A:F,6,FALSE()),0)</f>
        <v>2485.8709964593982</v>
      </c>
      <c r="J292" s="31">
        <f t="shared" si="141"/>
        <v>2485.8709964593982</v>
      </c>
      <c r="K292" s="32" t="str">
        <f t="shared" si="129"/>
        <v>REV-047|EQ</v>
      </c>
      <c r="L292" s="32">
        <f>COUNTIFS($K$2:K292,K292)</f>
        <v>2</v>
      </c>
      <c r="M292" s="32" t="str">
        <f t="shared" si="130"/>
        <v>REV-047|EQ|2</v>
      </c>
      <c r="N292" s="121">
        <f>IFERROR(VLOOKUP(A292,PARTIDAS!A:F,6,FALSE()),0)</f>
        <v>15</v>
      </c>
      <c r="O292" s="123">
        <f t="shared" si="126"/>
        <v>0</v>
      </c>
      <c r="P292" s="123" t="str">
        <f>+_xlfn.XLOOKUP(A292,PPTO_GENERADOR!Q:Q,PPTO_GENERADOR!E:E,"-",0)</f>
        <v>-</v>
      </c>
      <c r="Q292" s="123">
        <f t="shared" si="127"/>
        <v>0</v>
      </c>
      <c r="R292" s="125" t="str">
        <f>+_xlfn.XLOOKUP(A292,PPTO_GENERADOR!$Q:$Q,PPTO_GENERADOR!A:A,"-",0)</f>
        <v>-</v>
      </c>
    </row>
    <row r="293" spans="1:18" ht="14.25" customHeight="1" x14ac:dyDescent="0.35">
      <c r="A293" s="105" t="s">
        <v>1827</v>
      </c>
      <c r="B293" s="105" t="s">
        <v>1979</v>
      </c>
      <c r="C293" s="105" t="s">
        <v>1980</v>
      </c>
      <c r="D293" s="105" t="s">
        <v>2038</v>
      </c>
      <c r="E293" s="95" t="str">
        <f>IFERROR(VLOOKUP(D293,MANO_DE_OBRA!A:B,2,FALSE()),"?")</f>
        <v>AYUDANTE</v>
      </c>
      <c r="F293" s="129" t="s">
        <v>2042</v>
      </c>
      <c r="G293" s="119">
        <v>0.45</v>
      </c>
      <c r="H293" s="120">
        <v>0</v>
      </c>
      <c r="I293" s="96">
        <f>IFERROR(VLOOKUP(D293,MANO_DE_OBRA!A:C,3,FALSE()),0)</f>
        <v>67240.498860267602</v>
      </c>
      <c r="J293" s="31">
        <f t="shared" ref="J293:J294" si="142">G293*I293</f>
        <v>30258.22448712042</v>
      </c>
      <c r="K293" s="32" t="str">
        <f t="shared" si="129"/>
        <v>REV-047|MO</v>
      </c>
      <c r="L293" s="32">
        <f>COUNTIFS($K$2:K293,K293)</f>
        <v>1</v>
      </c>
      <c r="M293" s="32" t="str">
        <f t="shared" si="130"/>
        <v>REV-047|MO|1</v>
      </c>
      <c r="N293" s="121">
        <f>IFERROR(VLOOKUP(A293,PARTIDAS!A:F,6,FALSE()),0)</f>
        <v>15</v>
      </c>
      <c r="O293" s="123">
        <f t="shared" si="126"/>
        <v>3.0000000000000002E-2</v>
      </c>
      <c r="P293" s="123" t="str">
        <f>+_xlfn.XLOOKUP(A293,PPTO_GENERADOR!Q:Q,PPTO_GENERADOR!E:E,"-",0)</f>
        <v>-</v>
      </c>
      <c r="Q293" s="123">
        <f t="shared" si="127"/>
        <v>0</v>
      </c>
      <c r="R293" s="125" t="str">
        <f>+_xlfn.XLOOKUP(A293,PPTO_GENERADOR!$Q:$Q,PPTO_GENERADOR!A:A,"-",0)</f>
        <v>-</v>
      </c>
    </row>
    <row r="294" spans="1:18" ht="14.25" customHeight="1" x14ac:dyDescent="0.35">
      <c r="A294" s="105" t="s">
        <v>1827</v>
      </c>
      <c r="B294" s="105" t="s">
        <v>1979</v>
      </c>
      <c r="C294" s="105" t="s">
        <v>1980</v>
      </c>
      <c r="D294" s="105" t="s">
        <v>1292</v>
      </c>
      <c r="E294" s="95" t="str">
        <f>IFERROR(VLOOKUP(D294,MANO_DE_OBRA!A:B,2,FALSE()),"?")</f>
        <v>ESPECIALIZADO</v>
      </c>
      <c r="F294" s="129" t="s">
        <v>2042</v>
      </c>
      <c r="G294" s="119">
        <v>1</v>
      </c>
      <c r="H294" s="120">
        <v>0</v>
      </c>
      <c r="I294" s="96">
        <f>IFERROR(VLOOKUP(D294,MANO_DE_OBRA!A:C,3,FALSE()),0)</f>
        <v>94177.137883538904</v>
      </c>
      <c r="J294" s="31">
        <f t="shared" si="142"/>
        <v>94177.137883538904</v>
      </c>
      <c r="K294" s="32" t="str">
        <f t="shared" si="129"/>
        <v>REV-047|MO</v>
      </c>
      <c r="L294" s="32">
        <f>COUNTIFS($K$2:K294,K294)</f>
        <v>2</v>
      </c>
      <c r="M294" s="32" t="str">
        <f t="shared" si="130"/>
        <v>REV-047|MO|2</v>
      </c>
      <c r="N294" s="121">
        <f>IFERROR(VLOOKUP(A294,PARTIDAS!A:F,6,FALSE()),0)</f>
        <v>15</v>
      </c>
      <c r="O294" s="123">
        <f t="shared" si="126"/>
        <v>6.6666666666666666E-2</v>
      </c>
      <c r="P294" s="123" t="str">
        <f>+_xlfn.XLOOKUP(A294,PPTO_GENERADOR!Q:Q,PPTO_GENERADOR!E:E,"-",0)</f>
        <v>-</v>
      </c>
      <c r="Q294" s="123">
        <f t="shared" si="127"/>
        <v>0</v>
      </c>
      <c r="R294" s="125" t="str">
        <f>+_xlfn.XLOOKUP(A294,PPTO_GENERADOR!$Q:$Q,PPTO_GENERADOR!A:A,"-",0)</f>
        <v>-</v>
      </c>
    </row>
    <row r="295" spans="1:18" ht="14.25" customHeight="1" x14ac:dyDescent="0.35">
      <c r="A295" s="105" t="s">
        <v>1830</v>
      </c>
      <c r="B295" s="105" t="s">
        <v>1981</v>
      </c>
      <c r="C295" s="105" t="s">
        <v>1982</v>
      </c>
      <c r="D295" s="105" t="s">
        <v>538</v>
      </c>
      <c r="E295" s="95" t="str">
        <f>IFERROR(VLOOKUP(D295,MATERIALES!A:B,2,FALSE()),"?")</f>
        <v>ARENA LAVADA</v>
      </c>
      <c r="F295" s="129">
        <f>IFERROR(VLOOKUP(D295,MATERIALES!A:C,3,FALSE()),"?")</f>
        <v>0</v>
      </c>
      <c r="G295" s="119">
        <v>5.9499999999999997E-2</v>
      </c>
      <c r="H295" s="120">
        <v>0.1</v>
      </c>
      <c r="I295" s="96">
        <f>IFERROR(VLOOKUP(D295,MATERIALES!A:D,4,FALSE()),0)</f>
        <v>32620.38</v>
      </c>
      <c r="J295" s="31">
        <f t="shared" ref="J295:J298" si="143">G295*I295*(1+H295)</f>
        <v>2135.0038710000003</v>
      </c>
      <c r="K295" s="32" t="str">
        <f t="shared" si="129"/>
        <v>REV-048|MAT</v>
      </c>
      <c r="L295" s="32">
        <f>COUNTIFS($K$2:K295,K295)</f>
        <v>1</v>
      </c>
      <c r="M295" s="32" t="str">
        <f t="shared" si="130"/>
        <v>REV-048|MAT|1</v>
      </c>
      <c r="N295" s="121">
        <f>IFERROR(VLOOKUP(A295,PARTIDAS!A:F,6,FALSE()),0)</f>
        <v>35</v>
      </c>
      <c r="O295" s="123">
        <f t="shared" si="126"/>
        <v>0</v>
      </c>
      <c r="P295" s="123" t="str">
        <f>+_xlfn.XLOOKUP(A295,PPTO_GENERADOR!Q:Q,PPTO_GENERADOR!E:E,"-",0)</f>
        <v>-</v>
      </c>
      <c r="Q295" s="123">
        <f t="shared" si="127"/>
        <v>0</v>
      </c>
      <c r="R295" s="125" t="str">
        <f>+_xlfn.XLOOKUP(A295,PPTO_GENERADOR!$Q:$Q,PPTO_GENERADOR!A:A,"-",0)</f>
        <v>-</v>
      </c>
    </row>
    <row r="296" spans="1:18" ht="14.25" customHeight="1" x14ac:dyDescent="0.35">
      <c r="A296" s="105" t="s">
        <v>1830</v>
      </c>
      <c r="B296" s="105" t="s">
        <v>1981</v>
      </c>
      <c r="C296" s="105" t="s">
        <v>1982</v>
      </c>
      <c r="D296" s="105" t="s">
        <v>540</v>
      </c>
      <c r="E296" s="95" t="str">
        <f>IFERROR(VLOOKUP(D296,MATERIALES!A:B,2,FALSE()),"?")</f>
        <v>Cemento Portland x 50kg</v>
      </c>
      <c r="F296" s="129">
        <f>IFERROR(VLOOKUP(D296,MATERIALES!A:C,3,FALSE()),"?")</f>
        <v>0</v>
      </c>
      <c r="G296" s="119">
        <v>0.42</v>
      </c>
      <c r="H296" s="120">
        <v>0.1</v>
      </c>
      <c r="I296" s="96">
        <f>IFERROR(VLOOKUP(D296,MATERIALES!A:D,4,FALSE()),0)</f>
        <v>7891.74</v>
      </c>
      <c r="J296" s="31">
        <f t="shared" si="143"/>
        <v>3645.9838800000002</v>
      </c>
      <c r="K296" s="32" t="str">
        <f t="shared" si="129"/>
        <v>REV-048|MAT</v>
      </c>
      <c r="L296" s="32">
        <f>COUNTIFS($K$2:K296,K296)</f>
        <v>2</v>
      </c>
      <c r="M296" s="32" t="str">
        <f t="shared" si="130"/>
        <v>REV-048|MAT|2</v>
      </c>
      <c r="N296" s="121">
        <f>IFERROR(VLOOKUP(A296,PARTIDAS!A:F,6,FALSE()),0)</f>
        <v>35</v>
      </c>
      <c r="O296" s="123">
        <f t="shared" si="126"/>
        <v>0</v>
      </c>
      <c r="P296" s="123" t="str">
        <f>+_xlfn.XLOOKUP(A296,PPTO_GENERADOR!Q:Q,PPTO_GENERADOR!E:E,"-",0)</f>
        <v>-</v>
      </c>
      <c r="Q296" s="123">
        <f t="shared" si="127"/>
        <v>0</v>
      </c>
      <c r="R296" s="125" t="str">
        <f>+_xlfn.XLOOKUP(A296,PPTO_GENERADOR!$Q:$Q,PPTO_GENERADOR!A:A,"-",0)</f>
        <v>-</v>
      </c>
    </row>
    <row r="297" spans="1:18" ht="14.25" customHeight="1" x14ac:dyDescent="0.35">
      <c r="A297" s="105" t="s">
        <v>1830</v>
      </c>
      <c r="B297" s="105" t="s">
        <v>1981</v>
      </c>
      <c r="C297" s="105" t="s">
        <v>1982</v>
      </c>
      <c r="D297" s="105" t="s">
        <v>542</v>
      </c>
      <c r="E297" s="95" t="str">
        <f>IFERROR(VLOOKUP(D297,MATERIALES!A:B,2,FALSE()),"?")</f>
        <v>Cal Comun x 25kg</v>
      </c>
      <c r="F297" s="129">
        <f>IFERROR(VLOOKUP(D297,MATERIALES!A:C,3,FALSE()),"?")</f>
        <v>0</v>
      </c>
      <c r="G297" s="119">
        <v>0.14000000000000001</v>
      </c>
      <c r="H297" s="120">
        <v>0.1</v>
      </c>
      <c r="I297" s="96">
        <f>IFERROR(VLOOKUP(D297,MATERIALES!A:D,4,FALSE()),0)</f>
        <v>3927.28</v>
      </c>
      <c r="J297" s="31">
        <f t="shared" si="143"/>
        <v>604.8011200000002</v>
      </c>
      <c r="K297" s="32" t="str">
        <f t="shared" si="129"/>
        <v>REV-048|MAT</v>
      </c>
      <c r="L297" s="32">
        <f>COUNTIFS($K$2:K297,K297)</f>
        <v>3</v>
      </c>
      <c r="M297" s="32" t="str">
        <f t="shared" si="130"/>
        <v>REV-048|MAT|3</v>
      </c>
      <c r="N297" s="121">
        <f>IFERROR(VLOOKUP(A297,PARTIDAS!A:F,6,FALSE()),0)</f>
        <v>35</v>
      </c>
      <c r="O297" s="123">
        <f t="shared" si="126"/>
        <v>0</v>
      </c>
      <c r="P297" s="123" t="str">
        <f>+_xlfn.XLOOKUP(A297,PPTO_GENERADOR!Q:Q,PPTO_GENERADOR!E:E,"-",0)</f>
        <v>-</v>
      </c>
      <c r="Q297" s="123">
        <f t="shared" si="127"/>
        <v>0</v>
      </c>
      <c r="R297" s="125" t="str">
        <f>+_xlfn.XLOOKUP(A297,PPTO_GENERADOR!$Q:$Q,PPTO_GENERADOR!A:A,"-",0)</f>
        <v>-</v>
      </c>
    </row>
    <row r="298" spans="1:18" ht="14.25" customHeight="1" x14ac:dyDescent="0.35">
      <c r="A298" s="105" t="s">
        <v>1830</v>
      </c>
      <c r="B298" s="105" t="s">
        <v>1981</v>
      </c>
      <c r="C298" s="105" t="s">
        <v>1982</v>
      </c>
      <c r="D298" s="105" t="s">
        <v>1078</v>
      </c>
      <c r="E298" s="95" t="str">
        <f>IFERROR(VLOOKUP(D298,MATERIALES!A:B,2,FALSE()),"?")</f>
        <v>Sika Poro Plus x 10 kg</v>
      </c>
      <c r="F298" s="129" t="str">
        <f>IFERROR(VLOOKUP(D298,MATERIALES!A:C,3,FALSE()),"?")</f>
        <v>bal</v>
      </c>
      <c r="G298" s="119">
        <v>2.4499999999999999E-3</v>
      </c>
      <c r="H298" s="120">
        <v>0.05</v>
      </c>
      <c r="I298" s="96">
        <f>IFERROR(VLOOKUP(D298,MATERIALES!A:D,4,FALSE()),0)</f>
        <v>129090.91</v>
      </c>
      <c r="J298" s="31">
        <f t="shared" si="143"/>
        <v>332.08636597500004</v>
      </c>
      <c r="K298" s="32" t="str">
        <f t="shared" si="129"/>
        <v>REV-048|MAT</v>
      </c>
      <c r="L298" s="32">
        <f>COUNTIFS($K$2:K298,K298)</f>
        <v>4</v>
      </c>
      <c r="M298" s="32" t="str">
        <f t="shared" si="130"/>
        <v>REV-048|MAT|4</v>
      </c>
      <c r="N298" s="121">
        <f>IFERROR(VLOOKUP(A298,PARTIDAS!A:F,6,FALSE()),0)</f>
        <v>35</v>
      </c>
      <c r="O298" s="123">
        <f t="shared" si="126"/>
        <v>0</v>
      </c>
      <c r="P298" s="123" t="str">
        <f>+_xlfn.XLOOKUP(A298,PPTO_GENERADOR!Q:Q,PPTO_GENERADOR!E:E,"-",0)</f>
        <v>-</v>
      </c>
      <c r="Q298" s="123">
        <f t="shared" si="127"/>
        <v>0</v>
      </c>
      <c r="R298" s="125" t="str">
        <f>+_xlfn.XLOOKUP(A298,PPTO_GENERADOR!$Q:$Q,PPTO_GENERADOR!A:A,"-",0)</f>
        <v>-</v>
      </c>
    </row>
    <row r="299" spans="1:18" ht="14.25" customHeight="1" x14ac:dyDescent="0.35">
      <c r="A299" s="105" t="s">
        <v>1830</v>
      </c>
      <c r="B299" s="105" t="s">
        <v>1983</v>
      </c>
      <c r="C299" s="105"/>
      <c r="D299" s="105" t="s">
        <v>1507</v>
      </c>
      <c r="E299" s="95" t="str">
        <f>IFERROR(VLOOKUP(D299,EQUIPOS!A:B,2,FALSE()),"?")</f>
        <v>Hormigonera De 150 Litros 1hp Con Rueda Maciza</v>
      </c>
      <c r="F299" s="129"/>
      <c r="G299" s="119">
        <v>2</v>
      </c>
      <c r="H299" s="120">
        <v>0</v>
      </c>
      <c r="I299" s="96">
        <f>IFERROR(VLOOKUP(D299,EQUIPOS!A:F,6,FALSE()),0)</f>
        <v>1040.4314486705237</v>
      </c>
      <c r="J299" s="31">
        <f t="shared" ref="J299:J300" si="144">G299*I299</f>
        <v>2080.8628973410473</v>
      </c>
      <c r="K299" s="32" t="str">
        <f t="shared" si="129"/>
        <v>REV-048|EQ</v>
      </c>
      <c r="L299" s="32">
        <f>COUNTIFS($K$2:K299,K299)</f>
        <v>1</v>
      </c>
      <c r="M299" s="32" t="str">
        <f t="shared" si="130"/>
        <v>REV-048|EQ|1</v>
      </c>
      <c r="N299" s="121">
        <f>IFERROR(VLOOKUP(A299,PARTIDAS!A:F,6,FALSE()),0)</f>
        <v>35</v>
      </c>
      <c r="O299" s="123">
        <f t="shared" si="126"/>
        <v>0</v>
      </c>
      <c r="P299" s="123" t="str">
        <f>+_xlfn.XLOOKUP(A299,PPTO_GENERADOR!Q:Q,PPTO_GENERADOR!E:E,"-",0)</f>
        <v>-</v>
      </c>
      <c r="Q299" s="123">
        <f t="shared" si="127"/>
        <v>0</v>
      </c>
      <c r="R299" s="125" t="str">
        <f>+_xlfn.XLOOKUP(A299,PPTO_GENERADOR!$Q:$Q,PPTO_GENERADOR!A:A,"-",0)</f>
        <v>-</v>
      </c>
    </row>
    <row r="300" spans="1:18" ht="14.25" customHeight="1" x14ac:dyDescent="0.35">
      <c r="A300" s="105" t="s">
        <v>1830</v>
      </c>
      <c r="B300" s="105" t="s">
        <v>1983</v>
      </c>
      <c r="C300" s="105"/>
      <c r="D300" s="105" t="s">
        <v>1319</v>
      </c>
      <c r="E300" s="95" t="str">
        <f>IFERROR(VLOOKUP(D300,EQUIPOS!A:B,2,FALSE()),"?")</f>
        <v>EQUIPO DE ALBAÑILERIA, carpetas, ladrillo</v>
      </c>
      <c r="F300" s="129"/>
      <c r="G300" s="119">
        <v>1</v>
      </c>
      <c r="H300" s="120">
        <v>0</v>
      </c>
      <c r="I300" s="96">
        <f>IFERROR(VLOOKUP(D300,EQUIPOS!A:F,6,FALSE()),0)</f>
        <v>2485.8709964593982</v>
      </c>
      <c r="J300" s="31">
        <f t="shared" si="144"/>
        <v>2485.8709964593982</v>
      </c>
      <c r="K300" s="32" t="str">
        <f t="shared" si="129"/>
        <v>REV-048|EQ</v>
      </c>
      <c r="L300" s="32">
        <f>COUNTIFS($K$2:K300,K300)</f>
        <v>2</v>
      </c>
      <c r="M300" s="32" t="str">
        <f t="shared" si="130"/>
        <v>REV-048|EQ|2</v>
      </c>
      <c r="N300" s="121">
        <f>IFERROR(VLOOKUP(A300,PARTIDAS!A:F,6,FALSE()),0)</f>
        <v>35</v>
      </c>
      <c r="O300" s="123">
        <f t="shared" si="126"/>
        <v>0</v>
      </c>
      <c r="P300" s="123" t="str">
        <f>+_xlfn.XLOOKUP(A300,PPTO_GENERADOR!Q:Q,PPTO_GENERADOR!E:E,"-",0)</f>
        <v>-</v>
      </c>
      <c r="Q300" s="123">
        <f t="shared" si="127"/>
        <v>0</v>
      </c>
      <c r="R300" s="125" t="str">
        <f>+_xlfn.XLOOKUP(A300,PPTO_GENERADOR!$Q:$Q,PPTO_GENERADOR!A:A,"-",0)</f>
        <v>-</v>
      </c>
    </row>
    <row r="301" spans="1:18" ht="14.25" customHeight="1" x14ac:dyDescent="0.35">
      <c r="A301" s="105" t="s">
        <v>1830</v>
      </c>
      <c r="B301" s="105" t="s">
        <v>1979</v>
      </c>
      <c r="C301" s="105" t="s">
        <v>1980</v>
      </c>
      <c r="D301" s="105" t="s">
        <v>2038</v>
      </c>
      <c r="E301" s="95" t="str">
        <f>IFERROR(VLOOKUP(D301,MANO_DE_OBRA!A:B,2,FALSE()),"?")</f>
        <v>AYUDANTE</v>
      </c>
      <c r="F301" s="129" t="s">
        <v>2042</v>
      </c>
      <c r="G301" s="119">
        <v>3</v>
      </c>
      <c r="H301" s="120">
        <v>0</v>
      </c>
      <c r="I301" s="96">
        <f>IFERROR(VLOOKUP(D301,MANO_DE_OBRA!A:C,3,FALSE()),0)</f>
        <v>67240.498860267602</v>
      </c>
      <c r="J301" s="31">
        <f t="shared" ref="J301:J302" si="145">G301*I301</f>
        <v>201721.49658080281</v>
      </c>
      <c r="K301" s="32" t="str">
        <f t="shared" si="129"/>
        <v>REV-048|MO</v>
      </c>
      <c r="L301" s="32">
        <f>COUNTIFS($K$2:K301,K301)</f>
        <v>1</v>
      </c>
      <c r="M301" s="32" t="str">
        <f t="shared" si="130"/>
        <v>REV-048|MO|1</v>
      </c>
      <c r="N301" s="121">
        <f>IFERROR(VLOOKUP(A301,PARTIDAS!A:F,6,FALSE()),0)</f>
        <v>35</v>
      </c>
      <c r="O301" s="123">
        <f t="shared" si="126"/>
        <v>8.5714285714285715E-2</v>
      </c>
      <c r="P301" s="123" t="str">
        <f>+_xlfn.XLOOKUP(A301,PPTO_GENERADOR!Q:Q,PPTO_GENERADOR!E:E,"-",0)</f>
        <v>-</v>
      </c>
      <c r="Q301" s="123">
        <f t="shared" si="127"/>
        <v>0</v>
      </c>
      <c r="R301" s="125" t="str">
        <f>+_xlfn.XLOOKUP(A301,PPTO_GENERADOR!$Q:$Q,PPTO_GENERADOR!A:A,"-",0)</f>
        <v>-</v>
      </c>
    </row>
    <row r="302" spans="1:18" ht="14.25" customHeight="1" x14ac:dyDescent="0.35">
      <c r="A302" s="105" t="s">
        <v>1830</v>
      </c>
      <c r="B302" s="105" t="s">
        <v>1979</v>
      </c>
      <c r="C302" s="105" t="s">
        <v>1980</v>
      </c>
      <c r="D302" s="105" t="s">
        <v>1292</v>
      </c>
      <c r="E302" s="95" t="str">
        <f>IFERROR(VLOOKUP(D302,MANO_DE_OBRA!A:B,2,FALSE()),"?")</f>
        <v>ESPECIALIZADO</v>
      </c>
      <c r="F302" s="129" t="s">
        <v>2042</v>
      </c>
      <c r="G302" s="119">
        <v>2</v>
      </c>
      <c r="H302" s="120">
        <v>0</v>
      </c>
      <c r="I302" s="96">
        <f>IFERROR(VLOOKUP(D302,MANO_DE_OBRA!A:C,3,FALSE()),0)</f>
        <v>94177.137883538904</v>
      </c>
      <c r="J302" s="31">
        <f t="shared" si="145"/>
        <v>188354.27576707781</v>
      </c>
      <c r="K302" s="32" t="str">
        <f t="shared" si="129"/>
        <v>REV-048|MO</v>
      </c>
      <c r="L302" s="32">
        <f>COUNTIFS($K$2:K302,K302)</f>
        <v>2</v>
      </c>
      <c r="M302" s="32" t="str">
        <f t="shared" si="130"/>
        <v>REV-048|MO|2</v>
      </c>
      <c r="N302" s="121">
        <f>IFERROR(VLOOKUP(A302,PARTIDAS!A:F,6,FALSE()),0)</f>
        <v>35</v>
      </c>
      <c r="O302" s="123">
        <f t="shared" si="126"/>
        <v>5.7142857142857141E-2</v>
      </c>
      <c r="P302" s="123" t="str">
        <f>+_xlfn.XLOOKUP(A302,PPTO_GENERADOR!Q:Q,PPTO_GENERADOR!E:E,"-",0)</f>
        <v>-</v>
      </c>
      <c r="Q302" s="123">
        <f t="shared" si="127"/>
        <v>0</v>
      </c>
      <c r="R302" s="125" t="str">
        <f>+_xlfn.XLOOKUP(A302,PPTO_GENERADOR!$Q:$Q,PPTO_GENERADOR!A:A,"-",0)</f>
        <v>-</v>
      </c>
    </row>
    <row r="303" spans="1:18" ht="14.25" customHeight="1" x14ac:dyDescent="0.35">
      <c r="A303" s="105" t="s">
        <v>1833</v>
      </c>
      <c r="B303" s="105" t="s">
        <v>1981</v>
      </c>
      <c r="C303" s="105" t="s">
        <v>1982</v>
      </c>
      <c r="D303" s="105" t="s">
        <v>544</v>
      </c>
      <c r="E303" s="95" t="str">
        <f>IFERROR(VLOOKUP(D303,MATERIALES!A:B,2,FALSE()),"?")</f>
        <v>Aditivo Hidrofugo en pasta - Ceresita x 1kg</v>
      </c>
      <c r="F303" s="129">
        <f>IFERROR(VLOOKUP(D303,MATERIALES!A:C,3,FALSE()),"?")</f>
        <v>0</v>
      </c>
      <c r="G303" s="119">
        <v>0.5</v>
      </c>
      <c r="H303" s="120">
        <v>0.05</v>
      </c>
      <c r="I303" s="96">
        <f>IFERROR(VLOOKUP(D303,MATERIALES!A:D,4,FALSE()),0)</f>
        <v>1363.95</v>
      </c>
      <c r="J303" s="31">
        <f t="shared" ref="J303:J305" si="146">G303*I303*(1+H303)</f>
        <v>716.07375000000002</v>
      </c>
      <c r="K303" s="32" t="str">
        <f t="shared" si="129"/>
        <v>REV-049|MAT</v>
      </c>
      <c r="L303" s="32">
        <f>COUNTIFS($K$2:K303,K303)</f>
        <v>1</v>
      </c>
      <c r="M303" s="32" t="str">
        <f t="shared" si="130"/>
        <v>REV-049|MAT|1</v>
      </c>
      <c r="N303" s="121">
        <f>IFERROR(VLOOKUP(A303,PARTIDAS!A:F,6,FALSE()),0)</f>
        <v>15</v>
      </c>
      <c r="O303" s="123">
        <f t="shared" si="126"/>
        <v>0</v>
      </c>
      <c r="P303" s="123" t="str">
        <f>+_xlfn.XLOOKUP(A303,PPTO_GENERADOR!Q:Q,PPTO_GENERADOR!E:E,"-",0)</f>
        <v>-</v>
      </c>
      <c r="Q303" s="123">
        <f t="shared" si="127"/>
        <v>0</v>
      </c>
      <c r="R303" s="125" t="str">
        <f>+_xlfn.XLOOKUP(A303,PPTO_GENERADOR!$Q:$Q,PPTO_GENERADOR!A:A,"-",0)</f>
        <v>-</v>
      </c>
    </row>
    <row r="304" spans="1:18" ht="14.25" customHeight="1" x14ac:dyDescent="0.35">
      <c r="A304" s="105" t="s">
        <v>1833</v>
      </c>
      <c r="B304" s="105" t="s">
        <v>1981</v>
      </c>
      <c r="C304" s="105" t="s">
        <v>1982</v>
      </c>
      <c r="D304" s="105" t="s">
        <v>538</v>
      </c>
      <c r="E304" s="95" t="str">
        <f>IFERROR(VLOOKUP(D304,MATERIALES!A:B,2,FALSE()),"?")</f>
        <v>ARENA LAVADA</v>
      </c>
      <c r="F304" s="129">
        <f>IFERROR(VLOOKUP(D304,MATERIALES!A:C,3,FALSE()),"?")</f>
        <v>0</v>
      </c>
      <c r="G304" s="119">
        <v>0.03</v>
      </c>
      <c r="H304" s="120">
        <v>0.1</v>
      </c>
      <c r="I304" s="96">
        <f>IFERROR(VLOOKUP(D304,MATERIALES!A:D,4,FALSE()),0)</f>
        <v>32620.38</v>
      </c>
      <c r="J304" s="31">
        <f t="shared" si="146"/>
        <v>1076.47254</v>
      </c>
      <c r="K304" s="32" t="str">
        <f t="shared" si="129"/>
        <v>REV-049|MAT</v>
      </c>
      <c r="L304" s="32">
        <f>COUNTIFS($K$2:K304,K304)</f>
        <v>2</v>
      </c>
      <c r="M304" s="32" t="str">
        <f t="shared" si="130"/>
        <v>REV-049|MAT|2</v>
      </c>
      <c r="N304" s="121">
        <f>IFERROR(VLOOKUP(A304,PARTIDAS!A:F,6,FALSE()),0)</f>
        <v>15</v>
      </c>
      <c r="O304" s="123">
        <f t="shared" si="126"/>
        <v>0</v>
      </c>
      <c r="P304" s="123" t="str">
        <f>+_xlfn.XLOOKUP(A304,PPTO_GENERADOR!Q:Q,PPTO_GENERADOR!E:E,"-",0)</f>
        <v>-</v>
      </c>
      <c r="Q304" s="123">
        <f t="shared" si="127"/>
        <v>0</v>
      </c>
      <c r="R304" s="125" t="str">
        <f>+_xlfn.XLOOKUP(A304,PPTO_GENERADOR!$Q:$Q,PPTO_GENERADOR!A:A,"-",0)</f>
        <v>-</v>
      </c>
    </row>
    <row r="305" spans="1:18" ht="14.25" customHeight="1" x14ac:dyDescent="0.35">
      <c r="A305" s="105" t="s">
        <v>1833</v>
      </c>
      <c r="B305" s="105" t="s">
        <v>1981</v>
      </c>
      <c r="C305" s="105" t="s">
        <v>1982</v>
      </c>
      <c r="D305" s="105" t="s">
        <v>540</v>
      </c>
      <c r="E305" s="95" t="str">
        <f>IFERROR(VLOOKUP(D305,MATERIALES!A:B,2,FALSE()),"?")</f>
        <v>Cemento Portland x 50kg</v>
      </c>
      <c r="F305" s="129">
        <f>IFERROR(VLOOKUP(D305,MATERIALES!A:C,3,FALSE()),"?")</f>
        <v>0</v>
      </c>
      <c r="G305" s="119">
        <v>0.27</v>
      </c>
      <c r="H305" s="120">
        <v>0.1</v>
      </c>
      <c r="I305" s="96">
        <f>IFERROR(VLOOKUP(D305,MATERIALES!A:D,4,FALSE()),0)</f>
        <v>7891.74</v>
      </c>
      <c r="J305" s="31">
        <f t="shared" si="146"/>
        <v>2343.8467800000003</v>
      </c>
      <c r="K305" s="32" t="str">
        <f t="shared" si="129"/>
        <v>REV-049|MAT</v>
      </c>
      <c r="L305" s="32">
        <f>COUNTIFS($K$2:K305,K305)</f>
        <v>3</v>
      </c>
      <c r="M305" s="32" t="str">
        <f t="shared" si="130"/>
        <v>REV-049|MAT|3</v>
      </c>
      <c r="N305" s="121">
        <f>IFERROR(VLOOKUP(A305,PARTIDAS!A:F,6,FALSE()),0)</f>
        <v>15</v>
      </c>
      <c r="O305" s="123">
        <f t="shared" si="126"/>
        <v>0</v>
      </c>
      <c r="P305" s="123" t="str">
        <f>+_xlfn.XLOOKUP(A305,PPTO_GENERADOR!Q:Q,PPTO_GENERADOR!E:E,"-",0)</f>
        <v>-</v>
      </c>
      <c r="Q305" s="123">
        <f t="shared" si="127"/>
        <v>0</v>
      </c>
      <c r="R305" s="125" t="str">
        <f>+_xlfn.XLOOKUP(A305,PPTO_GENERADOR!$Q:$Q,PPTO_GENERADOR!A:A,"-",0)</f>
        <v>-</v>
      </c>
    </row>
    <row r="306" spans="1:18" ht="14.25" customHeight="1" x14ac:dyDescent="0.35">
      <c r="A306" s="105" t="s">
        <v>1833</v>
      </c>
      <c r="B306" s="105" t="s">
        <v>1983</v>
      </c>
      <c r="C306" s="105"/>
      <c r="D306" s="105" t="s">
        <v>1507</v>
      </c>
      <c r="E306" s="95" t="str">
        <f>IFERROR(VLOOKUP(D306,EQUIPOS!A:B,2,FALSE()),"?")</f>
        <v>Hormigonera De 150 Litros 1hp Con Rueda Maciza</v>
      </c>
      <c r="F306" s="129"/>
      <c r="G306" s="119">
        <v>1</v>
      </c>
      <c r="H306" s="120">
        <v>0</v>
      </c>
      <c r="I306" s="96">
        <f>IFERROR(VLOOKUP(D306,EQUIPOS!A:F,6,FALSE()),0)</f>
        <v>1040.4314486705237</v>
      </c>
      <c r="J306" s="31">
        <f t="shared" ref="J306:J307" si="147">G306*I306</f>
        <v>1040.4314486705237</v>
      </c>
      <c r="K306" s="32" t="str">
        <f t="shared" si="129"/>
        <v>REV-049|EQ</v>
      </c>
      <c r="L306" s="32">
        <f>COUNTIFS($K$2:K306,K306)</f>
        <v>1</v>
      </c>
      <c r="M306" s="32" t="str">
        <f t="shared" si="130"/>
        <v>REV-049|EQ|1</v>
      </c>
      <c r="N306" s="121">
        <f>IFERROR(VLOOKUP(A306,PARTIDAS!A:F,6,FALSE()),0)</f>
        <v>15</v>
      </c>
      <c r="O306" s="123">
        <f t="shared" si="126"/>
        <v>0</v>
      </c>
      <c r="P306" s="123" t="str">
        <f>+_xlfn.XLOOKUP(A306,PPTO_GENERADOR!Q:Q,PPTO_GENERADOR!E:E,"-",0)</f>
        <v>-</v>
      </c>
      <c r="Q306" s="123">
        <f t="shared" si="127"/>
        <v>0</v>
      </c>
      <c r="R306" s="125" t="str">
        <f>+_xlfn.XLOOKUP(A306,PPTO_GENERADOR!$Q:$Q,PPTO_GENERADOR!A:A,"-",0)</f>
        <v>-</v>
      </c>
    </row>
    <row r="307" spans="1:18" ht="14.25" customHeight="1" x14ac:dyDescent="0.35">
      <c r="A307" s="105" t="s">
        <v>1833</v>
      </c>
      <c r="B307" s="105" t="s">
        <v>1983</v>
      </c>
      <c r="C307" s="105"/>
      <c r="D307" s="105" t="s">
        <v>1319</v>
      </c>
      <c r="E307" s="95" t="str">
        <f>IFERROR(VLOOKUP(D307,EQUIPOS!A:B,2,FALSE()),"?")</f>
        <v>EQUIPO DE ALBAÑILERIA, carpetas, ladrillo</v>
      </c>
      <c r="F307" s="129"/>
      <c r="G307" s="119">
        <v>1</v>
      </c>
      <c r="H307" s="120">
        <v>0</v>
      </c>
      <c r="I307" s="96">
        <f>IFERROR(VLOOKUP(D307,EQUIPOS!A:F,6,FALSE()),0)</f>
        <v>2485.8709964593982</v>
      </c>
      <c r="J307" s="31">
        <f t="shared" si="147"/>
        <v>2485.8709964593982</v>
      </c>
      <c r="K307" s="32" t="str">
        <f t="shared" si="129"/>
        <v>REV-049|EQ</v>
      </c>
      <c r="L307" s="32">
        <f>COUNTIFS($K$2:K307,K307)</f>
        <v>2</v>
      </c>
      <c r="M307" s="32" t="str">
        <f t="shared" si="130"/>
        <v>REV-049|EQ|2</v>
      </c>
      <c r="N307" s="121">
        <f>IFERROR(VLOOKUP(A307,PARTIDAS!A:F,6,FALSE()),0)</f>
        <v>15</v>
      </c>
      <c r="O307" s="123">
        <f t="shared" si="126"/>
        <v>0</v>
      </c>
      <c r="P307" s="123" t="str">
        <f>+_xlfn.XLOOKUP(A307,PPTO_GENERADOR!Q:Q,PPTO_GENERADOR!E:E,"-",0)</f>
        <v>-</v>
      </c>
      <c r="Q307" s="123">
        <f t="shared" si="127"/>
        <v>0</v>
      </c>
      <c r="R307" s="125" t="str">
        <f>+_xlfn.XLOOKUP(A307,PPTO_GENERADOR!$Q:$Q,PPTO_GENERADOR!A:A,"-",0)</f>
        <v>-</v>
      </c>
    </row>
    <row r="308" spans="1:18" ht="14.25" customHeight="1" x14ac:dyDescent="0.35">
      <c r="A308" s="105" t="s">
        <v>1833</v>
      </c>
      <c r="B308" s="105" t="s">
        <v>1979</v>
      </c>
      <c r="C308" s="105" t="s">
        <v>1980</v>
      </c>
      <c r="D308" s="105" t="s">
        <v>1292</v>
      </c>
      <c r="E308" s="95" t="str">
        <f>IFERROR(VLOOKUP(D308,MANO_DE_OBRA!A:B,2,FALSE()),"?")</f>
        <v>ESPECIALIZADO</v>
      </c>
      <c r="F308" s="129" t="s">
        <v>2042</v>
      </c>
      <c r="G308" s="119">
        <v>1</v>
      </c>
      <c r="H308" s="120">
        <v>0</v>
      </c>
      <c r="I308" s="96">
        <f>IFERROR(VLOOKUP(D308,MANO_DE_OBRA!A:C,3,FALSE()),0)</f>
        <v>94177.137883538904</v>
      </c>
      <c r="J308" s="31">
        <f t="shared" ref="J308:J309" si="148">G308*I308</f>
        <v>94177.137883538904</v>
      </c>
      <c r="K308" s="32" t="str">
        <f t="shared" si="129"/>
        <v>REV-049|MO</v>
      </c>
      <c r="L308" s="32">
        <f>COUNTIFS($K$2:K308,K308)</f>
        <v>1</v>
      </c>
      <c r="M308" s="32" t="str">
        <f t="shared" si="130"/>
        <v>REV-049|MO|1</v>
      </c>
      <c r="N308" s="121">
        <f>IFERROR(VLOOKUP(A308,PARTIDAS!A:F,6,FALSE()),0)</f>
        <v>15</v>
      </c>
      <c r="O308" s="123">
        <f t="shared" si="126"/>
        <v>6.6666666666666666E-2</v>
      </c>
      <c r="P308" s="123" t="str">
        <f>+_xlfn.XLOOKUP(A308,PPTO_GENERADOR!Q:Q,PPTO_GENERADOR!E:E,"-",0)</f>
        <v>-</v>
      </c>
      <c r="Q308" s="123">
        <f t="shared" si="127"/>
        <v>0</v>
      </c>
      <c r="R308" s="125" t="str">
        <f>+_xlfn.XLOOKUP(A308,PPTO_GENERADOR!$Q:$Q,PPTO_GENERADOR!A:A,"-",0)</f>
        <v>-</v>
      </c>
    </row>
    <row r="309" spans="1:18" ht="14.25" customHeight="1" x14ac:dyDescent="0.35">
      <c r="A309" s="105" t="s">
        <v>1833</v>
      </c>
      <c r="B309" s="105" t="s">
        <v>1979</v>
      </c>
      <c r="C309" s="105" t="s">
        <v>1980</v>
      </c>
      <c r="D309" s="105" t="s">
        <v>2038</v>
      </c>
      <c r="E309" s="95" t="str">
        <f>IFERROR(VLOOKUP(D309,MANO_DE_OBRA!A:B,2,FALSE()),"?")</f>
        <v>AYUDANTE</v>
      </c>
      <c r="F309" s="129" t="s">
        <v>2042</v>
      </c>
      <c r="G309" s="119">
        <v>0.45</v>
      </c>
      <c r="H309" s="120">
        <v>0</v>
      </c>
      <c r="I309" s="96">
        <f>IFERROR(VLOOKUP(D309,MANO_DE_OBRA!A:C,3,FALSE()),0)</f>
        <v>67240.498860267602</v>
      </c>
      <c r="J309" s="31">
        <f t="shared" si="148"/>
        <v>30258.22448712042</v>
      </c>
      <c r="K309" s="32" t="str">
        <f t="shared" si="129"/>
        <v>REV-049|MO</v>
      </c>
      <c r="L309" s="32">
        <f>COUNTIFS($K$2:K309,K309)</f>
        <v>2</v>
      </c>
      <c r="M309" s="32" t="str">
        <f t="shared" si="130"/>
        <v>REV-049|MO|2</v>
      </c>
      <c r="N309" s="121">
        <f>IFERROR(VLOOKUP(A309,PARTIDAS!A:F,6,FALSE()),0)</f>
        <v>15</v>
      </c>
      <c r="O309" s="123">
        <f t="shared" si="126"/>
        <v>3.0000000000000002E-2</v>
      </c>
      <c r="P309" s="123" t="str">
        <f>+_xlfn.XLOOKUP(A309,PPTO_GENERADOR!Q:Q,PPTO_GENERADOR!E:E,"-",0)</f>
        <v>-</v>
      </c>
      <c r="Q309" s="123">
        <f t="shared" si="127"/>
        <v>0</v>
      </c>
      <c r="R309" s="125" t="str">
        <f>+_xlfn.XLOOKUP(A309,PPTO_GENERADOR!$Q:$Q,PPTO_GENERADOR!A:A,"-",0)</f>
        <v>-</v>
      </c>
    </row>
    <row r="310" spans="1:18" ht="14.25" customHeight="1" x14ac:dyDescent="0.35">
      <c r="A310" s="105" t="s">
        <v>1836</v>
      </c>
      <c r="B310" s="105" t="s">
        <v>1981</v>
      </c>
      <c r="C310" s="105" t="s">
        <v>1982</v>
      </c>
      <c r="D310" s="105" t="s">
        <v>540</v>
      </c>
      <c r="E310" s="95" t="str">
        <f>IFERROR(VLOOKUP(D310,MATERIALES!A:B,2,FALSE()),"?")</f>
        <v>Cemento Portland x 50kg</v>
      </c>
      <c r="F310" s="129">
        <f>IFERROR(VLOOKUP(D310,MATERIALES!A:C,3,FALSE()),"?")</f>
        <v>0</v>
      </c>
      <c r="G310" s="119">
        <v>0.32400000000000001</v>
      </c>
      <c r="H310" s="120">
        <v>0.1</v>
      </c>
      <c r="I310" s="96">
        <f>IFERROR(VLOOKUP(D310,MATERIALES!A:D,4,FALSE()),0)</f>
        <v>7891.74</v>
      </c>
      <c r="J310" s="31">
        <f t="shared" ref="J310:J311" si="149">G310*I310*(1+H310)</f>
        <v>2812.6161360000006</v>
      </c>
      <c r="K310" s="32" t="str">
        <f t="shared" si="129"/>
        <v>CON-050|MAT</v>
      </c>
      <c r="L310" s="32">
        <f>COUNTIFS($K$2:K310,K310)</f>
        <v>1</v>
      </c>
      <c r="M310" s="32" t="str">
        <f t="shared" si="130"/>
        <v>CON-050|MAT|1</v>
      </c>
      <c r="N310" s="121">
        <f>IFERROR(VLOOKUP(A310,PARTIDAS!A:F,6,FALSE()),0)</f>
        <v>11.5</v>
      </c>
      <c r="O310" s="123">
        <f t="shared" si="126"/>
        <v>0</v>
      </c>
      <c r="P310" s="123" t="str">
        <f>+_xlfn.XLOOKUP(A310,PPTO_GENERADOR!Q:Q,PPTO_GENERADOR!E:E,"-",0)</f>
        <v>-</v>
      </c>
      <c r="Q310" s="123">
        <f t="shared" si="127"/>
        <v>0</v>
      </c>
      <c r="R310" s="125" t="str">
        <f>+_xlfn.XLOOKUP(A310,PPTO_GENERADOR!$Q:$Q,PPTO_GENERADOR!A:A,"-",0)</f>
        <v>-</v>
      </c>
    </row>
    <row r="311" spans="1:18" ht="14.25" customHeight="1" x14ac:dyDescent="0.35">
      <c r="A311" s="105" t="s">
        <v>1836</v>
      </c>
      <c r="B311" s="105" t="s">
        <v>1981</v>
      </c>
      <c r="C311" s="105" t="s">
        <v>1982</v>
      </c>
      <c r="D311" s="105" t="s">
        <v>538</v>
      </c>
      <c r="E311" s="95" t="str">
        <f>IFERROR(VLOOKUP(D311,MATERIALES!A:B,2,FALSE()),"?")</f>
        <v>ARENA LAVADA</v>
      </c>
      <c r="F311" s="129">
        <f>IFERROR(VLOOKUP(D311,MATERIALES!A:C,3,FALSE()),"?")</f>
        <v>0</v>
      </c>
      <c r="G311" s="119">
        <v>3.5999999999999997E-2</v>
      </c>
      <c r="H311" s="120">
        <v>0.1</v>
      </c>
      <c r="I311" s="96">
        <f>IFERROR(VLOOKUP(D311,MATERIALES!A:D,4,FALSE()),0)</f>
        <v>32620.38</v>
      </c>
      <c r="J311" s="31">
        <f t="shared" si="149"/>
        <v>1291.7670480000002</v>
      </c>
      <c r="K311" s="32" t="str">
        <f t="shared" si="129"/>
        <v>CON-050|MAT</v>
      </c>
      <c r="L311" s="32">
        <f>COUNTIFS($K$2:K311,K311)</f>
        <v>2</v>
      </c>
      <c r="M311" s="32" t="str">
        <f t="shared" si="130"/>
        <v>CON-050|MAT|2</v>
      </c>
      <c r="N311" s="121">
        <f>IFERROR(VLOOKUP(A311,PARTIDAS!A:F,6,FALSE()),0)</f>
        <v>11.5</v>
      </c>
      <c r="O311" s="123">
        <f t="shared" si="126"/>
        <v>0</v>
      </c>
      <c r="P311" s="123" t="str">
        <f>+_xlfn.XLOOKUP(A311,PPTO_GENERADOR!Q:Q,PPTO_GENERADOR!E:E,"-",0)</f>
        <v>-</v>
      </c>
      <c r="Q311" s="123">
        <f t="shared" si="127"/>
        <v>0</v>
      </c>
      <c r="R311" s="125" t="str">
        <f>+_xlfn.XLOOKUP(A311,PPTO_GENERADOR!$Q:$Q,PPTO_GENERADOR!A:A,"-",0)</f>
        <v>-</v>
      </c>
    </row>
    <row r="312" spans="1:18" ht="14.25" customHeight="1" x14ac:dyDescent="0.35">
      <c r="A312" s="105" t="s">
        <v>1836</v>
      </c>
      <c r="B312" s="105" t="s">
        <v>1983</v>
      </c>
      <c r="C312" s="105"/>
      <c r="D312" s="105" t="s">
        <v>1507</v>
      </c>
      <c r="E312" s="95" t="str">
        <f>IFERROR(VLOOKUP(D312,EQUIPOS!A:B,2,FALSE()),"?")</f>
        <v>Hormigonera De 150 Litros 1hp Con Rueda Maciza</v>
      </c>
      <c r="F312" s="129"/>
      <c r="G312" s="119">
        <v>1</v>
      </c>
      <c r="H312" s="120">
        <v>0</v>
      </c>
      <c r="I312" s="96">
        <f>IFERROR(VLOOKUP(D312,EQUIPOS!A:F,6,FALSE()),0)</f>
        <v>1040.4314486705237</v>
      </c>
      <c r="J312" s="31">
        <f t="shared" ref="J312:J313" si="150">G312*I312</f>
        <v>1040.4314486705237</v>
      </c>
      <c r="K312" s="32" t="str">
        <f t="shared" si="129"/>
        <v>CON-050|EQ</v>
      </c>
      <c r="L312" s="32">
        <f>COUNTIFS($K$2:K312,K312)</f>
        <v>1</v>
      </c>
      <c r="M312" s="32" t="str">
        <f t="shared" si="130"/>
        <v>CON-050|EQ|1</v>
      </c>
      <c r="N312" s="121">
        <f>IFERROR(VLOOKUP(A312,PARTIDAS!A:F,6,FALSE()),0)</f>
        <v>11.5</v>
      </c>
      <c r="O312" s="123">
        <f t="shared" si="126"/>
        <v>0</v>
      </c>
      <c r="P312" s="123" t="str">
        <f>+_xlfn.XLOOKUP(A312,PPTO_GENERADOR!Q:Q,PPTO_GENERADOR!E:E,"-",0)</f>
        <v>-</v>
      </c>
      <c r="Q312" s="123">
        <f t="shared" si="127"/>
        <v>0</v>
      </c>
      <c r="R312" s="125" t="str">
        <f>+_xlfn.XLOOKUP(A312,PPTO_GENERADOR!$Q:$Q,PPTO_GENERADOR!A:A,"-",0)</f>
        <v>-</v>
      </c>
    </row>
    <row r="313" spans="1:18" ht="14.25" customHeight="1" x14ac:dyDescent="0.35">
      <c r="A313" s="105" t="s">
        <v>1836</v>
      </c>
      <c r="B313" s="105" t="s">
        <v>1983</v>
      </c>
      <c r="C313" s="105"/>
      <c r="D313" s="105" t="s">
        <v>1319</v>
      </c>
      <c r="E313" s="95" t="str">
        <f>IFERROR(VLOOKUP(D313,EQUIPOS!A:B,2,FALSE()),"?")</f>
        <v>EQUIPO DE ALBAÑILERIA, carpetas, ladrillo</v>
      </c>
      <c r="F313" s="129"/>
      <c r="G313" s="119">
        <v>1</v>
      </c>
      <c r="H313" s="120">
        <v>0</v>
      </c>
      <c r="I313" s="96">
        <f>IFERROR(VLOOKUP(D313,EQUIPOS!A:F,6,FALSE()),0)</f>
        <v>2485.8709964593982</v>
      </c>
      <c r="J313" s="31">
        <f t="shared" si="150"/>
        <v>2485.8709964593982</v>
      </c>
      <c r="K313" s="32" t="str">
        <f t="shared" si="129"/>
        <v>CON-050|EQ</v>
      </c>
      <c r="L313" s="32">
        <f>COUNTIFS($K$2:K313,K313)</f>
        <v>2</v>
      </c>
      <c r="M313" s="32" t="str">
        <f t="shared" si="130"/>
        <v>CON-050|EQ|2</v>
      </c>
      <c r="N313" s="121">
        <f>IFERROR(VLOOKUP(A313,PARTIDAS!A:F,6,FALSE()),0)</f>
        <v>11.5</v>
      </c>
      <c r="O313" s="123">
        <f t="shared" si="126"/>
        <v>0</v>
      </c>
      <c r="P313" s="123" t="str">
        <f>+_xlfn.XLOOKUP(A313,PPTO_GENERADOR!Q:Q,PPTO_GENERADOR!E:E,"-",0)</f>
        <v>-</v>
      </c>
      <c r="Q313" s="123">
        <f t="shared" si="127"/>
        <v>0</v>
      </c>
      <c r="R313" s="125" t="str">
        <f>+_xlfn.XLOOKUP(A313,PPTO_GENERADOR!$Q:$Q,PPTO_GENERADOR!A:A,"-",0)</f>
        <v>-</v>
      </c>
    </row>
    <row r="314" spans="1:18" ht="14.25" customHeight="1" x14ac:dyDescent="0.35">
      <c r="A314" s="105" t="s">
        <v>1836</v>
      </c>
      <c r="B314" s="105" t="s">
        <v>1979</v>
      </c>
      <c r="C314" s="105" t="s">
        <v>1980</v>
      </c>
      <c r="D314" s="105" t="s">
        <v>2038</v>
      </c>
      <c r="E314" s="95" t="str">
        <f>IFERROR(VLOOKUP(D314,MANO_DE_OBRA!A:B,2,FALSE()),"?")</f>
        <v>AYUDANTE</v>
      </c>
      <c r="F314" s="129" t="s">
        <v>2042</v>
      </c>
      <c r="G314" s="119">
        <v>0.5</v>
      </c>
      <c r="H314" s="120">
        <v>0</v>
      </c>
      <c r="I314" s="96">
        <f>IFERROR(VLOOKUP(D314,MANO_DE_OBRA!A:C,3,FALSE()),0)</f>
        <v>67240.498860267602</v>
      </c>
      <c r="J314" s="31">
        <f t="shared" ref="J314:J315" si="151">G314*I314</f>
        <v>33620.249430133801</v>
      </c>
      <c r="K314" s="32" t="str">
        <f t="shared" si="129"/>
        <v>CON-050|MO</v>
      </c>
      <c r="L314" s="32">
        <f>COUNTIFS($K$2:K314,K314)</f>
        <v>1</v>
      </c>
      <c r="M314" s="32" t="str">
        <f t="shared" si="130"/>
        <v>CON-050|MO|1</v>
      </c>
      <c r="N314" s="121">
        <f>IFERROR(VLOOKUP(A314,PARTIDAS!A:F,6,FALSE()),0)</f>
        <v>11.5</v>
      </c>
      <c r="O314" s="123">
        <f t="shared" si="126"/>
        <v>4.3478260869565216E-2</v>
      </c>
      <c r="P314" s="123" t="str">
        <f>+_xlfn.XLOOKUP(A314,PPTO_GENERADOR!Q:Q,PPTO_GENERADOR!E:E,"-",0)</f>
        <v>-</v>
      </c>
      <c r="Q314" s="123">
        <f t="shared" si="127"/>
        <v>0</v>
      </c>
      <c r="R314" s="125" t="str">
        <f>+_xlfn.XLOOKUP(A314,PPTO_GENERADOR!$Q:$Q,PPTO_GENERADOR!A:A,"-",0)</f>
        <v>-</v>
      </c>
    </row>
    <row r="315" spans="1:18" ht="14.25" customHeight="1" x14ac:dyDescent="0.35">
      <c r="A315" s="105" t="s">
        <v>1836</v>
      </c>
      <c r="B315" s="105" t="s">
        <v>1979</v>
      </c>
      <c r="C315" s="105" t="s">
        <v>1980</v>
      </c>
      <c r="D315" s="105" t="s">
        <v>1292</v>
      </c>
      <c r="E315" s="95" t="str">
        <f>IFERROR(VLOOKUP(D315,MANO_DE_OBRA!A:B,2,FALSE()),"?")</f>
        <v>ESPECIALIZADO</v>
      </c>
      <c r="F315" s="129" t="s">
        <v>2042</v>
      </c>
      <c r="G315" s="119">
        <v>1</v>
      </c>
      <c r="H315" s="120">
        <v>0</v>
      </c>
      <c r="I315" s="96">
        <f>IFERROR(VLOOKUP(D315,MANO_DE_OBRA!A:C,3,FALSE()),0)</f>
        <v>94177.137883538904</v>
      </c>
      <c r="J315" s="31">
        <f t="shared" si="151"/>
        <v>94177.137883538904</v>
      </c>
      <c r="K315" s="32" t="str">
        <f t="shared" si="129"/>
        <v>CON-050|MO</v>
      </c>
      <c r="L315" s="32">
        <f>COUNTIFS($K$2:K315,K315)</f>
        <v>2</v>
      </c>
      <c r="M315" s="32" t="str">
        <f t="shared" si="130"/>
        <v>CON-050|MO|2</v>
      </c>
      <c r="N315" s="121">
        <f>IFERROR(VLOOKUP(A315,PARTIDAS!A:F,6,FALSE()),0)</f>
        <v>11.5</v>
      </c>
      <c r="O315" s="123">
        <f t="shared" si="126"/>
        <v>8.6956521739130432E-2</v>
      </c>
      <c r="P315" s="123" t="str">
        <f>+_xlfn.XLOOKUP(A315,PPTO_GENERADOR!Q:Q,PPTO_GENERADOR!E:E,"-",0)</f>
        <v>-</v>
      </c>
      <c r="Q315" s="123">
        <f t="shared" si="127"/>
        <v>0</v>
      </c>
      <c r="R315" s="125" t="str">
        <f>+_xlfn.XLOOKUP(A315,PPTO_GENERADOR!$Q:$Q,PPTO_GENERADOR!A:A,"-",0)</f>
        <v>-</v>
      </c>
    </row>
    <row r="316" spans="1:18" ht="14.25" customHeight="1" x14ac:dyDescent="0.35">
      <c r="A316" s="105" t="s">
        <v>1839</v>
      </c>
      <c r="B316" s="105" t="s">
        <v>1981</v>
      </c>
      <c r="C316" s="105" t="s">
        <v>1982</v>
      </c>
      <c r="D316" s="105" t="s">
        <v>588</v>
      </c>
      <c r="E316" s="95" t="str">
        <f>IFERROR(VLOOKUP(D316,MATERIALES!A:B,2,FALSE()),"?")</f>
        <v>Fijador al agua x 20 lts</v>
      </c>
      <c r="F316" s="129">
        <f>IFERROR(VLOOKUP(D316,MATERIALES!A:C,3,FALSE()),"?")</f>
        <v>0</v>
      </c>
      <c r="G316" s="119">
        <v>4.0000000000000001E-3</v>
      </c>
      <c r="H316" s="120">
        <v>0.05</v>
      </c>
      <c r="I316" s="96">
        <f>IFERROR(VLOOKUP(D316,MATERIALES!A:D,4,FALSE()),0)</f>
        <v>42552.892561983499</v>
      </c>
      <c r="J316" s="31">
        <f t="shared" ref="J316:J323" si="152">G316*I316*(1+H316)</f>
        <v>178.7221487603307</v>
      </c>
      <c r="K316" s="32" t="str">
        <f t="shared" si="129"/>
        <v>CON-051|MAT</v>
      </c>
      <c r="L316" s="32">
        <f>COUNTIFS($K$2:K316,K316)</f>
        <v>1</v>
      </c>
      <c r="M316" s="32" t="str">
        <f t="shared" si="130"/>
        <v>CON-051|MAT|1</v>
      </c>
      <c r="N316" s="121">
        <f>IFERROR(VLOOKUP(A316,PARTIDAS!A:F,6,FALSE()),0)</f>
        <v>22</v>
      </c>
      <c r="O316" s="123">
        <f t="shared" si="126"/>
        <v>0</v>
      </c>
      <c r="P316" s="123" t="str">
        <f>+_xlfn.XLOOKUP(A316,PPTO_GENERADOR!Q:Q,PPTO_GENERADOR!E:E,"-",0)</f>
        <v>-</v>
      </c>
      <c r="Q316" s="123">
        <f t="shared" si="127"/>
        <v>0</v>
      </c>
      <c r="R316" s="125" t="str">
        <f>+_xlfn.XLOOKUP(A316,PPTO_GENERADOR!$Q:$Q,PPTO_GENERADOR!A:A,"-",0)</f>
        <v>-</v>
      </c>
    </row>
    <row r="317" spans="1:18" ht="14.25" customHeight="1" x14ac:dyDescent="0.35">
      <c r="A317" s="105" t="s">
        <v>1839</v>
      </c>
      <c r="B317" s="105" t="s">
        <v>1981</v>
      </c>
      <c r="C317" s="105" t="s">
        <v>1982</v>
      </c>
      <c r="D317" s="105" t="s">
        <v>580</v>
      </c>
      <c r="E317" s="95" t="str">
        <f>IFERROR(VLOOKUP(D317,MATERIALES!A:B,2,FALSE()),"?")</f>
        <v>Enduido Interior x 20lts</v>
      </c>
      <c r="F317" s="129">
        <f>IFERROR(VLOOKUP(D317,MATERIALES!A:C,3,FALSE()),"?")</f>
        <v>0</v>
      </c>
      <c r="G317" s="119">
        <v>0.03</v>
      </c>
      <c r="H317" s="120">
        <v>0.1</v>
      </c>
      <c r="I317" s="96">
        <f>IFERROR(VLOOKUP(D317,MATERIALES!A:D,4,FALSE()),0)</f>
        <v>41314.049586776899</v>
      </c>
      <c r="J317" s="31">
        <f t="shared" si="152"/>
        <v>1363.3636363636379</v>
      </c>
      <c r="K317" s="32" t="str">
        <f t="shared" si="129"/>
        <v>CON-051|MAT</v>
      </c>
      <c r="L317" s="32">
        <f>COUNTIFS($K$2:K317,K317)</f>
        <v>2</v>
      </c>
      <c r="M317" s="32" t="str">
        <f t="shared" si="130"/>
        <v>CON-051|MAT|2</v>
      </c>
      <c r="N317" s="121">
        <f>IFERROR(VLOOKUP(A317,PARTIDAS!A:F,6,FALSE()),0)</f>
        <v>22</v>
      </c>
      <c r="O317" s="123">
        <f t="shared" si="126"/>
        <v>0</v>
      </c>
      <c r="P317" s="123" t="str">
        <f>+_xlfn.XLOOKUP(A317,PPTO_GENERADOR!Q:Q,PPTO_GENERADOR!E:E,"-",0)</f>
        <v>-</v>
      </c>
      <c r="Q317" s="123">
        <f t="shared" si="127"/>
        <v>0</v>
      </c>
      <c r="R317" s="125" t="str">
        <f>+_xlfn.XLOOKUP(A317,PPTO_GENERADOR!$Q:$Q,PPTO_GENERADOR!A:A,"-",0)</f>
        <v>-</v>
      </c>
    </row>
    <row r="318" spans="1:18" ht="14.25" customHeight="1" x14ac:dyDescent="0.35">
      <c r="A318" s="105" t="s">
        <v>1839</v>
      </c>
      <c r="B318" s="105" t="s">
        <v>1981</v>
      </c>
      <c r="C318" s="105" t="s">
        <v>1982</v>
      </c>
      <c r="D318" s="105" t="s">
        <v>578</v>
      </c>
      <c r="E318" s="95" t="str">
        <f>IFERROR(VLOOKUP(D318,MATERIALES!A:B,2,FALSE()),"?")</f>
        <v>Latex Loxon Interior Sherwin Williams Mate Bco x 20lts</v>
      </c>
      <c r="F318" s="129">
        <f>IFERROR(VLOOKUP(D318,MATERIALES!A:C,3,FALSE()),"?")</f>
        <v>0</v>
      </c>
      <c r="G318" s="119">
        <v>1.2500000000000001E-2</v>
      </c>
      <c r="H318" s="120">
        <v>0.1</v>
      </c>
      <c r="I318" s="96">
        <f>IFERROR(VLOOKUP(D318,MATERIALES!A:D,4,FALSE()),0)</f>
        <v>143389.25619834699</v>
      </c>
      <c r="J318" s="31">
        <f t="shared" si="152"/>
        <v>1971.6022727272714</v>
      </c>
      <c r="K318" s="32" t="str">
        <f t="shared" si="129"/>
        <v>CON-051|MAT</v>
      </c>
      <c r="L318" s="32">
        <f>COUNTIFS($K$2:K318,K318)</f>
        <v>3</v>
      </c>
      <c r="M318" s="32" t="str">
        <f t="shared" si="130"/>
        <v>CON-051|MAT|3</v>
      </c>
      <c r="N318" s="121">
        <f>IFERROR(VLOOKUP(A318,PARTIDAS!A:F,6,FALSE()),0)</f>
        <v>22</v>
      </c>
      <c r="O318" s="123">
        <f t="shared" si="126"/>
        <v>0</v>
      </c>
      <c r="P318" s="123" t="str">
        <f>+_xlfn.XLOOKUP(A318,PPTO_GENERADOR!Q:Q,PPTO_GENERADOR!E:E,"-",0)</f>
        <v>-</v>
      </c>
      <c r="Q318" s="123">
        <f t="shared" si="127"/>
        <v>0</v>
      </c>
      <c r="R318" s="125" t="str">
        <f>+_xlfn.XLOOKUP(A318,PPTO_GENERADOR!$Q:$Q,PPTO_GENERADOR!A:A,"-",0)</f>
        <v>-</v>
      </c>
    </row>
    <row r="319" spans="1:18" ht="14.25" customHeight="1" x14ac:dyDescent="0.35">
      <c r="A319" s="105" t="s">
        <v>1839</v>
      </c>
      <c r="B319" s="105" t="s">
        <v>1981</v>
      </c>
      <c r="C319" s="105" t="s">
        <v>1982</v>
      </c>
      <c r="D319" s="105" t="s">
        <v>590</v>
      </c>
      <c r="E319" s="95" t="str">
        <f>IFERROR(VLOOKUP(D319,MATERIALES!A:B,2,FALSE()),"?")</f>
        <v>Yeso Tuyango x 30kg</v>
      </c>
      <c r="F319" s="129">
        <f>IFERROR(VLOOKUP(D319,MATERIALES!A:C,3,FALSE()),"?")</f>
        <v>0</v>
      </c>
      <c r="G319" s="119">
        <v>2.5000000000000001E-3</v>
      </c>
      <c r="H319" s="120">
        <v>0.05</v>
      </c>
      <c r="I319" s="96">
        <f>IFERROR(VLOOKUP(D319,MATERIALES!A:D,4,FALSE()),0)</f>
        <v>9927.59</v>
      </c>
      <c r="J319" s="31">
        <f t="shared" si="152"/>
        <v>26.059923750000003</v>
      </c>
      <c r="K319" s="32" t="str">
        <f t="shared" si="129"/>
        <v>CON-051|MAT</v>
      </c>
      <c r="L319" s="32">
        <f>COUNTIFS($K$2:K319,K319)</f>
        <v>4</v>
      </c>
      <c r="M319" s="32" t="str">
        <f t="shared" si="130"/>
        <v>CON-051|MAT|4</v>
      </c>
      <c r="N319" s="121">
        <f>IFERROR(VLOOKUP(A319,PARTIDAS!A:F,6,FALSE()),0)</f>
        <v>22</v>
      </c>
      <c r="O319" s="123">
        <f t="shared" si="126"/>
        <v>0</v>
      </c>
      <c r="P319" s="123" t="str">
        <f>+_xlfn.XLOOKUP(A319,PPTO_GENERADOR!Q:Q,PPTO_GENERADOR!E:E,"-",0)</f>
        <v>-</v>
      </c>
      <c r="Q319" s="123">
        <f t="shared" si="127"/>
        <v>0</v>
      </c>
      <c r="R319" s="125" t="str">
        <f>+_xlfn.XLOOKUP(A319,PPTO_GENERADOR!$Q:$Q,PPTO_GENERADOR!A:A,"-",0)</f>
        <v>-</v>
      </c>
    </row>
    <row r="320" spans="1:18" ht="14.25" customHeight="1" x14ac:dyDescent="0.35">
      <c r="A320" s="105" t="s">
        <v>1839</v>
      </c>
      <c r="B320" s="105" t="s">
        <v>1981</v>
      </c>
      <c r="C320" s="105" t="s">
        <v>1982</v>
      </c>
      <c r="D320" s="105" t="s">
        <v>586</v>
      </c>
      <c r="E320" s="95" t="str">
        <f>IFERROR(VLOOKUP(D320,MATERIALES!A:B,2,FALSE()),"?")</f>
        <v>Trapo</v>
      </c>
      <c r="F320" s="129">
        <f>IFERROR(VLOOKUP(D320,MATERIALES!A:C,3,FALSE()),"?")</f>
        <v>0</v>
      </c>
      <c r="G320" s="119">
        <v>0.03</v>
      </c>
      <c r="H320" s="120">
        <v>0.05</v>
      </c>
      <c r="I320" s="96">
        <f>IFERROR(VLOOKUP(D320,MATERIALES!A:D,4,FALSE()),0)</f>
        <v>1182.6446280991699</v>
      </c>
      <c r="J320" s="31">
        <f t="shared" si="152"/>
        <v>37.25330578512385</v>
      </c>
      <c r="K320" s="32" t="str">
        <f t="shared" si="129"/>
        <v>CON-051|MAT</v>
      </c>
      <c r="L320" s="32">
        <f>COUNTIFS($K$2:K320,K320)</f>
        <v>5</v>
      </c>
      <c r="M320" s="32" t="str">
        <f t="shared" si="130"/>
        <v>CON-051|MAT|5</v>
      </c>
      <c r="N320" s="121">
        <f>IFERROR(VLOOKUP(A320,PARTIDAS!A:F,6,FALSE()),0)</f>
        <v>22</v>
      </c>
      <c r="O320" s="123">
        <f t="shared" si="126"/>
        <v>0</v>
      </c>
      <c r="P320" s="123" t="str">
        <f>+_xlfn.XLOOKUP(A320,PPTO_GENERADOR!Q:Q,PPTO_GENERADOR!E:E,"-",0)</f>
        <v>-</v>
      </c>
      <c r="Q320" s="123">
        <f t="shared" si="127"/>
        <v>0</v>
      </c>
      <c r="R320" s="125" t="str">
        <f>+_xlfn.XLOOKUP(A320,PPTO_GENERADOR!$Q:$Q,PPTO_GENERADOR!A:A,"-",0)</f>
        <v>-</v>
      </c>
    </row>
    <row r="321" spans="1:18" ht="14.25" customHeight="1" x14ac:dyDescent="0.35">
      <c r="A321" s="105" t="s">
        <v>1839</v>
      </c>
      <c r="B321" s="105" t="s">
        <v>1981</v>
      </c>
      <c r="C321" s="105" t="s">
        <v>1982</v>
      </c>
      <c r="D321" s="105" t="s">
        <v>584</v>
      </c>
      <c r="E321" s="95" t="str">
        <f>IFERROR(VLOOKUP(D321,MATERIALES!A:B,2,FALSE()),"?")</f>
        <v>Cinta de Papel 36 mm x 40m</v>
      </c>
      <c r="F321" s="129">
        <f>IFERROR(VLOOKUP(D321,MATERIALES!A:C,3,FALSE()),"?")</f>
        <v>0</v>
      </c>
      <c r="G321" s="119">
        <v>0.05</v>
      </c>
      <c r="H321" s="120">
        <v>0.1</v>
      </c>
      <c r="I321" s="96">
        <f>IFERROR(VLOOKUP(D321,MATERIALES!A:D,4,FALSE()),0)</f>
        <v>5885.9504132231395</v>
      </c>
      <c r="J321" s="31">
        <f t="shared" si="152"/>
        <v>323.72727272727269</v>
      </c>
      <c r="K321" s="32" t="str">
        <f t="shared" si="129"/>
        <v>CON-051|MAT</v>
      </c>
      <c r="L321" s="32">
        <f>COUNTIFS($K$2:K321,K321)</f>
        <v>6</v>
      </c>
      <c r="M321" s="32" t="str">
        <f t="shared" si="130"/>
        <v>CON-051|MAT|6</v>
      </c>
      <c r="N321" s="121">
        <f>IFERROR(VLOOKUP(A321,PARTIDAS!A:F,6,FALSE()),0)</f>
        <v>22</v>
      </c>
      <c r="O321" s="123">
        <f t="shared" si="126"/>
        <v>0</v>
      </c>
      <c r="P321" s="123" t="str">
        <f>+_xlfn.XLOOKUP(A321,PPTO_GENERADOR!Q:Q,PPTO_GENERADOR!E:E,"-",0)</f>
        <v>-</v>
      </c>
      <c r="Q321" s="123">
        <f t="shared" si="127"/>
        <v>0</v>
      </c>
      <c r="R321" s="125" t="str">
        <f>+_xlfn.XLOOKUP(A321,PPTO_GENERADOR!$Q:$Q,PPTO_GENERADOR!A:A,"-",0)</f>
        <v>-</v>
      </c>
    </row>
    <row r="322" spans="1:18" ht="14.25" customHeight="1" x14ac:dyDescent="0.35">
      <c r="A322" s="105" t="s">
        <v>1839</v>
      </c>
      <c r="B322" s="105" t="s">
        <v>1981</v>
      </c>
      <c r="C322" s="105" t="s">
        <v>1982</v>
      </c>
      <c r="D322" s="105" t="s">
        <v>582</v>
      </c>
      <c r="E322" s="95" t="str">
        <f>IFERROR(VLOOKUP(D322,MATERIALES!A:B,2,FALSE()),"?")</f>
        <v>Lija 180 al agua x 10u</v>
      </c>
      <c r="F322" s="129">
        <f>IFERROR(VLOOKUP(D322,MATERIALES!A:C,3,FALSE()),"?")</f>
        <v>0</v>
      </c>
      <c r="G322" s="119">
        <v>2.5000000000000001E-2</v>
      </c>
      <c r="H322" s="120">
        <v>0.05</v>
      </c>
      <c r="I322" s="96">
        <f>IFERROR(VLOOKUP(D322,MATERIALES!A:D,4,FALSE()),0)</f>
        <v>7917.3553719008296</v>
      </c>
      <c r="J322" s="31">
        <f t="shared" si="152"/>
        <v>207.83057851239681</v>
      </c>
      <c r="K322" s="32" t="str">
        <f t="shared" ref="K322:K323" si="153">A322&amp;"|"&amp;B322</f>
        <v>CON-051|MAT</v>
      </c>
      <c r="L322" s="32">
        <f>COUNTIFS($K$2:K322,K322)</f>
        <v>7</v>
      </c>
      <c r="M322" s="32" t="str">
        <f t="shared" ref="M322:M323" si="154">K322&amp;"|"&amp;L322</f>
        <v>CON-051|MAT|7</v>
      </c>
      <c r="N322" s="121">
        <f>IFERROR(VLOOKUP(A322,PARTIDAS!A:F,6,FALSE()),0)</f>
        <v>22</v>
      </c>
      <c r="O322" s="123">
        <f t="shared" si="126"/>
        <v>0</v>
      </c>
      <c r="P322" s="123" t="str">
        <f>+_xlfn.XLOOKUP(A322,PPTO_GENERADOR!Q:Q,PPTO_GENERADOR!E:E,"-",0)</f>
        <v>-</v>
      </c>
      <c r="Q322" s="123">
        <f t="shared" si="127"/>
        <v>0</v>
      </c>
      <c r="R322" s="125" t="str">
        <f>+_xlfn.XLOOKUP(A322,PPTO_GENERADOR!$Q:$Q,PPTO_GENERADOR!A:A,"-",0)</f>
        <v>-</v>
      </c>
    </row>
    <row r="323" spans="1:18" ht="14.25" customHeight="1" x14ac:dyDescent="0.35">
      <c r="A323" s="105" t="s">
        <v>1839</v>
      </c>
      <c r="B323" s="105" t="s">
        <v>1981</v>
      </c>
      <c r="C323" s="105" t="s">
        <v>1982</v>
      </c>
      <c r="D323" s="105" t="s">
        <v>922</v>
      </c>
      <c r="E323" s="95" t="str">
        <f>IFERROR(VLOOKUP(D323,MATERIALES!A:B,2,FALSE()),"?")</f>
        <v>Rodillo de lana pelo largo N°22 - El Galgo</v>
      </c>
      <c r="F323" s="129" t="str">
        <f>IFERROR(VLOOKUP(D323,MATERIALES!A:C,3,FALSE()),"?")</f>
        <v>u</v>
      </c>
      <c r="G323" s="119">
        <v>5.0000000000000001E-3</v>
      </c>
      <c r="H323" s="120">
        <v>0.05</v>
      </c>
      <c r="I323" s="96">
        <f>IFERROR(VLOOKUP(D323,MATERIALES!A:D,4,FALSE()),0)</f>
        <v>6442.15</v>
      </c>
      <c r="J323" s="31">
        <f t="shared" si="152"/>
        <v>33.821287499999997</v>
      </c>
      <c r="K323" s="32" t="str">
        <f t="shared" si="153"/>
        <v>CON-051|MAT</v>
      </c>
      <c r="L323" s="32">
        <f>COUNTIFS($K$2:K323,K323)</f>
        <v>8</v>
      </c>
      <c r="M323" s="32" t="str">
        <f t="shared" si="154"/>
        <v>CON-051|MAT|8</v>
      </c>
      <c r="N323" s="121">
        <f>IFERROR(VLOOKUP(A323,PARTIDAS!A:F,6,FALSE()),0)</f>
        <v>22</v>
      </c>
      <c r="O323" s="123">
        <f t="shared" ref="O323:O386" si="155">+IF(C323="ALB",G323/N323,0)</f>
        <v>0</v>
      </c>
      <c r="P323" s="123" t="str">
        <f>+_xlfn.XLOOKUP(A323,PPTO_GENERADOR!Q:Q,PPTO_GENERADOR!E:E,"-",0)</f>
        <v>-</v>
      </c>
      <c r="Q323" s="123">
        <f t="shared" ref="Q323:Q386" si="156">IFERROR(P323*O323,0)</f>
        <v>0</v>
      </c>
      <c r="R323" s="125" t="str">
        <f>+_xlfn.XLOOKUP(A323,PPTO_GENERADOR!$Q:$Q,PPTO_GENERADOR!A:A,"-",0)</f>
        <v>-</v>
      </c>
    </row>
    <row r="324" spans="1:18" ht="14.25" customHeight="1" x14ac:dyDescent="0.35">
      <c r="A324" s="105" t="s">
        <v>1839</v>
      </c>
      <c r="B324" s="105" t="s">
        <v>1983</v>
      </c>
      <c r="C324" s="105"/>
      <c r="D324" s="105" t="s">
        <v>1327</v>
      </c>
      <c r="E324" s="95" t="str">
        <f>IFERROR(VLOOKUP(D324,EQUIPOS!A:B,2,FALSE()),"?")</f>
        <v>EQUIPO PARA PINTAR</v>
      </c>
      <c r="F324" s="129"/>
      <c r="G324" s="119">
        <v>2</v>
      </c>
      <c r="H324" s="120">
        <v>0</v>
      </c>
      <c r="I324" s="96">
        <f>IFERROR(VLOOKUP(D324,EQUIPOS!A:F,6,FALSE()),0)</f>
        <v>1873.3963608356808</v>
      </c>
      <c r="J324" s="31">
        <f>G324*I324</f>
        <v>3746.7927216713615</v>
      </c>
      <c r="K324" s="32" t="str">
        <f t="shared" ref="K324:K365" si="157">A324&amp;"|"&amp;B324</f>
        <v>CON-051|EQ</v>
      </c>
      <c r="L324" s="32">
        <f>COUNTIFS($K$2:K324,K324)</f>
        <v>1</v>
      </c>
      <c r="M324" s="32" t="str">
        <f t="shared" ref="M324:M385" si="158">K324&amp;"|"&amp;L324</f>
        <v>CON-051|EQ|1</v>
      </c>
      <c r="N324" s="121">
        <f>IFERROR(VLOOKUP(A324,PARTIDAS!A:F,6,FALSE()),0)</f>
        <v>22</v>
      </c>
      <c r="O324" s="123">
        <f t="shared" si="155"/>
        <v>0</v>
      </c>
      <c r="P324" s="123" t="str">
        <f>+_xlfn.XLOOKUP(A324,PPTO_GENERADOR!Q:Q,PPTO_GENERADOR!E:E,"-",0)</f>
        <v>-</v>
      </c>
      <c r="Q324" s="123">
        <f t="shared" si="156"/>
        <v>0</v>
      </c>
      <c r="R324" s="125" t="str">
        <f>+_xlfn.XLOOKUP(A324,PPTO_GENERADOR!$Q:$Q,PPTO_GENERADOR!A:A,"-",0)</f>
        <v>-</v>
      </c>
    </row>
    <row r="325" spans="1:18" ht="14.25" customHeight="1" x14ac:dyDescent="0.35">
      <c r="A325" s="105" t="s">
        <v>1839</v>
      </c>
      <c r="B325" s="105" t="s">
        <v>1979</v>
      </c>
      <c r="C325" s="105" t="s">
        <v>1980</v>
      </c>
      <c r="D325" s="105" t="s">
        <v>1292</v>
      </c>
      <c r="E325" s="95" t="str">
        <f>IFERROR(VLOOKUP(D325,MANO_DE_OBRA!A:B,2,FALSE()),"?")</f>
        <v>ESPECIALIZADO</v>
      </c>
      <c r="F325" s="129" t="s">
        <v>2042</v>
      </c>
      <c r="G325" s="119">
        <v>1</v>
      </c>
      <c r="H325" s="120">
        <v>0</v>
      </c>
      <c r="I325" s="96">
        <f>IFERROR(VLOOKUP(D325,MANO_DE_OBRA!A:C,3,FALSE()),0)</f>
        <v>94177.137883538904</v>
      </c>
      <c r="J325" s="31">
        <f t="shared" ref="J325:J326" si="159">G325*I325</f>
        <v>94177.137883538904</v>
      </c>
      <c r="K325" s="32" t="str">
        <f t="shared" si="157"/>
        <v>CON-051|MO</v>
      </c>
      <c r="L325" s="32">
        <f>COUNTIFS($K$2:K325,K325)</f>
        <v>1</v>
      </c>
      <c r="M325" s="32" t="str">
        <f t="shared" si="158"/>
        <v>CON-051|MO|1</v>
      </c>
      <c r="N325" s="121">
        <f>IFERROR(VLOOKUP(A325,PARTIDAS!A:F,6,FALSE()),0)</f>
        <v>22</v>
      </c>
      <c r="O325" s="123">
        <f t="shared" si="155"/>
        <v>4.5454545454545456E-2</v>
      </c>
      <c r="P325" s="123" t="str">
        <f>+_xlfn.XLOOKUP(A325,PPTO_GENERADOR!Q:Q,PPTO_GENERADOR!E:E,"-",0)</f>
        <v>-</v>
      </c>
      <c r="Q325" s="123">
        <f t="shared" si="156"/>
        <v>0</v>
      </c>
      <c r="R325" s="125" t="str">
        <f>+_xlfn.XLOOKUP(A325,PPTO_GENERADOR!$Q:$Q,PPTO_GENERADOR!A:A,"-",0)</f>
        <v>-</v>
      </c>
    </row>
    <row r="326" spans="1:18" ht="14.25" customHeight="1" x14ac:dyDescent="0.35">
      <c r="A326" s="105" t="s">
        <v>1839</v>
      </c>
      <c r="B326" s="105" t="s">
        <v>1979</v>
      </c>
      <c r="C326" s="105" t="s">
        <v>1980</v>
      </c>
      <c r="D326" s="105" t="s">
        <v>1288</v>
      </c>
      <c r="E326" s="95" t="str">
        <f>IFERROR(VLOOKUP(D326,MANO_DE_OBRA!A:B,2,FALSE()),"?")</f>
        <v>MEDIO OFICIAL</v>
      </c>
      <c r="F326" s="129" t="s">
        <v>2042</v>
      </c>
      <c r="G326" s="119">
        <v>1.25</v>
      </c>
      <c r="H326" s="120">
        <v>0</v>
      </c>
      <c r="I326" s="96">
        <f>IFERROR(VLOOKUP(D326,MANO_DE_OBRA!A:C,3,FALSE()),0)</f>
        <v>72132.138365590101</v>
      </c>
      <c r="J326" s="31">
        <f t="shared" si="159"/>
        <v>90165.172956987633</v>
      </c>
      <c r="K326" s="32" t="str">
        <f t="shared" si="157"/>
        <v>CON-051|MO</v>
      </c>
      <c r="L326" s="32">
        <f>COUNTIFS($K$2:K326,K326)</f>
        <v>2</v>
      </c>
      <c r="M326" s="32" t="str">
        <f t="shared" si="158"/>
        <v>CON-051|MO|2</v>
      </c>
      <c r="N326" s="121">
        <f>IFERROR(VLOOKUP(A326,PARTIDAS!A:F,6,FALSE()),0)</f>
        <v>22</v>
      </c>
      <c r="O326" s="123">
        <f t="shared" si="155"/>
        <v>5.6818181818181816E-2</v>
      </c>
      <c r="P326" s="123" t="str">
        <f>+_xlfn.XLOOKUP(A326,PPTO_GENERADOR!Q:Q,PPTO_GENERADOR!E:E,"-",0)</f>
        <v>-</v>
      </c>
      <c r="Q326" s="123">
        <f t="shared" si="156"/>
        <v>0</v>
      </c>
      <c r="R326" s="125" t="str">
        <f>+_xlfn.XLOOKUP(A326,PPTO_GENERADOR!$Q:$Q,PPTO_GENERADOR!A:A,"-",0)</f>
        <v>-</v>
      </c>
    </row>
    <row r="327" spans="1:18" ht="14.25" customHeight="1" x14ac:dyDescent="0.35">
      <c r="A327" s="105" t="s">
        <v>1843</v>
      </c>
      <c r="B327" s="105" t="s">
        <v>1981</v>
      </c>
      <c r="C327" s="105" t="s">
        <v>1982</v>
      </c>
      <c r="D327" s="105" t="s">
        <v>588</v>
      </c>
      <c r="E327" s="95" t="str">
        <f>IFERROR(VLOOKUP(D327,MATERIALES!A:B,2,FALSE()),"?")</f>
        <v>Fijador al agua x 20 lts</v>
      </c>
      <c r="F327" s="129">
        <f>IFERROR(VLOOKUP(D327,MATERIALES!A:C,3,FALSE()),"?")</f>
        <v>0</v>
      </c>
      <c r="G327" s="119">
        <v>4.0000000000000001E-3</v>
      </c>
      <c r="H327" s="120">
        <v>0.05</v>
      </c>
      <c r="I327" s="96">
        <f>IFERROR(VLOOKUP(D327,MATERIALES!A:D,4,FALSE()),0)</f>
        <v>42552.892561983499</v>
      </c>
      <c r="J327" s="31">
        <f t="shared" ref="J327:J334" si="160">G327*I327*(1+H327)</f>
        <v>178.7221487603307</v>
      </c>
      <c r="K327" s="32" t="str">
        <f t="shared" si="157"/>
        <v>CON-052|MAT</v>
      </c>
      <c r="L327" s="32">
        <f>COUNTIFS($K$2:K327,K327)</f>
        <v>1</v>
      </c>
      <c r="M327" s="32" t="str">
        <f t="shared" si="158"/>
        <v>CON-052|MAT|1</v>
      </c>
      <c r="N327" s="121">
        <f>IFERROR(VLOOKUP(A327,PARTIDAS!A:F,6,FALSE()),0)</f>
        <v>17.5</v>
      </c>
      <c r="O327" s="123">
        <f t="shared" si="155"/>
        <v>0</v>
      </c>
      <c r="P327" s="123" t="str">
        <f>+_xlfn.XLOOKUP(A327,PPTO_GENERADOR!Q:Q,PPTO_GENERADOR!E:E,"-",0)</f>
        <v>-</v>
      </c>
      <c r="Q327" s="123">
        <f t="shared" si="156"/>
        <v>0</v>
      </c>
      <c r="R327" s="125" t="str">
        <f>+_xlfn.XLOOKUP(A327,PPTO_GENERADOR!$Q:$Q,PPTO_GENERADOR!A:A,"-",0)</f>
        <v>-</v>
      </c>
    </row>
    <row r="328" spans="1:18" ht="14.25" customHeight="1" x14ac:dyDescent="0.35">
      <c r="A328" s="105" t="s">
        <v>1843</v>
      </c>
      <c r="B328" s="105" t="s">
        <v>1981</v>
      </c>
      <c r="C328" s="105" t="s">
        <v>1982</v>
      </c>
      <c r="D328" s="105" t="s">
        <v>580</v>
      </c>
      <c r="E328" s="95" t="str">
        <f>IFERROR(VLOOKUP(D328,MATERIALES!A:B,2,FALSE()),"?")</f>
        <v>Enduido Interior x 20lts</v>
      </c>
      <c r="F328" s="129">
        <f>IFERROR(VLOOKUP(D328,MATERIALES!A:C,3,FALSE()),"?")</f>
        <v>0</v>
      </c>
      <c r="G328" s="119">
        <v>0.03</v>
      </c>
      <c r="H328" s="120">
        <v>0.1</v>
      </c>
      <c r="I328" s="96">
        <f>IFERROR(VLOOKUP(D328,MATERIALES!A:D,4,FALSE()),0)</f>
        <v>41314.049586776899</v>
      </c>
      <c r="J328" s="31">
        <f t="shared" si="160"/>
        <v>1363.3636363636379</v>
      </c>
      <c r="K328" s="32" t="str">
        <f t="shared" si="157"/>
        <v>CON-052|MAT</v>
      </c>
      <c r="L328" s="32">
        <f>COUNTIFS($K$2:K328,K328)</f>
        <v>2</v>
      </c>
      <c r="M328" s="32" t="str">
        <f t="shared" si="158"/>
        <v>CON-052|MAT|2</v>
      </c>
      <c r="N328" s="121">
        <f>IFERROR(VLOOKUP(A328,PARTIDAS!A:F,6,FALSE()),0)</f>
        <v>17.5</v>
      </c>
      <c r="O328" s="123">
        <f t="shared" si="155"/>
        <v>0</v>
      </c>
      <c r="P328" s="123" t="str">
        <f>+_xlfn.XLOOKUP(A328,PPTO_GENERADOR!Q:Q,PPTO_GENERADOR!E:E,"-",0)</f>
        <v>-</v>
      </c>
      <c r="Q328" s="123">
        <f t="shared" si="156"/>
        <v>0</v>
      </c>
      <c r="R328" s="125" t="str">
        <f>+_xlfn.XLOOKUP(A328,PPTO_GENERADOR!$Q:$Q,PPTO_GENERADOR!A:A,"-",0)</f>
        <v>-</v>
      </c>
    </row>
    <row r="329" spans="1:18" ht="14.25" customHeight="1" x14ac:dyDescent="0.35">
      <c r="A329" s="105" t="s">
        <v>1843</v>
      </c>
      <c r="B329" s="105" t="s">
        <v>1981</v>
      </c>
      <c r="C329" s="105" t="s">
        <v>1982</v>
      </c>
      <c r="D329" s="105" t="s">
        <v>578</v>
      </c>
      <c r="E329" s="95" t="str">
        <f>IFERROR(VLOOKUP(D329,MATERIALES!A:B,2,FALSE()),"?")</f>
        <v>Latex Loxon Interior Sherwin Williams Mate Bco x 20lts</v>
      </c>
      <c r="F329" s="129">
        <f>IFERROR(VLOOKUP(D329,MATERIALES!A:C,3,FALSE()),"?")</f>
        <v>0</v>
      </c>
      <c r="G329" s="119">
        <v>1.2500000000000001E-2</v>
      </c>
      <c r="H329" s="120">
        <v>0.1</v>
      </c>
      <c r="I329" s="96">
        <f>IFERROR(VLOOKUP(D329,MATERIALES!A:D,4,FALSE()),0)</f>
        <v>143389.25619834699</v>
      </c>
      <c r="J329" s="31">
        <f t="shared" si="160"/>
        <v>1971.6022727272714</v>
      </c>
      <c r="K329" s="32" t="str">
        <f t="shared" si="157"/>
        <v>CON-052|MAT</v>
      </c>
      <c r="L329" s="32">
        <f>COUNTIFS($K$2:K329,K329)</f>
        <v>3</v>
      </c>
      <c r="M329" s="32" t="str">
        <f t="shared" si="158"/>
        <v>CON-052|MAT|3</v>
      </c>
      <c r="N329" s="121">
        <f>IFERROR(VLOOKUP(A329,PARTIDAS!A:F,6,FALSE()),0)</f>
        <v>17.5</v>
      </c>
      <c r="O329" s="123">
        <f t="shared" si="155"/>
        <v>0</v>
      </c>
      <c r="P329" s="123" t="str">
        <f>+_xlfn.XLOOKUP(A329,PPTO_GENERADOR!Q:Q,PPTO_GENERADOR!E:E,"-",0)</f>
        <v>-</v>
      </c>
      <c r="Q329" s="123">
        <f t="shared" si="156"/>
        <v>0</v>
      </c>
      <c r="R329" s="125" t="str">
        <f>+_xlfn.XLOOKUP(A329,PPTO_GENERADOR!$Q:$Q,PPTO_GENERADOR!A:A,"-",0)</f>
        <v>-</v>
      </c>
    </row>
    <row r="330" spans="1:18" ht="14.25" customHeight="1" x14ac:dyDescent="0.35">
      <c r="A330" s="105" t="s">
        <v>1843</v>
      </c>
      <c r="B330" s="105" t="s">
        <v>1981</v>
      </c>
      <c r="C330" s="105" t="s">
        <v>1982</v>
      </c>
      <c r="D330" s="105" t="s">
        <v>590</v>
      </c>
      <c r="E330" s="95" t="str">
        <f>IFERROR(VLOOKUP(D330,MATERIALES!A:B,2,FALSE()),"?")</f>
        <v>Yeso Tuyango x 30kg</v>
      </c>
      <c r="F330" s="129">
        <f>IFERROR(VLOOKUP(D330,MATERIALES!A:C,3,FALSE()),"?")</f>
        <v>0</v>
      </c>
      <c r="G330" s="119">
        <v>2.5000000000000001E-3</v>
      </c>
      <c r="H330" s="120">
        <v>0.05</v>
      </c>
      <c r="I330" s="96">
        <f>IFERROR(VLOOKUP(D330,MATERIALES!A:D,4,FALSE()),0)</f>
        <v>9927.59</v>
      </c>
      <c r="J330" s="31">
        <f t="shared" si="160"/>
        <v>26.059923750000003</v>
      </c>
      <c r="K330" s="32" t="str">
        <f t="shared" si="157"/>
        <v>CON-052|MAT</v>
      </c>
      <c r="L330" s="32">
        <f>COUNTIFS($K$2:K330,K330)</f>
        <v>4</v>
      </c>
      <c r="M330" s="32" t="str">
        <f t="shared" si="158"/>
        <v>CON-052|MAT|4</v>
      </c>
      <c r="N330" s="121">
        <f>IFERROR(VLOOKUP(A330,PARTIDAS!A:F,6,FALSE()),0)</f>
        <v>17.5</v>
      </c>
      <c r="O330" s="123">
        <f t="shared" si="155"/>
        <v>0</v>
      </c>
      <c r="P330" s="123" t="str">
        <f>+_xlfn.XLOOKUP(A330,PPTO_GENERADOR!Q:Q,PPTO_GENERADOR!E:E,"-",0)</f>
        <v>-</v>
      </c>
      <c r="Q330" s="123">
        <f t="shared" si="156"/>
        <v>0</v>
      </c>
      <c r="R330" s="125" t="str">
        <f>+_xlfn.XLOOKUP(A330,PPTO_GENERADOR!$Q:$Q,PPTO_GENERADOR!A:A,"-",0)</f>
        <v>-</v>
      </c>
    </row>
    <row r="331" spans="1:18" ht="14.25" customHeight="1" x14ac:dyDescent="0.35">
      <c r="A331" s="105" t="s">
        <v>1843</v>
      </c>
      <c r="B331" s="105" t="s">
        <v>1981</v>
      </c>
      <c r="C331" s="105" t="s">
        <v>1982</v>
      </c>
      <c r="D331" s="105" t="s">
        <v>586</v>
      </c>
      <c r="E331" s="95" t="str">
        <f>IFERROR(VLOOKUP(D331,MATERIALES!A:B,2,FALSE()),"?")</f>
        <v>Trapo</v>
      </c>
      <c r="F331" s="129">
        <f>IFERROR(VLOOKUP(D331,MATERIALES!A:C,3,FALSE()),"?")</f>
        <v>0</v>
      </c>
      <c r="G331" s="119">
        <v>0.03</v>
      </c>
      <c r="H331" s="120">
        <v>0.05</v>
      </c>
      <c r="I331" s="96">
        <f>IFERROR(VLOOKUP(D331,MATERIALES!A:D,4,FALSE()),0)</f>
        <v>1182.6446280991699</v>
      </c>
      <c r="J331" s="31">
        <f t="shared" si="160"/>
        <v>37.25330578512385</v>
      </c>
      <c r="K331" s="32" t="str">
        <f t="shared" si="157"/>
        <v>CON-052|MAT</v>
      </c>
      <c r="L331" s="32">
        <f>COUNTIFS($K$2:K331,K331)</f>
        <v>5</v>
      </c>
      <c r="M331" s="32" t="str">
        <f t="shared" si="158"/>
        <v>CON-052|MAT|5</v>
      </c>
      <c r="N331" s="121">
        <f>IFERROR(VLOOKUP(A331,PARTIDAS!A:F,6,FALSE()),0)</f>
        <v>17.5</v>
      </c>
      <c r="O331" s="123">
        <f t="shared" si="155"/>
        <v>0</v>
      </c>
      <c r="P331" s="123" t="str">
        <f>+_xlfn.XLOOKUP(A331,PPTO_GENERADOR!Q:Q,PPTO_GENERADOR!E:E,"-",0)</f>
        <v>-</v>
      </c>
      <c r="Q331" s="123">
        <f t="shared" si="156"/>
        <v>0</v>
      </c>
      <c r="R331" s="125" t="str">
        <f>+_xlfn.XLOOKUP(A331,PPTO_GENERADOR!$Q:$Q,PPTO_GENERADOR!A:A,"-",0)</f>
        <v>-</v>
      </c>
    </row>
    <row r="332" spans="1:18" ht="14.25" customHeight="1" x14ac:dyDescent="0.35">
      <c r="A332" s="105" t="s">
        <v>1843</v>
      </c>
      <c r="B332" s="105" t="s">
        <v>1981</v>
      </c>
      <c r="C332" s="105" t="s">
        <v>1982</v>
      </c>
      <c r="D332" s="105" t="s">
        <v>584</v>
      </c>
      <c r="E332" s="95" t="str">
        <f>IFERROR(VLOOKUP(D332,MATERIALES!A:B,2,FALSE()),"?")</f>
        <v>Cinta de Papel 36 mm x 40m</v>
      </c>
      <c r="F332" s="129">
        <f>IFERROR(VLOOKUP(D332,MATERIALES!A:C,3,FALSE()),"?")</f>
        <v>0</v>
      </c>
      <c r="G332" s="119">
        <v>0.05</v>
      </c>
      <c r="H332" s="120">
        <v>0.1</v>
      </c>
      <c r="I332" s="96">
        <f>IFERROR(VLOOKUP(D332,MATERIALES!A:D,4,FALSE()),0)</f>
        <v>5885.9504132231395</v>
      </c>
      <c r="J332" s="31">
        <f t="shared" si="160"/>
        <v>323.72727272727269</v>
      </c>
      <c r="K332" s="32" t="str">
        <f t="shared" si="157"/>
        <v>CON-052|MAT</v>
      </c>
      <c r="L332" s="32">
        <f>COUNTIFS($K$2:K332,K332)</f>
        <v>6</v>
      </c>
      <c r="M332" s="32" t="str">
        <f t="shared" si="158"/>
        <v>CON-052|MAT|6</v>
      </c>
      <c r="N332" s="121">
        <f>IFERROR(VLOOKUP(A332,PARTIDAS!A:F,6,FALSE()),0)</f>
        <v>17.5</v>
      </c>
      <c r="O332" s="123">
        <f t="shared" si="155"/>
        <v>0</v>
      </c>
      <c r="P332" s="123" t="str">
        <f>+_xlfn.XLOOKUP(A332,PPTO_GENERADOR!Q:Q,PPTO_GENERADOR!E:E,"-",0)</f>
        <v>-</v>
      </c>
      <c r="Q332" s="123">
        <f t="shared" si="156"/>
        <v>0</v>
      </c>
      <c r="R332" s="125" t="str">
        <f>+_xlfn.XLOOKUP(A332,PPTO_GENERADOR!$Q:$Q,PPTO_GENERADOR!A:A,"-",0)</f>
        <v>-</v>
      </c>
    </row>
    <row r="333" spans="1:18" ht="14.25" customHeight="1" x14ac:dyDescent="0.35">
      <c r="A333" s="105" t="s">
        <v>1843</v>
      </c>
      <c r="B333" s="105" t="s">
        <v>1981</v>
      </c>
      <c r="C333" s="105" t="s">
        <v>1982</v>
      </c>
      <c r="D333" s="105" t="s">
        <v>582</v>
      </c>
      <c r="E333" s="95" t="str">
        <f>IFERROR(VLOOKUP(D333,MATERIALES!A:B,2,FALSE()),"?")</f>
        <v>Lija 180 al agua x 10u</v>
      </c>
      <c r="F333" s="129">
        <f>IFERROR(VLOOKUP(D333,MATERIALES!A:C,3,FALSE()),"?")</f>
        <v>0</v>
      </c>
      <c r="G333" s="119">
        <v>2.5000000000000001E-2</v>
      </c>
      <c r="H333" s="120">
        <v>0.05</v>
      </c>
      <c r="I333" s="96">
        <f>IFERROR(VLOOKUP(D333,MATERIALES!A:D,4,FALSE()),0)</f>
        <v>7917.3553719008296</v>
      </c>
      <c r="J333" s="31">
        <f t="shared" si="160"/>
        <v>207.83057851239681</v>
      </c>
      <c r="K333" s="32" t="str">
        <f t="shared" si="157"/>
        <v>CON-052|MAT</v>
      </c>
      <c r="L333" s="32">
        <f>COUNTIFS($K$2:K333,K333)</f>
        <v>7</v>
      </c>
      <c r="M333" s="32" t="str">
        <f t="shared" si="158"/>
        <v>CON-052|MAT|7</v>
      </c>
      <c r="N333" s="121">
        <f>IFERROR(VLOOKUP(A333,PARTIDAS!A:F,6,FALSE()),0)</f>
        <v>17.5</v>
      </c>
      <c r="O333" s="123">
        <f t="shared" si="155"/>
        <v>0</v>
      </c>
      <c r="P333" s="123" t="str">
        <f>+_xlfn.XLOOKUP(A333,PPTO_GENERADOR!Q:Q,PPTO_GENERADOR!E:E,"-",0)</f>
        <v>-</v>
      </c>
      <c r="Q333" s="123">
        <f t="shared" si="156"/>
        <v>0</v>
      </c>
      <c r="R333" s="125" t="str">
        <f>+_xlfn.XLOOKUP(A333,PPTO_GENERADOR!$Q:$Q,PPTO_GENERADOR!A:A,"-",0)</f>
        <v>-</v>
      </c>
    </row>
    <row r="334" spans="1:18" ht="14.25" customHeight="1" x14ac:dyDescent="0.35">
      <c r="A334" s="105" t="s">
        <v>1843</v>
      </c>
      <c r="B334" s="105" t="s">
        <v>1981</v>
      </c>
      <c r="C334" s="105" t="s">
        <v>1982</v>
      </c>
      <c r="D334" s="105" t="s">
        <v>922</v>
      </c>
      <c r="E334" s="95" t="str">
        <f>IFERROR(VLOOKUP(D334,MATERIALES!A:B,2,FALSE()),"?")</f>
        <v>Rodillo de lana pelo largo N°22 - El Galgo</v>
      </c>
      <c r="F334" s="129" t="str">
        <f>IFERROR(VLOOKUP(D334,MATERIALES!A:C,3,FALSE()),"?")</f>
        <v>u</v>
      </c>
      <c r="G334" s="119">
        <v>5.0000000000000001E-3</v>
      </c>
      <c r="H334" s="120">
        <v>0.05</v>
      </c>
      <c r="I334" s="96">
        <f>IFERROR(VLOOKUP(D334,MATERIALES!A:D,4,FALSE()),0)</f>
        <v>6442.15</v>
      </c>
      <c r="J334" s="31">
        <f t="shared" si="160"/>
        <v>33.821287499999997</v>
      </c>
      <c r="K334" s="32" t="str">
        <f t="shared" si="157"/>
        <v>CON-052|MAT</v>
      </c>
      <c r="L334" s="32">
        <f>COUNTIFS($K$2:K334,K334)</f>
        <v>8</v>
      </c>
      <c r="M334" s="32" t="str">
        <f t="shared" si="158"/>
        <v>CON-052|MAT|8</v>
      </c>
      <c r="N334" s="121">
        <f>IFERROR(VLOOKUP(A334,PARTIDAS!A:F,6,FALSE()),0)</f>
        <v>17.5</v>
      </c>
      <c r="O334" s="123">
        <f t="shared" si="155"/>
        <v>0</v>
      </c>
      <c r="P334" s="123" t="str">
        <f>+_xlfn.XLOOKUP(A334,PPTO_GENERADOR!Q:Q,PPTO_GENERADOR!E:E,"-",0)</f>
        <v>-</v>
      </c>
      <c r="Q334" s="123">
        <f t="shared" si="156"/>
        <v>0</v>
      </c>
      <c r="R334" s="125" t="str">
        <f>+_xlfn.XLOOKUP(A334,PPTO_GENERADOR!$Q:$Q,PPTO_GENERADOR!A:A,"-",0)</f>
        <v>-</v>
      </c>
    </row>
    <row r="335" spans="1:18" ht="14.25" customHeight="1" x14ac:dyDescent="0.35">
      <c r="A335" s="105" t="s">
        <v>1843</v>
      </c>
      <c r="B335" s="105" t="s">
        <v>1983</v>
      </c>
      <c r="C335" s="105"/>
      <c r="D335" s="105" t="s">
        <v>1313</v>
      </c>
      <c r="E335" s="95" t="str">
        <f>IFERROR(VLOOKUP(D335,EQUIPOS!A:B,2,FALSE()),"?")</f>
        <v>ANDAMIO TUBULAR DE UNO A TRES CUERPOS</v>
      </c>
      <c r="F335" s="129"/>
      <c r="G335" s="119">
        <v>1</v>
      </c>
      <c r="H335" s="120">
        <v>0</v>
      </c>
      <c r="I335" s="96">
        <f>IFERROR(VLOOKUP(D335,EQUIPOS!A:F,6,FALSE()),0)</f>
        <v>620.81078197718341</v>
      </c>
      <c r="J335" s="31">
        <f t="shared" ref="J335:J336" si="161">G335*I335</f>
        <v>620.81078197718341</v>
      </c>
      <c r="K335" s="32" t="str">
        <f t="shared" si="157"/>
        <v>CON-052|EQ</v>
      </c>
      <c r="L335" s="32">
        <f>COUNTIFS($K$2:K335,K335)</f>
        <v>1</v>
      </c>
      <c r="M335" s="32" t="str">
        <f t="shared" si="158"/>
        <v>CON-052|EQ|1</v>
      </c>
      <c r="N335" s="121">
        <f>IFERROR(VLOOKUP(A335,PARTIDAS!A:F,6,FALSE()),0)</f>
        <v>17.5</v>
      </c>
      <c r="O335" s="123">
        <f t="shared" si="155"/>
        <v>0</v>
      </c>
      <c r="P335" s="123" t="str">
        <f>+_xlfn.XLOOKUP(A335,PPTO_GENERADOR!Q:Q,PPTO_GENERADOR!E:E,"-",0)</f>
        <v>-</v>
      </c>
      <c r="Q335" s="123">
        <f t="shared" si="156"/>
        <v>0</v>
      </c>
      <c r="R335" s="125" t="str">
        <f>+_xlfn.XLOOKUP(A335,PPTO_GENERADOR!$Q:$Q,PPTO_GENERADOR!A:A,"-",0)</f>
        <v>-</v>
      </c>
    </row>
    <row r="336" spans="1:18" ht="14.25" customHeight="1" x14ac:dyDescent="0.35">
      <c r="A336" s="105" t="s">
        <v>1843</v>
      </c>
      <c r="B336" s="105" t="s">
        <v>1983</v>
      </c>
      <c r="C336" s="105"/>
      <c r="D336" s="105" t="s">
        <v>1327</v>
      </c>
      <c r="E336" s="95" t="str">
        <f>IFERROR(VLOOKUP(D336,EQUIPOS!A:B,2,FALSE()),"?")</f>
        <v>EQUIPO PARA PINTAR</v>
      </c>
      <c r="F336" s="129"/>
      <c r="G336" s="119">
        <v>2</v>
      </c>
      <c r="H336" s="120">
        <v>0</v>
      </c>
      <c r="I336" s="96">
        <f>IFERROR(VLOOKUP(D336,EQUIPOS!A:F,6,FALSE()),0)</f>
        <v>1873.3963608356808</v>
      </c>
      <c r="J336" s="31">
        <f t="shared" si="161"/>
        <v>3746.7927216713615</v>
      </c>
      <c r="K336" s="32" t="str">
        <f t="shared" si="157"/>
        <v>CON-052|EQ</v>
      </c>
      <c r="L336" s="32">
        <f>COUNTIFS($K$2:K336,K336)</f>
        <v>2</v>
      </c>
      <c r="M336" s="32" t="str">
        <f t="shared" si="158"/>
        <v>CON-052|EQ|2</v>
      </c>
      <c r="N336" s="121">
        <f>IFERROR(VLOOKUP(A336,PARTIDAS!A:F,6,FALSE()),0)</f>
        <v>17.5</v>
      </c>
      <c r="O336" s="123">
        <f t="shared" si="155"/>
        <v>0</v>
      </c>
      <c r="P336" s="123" t="str">
        <f>+_xlfn.XLOOKUP(A336,PPTO_GENERADOR!Q:Q,PPTO_GENERADOR!E:E,"-",0)</f>
        <v>-</v>
      </c>
      <c r="Q336" s="123">
        <f t="shared" si="156"/>
        <v>0</v>
      </c>
      <c r="R336" s="125" t="str">
        <f>+_xlfn.XLOOKUP(A336,PPTO_GENERADOR!$Q:$Q,PPTO_GENERADOR!A:A,"-",0)</f>
        <v>-</v>
      </c>
    </row>
    <row r="337" spans="1:18" ht="14.25" customHeight="1" x14ac:dyDescent="0.35">
      <c r="A337" s="105" t="s">
        <v>1843</v>
      </c>
      <c r="B337" s="105" t="s">
        <v>1979</v>
      </c>
      <c r="C337" s="105" t="s">
        <v>1980</v>
      </c>
      <c r="D337" s="105" t="s">
        <v>1288</v>
      </c>
      <c r="E337" s="95" t="str">
        <f>IFERROR(VLOOKUP(D337,MANO_DE_OBRA!A:B,2,FALSE()),"?")</f>
        <v>MEDIO OFICIAL</v>
      </c>
      <c r="F337" s="129" t="s">
        <v>2042</v>
      </c>
      <c r="G337" s="119">
        <v>1</v>
      </c>
      <c r="H337" s="120">
        <v>0</v>
      </c>
      <c r="I337" s="96">
        <f>IFERROR(VLOOKUP(D337,MANO_DE_OBRA!A:C,3,FALSE()),0)</f>
        <v>72132.138365590101</v>
      </c>
      <c r="J337" s="31">
        <f t="shared" ref="J337:J338" si="162">G337*I337</f>
        <v>72132.138365590101</v>
      </c>
      <c r="K337" s="32" t="str">
        <f t="shared" si="157"/>
        <v>CON-052|MO</v>
      </c>
      <c r="L337" s="32">
        <f>COUNTIFS($K$2:K337,K337)</f>
        <v>1</v>
      </c>
      <c r="M337" s="32" t="str">
        <f t="shared" si="158"/>
        <v>CON-052|MO|1</v>
      </c>
      <c r="N337" s="121">
        <f>IFERROR(VLOOKUP(A337,PARTIDAS!A:F,6,FALSE()),0)</f>
        <v>17.5</v>
      </c>
      <c r="O337" s="123">
        <f t="shared" si="155"/>
        <v>5.7142857142857141E-2</v>
      </c>
      <c r="P337" s="123" t="str">
        <f>+_xlfn.XLOOKUP(A337,PPTO_GENERADOR!Q:Q,PPTO_GENERADOR!E:E,"-",0)</f>
        <v>-</v>
      </c>
      <c r="Q337" s="123">
        <f t="shared" si="156"/>
        <v>0</v>
      </c>
      <c r="R337" s="125" t="str">
        <f>+_xlfn.XLOOKUP(A337,PPTO_GENERADOR!$Q:$Q,PPTO_GENERADOR!A:A,"-",0)</f>
        <v>-</v>
      </c>
    </row>
    <row r="338" spans="1:18" ht="14.25" customHeight="1" x14ac:dyDescent="0.35">
      <c r="A338" s="105" t="s">
        <v>1843</v>
      </c>
      <c r="B338" s="105" t="s">
        <v>1979</v>
      </c>
      <c r="C338" s="105" t="s">
        <v>1980</v>
      </c>
      <c r="D338" s="105" t="s">
        <v>1292</v>
      </c>
      <c r="E338" s="95" t="str">
        <f>IFERROR(VLOOKUP(D338,MANO_DE_OBRA!A:B,2,FALSE()),"?")</f>
        <v>ESPECIALIZADO</v>
      </c>
      <c r="F338" s="129" t="s">
        <v>2042</v>
      </c>
      <c r="G338" s="119">
        <v>1</v>
      </c>
      <c r="H338" s="120">
        <v>0</v>
      </c>
      <c r="I338" s="96">
        <f>IFERROR(VLOOKUP(D338,MANO_DE_OBRA!A:C,3,FALSE()),0)</f>
        <v>94177.137883538904</v>
      </c>
      <c r="J338" s="31">
        <f t="shared" si="162"/>
        <v>94177.137883538904</v>
      </c>
      <c r="K338" s="32" t="str">
        <f t="shared" si="157"/>
        <v>CON-052|MO</v>
      </c>
      <c r="L338" s="32">
        <f>COUNTIFS($K$2:K338,K338)</f>
        <v>2</v>
      </c>
      <c r="M338" s="32" t="str">
        <f t="shared" si="158"/>
        <v>CON-052|MO|2</v>
      </c>
      <c r="N338" s="121">
        <f>IFERROR(VLOOKUP(A338,PARTIDAS!A:F,6,FALSE()),0)</f>
        <v>17.5</v>
      </c>
      <c r="O338" s="123">
        <f t="shared" si="155"/>
        <v>5.7142857142857141E-2</v>
      </c>
      <c r="P338" s="123" t="str">
        <f>+_xlfn.XLOOKUP(A338,PPTO_GENERADOR!Q:Q,PPTO_GENERADOR!E:E,"-",0)</f>
        <v>-</v>
      </c>
      <c r="Q338" s="123">
        <f t="shared" si="156"/>
        <v>0</v>
      </c>
      <c r="R338" s="125" t="str">
        <f>+_xlfn.XLOOKUP(A338,PPTO_GENERADOR!$Q:$Q,PPTO_GENERADOR!A:A,"-",0)</f>
        <v>-</v>
      </c>
    </row>
    <row r="339" spans="1:18" ht="14.25" customHeight="1" x14ac:dyDescent="0.35">
      <c r="A339" s="105" t="s">
        <v>1847</v>
      </c>
      <c r="B339" s="105" t="s">
        <v>1981</v>
      </c>
      <c r="C339" s="105" t="s">
        <v>1982</v>
      </c>
      <c r="D339" s="105" t="s">
        <v>588</v>
      </c>
      <c r="E339" s="95" t="str">
        <f>IFERROR(VLOOKUP(D339,MATERIALES!A:B,2,FALSE()),"?")</f>
        <v>Fijador al agua x 20 lts</v>
      </c>
      <c r="F339" s="129">
        <f>IFERROR(VLOOKUP(D339,MATERIALES!A:C,3,FALSE()),"?")</f>
        <v>0</v>
      </c>
      <c r="G339" s="119">
        <v>4.0000000000000001E-3</v>
      </c>
      <c r="H339" s="120">
        <v>0.05</v>
      </c>
      <c r="I339" s="96">
        <f>IFERROR(VLOOKUP(D339,MATERIALES!A:D,4,FALSE()),0)</f>
        <v>42552.892561983499</v>
      </c>
      <c r="J339" s="31">
        <f t="shared" ref="J339:J343" si="163">G339*I339*(1+H339)</f>
        <v>178.7221487603307</v>
      </c>
      <c r="K339" s="32" t="str">
        <f t="shared" si="157"/>
        <v>CON-053|MAT</v>
      </c>
      <c r="L339" s="32">
        <f>COUNTIFS($K$2:K339,K339)</f>
        <v>1</v>
      </c>
      <c r="M339" s="32" t="str">
        <f t="shared" si="158"/>
        <v>CON-053|MAT|1</v>
      </c>
      <c r="N339" s="121">
        <f>IFERROR(VLOOKUP(A339,PARTIDAS!A:F,6,FALSE()),0)</f>
        <v>15.5</v>
      </c>
      <c r="O339" s="123">
        <f t="shared" si="155"/>
        <v>0</v>
      </c>
      <c r="P339" s="123" t="str">
        <f>+_xlfn.XLOOKUP(A339,PPTO_GENERADOR!Q:Q,PPTO_GENERADOR!E:E,"-",0)</f>
        <v>-</v>
      </c>
      <c r="Q339" s="123">
        <f t="shared" si="156"/>
        <v>0</v>
      </c>
      <c r="R339" s="125" t="str">
        <f>+_xlfn.XLOOKUP(A339,PPTO_GENERADOR!$Q:$Q,PPTO_GENERADOR!A:A,"-",0)</f>
        <v>-</v>
      </c>
    </row>
    <row r="340" spans="1:18" ht="14.25" customHeight="1" x14ac:dyDescent="0.35">
      <c r="A340" s="105" t="s">
        <v>1847</v>
      </c>
      <c r="B340" s="105" t="s">
        <v>1981</v>
      </c>
      <c r="C340" s="105" t="s">
        <v>1982</v>
      </c>
      <c r="D340" s="105" t="s">
        <v>1045</v>
      </c>
      <c r="E340" s="95" t="str">
        <f>IFERROR(VLOOKUP(D340,MATERIALES!A:B,2,FALSE()),"?")</f>
        <v>Latex Loxon Exterior Sherwin Williams Mate Bco x 20lts</v>
      </c>
      <c r="F340" s="129" t="str">
        <f>IFERROR(VLOOKUP(D340,MATERIALES!A:C,3,FALSE()),"?")</f>
        <v>b</v>
      </c>
      <c r="G340" s="119">
        <v>1.2500000000000001E-2</v>
      </c>
      <c r="H340" s="120">
        <v>0.1</v>
      </c>
      <c r="I340" s="96">
        <f>IFERROR(VLOOKUP(D340,MATERIALES!A:D,4,FALSE()),0)</f>
        <v>176000</v>
      </c>
      <c r="J340" s="31">
        <f t="shared" si="163"/>
        <v>2420</v>
      </c>
      <c r="K340" s="32" t="str">
        <f t="shared" si="157"/>
        <v>CON-053|MAT</v>
      </c>
      <c r="L340" s="32">
        <f>COUNTIFS($K$2:K340,K340)</f>
        <v>2</v>
      </c>
      <c r="M340" s="32" t="str">
        <f t="shared" si="158"/>
        <v>CON-053|MAT|2</v>
      </c>
      <c r="N340" s="121">
        <f>IFERROR(VLOOKUP(A340,PARTIDAS!A:F,6,FALSE()),0)</f>
        <v>15.5</v>
      </c>
      <c r="O340" s="123">
        <f t="shared" si="155"/>
        <v>0</v>
      </c>
      <c r="P340" s="123" t="str">
        <f>+_xlfn.XLOOKUP(A340,PPTO_GENERADOR!Q:Q,PPTO_GENERADOR!E:E,"-",0)</f>
        <v>-</v>
      </c>
      <c r="Q340" s="123">
        <f t="shared" si="156"/>
        <v>0</v>
      </c>
      <c r="R340" s="125" t="str">
        <f>+_xlfn.XLOOKUP(A340,PPTO_GENERADOR!$Q:$Q,PPTO_GENERADOR!A:A,"-",0)</f>
        <v>-</v>
      </c>
    </row>
    <row r="341" spans="1:18" ht="14.25" customHeight="1" x14ac:dyDescent="0.35">
      <c r="A341" s="105" t="s">
        <v>1847</v>
      </c>
      <c r="B341" s="105" t="s">
        <v>1981</v>
      </c>
      <c r="C341" s="105" t="s">
        <v>1982</v>
      </c>
      <c r="D341" s="105" t="s">
        <v>586</v>
      </c>
      <c r="E341" s="95" t="str">
        <f>IFERROR(VLOOKUP(D341,MATERIALES!A:B,2,FALSE()),"?")</f>
        <v>Trapo</v>
      </c>
      <c r="F341" s="129">
        <f>IFERROR(VLOOKUP(D341,MATERIALES!A:C,3,FALSE()),"?")</f>
        <v>0</v>
      </c>
      <c r="G341" s="119">
        <v>0.01</v>
      </c>
      <c r="H341" s="120">
        <v>0.05</v>
      </c>
      <c r="I341" s="96">
        <f>IFERROR(VLOOKUP(D341,MATERIALES!A:D,4,FALSE()),0)</f>
        <v>1182.6446280991699</v>
      </c>
      <c r="J341" s="31">
        <f t="shared" si="163"/>
        <v>12.417768595041286</v>
      </c>
      <c r="K341" s="32" t="str">
        <f t="shared" si="157"/>
        <v>CON-053|MAT</v>
      </c>
      <c r="L341" s="32">
        <f>COUNTIFS($K$2:K341,K341)</f>
        <v>3</v>
      </c>
      <c r="M341" s="32" t="str">
        <f t="shared" si="158"/>
        <v>CON-053|MAT|3</v>
      </c>
      <c r="N341" s="121">
        <f>IFERROR(VLOOKUP(A341,PARTIDAS!A:F,6,FALSE()),0)</f>
        <v>15.5</v>
      </c>
      <c r="O341" s="123">
        <f t="shared" si="155"/>
        <v>0</v>
      </c>
      <c r="P341" s="123" t="str">
        <f>+_xlfn.XLOOKUP(A341,PPTO_GENERADOR!Q:Q,PPTO_GENERADOR!E:E,"-",0)</f>
        <v>-</v>
      </c>
      <c r="Q341" s="123">
        <f t="shared" si="156"/>
        <v>0</v>
      </c>
      <c r="R341" s="125" t="str">
        <f>+_xlfn.XLOOKUP(A341,PPTO_GENERADOR!$Q:$Q,PPTO_GENERADOR!A:A,"-",0)</f>
        <v>-</v>
      </c>
    </row>
    <row r="342" spans="1:18" ht="14.25" customHeight="1" x14ac:dyDescent="0.35">
      <c r="A342" s="105" t="s">
        <v>1847</v>
      </c>
      <c r="B342" s="105" t="s">
        <v>1981</v>
      </c>
      <c r="C342" s="105" t="s">
        <v>1982</v>
      </c>
      <c r="D342" s="105" t="s">
        <v>584</v>
      </c>
      <c r="E342" s="95" t="str">
        <f>IFERROR(VLOOKUP(D342,MATERIALES!A:B,2,FALSE()),"?")</f>
        <v>Cinta de Papel 36 mm x 40m</v>
      </c>
      <c r="F342" s="129">
        <f>IFERROR(VLOOKUP(D342,MATERIALES!A:C,3,FALSE()),"?")</f>
        <v>0</v>
      </c>
      <c r="G342" s="119">
        <v>0.01</v>
      </c>
      <c r="H342" s="120">
        <v>0.1</v>
      </c>
      <c r="I342" s="96">
        <f>IFERROR(VLOOKUP(D342,MATERIALES!A:D,4,FALSE()),0)</f>
        <v>5885.9504132231395</v>
      </c>
      <c r="J342" s="31">
        <f t="shared" si="163"/>
        <v>64.745454545454535</v>
      </c>
      <c r="K342" s="32" t="str">
        <f t="shared" si="157"/>
        <v>CON-053|MAT</v>
      </c>
      <c r="L342" s="32">
        <f>COUNTIFS($K$2:K342,K342)</f>
        <v>4</v>
      </c>
      <c r="M342" s="32" t="str">
        <f t="shared" si="158"/>
        <v>CON-053|MAT|4</v>
      </c>
      <c r="N342" s="121">
        <f>IFERROR(VLOOKUP(A342,PARTIDAS!A:F,6,FALSE()),0)</f>
        <v>15.5</v>
      </c>
      <c r="O342" s="123">
        <f t="shared" si="155"/>
        <v>0</v>
      </c>
      <c r="P342" s="123" t="str">
        <f>+_xlfn.XLOOKUP(A342,PPTO_GENERADOR!Q:Q,PPTO_GENERADOR!E:E,"-",0)</f>
        <v>-</v>
      </c>
      <c r="Q342" s="123">
        <f t="shared" si="156"/>
        <v>0</v>
      </c>
      <c r="R342" s="125" t="str">
        <f>+_xlfn.XLOOKUP(A342,PPTO_GENERADOR!$Q:$Q,PPTO_GENERADOR!A:A,"-",0)</f>
        <v>-</v>
      </c>
    </row>
    <row r="343" spans="1:18" ht="14.25" customHeight="1" x14ac:dyDescent="0.35">
      <c r="A343" s="105" t="s">
        <v>1847</v>
      </c>
      <c r="B343" s="105" t="s">
        <v>1981</v>
      </c>
      <c r="C343" s="105" t="s">
        <v>1982</v>
      </c>
      <c r="D343" s="105" t="s">
        <v>582</v>
      </c>
      <c r="E343" s="95" t="str">
        <f>IFERROR(VLOOKUP(D343,MATERIALES!A:B,2,FALSE()),"?")</f>
        <v>Lija 180 al agua x 10u</v>
      </c>
      <c r="F343" s="129">
        <f>IFERROR(VLOOKUP(D343,MATERIALES!A:C,3,FALSE()),"?")</f>
        <v>0</v>
      </c>
      <c r="G343" s="119">
        <v>0.01</v>
      </c>
      <c r="H343" s="120">
        <v>0.05</v>
      </c>
      <c r="I343" s="96">
        <f>IFERROR(VLOOKUP(D343,MATERIALES!A:D,4,FALSE()),0)</f>
        <v>7917.3553719008296</v>
      </c>
      <c r="J343" s="31">
        <f t="shared" si="163"/>
        <v>83.132231404958716</v>
      </c>
      <c r="K343" s="32" t="str">
        <f t="shared" si="157"/>
        <v>CON-053|MAT</v>
      </c>
      <c r="L343" s="32">
        <f>COUNTIFS($K$2:K343,K343)</f>
        <v>5</v>
      </c>
      <c r="M343" s="32" t="str">
        <f t="shared" si="158"/>
        <v>CON-053|MAT|5</v>
      </c>
      <c r="N343" s="121">
        <f>IFERROR(VLOOKUP(A343,PARTIDAS!A:F,6,FALSE()),0)</f>
        <v>15.5</v>
      </c>
      <c r="O343" s="123">
        <f t="shared" si="155"/>
        <v>0</v>
      </c>
      <c r="P343" s="123" t="str">
        <f>+_xlfn.XLOOKUP(A343,PPTO_GENERADOR!Q:Q,PPTO_GENERADOR!E:E,"-",0)</f>
        <v>-</v>
      </c>
      <c r="Q343" s="123">
        <f t="shared" si="156"/>
        <v>0</v>
      </c>
      <c r="R343" s="125" t="str">
        <f>+_xlfn.XLOOKUP(A343,PPTO_GENERADOR!$Q:$Q,PPTO_GENERADOR!A:A,"-",0)</f>
        <v>-</v>
      </c>
    </row>
    <row r="344" spans="1:18" ht="14.25" customHeight="1" x14ac:dyDescent="0.35">
      <c r="A344" s="105" t="s">
        <v>1847</v>
      </c>
      <c r="B344" s="105" t="s">
        <v>1983</v>
      </c>
      <c r="C344" s="105"/>
      <c r="D344" s="105" t="s">
        <v>1509</v>
      </c>
      <c r="E344" s="95" t="str">
        <f>IFERROR(VLOOKUP(D344,EQUIPOS!A:B,2,FALSE()),"?")</f>
        <v>Escalera madera pintor 8 escalones</v>
      </c>
      <c r="F344" s="129"/>
      <c r="G344" s="119">
        <v>1</v>
      </c>
      <c r="H344" s="120">
        <v>0</v>
      </c>
      <c r="I344" s="96">
        <f>IFERROR(VLOOKUP(D344,EQUIPOS!A:F,6,FALSE()),0)</f>
        <v>217.65359719478195</v>
      </c>
      <c r="J344" s="31">
        <f t="shared" ref="J344:J345" si="164">G344*I344</f>
        <v>217.65359719478195</v>
      </c>
      <c r="K344" s="32" t="str">
        <f t="shared" si="157"/>
        <v>CON-053|EQ</v>
      </c>
      <c r="L344" s="32">
        <f>COUNTIFS($K$2:K344,K344)</f>
        <v>1</v>
      </c>
      <c r="M344" s="32" t="str">
        <f t="shared" si="158"/>
        <v>CON-053|EQ|1</v>
      </c>
      <c r="N344" s="121">
        <f>IFERROR(VLOOKUP(A344,PARTIDAS!A:F,6,FALSE()),0)</f>
        <v>15.5</v>
      </c>
      <c r="O344" s="123">
        <f t="shared" si="155"/>
        <v>0</v>
      </c>
      <c r="P344" s="123" t="str">
        <f>+_xlfn.XLOOKUP(A344,PPTO_GENERADOR!Q:Q,PPTO_GENERADOR!E:E,"-",0)</f>
        <v>-</v>
      </c>
      <c r="Q344" s="123">
        <f t="shared" si="156"/>
        <v>0</v>
      </c>
      <c r="R344" s="125" t="str">
        <f>+_xlfn.XLOOKUP(A344,PPTO_GENERADOR!$Q:$Q,PPTO_GENERADOR!A:A,"-",0)</f>
        <v>-</v>
      </c>
    </row>
    <row r="345" spans="1:18" ht="14.25" customHeight="1" x14ac:dyDescent="0.35">
      <c r="A345" s="105" t="s">
        <v>1847</v>
      </c>
      <c r="B345" s="105" t="s">
        <v>1983</v>
      </c>
      <c r="C345" s="105"/>
      <c r="D345" s="105" t="s">
        <v>1327</v>
      </c>
      <c r="E345" s="95" t="str">
        <f>IFERROR(VLOOKUP(D345,EQUIPOS!A:B,2,FALSE()),"?")</f>
        <v>EQUIPO PARA PINTAR</v>
      </c>
      <c r="F345" s="129"/>
      <c r="G345" s="119">
        <v>1</v>
      </c>
      <c r="H345" s="120">
        <v>0</v>
      </c>
      <c r="I345" s="96">
        <f>IFERROR(VLOOKUP(D345,EQUIPOS!A:F,6,FALSE()),0)</f>
        <v>1873.3963608356808</v>
      </c>
      <c r="J345" s="31">
        <f t="shared" si="164"/>
        <v>1873.3963608356808</v>
      </c>
      <c r="K345" s="32" t="str">
        <f t="shared" si="157"/>
        <v>CON-053|EQ</v>
      </c>
      <c r="L345" s="32">
        <f>COUNTIFS($K$2:K345,K345)</f>
        <v>2</v>
      </c>
      <c r="M345" s="32" t="str">
        <f t="shared" si="158"/>
        <v>CON-053|EQ|2</v>
      </c>
      <c r="N345" s="121">
        <f>IFERROR(VLOOKUP(A345,PARTIDAS!A:F,6,FALSE()),0)</f>
        <v>15.5</v>
      </c>
      <c r="O345" s="123">
        <f t="shared" si="155"/>
        <v>0</v>
      </c>
      <c r="P345" s="123" t="str">
        <f>+_xlfn.XLOOKUP(A345,PPTO_GENERADOR!Q:Q,PPTO_GENERADOR!E:E,"-",0)</f>
        <v>-</v>
      </c>
      <c r="Q345" s="123">
        <f t="shared" si="156"/>
        <v>0</v>
      </c>
      <c r="R345" s="125" t="str">
        <f>+_xlfn.XLOOKUP(A345,PPTO_GENERADOR!$Q:$Q,PPTO_GENERADOR!A:A,"-",0)</f>
        <v>-</v>
      </c>
    </row>
    <row r="346" spans="1:18" ht="14.25" customHeight="1" x14ac:dyDescent="0.35">
      <c r="A346" s="105" t="s">
        <v>1847</v>
      </c>
      <c r="B346" s="105" t="s">
        <v>1979</v>
      </c>
      <c r="C346" s="105" t="s">
        <v>1980</v>
      </c>
      <c r="D346" s="105" t="s">
        <v>1292</v>
      </c>
      <c r="E346" s="95" t="str">
        <f>IFERROR(VLOOKUP(D346,MANO_DE_OBRA!A:B,2,FALSE()),"?")</f>
        <v>ESPECIALIZADO</v>
      </c>
      <c r="F346" s="129" t="s">
        <v>2042</v>
      </c>
      <c r="G346" s="119">
        <v>1</v>
      </c>
      <c r="H346" s="120">
        <v>0</v>
      </c>
      <c r="I346" s="96">
        <f>IFERROR(VLOOKUP(D346,MANO_DE_OBRA!A:C,3,FALSE()),0)</f>
        <v>94177.137883538904</v>
      </c>
      <c r="J346" s="31">
        <f t="shared" ref="J346" si="165">G346*I346</f>
        <v>94177.137883538904</v>
      </c>
      <c r="K346" s="32" t="str">
        <f t="shared" si="157"/>
        <v>CON-053|MO</v>
      </c>
      <c r="L346" s="32">
        <f>COUNTIFS($K$2:K346,K346)</f>
        <v>1</v>
      </c>
      <c r="M346" s="32" t="str">
        <f t="shared" si="158"/>
        <v>CON-053|MO|1</v>
      </c>
      <c r="N346" s="121">
        <f>IFERROR(VLOOKUP(A346,PARTIDAS!A:F,6,FALSE()),0)</f>
        <v>15.5</v>
      </c>
      <c r="O346" s="123">
        <f t="shared" si="155"/>
        <v>6.4516129032258063E-2</v>
      </c>
      <c r="P346" s="123" t="str">
        <f>+_xlfn.XLOOKUP(A346,PPTO_GENERADOR!Q:Q,PPTO_GENERADOR!E:E,"-",0)</f>
        <v>-</v>
      </c>
      <c r="Q346" s="123">
        <f t="shared" si="156"/>
        <v>0</v>
      </c>
      <c r="R346" s="125" t="str">
        <f>+_xlfn.XLOOKUP(A346,PPTO_GENERADOR!$Q:$Q,PPTO_GENERADOR!A:A,"-",0)</f>
        <v>-</v>
      </c>
    </row>
    <row r="347" spans="1:18" ht="14.25" customHeight="1" x14ac:dyDescent="0.35">
      <c r="A347" s="105" t="s">
        <v>1850</v>
      </c>
      <c r="B347" s="105" t="s">
        <v>1981</v>
      </c>
      <c r="C347" s="105" t="s">
        <v>1982</v>
      </c>
      <c r="D347" s="105" t="s">
        <v>588</v>
      </c>
      <c r="E347" s="95" t="str">
        <f>IFERROR(VLOOKUP(D347,MATERIALES!A:B,2,FALSE()),"?")</f>
        <v>Fijador al agua x 20 lts</v>
      </c>
      <c r="F347" s="129">
        <f>IFERROR(VLOOKUP(D347,MATERIALES!A:C,3,FALSE()),"?")</f>
        <v>0</v>
      </c>
      <c r="G347" s="119">
        <v>4.0000000000000001E-3</v>
      </c>
      <c r="H347" s="120">
        <v>0.05</v>
      </c>
      <c r="I347" s="96">
        <f>IFERROR(VLOOKUP(D347,MATERIALES!A:D,4,FALSE()),0)</f>
        <v>42552.892561983499</v>
      </c>
      <c r="J347" s="31">
        <f t="shared" ref="J347:J354" si="166">G347*I347*(1+H347)</f>
        <v>178.7221487603307</v>
      </c>
      <c r="K347" s="32" t="str">
        <f t="shared" si="157"/>
        <v>CON-053B|MAT</v>
      </c>
      <c r="L347" s="32">
        <f>COUNTIFS($K$2:K347,K347)</f>
        <v>1</v>
      </c>
      <c r="M347" s="32" t="str">
        <f t="shared" si="158"/>
        <v>CON-053B|MAT|1</v>
      </c>
      <c r="N347" s="121">
        <f>IFERROR(VLOOKUP(A347,PARTIDAS!A:F,6,FALSE()),0)</f>
        <v>15.5</v>
      </c>
      <c r="O347" s="123">
        <f t="shared" si="155"/>
        <v>0</v>
      </c>
      <c r="P347" s="123" t="str">
        <f>+_xlfn.XLOOKUP(A347,PPTO_GENERADOR!Q:Q,PPTO_GENERADOR!E:E,"-",0)</f>
        <v>-</v>
      </c>
      <c r="Q347" s="123">
        <f t="shared" si="156"/>
        <v>0</v>
      </c>
      <c r="R347" s="125" t="str">
        <f>+_xlfn.XLOOKUP(A347,PPTO_GENERADOR!$Q:$Q,PPTO_GENERADOR!A:A,"-",0)</f>
        <v>-</v>
      </c>
    </row>
    <row r="348" spans="1:18" ht="14.25" customHeight="1" x14ac:dyDescent="0.35">
      <c r="A348" s="105" t="s">
        <v>1850</v>
      </c>
      <c r="B348" s="105" t="s">
        <v>1981</v>
      </c>
      <c r="C348" s="105" t="s">
        <v>1982</v>
      </c>
      <c r="D348" s="105" t="s">
        <v>1045</v>
      </c>
      <c r="E348" s="95" t="str">
        <f>IFERROR(VLOOKUP(D348,MATERIALES!A:B,2,FALSE()),"?")</f>
        <v>Latex Loxon Exterior Sherwin Williams Mate Bco x 20lts</v>
      </c>
      <c r="F348" s="129" t="str">
        <f>IFERROR(VLOOKUP(D348,MATERIALES!A:C,3,FALSE()),"?")</f>
        <v>b</v>
      </c>
      <c r="G348" s="119">
        <v>1.2500000000000001E-2</v>
      </c>
      <c r="H348" s="120">
        <v>0.1</v>
      </c>
      <c r="I348" s="96">
        <f>IFERROR(VLOOKUP(D348,MATERIALES!A:D,4,FALSE()),0)</f>
        <v>176000</v>
      </c>
      <c r="J348" s="31">
        <f t="shared" si="166"/>
        <v>2420</v>
      </c>
      <c r="K348" s="32" t="str">
        <f t="shared" si="157"/>
        <v>CON-053B|MAT</v>
      </c>
      <c r="L348" s="32">
        <f>COUNTIFS($K$2:K348,K348)</f>
        <v>2</v>
      </c>
      <c r="M348" s="32" t="str">
        <f t="shared" si="158"/>
        <v>CON-053B|MAT|2</v>
      </c>
      <c r="N348" s="121">
        <f>IFERROR(VLOOKUP(A348,PARTIDAS!A:F,6,FALSE()),0)</f>
        <v>15.5</v>
      </c>
      <c r="O348" s="123">
        <f t="shared" si="155"/>
        <v>0</v>
      </c>
      <c r="P348" s="123" t="str">
        <f>+_xlfn.XLOOKUP(A348,PPTO_GENERADOR!Q:Q,PPTO_GENERADOR!E:E,"-",0)</f>
        <v>-</v>
      </c>
      <c r="Q348" s="123">
        <f t="shared" si="156"/>
        <v>0</v>
      </c>
      <c r="R348" s="125" t="str">
        <f>+_xlfn.XLOOKUP(A348,PPTO_GENERADOR!$Q:$Q,PPTO_GENERADOR!A:A,"-",0)</f>
        <v>-</v>
      </c>
    </row>
    <row r="349" spans="1:18" ht="14.25" customHeight="1" x14ac:dyDescent="0.35">
      <c r="A349" s="105" t="s">
        <v>1850</v>
      </c>
      <c r="B349" s="105" t="s">
        <v>1981</v>
      </c>
      <c r="C349" s="105" t="s">
        <v>1982</v>
      </c>
      <c r="D349" s="105" t="s">
        <v>586</v>
      </c>
      <c r="E349" s="95" t="str">
        <f>IFERROR(VLOOKUP(D349,MATERIALES!A:B,2,FALSE()),"?")</f>
        <v>Trapo</v>
      </c>
      <c r="F349" s="129">
        <f>IFERROR(VLOOKUP(D349,MATERIALES!A:C,3,FALSE()),"?")</f>
        <v>0</v>
      </c>
      <c r="G349" s="119">
        <v>0.01</v>
      </c>
      <c r="H349" s="120">
        <v>0.05</v>
      </c>
      <c r="I349" s="96">
        <f>IFERROR(VLOOKUP(D349,MATERIALES!A:D,4,FALSE()),0)</f>
        <v>1182.6446280991699</v>
      </c>
      <c r="J349" s="31">
        <f t="shared" si="166"/>
        <v>12.417768595041286</v>
      </c>
      <c r="K349" s="32" t="str">
        <f t="shared" si="157"/>
        <v>CON-053B|MAT</v>
      </c>
      <c r="L349" s="32">
        <f>COUNTIFS($K$2:K349,K349)</f>
        <v>3</v>
      </c>
      <c r="M349" s="32" t="str">
        <f t="shared" si="158"/>
        <v>CON-053B|MAT|3</v>
      </c>
      <c r="N349" s="121">
        <f>IFERROR(VLOOKUP(A349,PARTIDAS!A:F,6,FALSE()),0)</f>
        <v>15.5</v>
      </c>
      <c r="O349" s="123">
        <f t="shared" si="155"/>
        <v>0</v>
      </c>
      <c r="P349" s="123" t="str">
        <f>+_xlfn.XLOOKUP(A349,PPTO_GENERADOR!Q:Q,PPTO_GENERADOR!E:E,"-",0)</f>
        <v>-</v>
      </c>
      <c r="Q349" s="123">
        <f t="shared" si="156"/>
        <v>0</v>
      </c>
      <c r="R349" s="125" t="str">
        <f>+_xlfn.XLOOKUP(A349,PPTO_GENERADOR!$Q:$Q,PPTO_GENERADOR!A:A,"-",0)</f>
        <v>-</v>
      </c>
    </row>
    <row r="350" spans="1:18" ht="14.25" customHeight="1" x14ac:dyDescent="0.35">
      <c r="A350" s="105" t="s">
        <v>1850</v>
      </c>
      <c r="B350" s="105" t="s">
        <v>1981</v>
      </c>
      <c r="C350" s="105" t="s">
        <v>1982</v>
      </c>
      <c r="D350" s="105" t="s">
        <v>584</v>
      </c>
      <c r="E350" s="95" t="str">
        <f>IFERROR(VLOOKUP(D350,MATERIALES!A:B,2,FALSE()),"?")</f>
        <v>Cinta de Papel 36 mm x 40m</v>
      </c>
      <c r="F350" s="129">
        <f>IFERROR(VLOOKUP(D350,MATERIALES!A:C,3,FALSE()),"?")</f>
        <v>0</v>
      </c>
      <c r="G350" s="119">
        <v>0.01</v>
      </c>
      <c r="H350" s="120">
        <v>0.1</v>
      </c>
      <c r="I350" s="96">
        <f>IFERROR(VLOOKUP(D350,MATERIALES!A:D,4,FALSE()),0)</f>
        <v>5885.9504132231395</v>
      </c>
      <c r="J350" s="31">
        <f t="shared" si="166"/>
        <v>64.745454545454535</v>
      </c>
      <c r="K350" s="32" t="str">
        <f t="shared" si="157"/>
        <v>CON-053B|MAT</v>
      </c>
      <c r="L350" s="32">
        <f>COUNTIFS($K$2:K350,K350)</f>
        <v>4</v>
      </c>
      <c r="M350" s="32" t="str">
        <f t="shared" si="158"/>
        <v>CON-053B|MAT|4</v>
      </c>
      <c r="N350" s="121">
        <f>IFERROR(VLOOKUP(A350,PARTIDAS!A:F,6,FALSE()),0)</f>
        <v>15.5</v>
      </c>
      <c r="O350" s="123">
        <f t="shared" si="155"/>
        <v>0</v>
      </c>
      <c r="P350" s="123" t="str">
        <f>+_xlfn.XLOOKUP(A350,PPTO_GENERADOR!Q:Q,PPTO_GENERADOR!E:E,"-",0)</f>
        <v>-</v>
      </c>
      <c r="Q350" s="123">
        <f t="shared" si="156"/>
        <v>0</v>
      </c>
      <c r="R350" s="125" t="str">
        <f>+_xlfn.XLOOKUP(A350,PPTO_GENERADOR!$Q:$Q,PPTO_GENERADOR!A:A,"-",0)</f>
        <v>-</v>
      </c>
    </row>
    <row r="351" spans="1:18" ht="14.25" customHeight="1" x14ac:dyDescent="0.35">
      <c r="A351" s="105" t="s">
        <v>1850</v>
      </c>
      <c r="B351" s="105" t="s">
        <v>1981</v>
      </c>
      <c r="C351" s="105" t="s">
        <v>1982</v>
      </c>
      <c r="D351" s="105" t="s">
        <v>582</v>
      </c>
      <c r="E351" s="95" t="str">
        <f>IFERROR(VLOOKUP(D351,MATERIALES!A:B,2,FALSE()),"?")</f>
        <v>Lija 180 al agua x 10u</v>
      </c>
      <c r="F351" s="129">
        <f>IFERROR(VLOOKUP(D351,MATERIALES!A:C,3,FALSE()),"?")</f>
        <v>0</v>
      </c>
      <c r="G351" s="119">
        <v>0.01</v>
      </c>
      <c r="H351" s="120">
        <v>0.05</v>
      </c>
      <c r="I351" s="96">
        <f>IFERROR(VLOOKUP(D351,MATERIALES!A:D,4,FALSE()),0)</f>
        <v>7917.3553719008296</v>
      </c>
      <c r="J351" s="31">
        <f t="shared" si="166"/>
        <v>83.132231404958716</v>
      </c>
      <c r="K351" s="32" t="str">
        <f t="shared" si="157"/>
        <v>CON-053B|MAT</v>
      </c>
      <c r="L351" s="32">
        <f>COUNTIFS($K$2:K351,K351)</f>
        <v>5</v>
      </c>
      <c r="M351" s="32" t="str">
        <f t="shared" si="158"/>
        <v>CON-053B|MAT|5</v>
      </c>
      <c r="N351" s="121">
        <f>IFERROR(VLOOKUP(A351,PARTIDAS!A:F,6,FALSE()),0)</f>
        <v>15.5</v>
      </c>
      <c r="O351" s="123">
        <f t="shared" si="155"/>
        <v>0</v>
      </c>
      <c r="P351" s="123" t="str">
        <f>+_xlfn.XLOOKUP(A351,PPTO_GENERADOR!Q:Q,PPTO_GENERADOR!E:E,"-",0)</f>
        <v>-</v>
      </c>
      <c r="Q351" s="123">
        <f t="shared" si="156"/>
        <v>0</v>
      </c>
      <c r="R351" s="125" t="str">
        <f>+_xlfn.XLOOKUP(A351,PPTO_GENERADOR!$Q:$Q,PPTO_GENERADOR!A:A,"-",0)</f>
        <v>-</v>
      </c>
    </row>
    <row r="352" spans="1:18" ht="14.25" customHeight="1" x14ac:dyDescent="0.35">
      <c r="A352" s="105" t="s">
        <v>1850</v>
      </c>
      <c r="B352" s="105" t="s">
        <v>1981</v>
      </c>
      <c r="C352" s="105" t="s">
        <v>1982</v>
      </c>
      <c r="D352" s="105" t="s">
        <v>922</v>
      </c>
      <c r="E352" s="95" t="str">
        <f>IFERROR(VLOOKUP(D352,MATERIALES!A:B,2,FALSE()),"?")</f>
        <v>Rodillo de lana pelo largo N°22 - El Galgo</v>
      </c>
      <c r="F352" s="129" t="str">
        <f>IFERROR(VLOOKUP(D352,MATERIALES!A:C,3,FALSE()),"?")</f>
        <v>u</v>
      </c>
      <c r="G352" s="119">
        <v>5.0000000000000001E-3</v>
      </c>
      <c r="H352" s="120">
        <v>0.05</v>
      </c>
      <c r="I352" s="96">
        <f>IFERROR(VLOOKUP(D352,MATERIALES!A:D,4,FALSE()),0)</f>
        <v>6442.15</v>
      </c>
      <c r="J352" s="31">
        <f t="shared" si="166"/>
        <v>33.821287499999997</v>
      </c>
      <c r="K352" s="32" t="str">
        <f t="shared" si="157"/>
        <v>CON-053B|MAT</v>
      </c>
      <c r="L352" s="32">
        <f>COUNTIFS($K$2:K352,K352)</f>
        <v>6</v>
      </c>
      <c r="M352" s="32" t="str">
        <f t="shared" si="158"/>
        <v>CON-053B|MAT|6</v>
      </c>
      <c r="N352" s="121">
        <f>IFERROR(VLOOKUP(A352,PARTIDAS!A:F,6,FALSE()),0)</f>
        <v>15.5</v>
      </c>
      <c r="O352" s="123">
        <f t="shared" si="155"/>
        <v>0</v>
      </c>
      <c r="P352" s="123" t="str">
        <f>+_xlfn.XLOOKUP(A352,PPTO_GENERADOR!Q:Q,PPTO_GENERADOR!E:E,"-",0)</f>
        <v>-</v>
      </c>
      <c r="Q352" s="123">
        <f t="shared" si="156"/>
        <v>0</v>
      </c>
      <c r="R352" s="125" t="str">
        <f>+_xlfn.XLOOKUP(A352,PPTO_GENERADOR!$Q:$Q,PPTO_GENERADOR!A:A,"-",0)</f>
        <v>-</v>
      </c>
    </row>
    <row r="353" spans="1:18" ht="14.25" customHeight="1" x14ac:dyDescent="0.35">
      <c r="A353" s="105" t="s">
        <v>1850</v>
      </c>
      <c r="B353" s="105" t="s">
        <v>1981</v>
      </c>
      <c r="C353" s="105" t="s">
        <v>1982</v>
      </c>
      <c r="D353" s="105" t="s">
        <v>1007</v>
      </c>
      <c r="E353" s="95" t="str">
        <f>IFERROR(VLOOKUP(D353,MATERIALES!A:B,2,FALSE()),"?")</f>
        <v>Pincel N° 20 - El Galgo</v>
      </c>
      <c r="F353" s="129" t="str">
        <f>IFERROR(VLOOKUP(D353,MATERIALES!A:C,3,FALSE()),"?")</f>
        <v>u</v>
      </c>
      <c r="G353" s="119">
        <v>5.0000000000000001E-3</v>
      </c>
      <c r="H353" s="120">
        <v>0.05</v>
      </c>
      <c r="I353" s="96">
        <f>IFERROR(VLOOKUP(D353,MATERIALES!A:D,4,FALSE()),0)</f>
        <v>4418.1818181818198</v>
      </c>
      <c r="J353" s="31">
        <f t="shared" si="166"/>
        <v>23.195454545454556</v>
      </c>
      <c r="K353" s="32" t="str">
        <f t="shared" si="157"/>
        <v>CON-053B|MAT</v>
      </c>
      <c r="L353" s="32">
        <f>COUNTIFS($K$2:K353,K353)</f>
        <v>7</v>
      </c>
      <c r="M353" s="32" t="str">
        <f t="shared" si="158"/>
        <v>CON-053B|MAT|7</v>
      </c>
      <c r="N353" s="121">
        <f>IFERROR(VLOOKUP(A353,PARTIDAS!A:F,6,FALSE()),0)</f>
        <v>15.5</v>
      </c>
      <c r="O353" s="123">
        <f t="shared" si="155"/>
        <v>0</v>
      </c>
      <c r="P353" s="123" t="str">
        <f>+_xlfn.XLOOKUP(A353,PPTO_GENERADOR!Q:Q,PPTO_GENERADOR!E:E,"-",0)</f>
        <v>-</v>
      </c>
      <c r="Q353" s="123">
        <f t="shared" si="156"/>
        <v>0</v>
      </c>
      <c r="R353" s="125" t="str">
        <f>+_xlfn.XLOOKUP(A353,PPTO_GENERADOR!$Q:$Q,PPTO_GENERADOR!A:A,"-",0)</f>
        <v>-</v>
      </c>
    </row>
    <row r="354" spans="1:18" ht="14.25" customHeight="1" x14ac:dyDescent="0.35">
      <c r="A354" s="105" t="s">
        <v>1850</v>
      </c>
      <c r="B354" s="105" t="s">
        <v>1981</v>
      </c>
      <c r="C354" s="105" t="s">
        <v>1982</v>
      </c>
      <c r="D354" s="105" t="s">
        <v>1033</v>
      </c>
      <c r="E354" s="95" t="str">
        <f>IFERROR(VLOOKUP(D354,MATERIALES!A:B,2,FALSE()),"?")</f>
        <v>Rollo de cartón corrugado 0,90 x 25 mts</v>
      </c>
      <c r="F354" s="129" t="str">
        <f>IFERROR(VLOOKUP(D354,MATERIALES!A:C,3,FALSE()),"?")</f>
        <v>u</v>
      </c>
      <c r="G354" s="119">
        <v>0.01</v>
      </c>
      <c r="H354" s="120">
        <v>0.05</v>
      </c>
      <c r="I354" s="96">
        <f>IFERROR(VLOOKUP(D354,MATERIALES!A:D,4,FALSE()),0)</f>
        <v>8173.5537190082696</v>
      </c>
      <c r="J354" s="31">
        <f t="shared" si="166"/>
        <v>85.822314049586836</v>
      </c>
      <c r="K354" s="32" t="str">
        <f t="shared" si="157"/>
        <v>CON-053B|MAT</v>
      </c>
      <c r="L354" s="32">
        <f>COUNTIFS($K$2:K354,K354)</f>
        <v>8</v>
      </c>
      <c r="M354" s="32" t="str">
        <f t="shared" si="158"/>
        <v>CON-053B|MAT|8</v>
      </c>
      <c r="N354" s="121">
        <f>IFERROR(VLOOKUP(A354,PARTIDAS!A:F,6,FALSE()),0)</f>
        <v>15.5</v>
      </c>
      <c r="O354" s="123">
        <f t="shared" si="155"/>
        <v>0</v>
      </c>
      <c r="P354" s="123" t="str">
        <f>+_xlfn.XLOOKUP(A354,PPTO_GENERADOR!Q:Q,PPTO_GENERADOR!E:E,"-",0)</f>
        <v>-</v>
      </c>
      <c r="Q354" s="123">
        <f t="shared" si="156"/>
        <v>0</v>
      </c>
      <c r="R354" s="125" t="str">
        <f>+_xlfn.XLOOKUP(A354,PPTO_GENERADOR!$Q:$Q,PPTO_GENERADOR!A:A,"-",0)</f>
        <v>-</v>
      </c>
    </row>
    <row r="355" spans="1:18" ht="14.25" customHeight="1" x14ac:dyDescent="0.35">
      <c r="A355" s="105" t="s">
        <v>1850</v>
      </c>
      <c r="B355" s="105" t="s">
        <v>1983</v>
      </c>
      <c r="C355" s="105"/>
      <c r="D355" s="105" t="s">
        <v>1503</v>
      </c>
      <c r="E355" s="95" t="str">
        <f>IFERROR(VLOOKUP(D355,EQUIPOS!A:B,2,FALSE()),"?")</f>
        <v>Kit Complementario Silleta Descensor Conector Soga X 50 Mts</v>
      </c>
      <c r="F355" s="129"/>
      <c r="G355" s="119">
        <v>0.75</v>
      </c>
      <c r="H355" s="120">
        <v>0</v>
      </c>
      <c r="I355" s="96">
        <f>IFERROR(VLOOKUP(D355,EQUIPOS!A:F,6,FALSE()),0)</f>
        <v>2064.2076262094447</v>
      </c>
      <c r="J355" s="31">
        <f t="shared" ref="J355:J358" si="167">G355*I355</f>
        <v>1548.1557196570834</v>
      </c>
      <c r="K355" s="32" t="str">
        <f t="shared" si="157"/>
        <v>CON-053B|EQ</v>
      </c>
      <c r="L355" s="32">
        <f>COUNTIFS($K$2:K355,K355)</f>
        <v>1</v>
      </c>
      <c r="M355" s="32" t="str">
        <f t="shared" si="158"/>
        <v>CON-053B|EQ|1</v>
      </c>
      <c r="N355" s="121">
        <f>IFERROR(VLOOKUP(A355,PARTIDAS!A:F,6,FALSE()),0)</f>
        <v>15.5</v>
      </c>
      <c r="O355" s="123">
        <f t="shared" si="155"/>
        <v>0</v>
      </c>
      <c r="P355" s="123" t="str">
        <f>+_xlfn.XLOOKUP(A355,PPTO_GENERADOR!Q:Q,PPTO_GENERADOR!E:E,"-",0)</f>
        <v>-</v>
      </c>
      <c r="Q355" s="123">
        <f t="shared" si="156"/>
        <v>0</v>
      </c>
      <c r="R355" s="125" t="str">
        <f>+_xlfn.XLOOKUP(A355,PPTO_GENERADOR!$Q:$Q,PPTO_GENERADOR!A:A,"-",0)</f>
        <v>-</v>
      </c>
    </row>
    <row r="356" spans="1:18" ht="14.25" customHeight="1" x14ac:dyDescent="0.35">
      <c r="A356" s="105" t="s">
        <v>1850</v>
      </c>
      <c r="B356" s="105" t="s">
        <v>1983</v>
      </c>
      <c r="C356" s="105"/>
      <c r="D356" s="105" t="s">
        <v>1313</v>
      </c>
      <c r="E356" s="95" t="str">
        <f>IFERROR(VLOOKUP(D356,EQUIPOS!A:B,2,FALSE()),"?")</f>
        <v>ANDAMIO TUBULAR DE UNO A TRES CUERPOS</v>
      </c>
      <c r="F356" s="129"/>
      <c r="G356" s="119">
        <v>0.5</v>
      </c>
      <c r="H356" s="120">
        <v>0</v>
      </c>
      <c r="I356" s="96">
        <f>IFERROR(VLOOKUP(D356,EQUIPOS!A:F,6,FALSE()),0)</f>
        <v>620.81078197718341</v>
      </c>
      <c r="J356" s="31">
        <f t="shared" si="167"/>
        <v>310.40539098859171</v>
      </c>
      <c r="K356" s="32" t="str">
        <f t="shared" si="157"/>
        <v>CON-053B|EQ</v>
      </c>
      <c r="L356" s="32">
        <f>COUNTIFS($K$2:K356,K356)</f>
        <v>2</v>
      </c>
      <c r="M356" s="32" t="str">
        <f t="shared" si="158"/>
        <v>CON-053B|EQ|2</v>
      </c>
      <c r="N356" s="121">
        <f>IFERROR(VLOOKUP(A356,PARTIDAS!A:F,6,FALSE()),0)</f>
        <v>15.5</v>
      </c>
      <c r="O356" s="123">
        <f t="shared" si="155"/>
        <v>0</v>
      </c>
      <c r="P356" s="123" t="str">
        <f>+_xlfn.XLOOKUP(A356,PPTO_GENERADOR!Q:Q,PPTO_GENERADOR!E:E,"-",0)</f>
        <v>-</v>
      </c>
      <c r="Q356" s="123">
        <f t="shared" si="156"/>
        <v>0</v>
      </c>
      <c r="R356" s="125" t="str">
        <f>+_xlfn.XLOOKUP(A356,PPTO_GENERADOR!$Q:$Q,PPTO_GENERADOR!A:A,"-",0)</f>
        <v>-</v>
      </c>
    </row>
    <row r="357" spans="1:18" ht="14.25" customHeight="1" x14ac:dyDescent="0.35">
      <c r="A357" s="105" t="s">
        <v>1850</v>
      </c>
      <c r="B357" s="105" t="s">
        <v>1983</v>
      </c>
      <c r="C357" s="105"/>
      <c r="D357" s="105" t="s">
        <v>1311</v>
      </c>
      <c r="E357" s="95" t="str">
        <f>IFERROR(VLOOKUP(D357,EQUIPOS!A:B,2,FALSE()),"?")</f>
        <v>ESCALERA GLOSS ALUMINIO ARTICULADA 4 X 4 ESCALONES HASTA 150KG</v>
      </c>
      <c r="F357" s="129"/>
      <c r="G357" s="119">
        <v>1</v>
      </c>
      <c r="H357" s="120">
        <v>0</v>
      </c>
      <c r="I357" s="96">
        <f>IFERROR(VLOOKUP(D357,EQUIPOS!A:F,6,FALSE()),0)</f>
        <v>152.38027427373819</v>
      </c>
      <c r="J357" s="31">
        <f t="shared" si="167"/>
        <v>152.38027427373819</v>
      </c>
      <c r="K357" s="32" t="str">
        <f t="shared" si="157"/>
        <v>CON-053B|EQ</v>
      </c>
      <c r="L357" s="32">
        <f>COUNTIFS($K$2:K357,K357)</f>
        <v>3</v>
      </c>
      <c r="M357" s="32" t="str">
        <f t="shared" si="158"/>
        <v>CON-053B|EQ|3</v>
      </c>
      <c r="N357" s="121">
        <f>IFERROR(VLOOKUP(A357,PARTIDAS!A:F,6,FALSE()),0)</f>
        <v>15.5</v>
      </c>
      <c r="O357" s="123">
        <f t="shared" si="155"/>
        <v>0</v>
      </c>
      <c r="P357" s="123" t="str">
        <f>+_xlfn.XLOOKUP(A357,PPTO_GENERADOR!Q:Q,PPTO_GENERADOR!E:E,"-",0)</f>
        <v>-</v>
      </c>
      <c r="Q357" s="123">
        <f t="shared" si="156"/>
        <v>0</v>
      </c>
      <c r="R357" s="125" t="str">
        <f>+_xlfn.XLOOKUP(A357,PPTO_GENERADOR!$Q:$Q,PPTO_GENERADOR!A:A,"-",0)</f>
        <v>-</v>
      </c>
    </row>
    <row r="358" spans="1:18" ht="14.25" customHeight="1" x14ac:dyDescent="0.35">
      <c r="A358" s="105" t="s">
        <v>1850</v>
      </c>
      <c r="B358" s="105" t="s">
        <v>1983</v>
      </c>
      <c r="C358" s="105"/>
      <c r="D358" s="105" t="s">
        <v>1327</v>
      </c>
      <c r="E358" s="95" t="str">
        <f>IFERROR(VLOOKUP(D358,EQUIPOS!A:B,2,FALSE()),"?")</f>
        <v>EQUIPO PARA PINTAR</v>
      </c>
      <c r="F358" s="129"/>
      <c r="G358" s="119">
        <v>1</v>
      </c>
      <c r="H358" s="120">
        <v>0</v>
      </c>
      <c r="I358" s="96">
        <f>IFERROR(VLOOKUP(D358,EQUIPOS!A:F,6,FALSE()),0)</f>
        <v>1873.3963608356808</v>
      </c>
      <c r="J358" s="31">
        <f t="shared" si="167"/>
        <v>1873.3963608356808</v>
      </c>
      <c r="K358" s="32" t="str">
        <f t="shared" si="157"/>
        <v>CON-053B|EQ</v>
      </c>
      <c r="L358" s="32">
        <f>COUNTIFS($K$2:K358,K358)</f>
        <v>4</v>
      </c>
      <c r="M358" s="32" t="str">
        <f t="shared" si="158"/>
        <v>CON-053B|EQ|4</v>
      </c>
      <c r="N358" s="121">
        <f>IFERROR(VLOOKUP(A358,PARTIDAS!A:F,6,FALSE()),0)</f>
        <v>15.5</v>
      </c>
      <c r="O358" s="123">
        <f t="shared" si="155"/>
        <v>0</v>
      </c>
      <c r="P358" s="123" t="str">
        <f>+_xlfn.XLOOKUP(A358,PPTO_GENERADOR!Q:Q,PPTO_GENERADOR!E:E,"-",0)</f>
        <v>-</v>
      </c>
      <c r="Q358" s="123">
        <f t="shared" si="156"/>
        <v>0</v>
      </c>
      <c r="R358" s="125" t="str">
        <f>+_xlfn.XLOOKUP(A358,PPTO_GENERADOR!$Q:$Q,PPTO_GENERADOR!A:A,"-",0)</f>
        <v>-</v>
      </c>
    </row>
    <row r="359" spans="1:18" ht="14.25" customHeight="1" x14ac:dyDescent="0.35">
      <c r="A359" s="105" t="s">
        <v>1850</v>
      </c>
      <c r="B359" s="105" t="s">
        <v>1979</v>
      </c>
      <c r="C359" s="105" t="s">
        <v>1980</v>
      </c>
      <c r="D359" s="105" t="s">
        <v>1292</v>
      </c>
      <c r="E359" s="95" t="str">
        <f>IFERROR(VLOOKUP(D359,MANO_DE_OBRA!A:B,2,FALSE()),"?")</f>
        <v>ESPECIALIZADO</v>
      </c>
      <c r="F359" s="129" t="s">
        <v>2042</v>
      </c>
      <c r="G359" s="119">
        <v>1</v>
      </c>
      <c r="H359" s="120">
        <v>0</v>
      </c>
      <c r="I359" s="96">
        <f>IFERROR(VLOOKUP(D359,MANO_DE_OBRA!A:C,3,FALSE()),0)</f>
        <v>94177.137883538904</v>
      </c>
      <c r="J359" s="31">
        <f t="shared" ref="J359" si="168">G359*I359</f>
        <v>94177.137883538904</v>
      </c>
      <c r="K359" s="32" t="str">
        <f t="shared" si="157"/>
        <v>CON-053B|MO</v>
      </c>
      <c r="L359" s="32">
        <f>COUNTIFS($K$2:K359,K359)</f>
        <v>1</v>
      </c>
      <c r="M359" s="32" t="str">
        <f t="shared" si="158"/>
        <v>CON-053B|MO|1</v>
      </c>
      <c r="N359" s="121">
        <f>IFERROR(VLOOKUP(A359,PARTIDAS!A:F,6,FALSE()),0)</f>
        <v>15.5</v>
      </c>
      <c r="O359" s="123">
        <f t="shared" si="155"/>
        <v>6.4516129032258063E-2</v>
      </c>
      <c r="P359" s="123" t="str">
        <f>+_xlfn.XLOOKUP(A359,PPTO_GENERADOR!Q:Q,PPTO_GENERADOR!E:E,"-",0)</f>
        <v>-</v>
      </c>
      <c r="Q359" s="123">
        <f t="shared" si="156"/>
        <v>0</v>
      </c>
      <c r="R359" s="125" t="str">
        <f>+_xlfn.XLOOKUP(A359,PPTO_GENERADOR!$Q:$Q,PPTO_GENERADOR!A:A,"-",0)</f>
        <v>-</v>
      </c>
    </row>
    <row r="360" spans="1:18" ht="14.25" customHeight="1" x14ac:dyDescent="0.35">
      <c r="A360" s="105" t="s">
        <v>1853</v>
      </c>
      <c r="B360" s="105" t="s">
        <v>1981</v>
      </c>
      <c r="C360" s="105" t="s">
        <v>1982</v>
      </c>
      <c r="D360" s="105" t="s">
        <v>916</v>
      </c>
      <c r="E360" s="95" t="str">
        <f>IFERROR(VLOOKUP(D360,MATERIALES!A:B,2,FALSE()),"?")</f>
        <v>Esmalte sintetico satinado Satinol Blanco x 4lts</v>
      </c>
      <c r="F360" s="129">
        <f>IFERROR(VLOOKUP(D360,MATERIALES!A:C,3,FALSE()),"?")</f>
        <v>0</v>
      </c>
      <c r="G360" s="119">
        <v>6.2460000000000002E-2</v>
      </c>
      <c r="H360" s="120">
        <v>0.1</v>
      </c>
      <c r="I360" s="96">
        <f>IFERROR(VLOOKUP(D360,MATERIALES!A:D,4,FALSE()),0)</f>
        <v>50027.272727272699</v>
      </c>
      <c r="J360" s="31">
        <f t="shared" ref="J360:J365" si="169">G360*I360*(1+H360)</f>
        <v>3437.1737999999987</v>
      </c>
      <c r="K360" s="32" t="str">
        <f t="shared" si="157"/>
        <v>CON-054|MAT</v>
      </c>
      <c r="L360" s="32">
        <f>COUNTIFS($K$2:K360,K360)</f>
        <v>1</v>
      </c>
      <c r="M360" s="32" t="str">
        <f t="shared" si="158"/>
        <v>CON-054|MAT|1</v>
      </c>
      <c r="N360" s="121">
        <f>IFERROR(VLOOKUP(A360,PARTIDAS!A:F,6,FALSE()),0)</f>
        <v>8</v>
      </c>
      <c r="O360" s="123">
        <f t="shared" si="155"/>
        <v>0</v>
      </c>
      <c r="P360" s="123" t="str">
        <f>+_xlfn.XLOOKUP(A360,PPTO_GENERADOR!Q:Q,PPTO_GENERADOR!E:E,"-",0)</f>
        <v>-</v>
      </c>
      <c r="Q360" s="123">
        <f t="shared" si="156"/>
        <v>0</v>
      </c>
      <c r="R360" s="125" t="str">
        <f>+_xlfn.XLOOKUP(A360,PPTO_GENERADOR!$Q:$Q,PPTO_GENERADOR!A:A,"-",0)</f>
        <v>-</v>
      </c>
    </row>
    <row r="361" spans="1:18" ht="14.25" customHeight="1" x14ac:dyDescent="0.35">
      <c r="A361" s="105" t="s">
        <v>1853</v>
      </c>
      <c r="B361" s="105" t="s">
        <v>1981</v>
      </c>
      <c r="C361" s="105" t="s">
        <v>1982</v>
      </c>
      <c r="D361" s="105" t="s">
        <v>593</v>
      </c>
      <c r="E361" s="95" t="str">
        <f>IFERROR(VLOOKUP(D361,MATERIALES!A:B,2,FALSE()),"?")</f>
        <v>Aguarras Hydrarras Hydra x 18lts</v>
      </c>
      <c r="F361" s="129">
        <f>IFERROR(VLOOKUP(D361,MATERIALES!A:C,3,FALSE()),"?")</f>
        <v>0</v>
      </c>
      <c r="G361" s="119">
        <v>5.0400000000000002E-3</v>
      </c>
      <c r="H361" s="120">
        <v>0.1</v>
      </c>
      <c r="I361" s="96">
        <f>IFERROR(VLOOKUP(D361,MATERIALES!A:D,4,FALSE()),0)</f>
        <v>58016.528925619801</v>
      </c>
      <c r="J361" s="31">
        <f t="shared" si="169"/>
        <v>321.64363636363618</v>
      </c>
      <c r="K361" s="32" t="str">
        <f t="shared" si="157"/>
        <v>CON-054|MAT</v>
      </c>
      <c r="L361" s="32">
        <f>COUNTIFS($K$2:K361,K361)</f>
        <v>2</v>
      </c>
      <c r="M361" s="32" t="str">
        <f t="shared" si="158"/>
        <v>CON-054|MAT|2</v>
      </c>
      <c r="N361" s="121">
        <f>IFERROR(VLOOKUP(A361,PARTIDAS!A:F,6,FALSE()),0)</f>
        <v>8</v>
      </c>
      <c r="O361" s="123">
        <f t="shared" si="155"/>
        <v>0</v>
      </c>
      <c r="P361" s="123" t="str">
        <f>+_xlfn.XLOOKUP(A361,PPTO_GENERADOR!Q:Q,PPTO_GENERADOR!E:E,"-",0)</f>
        <v>-</v>
      </c>
      <c r="Q361" s="123">
        <f t="shared" si="156"/>
        <v>0</v>
      </c>
      <c r="R361" s="125" t="str">
        <f>+_xlfn.XLOOKUP(A361,PPTO_GENERADOR!$Q:$Q,PPTO_GENERADOR!A:A,"-",0)</f>
        <v>-</v>
      </c>
    </row>
    <row r="362" spans="1:18" ht="14.25" customHeight="1" x14ac:dyDescent="0.35">
      <c r="A362" s="105" t="s">
        <v>1853</v>
      </c>
      <c r="B362" s="105" t="s">
        <v>1981</v>
      </c>
      <c r="C362" s="105" t="s">
        <v>1982</v>
      </c>
      <c r="D362" s="105" t="s">
        <v>586</v>
      </c>
      <c r="E362" s="95" t="str">
        <f>IFERROR(VLOOKUP(D362,MATERIALES!A:B,2,FALSE()),"?")</f>
        <v>Trapo</v>
      </c>
      <c r="F362" s="129">
        <f>IFERROR(VLOOKUP(D362,MATERIALES!A:C,3,FALSE()),"?")</f>
        <v>0</v>
      </c>
      <c r="G362" s="119">
        <v>9.9900000000000006E-3</v>
      </c>
      <c r="H362" s="120">
        <v>0.05</v>
      </c>
      <c r="I362" s="96">
        <f>IFERROR(VLOOKUP(D362,MATERIALES!A:D,4,FALSE()),0)</f>
        <v>1182.6446280991699</v>
      </c>
      <c r="J362" s="31">
        <f t="shared" si="169"/>
        <v>12.405350826446243</v>
      </c>
      <c r="K362" s="32" t="str">
        <f t="shared" si="157"/>
        <v>CON-054|MAT</v>
      </c>
      <c r="L362" s="32">
        <f>COUNTIFS($K$2:K362,K362)</f>
        <v>3</v>
      </c>
      <c r="M362" s="32" t="str">
        <f t="shared" si="158"/>
        <v>CON-054|MAT|3</v>
      </c>
      <c r="N362" s="121">
        <f>IFERROR(VLOOKUP(A362,PARTIDAS!A:F,6,FALSE()),0)</f>
        <v>8</v>
      </c>
      <c r="O362" s="123">
        <f t="shared" si="155"/>
        <v>0</v>
      </c>
      <c r="P362" s="123" t="str">
        <f>+_xlfn.XLOOKUP(A362,PPTO_GENERADOR!Q:Q,PPTO_GENERADOR!E:E,"-",0)</f>
        <v>-</v>
      </c>
      <c r="Q362" s="123">
        <f t="shared" si="156"/>
        <v>0</v>
      </c>
      <c r="R362" s="125" t="str">
        <f>+_xlfn.XLOOKUP(A362,PPTO_GENERADOR!$Q:$Q,PPTO_GENERADOR!A:A,"-",0)</f>
        <v>-</v>
      </c>
    </row>
    <row r="363" spans="1:18" ht="14.25" customHeight="1" x14ac:dyDescent="0.35">
      <c r="A363" s="105" t="s">
        <v>1853</v>
      </c>
      <c r="B363" s="105" t="s">
        <v>1981</v>
      </c>
      <c r="C363" s="105" t="s">
        <v>1982</v>
      </c>
      <c r="D363" s="105" t="s">
        <v>584</v>
      </c>
      <c r="E363" s="95" t="str">
        <f>IFERROR(VLOOKUP(D363,MATERIALES!A:B,2,FALSE()),"?")</f>
        <v>Cinta de Papel 36 mm x 40m</v>
      </c>
      <c r="F363" s="129">
        <f>IFERROR(VLOOKUP(D363,MATERIALES!A:C,3,FALSE()),"?")</f>
        <v>0</v>
      </c>
      <c r="G363" s="119">
        <v>5.0040000000000001E-2</v>
      </c>
      <c r="H363" s="120">
        <v>0.1</v>
      </c>
      <c r="I363" s="96">
        <f>IFERROR(VLOOKUP(D363,MATERIALES!A:D,4,FALSE()),0)</f>
        <v>5885.9504132231395</v>
      </c>
      <c r="J363" s="31">
        <f t="shared" si="169"/>
        <v>323.98625454545447</v>
      </c>
      <c r="K363" s="32" t="str">
        <f t="shared" si="157"/>
        <v>CON-054|MAT</v>
      </c>
      <c r="L363" s="32">
        <f>COUNTIFS($K$2:K363,K363)</f>
        <v>4</v>
      </c>
      <c r="M363" s="32" t="str">
        <f t="shared" si="158"/>
        <v>CON-054|MAT|4</v>
      </c>
      <c r="N363" s="121">
        <f>IFERROR(VLOOKUP(A363,PARTIDAS!A:F,6,FALSE()),0)</f>
        <v>8</v>
      </c>
      <c r="O363" s="123">
        <f t="shared" si="155"/>
        <v>0</v>
      </c>
      <c r="P363" s="123" t="str">
        <f>+_xlfn.XLOOKUP(A363,PPTO_GENERADOR!Q:Q,PPTO_GENERADOR!E:E,"-",0)</f>
        <v>-</v>
      </c>
      <c r="Q363" s="123">
        <f t="shared" si="156"/>
        <v>0</v>
      </c>
      <c r="R363" s="125" t="str">
        <f>+_xlfn.XLOOKUP(A363,PPTO_GENERADOR!$Q:$Q,PPTO_GENERADOR!A:A,"-",0)</f>
        <v>-</v>
      </c>
    </row>
    <row r="364" spans="1:18" ht="14.25" customHeight="1" x14ac:dyDescent="0.35">
      <c r="A364" s="105" t="s">
        <v>1853</v>
      </c>
      <c r="B364" s="105" t="s">
        <v>1981</v>
      </c>
      <c r="C364" s="105" t="s">
        <v>1982</v>
      </c>
      <c r="D364" s="105" t="s">
        <v>582</v>
      </c>
      <c r="E364" s="95" t="str">
        <f>IFERROR(VLOOKUP(D364,MATERIALES!A:B,2,FALSE()),"?")</f>
        <v>Lija 180 al agua x 10u</v>
      </c>
      <c r="F364" s="129">
        <f>IFERROR(VLOOKUP(D364,MATERIALES!A:C,3,FALSE()),"?")</f>
        <v>0</v>
      </c>
      <c r="G364" s="119">
        <v>1.9980000000000001E-2</v>
      </c>
      <c r="H364" s="120">
        <v>0.05</v>
      </c>
      <c r="I364" s="96">
        <f>IFERROR(VLOOKUP(D364,MATERIALES!A:D,4,FALSE()),0)</f>
        <v>7917.3553719008296</v>
      </c>
      <c r="J364" s="31">
        <f t="shared" si="169"/>
        <v>166.09819834710751</v>
      </c>
      <c r="K364" s="32" t="str">
        <f t="shared" si="157"/>
        <v>CON-054|MAT</v>
      </c>
      <c r="L364" s="32">
        <f>COUNTIFS($K$2:K364,K364)</f>
        <v>5</v>
      </c>
      <c r="M364" s="32" t="str">
        <f t="shared" si="158"/>
        <v>CON-054|MAT|5</v>
      </c>
      <c r="N364" s="121">
        <f>IFERROR(VLOOKUP(A364,PARTIDAS!A:F,6,FALSE()),0)</f>
        <v>8</v>
      </c>
      <c r="O364" s="123">
        <f t="shared" si="155"/>
        <v>0</v>
      </c>
      <c r="P364" s="123" t="str">
        <f>+_xlfn.XLOOKUP(A364,PPTO_GENERADOR!Q:Q,PPTO_GENERADOR!E:E,"-",0)</f>
        <v>-</v>
      </c>
      <c r="Q364" s="123">
        <f t="shared" si="156"/>
        <v>0</v>
      </c>
      <c r="R364" s="125" t="str">
        <f>+_xlfn.XLOOKUP(A364,PPTO_GENERADOR!$Q:$Q,PPTO_GENERADOR!A:A,"-",0)</f>
        <v>-</v>
      </c>
    </row>
    <row r="365" spans="1:18" ht="14.25" customHeight="1" x14ac:dyDescent="0.35">
      <c r="A365" s="105" t="s">
        <v>1853</v>
      </c>
      <c r="B365" s="105" t="s">
        <v>1981</v>
      </c>
      <c r="C365" s="105" t="s">
        <v>1982</v>
      </c>
      <c r="D365" s="105" t="s">
        <v>922</v>
      </c>
      <c r="E365" s="95" t="str">
        <f>IFERROR(VLOOKUP(D365,MATERIALES!A:B,2,FALSE()),"?")</f>
        <v>Rodillo de lana pelo largo N°22 - El Galgo</v>
      </c>
      <c r="F365" s="129" t="str">
        <f>IFERROR(VLOOKUP(D365,MATERIALES!A:C,3,FALSE()),"?")</f>
        <v>u</v>
      </c>
      <c r="G365" s="119">
        <v>0.01</v>
      </c>
      <c r="H365" s="120">
        <v>0.05</v>
      </c>
      <c r="I365" s="96">
        <f>IFERROR(VLOOKUP(D365,MATERIALES!A:D,4,FALSE()),0)</f>
        <v>6442.15</v>
      </c>
      <c r="J365" s="31">
        <f t="shared" si="169"/>
        <v>67.642574999999994</v>
      </c>
      <c r="K365" s="32" t="str">
        <f t="shared" si="157"/>
        <v>CON-054|MAT</v>
      </c>
      <c r="L365" s="32">
        <f>COUNTIFS($K$2:K365,K365)</f>
        <v>6</v>
      </c>
      <c r="M365" s="32" t="str">
        <f t="shared" si="158"/>
        <v>CON-054|MAT|6</v>
      </c>
      <c r="N365" s="121">
        <f>IFERROR(VLOOKUP(A365,PARTIDAS!A:F,6,FALSE()),0)</f>
        <v>8</v>
      </c>
      <c r="O365" s="123">
        <f t="shared" si="155"/>
        <v>0</v>
      </c>
      <c r="P365" s="123" t="str">
        <f>+_xlfn.XLOOKUP(A365,PPTO_GENERADOR!Q:Q,PPTO_GENERADOR!E:E,"-",0)</f>
        <v>-</v>
      </c>
      <c r="Q365" s="123">
        <f t="shared" si="156"/>
        <v>0</v>
      </c>
      <c r="R365" s="125" t="str">
        <f>+_xlfn.XLOOKUP(A365,PPTO_GENERADOR!$Q:$Q,PPTO_GENERADOR!A:A,"-",0)</f>
        <v>-</v>
      </c>
    </row>
    <row r="366" spans="1:18" ht="14.25" customHeight="1" x14ac:dyDescent="0.35">
      <c r="A366" s="105" t="s">
        <v>1853</v>
      </c>
      <c r="B366" s="105" t="s">
        <v>1983</v>
      </c>
      <c r="C366" s="105"/>
      <c r="D366" s="105" t="s">
        <v>1509</v>
      </c>
      <c r="E366" s="95" t="str">
        <f>IFERROR(VLOOKUP(D366,EQUIPOS!A:B,2,FALSE()),"?")</f>
        <v>Escalera madera pintor 8 escalones</v>
      </c>
      <c r="F366" s="129"/>
      <c r="G366" s="119">
        <v>1</v>
      </c>
      <c r="H366" s="120">
        <v>0</v>
      </c>
      <c r="I366" s="96">
        <f>IFERROR(VLOOKUP(D366,EQUIPOS!A:F,6,FALSE()),0)</f>
        <v>217.65359719478195</v>
      </c>
      <c r="J366" s="31">
        <f t="shared" ref="J366:J367" si="170">G366*I366</f>
        <v>217.65359719478195</v>
      </c>
      <c r="K366" s="32" t="str">
        <f t="shared" ref="K366:K392" si="171">A366&amp;"|"&amp;B366</f>
        <v>CON-054|EQ</v>
      </c>
      <c r="L366" s="32">
        <f>COUNTIFS($K$2:K366,K366)</f>
        <v>1</v>
      </c>
      <c r="M366" s="32" t="str">
        <f t="shared" si="158"/>
        <v>CON-054|EQ|1</v>
      </c>
      <c r="N366" s="121">
        <f>IFERROR(VLOOKUP(A366,PARTIDAS!A:F,6,FALSE()),0)</f>
        <v>8</v>
      </c>
      <c r="O366" s="123">
        <f t="shared" si="155"/>
        <v>0</v>
      </c>
      <c r="P366" s="123" t="str">
        <f>+_xlfn.XLOOKUP(A366,PPTO_GENERADOR!Q:Q,PPTO_GENERADOR!E:E,"-",0)</f>
        <v>-</v>
      </c>
      <c r="Q366" s="123">
        <f t="shared" si="156"/>
        <v>0</v>
      </c>
      <c r="R366" s="125" t="str">
        <f>+_xlfn.XLOOKUP(A366,PPTO_GENERADOR!$Q:$Q,PPTO_GENERADOR!A:A,"-",0)</f>
        <v>-</v>
      </c>
    </row>
    <row r="367" spans="1:18" ht="14.25" customHeight="1" x14ac:dyDescent="0.35">
      <c r="A367" s="105" t="s">
        <v>1853</v>
      </c>
      <c r="B367" s="105" t="s">
        <v>1983</v>
      </c>
      <c r="C367" s="105"/>
      <c r="D367" s="105" t="s">
        <v>1327</v>
      </c>
      <c r="E367" s="95" t="str">
        <f>IFERROR(VLOOKUP(D367,EQUIPOS!A:B,2,FALSE()),"?")</f>
        <v>EQUIPO PARA PINTAR</v>
      </c>
      <c r="F367" s="129"/>
      <c r="G367" s="119">
        <v>1</v>
      </c>
      <c r="H367" s="120">
        <v>0</v>
      </c>
      <c r="I367" s="96">
        <f>IFERROR(VLOOKUP(D367,EQUIPOS!A:F,6,FALSE()),0)</f>
        <v>1873.3963608356808</v>
      </c>
      <c r="J367" s="31">
        <f t="shared" si="170"/>
        <v>1873.3963608356808</v>
      </c>
      <c r="K367" s="32" t="str">
        <f t="shared" si="171"/>
        <v>CON-054|EQ</v>
      </c>
      <c r="L367" s="32">
        <f>COUNTIFS($K$2:K367,K367)</f>
        <v>2</v>
      </c>
      <c r="M367" s="32" t="str">
        <f t="shared" si="158"/>
        <v>CON-054|EQ|2</v>
      </c>
      <c r="N367" s="121">
        <f>IFERROR(VLOOKUP(A367,PARTIDAS!A:F,6,FALSE()),0)</f>
        <v>8</v>
      </c>
      <c r="O367" s="123">
        <f t="shared" si="155"/>
        <v>0</v>
      </c>
      <c r="P367" s="123" t="str">
        <f>+_xlfn.XLOOKUP(A367,PPTO_GENERADOR!Q:Q,PPTO_GENERADOR!E:E,"-",0)</f>
        <v>-</v>
      </c>
      <c r="Q367" s="123">
        <f t="shared" si="156"/>
        <v>0</v>
      </c>
      <c r="R367" s="125" t="str">
        <f>+_xlfn.XLOOKUP(A367,PPTO_GENERADOR!$Q:$Q,PPTO_GENERADOR!A:A,"-",0)</f>
        <v>-</v>
      </c>
    </row>
    <row r="368" spans="1:18" ht="14.25" customHeight="1" x14ac:dyDescent="0.35">
      <c r="A368" s="105" t="s">
        <v>1853</v>
      </c>
      <c r="B368" s="105" t="s">
        <v>1979</v>
      </c>
      <c r="C368" s="105" t="s">
        <v>1980</v>
      </c>
      <c r="D368" s="105" t="s">
        <v>1292</v>
      </c>
      <c r="E368" s="95" t="str">
        <f>IFERROR(VLOOKUP(D368,MANO_DE_OBRA!A:B,2,FALSE()),"?")</f>
        <v>ESPECIALIZADO</v>
      </c>
      <c r="F368" s="129" t="s">
        <v>2042</v>
      </c>
      <c r="G368" s="119">
        <v>1</v>
      </c>
      <c r="H368" s="120">
        <v>0</v>
      </c>
      <c r="I368" s="96">
        <f>IFERROR(VLOOKUP(D368,MANO_DE_OBRA!A:C,3,FALSE()),0)</f>
        <v>94177.137883538904</v>
      </c>
      <c r="J368" s="31">
        <f t="shared" ref="J368" si="172">G368*I368</f>
        <v>94177.137883538904</v>
      </c>
      <c r="K368" s="32" t="str">
        <f t="shared" si="171"/>
        <v>CON-054|MO</v>
      </c>
      <c r="L368" s="32">
        <f>COUNTIFS($K$2:K368,K368)</f>
        <v>1</v>
      </c>
      <c r="M368" s="32" t="str">
        <f t="shared" si="158"/>
        <v>CON-054|MO|1</v>
      </c>
      <c r="N368" s="121">
        <f>IFERROR(VLOOKUP(A368,PARTIDAS!A:F,6,FALSE()),0)</f>
        <v>8</v>
      </c>
      <c r="O368" s="123">
        <f t="shared" si="155"/>
        <v>0.125</v>
      </c>
      <c r="P368" s="123" t="str">
        <f>+_xlfn.XLOOKUP(A368,PPTO_GENERADOR!Q:Q,PPTO_GENERADOR!E:E,"-",0)</f>
        <v>-</v>
      </c>
      <c r="Q368" s="123">
        <f t="shared" si="156"/>
        <v>0</v>
      </c>
      <c r="R368" s="125" t="str">
        <f>+_xlfn.XLOOKUP(A368,PPTO_GENERADOR!$Q:$Q,PPTO_GENERADOR!A:A,"-",0)</f>
        <v>-</v>
      </c>
    </row>
    <row r="369" spans="1:18" ht="14.25" customHeight="1" x14ac:dyDescent="0.35">
      <c r="A369" s="105" t="s">
        <v>1857</v>
      </c>
      <c r="B369" s="105" t="s">
        <v>1981</v>
      </c>
      <c r="C369" s="105" t="s">
        <v>1982</v>
      </c>
      <c r="D369" s="105" t="s">
        <v>981</v>
      </c>
      <c r="E369" s="95" t="str">
        <f>IFERROR(VLOOKUP(D369,MATERIALES!A:B,2,FALSE()),"?")</f>
        <v>Quimtex Romano Fino x 27 kg</v>
      </c>
      <c r="F369" s="129" t="str">
        <f>IFERROR(VLOOKUP(D369,MATERIALES!A:C,3,FALSE()),"?")</f>
        <v>u</v>
      </c>
      <c r="G369" s="119">
        <v>7.3999999999999996E-2</v>
      </c>
      <c r="H369" s="120">
        <v>0.1</v>
      </c>
      <c r="I369" s="96">
        <f>IFERROR(VLOOKUP(D369,MATERIALES!A:D,4,FALSE()),0)</f>
        <v>66598.347106999994</v>
      </c>
      <c r="J369" s="31">
        <f t="shared" ref="J369:J374" si="173">G369*I369*(1+H369)</f>
        <v>5421.1054545097995</v>
      </c>
      <c r="K369" s="32" t="str">
        <f t="shared" si="171"/>
        <v>PIR-055|MAT</v>
      </c>
      <c r="L369" s="32">
        <f>COUNTIFS($K$2:K369,K369)</f>
        <v>1</v>
      </c>
      <c r="M369" s="32" t="str">
        <f t="shared" si="158"/>
        <v>PIR-055|MAT|1</v>
      </c>
      <c r="N369" s="121">
        <f>IFERROR(VLOOKUP(A369,PARTIDAS!A:F,6,FALSE()),0)</f>
        <v>20</v>
      </c>
      <c r="O369" s="123">
        <f t="shared" si="155"/>
        <v>0</v>
      </c>
      <c r="P369" s="123" t="str">
        <f>+_xlfn.XLOOKUP(A369,PPTO_GENERADOR!Q:Q,PPTO_GENERADOR!E:E,"-",0)</f>
        <v>-</v>
      </c>
      <c r="Q369" s="123">
        <f t="shared" si="156"/>
        <v>0</v>
      </c>
      <c r="R369" s="125" t="str">
        <f>+_xlfn.XLOOKUP(A369,PPTO_GENERADOR!$Q:$Q,PPTO_GENERADOR!A:A,"-",0)</f>
        <v>-</v>
      </c>
    </row>
    <row r="370" spans="1:18" ht="14.25" customHeight="1" x14ac:dyDescent="0.35">
      <c r="A370" s="105" t="s">
        <v>1857</v>
      </c>
      <c r="B370" s="105" t="s">
        <v>1981</v>
      </c>
      <c r="C370" s="105" t="s">
        <v>1982</v>
      </c>
      <c r="D370" s="105" t="s">
        <v>983</v>
      </c>
      <c r="E370" s="95" t="str">
        <f>IFERROR(VLOOKUP(D370,MATERIALES!A:B,2,FALSE()),"?")</f>
        <v>Quimtex base cuarzo 18 lts</v>
      </c>
      <c r="F370" s="129" t="str">
        <f>IFERROR(VLOOKUP(D370,MATERIALES!A:C,3,FALSE()),"?")</f>
        <v>u</v>
      </c>
      <c r="G370" s="119">
        <v>1.0999999999999999E-2</v>
      </c>
      <c r="H370" s="120">
        <v>0.1</v>
      </c>
      <c r="I370" s="96">
        <f>IFERROR(VLOOKUP(D370,MATERIALES!A:D,4,FALSE()),0)</f>
        <v>102070.247934</v>
      </c>
      <c r="J370" s="31">
        <f t="shared" si="173"/>
        <v>1235.0500000013999</v>
      </c>
      <c r="K370" s="32" t="str">
        <f t="shared" si="171"/>
        <v>PIR-055|MAT</v>
      </c>
      <c r="L370" s="32">
        <f>COUNTIFS($K$2:K370,K370)</f>
        <v>2</v>
      </c>
      <c r="M370" s="32" t="str">
        <f t="shared" si="158"/>
        <v>PIR-055|MAT|2</v>
      </c>
      <c r="N370" s="121">
        <f>IFERROR(VLOOKUP(A370,PARTIDAS!A:F,6,FALSE()),0)</f>
        <v>20</v>
      </c>
      <c r="O370" s="123">
        <f t="shared" si="155"/>
        <v>0</v>
      </c>
      <c r="P370" s="123" t="str">
        <f>+_xlfn.XLOOKUP(A370,PPTO_GENERADOR!Q:Q,PPTO_GENERADOR!E:E,"-",0)</f>
        <v>-</v>
      </c>
      <c r="Q370" s="123">
        <f t="shared" si="156"/>
        <v>0</v>
      </c>
      <c r="R370" s="125" t="str">
        <f>+_xlfn.XLOOKUP(A370,PPTO_GENERADOR!$Q:$Q,PPTO_GENERADOR!A:A,"-",0)</f>
        <v>-</v>
      </c>
    </row>
    <row r="371" spans="1:18" ht="14.25" customHeight="1" x14ac:dyDescent="0.35">
      <c r="A371" s="105" t="s">
        <v>1857</v>
      </c>
      <c r="B371" s="105" t="s">
        <v>1981</v>
      </c>
      <c r="C371" s="105" t="s">
        <v>1982</v>
      </c>
      <c r="D371" s="105" t="s">
        <v>985</v>
      </c>
      <c r="E371" s="95" t="str">
        <f>IFERROR(VLOOKUP(D371,MATERIALES!A:B,2,FALSE()),"?")</f>
        <v>Llana Plastica 12 x 25 cm</v>
      </c>
      <c r="F371" s="129" t="str">
        <f>IFERROR(VLOOKUP(D371,MATERIALES!A:C,3,FALSE()),"?")</f>
        <v>u</v>
      </c>
      <c r="G371" s="119">
        <v>0.01</v>
      </c>
      <c r="H371" s="120">
        <v>0.1</v>
      </c>
      <c r="I371" s="96">
        <f>IFERROR(VLOOKUP(D371,MATERIALES!A:D,4,FALSE()),0)</f>
        <v>13876.033058000001</v>
      </c>
      <c r="J371" s="31">
        <f t="shared" si="173"/>
        <v>152.63636363800003</v>
      </c>
      <c r="K371" s="32" t="str">
        <f t="shared" si="171"/>
        <v>PIR-055|MAT</v>
      </c>
      <c r="L371" s="32">
        <f>COUNTIFS($K$2:K371,K371)</f>
        <v>3</v>
      </c>
      <c r="M371" s="32" t="str">
        <f t="shared" si="158"/>
        <v>PIR-055|MAT|3</v>
      </c>
      <c r="N371" s="121">
        <f>IFERROR(VLOOKUP(A371,PARTIDAS!A:F,6,FALSE()),0)</f>
        <v>20</v>
      </c>
      <c r="O371" s="123">
        <f t="shared" si="155"/>
        <v>0</v>
      </c>
      <c r="P371" s="123" t="str">
        <f>+_xlfn.XLOOKUP(A371,PPTO_GENERADOR!Q:Q,PPTO_GENERADOR!E:E,"-",0)</f>
        <v>-</v>
      </c>
      <c r="Q371" s="123">
        <f t="shared" si="156"/>
        <v>0</v>
      </c>
      <c r="R371" s="125" t="str">
        <f>+_xlfn.XLOOKUP(A371,PPTO_GENERADOR!$Q:$Q,PPTO_GENERADOR!A:A,"-",0)</f>
        <v>-</v>
      </c>
    </row>
    <row r="372" spans="1:18" ht="14.25" customHeight="1" x14ac:dyDescent="0.35">
      <c r="A372" s="105" t="s">
        <v>1857</v>
      </c>
      <c r="B372" s="105" t="s">
        <v>1981</v>
      </c>
      <c r="C372" s="105" t="s">
        <v>1982</v>
      </c>
      <c r="D372" s="105" t="s">
        <v>922</v>
      </c>
      <c r="E372" s="95" t="str">
        <f>IFERROR(VLOOKUP(D372,MATERIALES!A:B,2,FALSE()),"?")</f>
        <v>Rodillo de lana pelo largo N°22 - El Galgo</v>
      </c>
      <c r="F372" s="129" t="str">
        <f>IFERROR(VLOOKUP(D372,MATERIALES!A:C,3,FALSE()),"?")</f>
        <v>u</v>
      </c>
      <c r="G372" s="119">
        <v>5.0000000000000001E-3</v>
      </c>
      <c r="H372" s="120">
        <v>0.05</v>
      </c>
      <c r="I372" s="96">
        <f>IFERROR(VLOOKUP(D372,MATERIALES!A:D,4,FALSE()),0)</f>
        <v>6442.15</v>
      </c>
      <c r="J372" s="31">
        <f t="shared" si="173"/>
        <v>33.821287499999997</v>
      </c>
      <c r="K372" s="32" t="str">
        <f t="shared" si="171"/>
        <v>PIR-055|MAT</v>
      </c>
      <c r="L372" s="32">
        <f>COUNTIFS($K$2:K372,K372)</f>
        <v>4</v>
      </c>
      <c r="M372" s="32" t="str">
        <f t="shared" si="158"/>
        <v>PIR-055|MAT|4</v>
      </c>
      <c r="N372" s="121">
        <f>IFERROR(VLOOKUP(A372,PARTIDAS!A:F,6,FALSE()),0)</f>
        <v>20</v>
      </c>
      <c r="O372" s="123">
        <f t="shared" si="155"/>
        <v>0</v>
      </c>
      <c r="P372" s="123" t="str">
        <f>+_xlfn.XLOOKUP(A372,PPTO_GENERADOR!Q:Q,PPTO_GENERADOR!E:E,"-",0)</f>
        <v>-</v>
      </c>
      <c r="Q372" s="123">
        <f t="shared" si="156"/>
        <v>0</v>
      </c>
      <c r="R372" s="125" t="str">
        <f>+_xlfn.XLOOKUP(A372,PPTO_GENERADOR!$Q:$Q,PPTO_GENERADOR!A:A,"-",0)</f>
        <v>-</v>
      </c>
    </row>
    <row r="373" spans="1:18" ht="14.25" customHeight="1" x14ac:dyDescent="0.35">
      <c r="A373" s="105" t="s">
        <v>1857</v>
      </c>
      <c r="B373" s="105" t="s">
        <v>1981</v>
      </c>
      <c r="C373" s="105" t="s">
        <v>1982</v>
      </c>
      <c r="D373" s="105" t="s">
        <v>586</v>
      </c>
      <c r="E373" s="95" t="str">
        <f>IFERROR(VLOOKUP(D373,MATERIALES!A:B,2,FALSE()),"?")</f>
        <v>Trapo</v>
      </c>
      <c r="F373" s="129">
        <f>IFERROR(VLOOKUP(D373,MATERIALES!A:C,3,FALSE()),"?")</f>
        <v>0</v>
      </c>
      <c r="G373" s="119">
        <v>5.0000000000000001E-3</v>
      </c>
      <c r="H373" s="120">
        <v>0.05</v>
      </c>
      <c r="I373" s="96">
        <f>IFERROR(VLOOKUP(D373,MATERIALES!A:D,4,FALSE()),0)</f>
        <v>1182.6446280991699</v>
      </c>
      <c r="J373" s="31">
        <f t="shared" si="173"/>
        <v>6.2088842975206431</v>
      </c>
      <c r="K373" s="32" t="str">
        <f t="shared" si="171"/>
        <v>PIR-055|MAT</v>
      </c>
      <c r="L373" s="32">
        <f>COUNTIFS($K$2:K373,K373)</f>
        <v>5</v>
      </c>
      <c r="M373" s="32" t="str">
        <f t="shared" si="158"/>
        <v>PIR-055|MAT|5</v>
      </c>
      <c r="N373" s="121">
        <f>IFERROR(VLOOKUP(A373,PARTIDAS!A:F,6,FALSE()),0)</f>
        <v>20</v>
      </c>
      <c r="O373" s="123">
        <f t="shared" si="155"/>
        <v>0</v>
      </c>
      <c r="P373" s="123" t="str">
        <f>+_xlfn.XLOOKUP(A373,PPTO_GENERADOR!Q:Q,PPTO_GENERADOR!E:E,"-",0)</f>
        <v>-</v>
      </c>
      <c r="Q373" s="123">
        <f t="shared" si="156"/>
        <v>0</v>
      </c>
      <c r="R373" s="125" t="str">
        <f>+_xlfn.XLOOKUP(A373,PPTO_GENERADOR!$Q:$Q,PPTO_GENERADOR!A:A,"-",0)</f>
        <v>-</v>
      </c>
    </row>
    <row r="374" spans="1:18" ht="14.25" customHeight="1" x14ac:dyDescent="0.35">
      <c r="A374" s="105" t="s">
        <v>1857</v>
      </c>
      <c r="B374" s="105" t="s">
        <v>1981</v>
      </c>
      <c r="C374" s="105" t="s">
        <v>1982</v>
      </c>
      <c r="D374" s="105" t="s">
        <v>584</v>
      </c>
      <c r="E374" s="95" t="str">
        <f>IFERROR(VLOOKUP(D374,MATERIALES!A:B,2,FALSE()),"?")</f>
        <v>Cinta de Papel 36 mm x 40m</v>
      </c>
      <c r="F374" s="129">
        <f>IFERROR(VLOOKUP(D374,MATERIALES!A:C,3,FALSE()),"?")</f>
        <v>0</v>
      </c>
      <c r="G374" s="119">
        <v>0.01</v>
      </c>
      <c r="H374" s="120">
        <v>0.05</v>
      </c>
      <c r="I374" s="96">
        <f>IFERROR(VLOOKUP(D374,MATERIALES!A:D,4,FALSE()),0)</f>
        <v>5885.9504132231395</v>
      </c>
      <c r="J374" s="31">
        <f t="shared" si="173"/>
        <v>61.802479338842964</v>
      </c>
      <c r="K374" s="32" t="str">
        <f t="shared" si="171"/>
        <v>PIR-055|MAT</v>
      </c>
      <c r="L374" s="32">
        <f>COUNTIFS($K$2:K374,K374)</f>
        <v>6</v>
      </c>
      <c r="M374" s="32" t="str">
        <f t="shared" si="158"/>
        <v>PIR-055|MAT|6</v>
      </c>
      <c r="N374" s="121">
        <f>IFERROR(VLOOKUP(A374,PARTIDAS!A:F,6,FALSE()),0)</f>
        <v>20</v>
      </c>
      <c r="O374" s="123">
        <f t="shared" si="155"/>
        <v>0</v>
      </c>
      <c r="P374" s="123" t="str">
        <f>+_xlfn.XLOOKUP(A374,PPTO_GENERADOR!Q:Q,PPTO_GENERADOR!E:E,"-",0)</f>
        <v>-</v>
      </c>
      <c r="Q374" s="123">
        <f t="shared" si="156"/>
        <v>0</v>
      </c>
      <c r="R374" s="125" t="str">
        <f>+_xlfn.XLOOKUP(A374,PPTO_GENERADOR!$Q:$Q,PPTO_GENERADOR!A:A,"-",0)</f>
        <v>-</v>
      </c>
    </row>
    <row r="375" spans="1:18" ht="14.25" customHeight="1" x14ac:dyDescent="0.35">
      <c r="A375" s="105" t="s">
        <v>1857</v>
      </c>
      <c r="B375" s="105" t="s">
        <v>1983</v>
      </c>
      <c r="C375" s="105"/>
      <c r="D375" s="105" t="s">
        <v>1503</v>
      </c>
      <c r="E375" s="95" t="str">
        <f>IFERROR(VLOOKUP(D375,EQUIPOS!A:B,2,FALSE()),"?")</f>
        <v>Kit Complementario Silleta Descensor Conector Soga X 50 Mts</v>
      </c>
      <c r="F375" s="129"/>
      <c r="G375" s="119">
        <v>0.75</v>
      </c>
      <c r="H375" s="120">
        <v>0</v>
      </c>
      <c r="I375" s="96">
        <f>IFERROR(VLOOKUP(D375,EQUIPOS!A:F,6,FALSE()),0)</f>
        <v>2064.2076262094447</v>
      </c>
      <c r="J375" s="31">
        <f t="shared" ref="J375:J378" si="174">G375*I375</f>
        <v>1548.1557196570834</v>
      </c>
      <c r="K375" s="32" t="str">
        <f t="shared" si="171"/>
        <v>PIR-055|EQ</v>
      </c>
      <c r="L375" s="32">
        <f>COUNTIFS($K$2:K375,K375)</f>
        <v>1</v>
      </c>
      <c r="M375" s="32" t="str">
        <f t="shared" si="158"/>
        <v>PIR-055|EQ|1</v>
      </c>
      <c r="N375" s="121">
        <f>IFERROR(VLOOKUP(A375,PARTIDAS!A:F,6,FALSE()),0)</f>
        <v>20</v>
      </c>
      <c r="O375" s="123">
        <f t="shared" si="155"/>
        <v>0</v>
      </c>
      <c r="P375" s="123" t="str">
        <f>+_xlfn.XLOOKUP(A375,PPTO_GENERADOR!Q:Q,PPTO_GENERADOR!E:E,"-",0)</f>
        <v>-</v>
      </c>
      <c r="Q375" s="123">
        <f t="shared" si="156"/>
        <v>0</v>
      </c>
      <c r="R375" s="125" t="str">
        <f>+_xlfn.XLOOKUP(A375,PPTO_GENERADOR!$Q:$Q,PPTO_GENERADOR!A:A,"-",0)</f>
        <v>-</v>
      </c>
    </row>
    <row r="376" spans="1:18" ht="14.25" customHeight="1" x14ac:dyDescent="0.35">
      <c r="A376" s="105" t="s">
        <v>1857</v>
      </c>
      <c r="B376" s="105" t="s">
        <v>1983</v>
      </c>
      <c r="C376" s="105"/>
      <c r="D376" s="105" t="s">
        <v>1313</v>
      </c>
      <c r="E376" s="95" t="str">
        <f>IFERROR(VLOOKUP(D376,EQUIPOS!A:B,2,FALSE()),"?")</f>
        <v>ANDAMIO TUBULAR DE UNO A TRES CUERPOS</v>
      </c>
      <c r="F376" s="129"/>
      <c r="G376" s="119">
        <v>0.5</v>
      </c>
      <c r="H376" s="120">
        <v>0</v>
      </c>
      <c r="I376" s="96">
        <f>IFERROR(VLOOKUP(D376,EQUIPOS!A:F,6,FALSE()),0)</f>
        <v>620.81078197718341</v>
      </c>
      <c r="J376" s="31">
        <f t="shared" si="174"/>
        <v>310.40539098859171</v>
      </c>
      <c r="K376" s="32" t="str">
        <f t="shared" si="171"/>
        <v>PIR-055|EQ</v>
      </c>
      <c r="L376" s="32">
        <f>COUNTIFS($K$2:K376,K376)</f>
        <v>2</v>
      </c>
      <c r="M376" s="32" t="str">
        <f t="shared" si="158"/>
        <v>PIR-055|EQ|2</v>
      </c>
      <c r="N376" s="121">
        <f>IFERROR(VLOOKUP(A376,PARTIDAS!A:F,6,FALSE()),0)</f>
        <v>20</v>
      </c>
      <c r="O376" s="123">
        <f t="shared" si="155"/>
        <v>0</v>
      </c>
      <c r="P376" s="123" t="str">
        <f>+_xlfn.XLOOKUP(A376,PPTO_GENERADOR!Q:Q,PPTO_GENERADOR!E:E,"-",0)</f>
        <v>-</v>
      </c>
      <c r="Q376" s="123">
        <f t="shared" si="156"/>
        <v>0</v>
      </c>
      <c r="R376" s="125" t="str">
        <f>+_xlfn.XLOOKUP(A376,PPTO_GENERADOR!$Q:$Q,PPTO_GENERADOR!A:A,"-",0)</f>
        <v>-</v>
      </c>
    </row>
    <row r="377" spans="1:18" ht="14.25" customHeight="1" x14ac:dyDescent="0.35">
      <c r="A377" s="105" t="s">
        <v>1857</v>
      </c>
      <c r="B377" s="105" t="s">
        <v>1983</v>
      </c>
      <c r="C377" s="105"/>
      <c r="D377" s="105" t="s">
        <v>1509</v>
      </c>
      <c r="E377" s="95" t="str">
        <f>IFERROR(VLOOKUP(D377,EQUIPOS!A:B,2,FALSE()),"?")</f>
        <v>Escalera madera pintor 8 escalones</v>
      </c>
      <c r="F377" s="129"/>
      <c r="G377" s="119">
        <v>1</v>
      </c>
      <c r="H377" s="120">
        <v>0</v>
      </c>
      <c r="I377" s="96">
        <f>IFERROR(VLOOKUP(D377,EQUIPOS!A:F,6,FALSE()),0)</f>
        <v>217.65359719478195</v>
      </c>
      <c r="J377" s="31">
        <f t="shared" si="174"/>
        <v>217.65359719478195</v>
      </c>
      <c r="K377" s="32" t="str">
        <f t="shared" si="171"/>
        <v>PIR-055|EQ</v>
      </c>
      <c r="L377" s="32">
        <f>COUNTIFS($K$2:K377,K377)</f>
        <v>3</v>
      </c>
      <c r="M377" s="32" t="str">
        <f t="shared" si="158"/>
        <v>PIR-055|EQ|3</v>
      </c>
      <c r="N377" s="121">
        <f>IFERROR(VLOOKUP(A377,PARTIDAS!A:F,6,FALSE()),0)</f>
        <v>20</v>
      </c>
      <c r="O377" s="123">
        <f t="shared" si="155"/>
        <v>0</v>
      </c>
      <c r="P377" s="123" t="str">
        <f>+_xlfn.XLOOKUP(A377,PPTO_GENERADOR!Q:Q,PPTO_GENERADOR!E:E,"-",0)</f>
        <v>-</v>
      </c>
      <c r="Q377" s="123">
        <f t="shared" si="156"/>
        <v>0</v>
      </c>
      <c r="R377" s="125" t="str">
        <f>+_xlfn.XLOOKUP(A377,PPTO_GENERADOR!$Q:$Q,PPTO_GENERADOR!A:A,"-",0)</f>
        <v>-</v>
      </c>
    </row>
    <row r="378" spans="1:18" ht="14.25" customHeight="1" x14ac:dyDescent="0.35">
      <c r="A378" s="105" t="s">
        <v>1857</v>
      </c>
      <c r="B378" s="105" t="s">
        <v>1983</v>
      </c>
      <c r="C378" s="105"/>
      <c r="D378" s="105" t="s">
        <v>1327</v>
      </c>
      <c r="E378" s="95" t="str">
        <f>IFERROR(VLOOKUP(D378,EQUIPOS!A:B,2,FALSE()),"?")</f>
        <v>EQUIPO PARA PINTAR</v>
      </c>
      <c r="F378" s="129"/>
      <c r="G378" s="119">
        <v>1</v>
      </c>
      <c r="H378" s="120">
        <v>0</v>
      </c>
      <c r="I378" s="96">
        <f>IFERROR(VLOOKUP(D378,EQUIPOS!A:F,6,FALSE()),0)</f>
        <v>1873.3963608356808</v>
      </c>
      <c r="J378" s="31">
        <f t="shared" si="174"/>
        <v>1873.3963608356808</v>
      </c>
      <c r="K378" s="32" t="str">
        <f t="shared" si="171"/>
        <v>PIR-055|EQ</v>
      </c>
      <c r="L378" s="32">
        <f>COUNTIFS($K$2:K378,K378)</f>
        <v>4</v>
      </c>
      <c r="M378" s="32" t="str">
        <f t="shared" si="158"/>
        <v>PIR-055|EQ|4</v>
      </c>
      <c r="N378" s="121">
        <f>IFERROR(VLOOKUP(A378,PARTIDAS!A:F,6,FALSE()),0)</f>
        <v>20</v>
      </c>
      <c r="O378" s="123">
        <f t="shared" si="155"/>
        <v>0</v>
      </c>
      <c r="P378" s="123" t="str">
        <f>+_xlfn.XLOOKUP(A378,PPTO_GENERADOR!Q:Q,PPTO_GENERADOR!E:E,"-",0)</f>
        <v>-</v>
      </c>
      <c r="Q378" s="123">
        <f t="shared" si="156"/>
        <v>0</v>
      </c>
      <c r="R378" s="125" t="str">
        <f>+_xlfn.XLOOKUP(A378,PPTO_GENERADOR!$Q:$Q,PPTO_GENERADOR!A:A,"-",0)</f>
        <v>-</v>
      </c>
    </row>
    <row r="379" spans="1:18" ht="14.25" customHeight="1" x14ac:dyDescent="0.35">
      <c r="A379" s="105" t="s">
        <v>1857</v>
      </c>
      <c r="B379" s="105" t="s">
        <v>1979</v>
      </c>
      <c r="C379" s="105" t="s">
        <v>1980</v>
      </c>
      <c r="D379" s="105" t="s">
        <v>1288</v>
      </c>
      <c r="E379" s="95" t="str">
        <f>IFERROR(VLOOKUP(D379,MANO_DE_OBRA!A:B,2,FALSE()),"?")</f>
        <v>MEDIO OFICIAL</v>
      </c>
      <c r="F379" s="129" t="s">
        <v>2042</v>
      </c>
      <c r="G379" s="119">
        <v>1</v>
      </c>
      <c r="H379" s="120">
        <v>0</v>
      </c>
      <c r="I379" s="96">
        <f>IFERROR(VLOOKUP(D379,MANO_DE_OBRA!A:C,3,FALSE()),0)</f>
        <v>72132.138365590101</v>
      </c>
      <c r="J379" s="31">
        <f t="shared" ref="J379:J381" si="175">G379*I379</f>
        <v>72132.138365590101</v>
      </c>
      <c r="K379" s="32" t="str">
        <f t="shared" si="171"/>
        <v>PIR-055|MO</v>
      </c>
      <c r="L379" s="32">
        <f>COUNTIFS($K$2:K379,K379)</f>
        <v>1</v>
      </c>
      <c r="M379" s="32" t="str">
        <f t="shared" si="158"/>
        <v>PIR-055|MO|1</v>
      </c>
      <c r="N379" s="121">
        <f>IFERROR(VLOOKUP(A379,PARTIDAS!A:F,6,FALSE()),0)</f>
        <v>20</v>
      </c>
      <c r="O379" s="123">
        <f t="shared" si="155"/>
        <v>0.05</v>
      </c>
      <c r="P379" s="123" t="str">
        <f>+_xlfn.XLOOKUP(A379,PPTO_GENERADOR!Q:Q,PPTO_GENERADOR!E:E,"-",0)</f>
        <v>-</v>
      </c>
      <c r="Q379" s="123">
        <f t="shared" si="156"/>
        <v>0</v>
      </c>
      <c r="R379" s="125" t="str">
        <f>+_xlfn.XLOOKUP(A379,PPTO_GENERADOR!$Q:$Q,PPTO_GENERADOR!A:A,"-",0)</f>
        <v>-</v>
      </c>
    </row>
    <row r="380" spans="1:18" ht="14.25" customHeight="1" x14ac:dyDescent="0.35">
      <c r="A380" s="105" t="s">
        <v>1857</v>
      </c>
      <c r="B380" s="105" t="s">
        <v>1979</v>
      </c>
      <c r="C380" s="105" t="s">
        <v>1980</v>
      </c>
      <c r="D380" s="105" t="s">
        <v>1292</v>
      </c>
      <c r="E380" s="95" t="str">
        <f>IFERROR(VLOOKUP(D380,MANO_DE_OBRA!A:B,2,FALSE()),"?")</f>
        <v>ESPECIALIZADO</v>
      </c>
      <c r="F380" s="129" t="s">
        <v>2042</v>
      </c>
      <c r="G380" s="119">
        <v>1.5</v>
      </c>
      <c r="H380" s="120">
        <v>0</v>
      </c>
      <c r="I380" s="96">
        <f>IFERROR(VLOOKUP(D380,MANO_DE_OBRA!A:C,3,FALSE()),0)</f>
        <v>94177.137883538904</v>
      </c>
      <c r="J380" s="31">
        <f t="shared" si="175"/>
        <v>141265.70682530836</v>
      </c>
      <c r="K380" s="32" t="str">
        <f t="shared" si="171"/>
        <v>PIR-055|MO</v>
      </c>
      <c r="L380" s="32">
        <f>COUNTIFS($K$2:K380,K380)</f>
        <v>2</v>
      </c>
      <c r="M380" s="32" t="str">
        <f t="shared" si="158"/>
        <v>PIR-055|MO|2</v>
      </c>
      <c r="N380" s="121">
        <f>IFERROR(VLOOKUP(A380,PARTIDAS!A:F,6,FALSE()),0)</f>
        <v>20</v>
      </c>
      <c r="O380" s="123">
        <f t="shared" si="155"/>
        <v>7.4999999999999997E-2</v>
      </c>
      <c r="P380" s="123" t="str">
        <f>+_xlfn.XLOOKUP(A380,PPTO_GENERADOR!Q:Q,PPTO_GENERADOR!E:E,"-",0)</f>
        <v>-</v>
      </c>
      <c r="Q380" s="123">
        <f t="shared" si="156"/>
        <v>0</v>
      </c>
      <c r="R380" s="125" t="str">
        <f>+_xlfn.XLOOKUP(A380,PPTO_GENERADOR!$Q:$Q,PPTO_GENERADOR!A:A,"-",0)</f>
        <v>-</v>
      </c>
    </row>
    <row r="381" spans="1:18" ht="14.25" customHeight="1" x14ac:dyDescent="0.35">
      <c r="A381" s="105" t="s">
        <v>1857</v>
      </c>
      <c r="B381" s="105" t="s">
        <v>1979</v>
      </c>
      <c r="C381" s="105" t="s">
        <v>1980</v>
      </c>
      <c r="D381" s="105" t="s">
        <v>1288</v>
      </c>
      <c r="E381" s="95" t="str">
        <f>IFERROR(VLOOKUP(D381,MANO_DE_OBRA!A:B,2,FALSE()),"?")</f>
        <v>MEDIO OFICIAL</v>
      </c>
      <c r="F381" s="129" t="s">
        <v>2042</v>
      </c>
      <c r="G381" s="119">
        <v>0.5</v>
      </c>
      <c r="H381" s="120">
        <v>0</v>
      </c>
      <c r="I381" s="96">
        <f>IFERROR(VLOOKUP(D381,MANO_DE_OBRA!A:C,3,FALSE()),0)</f>
        <v>72132.138365590101</v>
      </c>
      <c r="J381" s="31">
        <f t="shared" si="175"/>
        <v>36066.06918279505</v>
      </c>
      <c r="K381" s="32" t="str">
        <f t="shared" si="171"/>
        <v>PIR-055|MO</v>
      </c>
      <c r="L381" s="32">
        <f>COUNTIFS($K$2:K381,K381)</f>
        <v>3</v>
      </c>
      <c r="M381" s="32" t="str">
        <f t="shared" si="158"/>
        <v>PIR-055|MO|3</v>
      </c>
      <c r="N381" s="121">
        <f>IFERROR(VLOOKUP(A381,PARTIDAS!A:F,6,FALSE()),0)</f>
        <v>20</v>
      </c>
      <c r="O381" s="123">
        <f t="shared" si="155"/>
        <v>2.5000000000000001E-2</v>
      </c>
      <c r="P381" s="123" t="str">
        <f>+_xlfn.XLOOKUP(A381,PPTO_GENERADOR!Q:Q,PPTO_GENERADOR!E:E,"-",0)</f>
        <v>-</v>
      </c>
      <c r="Q381" s="123">
        <f t="shared" si="156"/>
        <v>0</v>
      </c>
      <c r="R381" s="125" t="str">
        <f>+_xlfn.XLOOKUP(A381,PPTO_GENERADOR!$Q:$Q,PPTO_GENERADOR!A:A,"-",0)</f>
        <v>-</v>
      </c>
    </row>
    <row r="382" spans="1:18" ht="14.25" customHeight="1" x14ac:dyDescent="0.35">
      <c r="A382" s="105" t="s">
        <v>1861</v>
      </c>
      <c r="B382" s="105" t="s">
        <v>1981</v>
      </c>
      <c r="C382" s="105" t="s">
        <v>1982</v>
      </c>
      <c r="D382" s="105" t="s">
        <v>1017</v>
      </c>
      <c r="E382" s="95" t="str">
        <f>IFERROR(VLOOKUP(D382,MATERIALES!A:B,2,FALSE()),"?")</f>
        <v>Adhesivo Klaukol Porcellanato Fluido x 30Kg</v>
      </c>
      <c r="F382" s="129" t="str">
        <f>IFERROR(VLOOKUP(D382,MATERIALES!A:C,3,FALSE()),"?")</f>
        <v>bol</v>
      </c>
      <c r="G382" s="119">
        <v>0.2</v>
      </c>
      <c r="H382" s="120">
        <v>0.2</v>
      </c>
      <c r="I382" s="96">
        <f>IFERROR(VLOOKUP(D382,MATERIALES!A:D,4,FALSE()),0)</f>
        <v>17106.768</v>
      </c>
      <c r="J382" s="31">
        <f t="shared" ref="J382:J385" si="176">G382*I382*(1+H382)</f>
        <v>4105.6243199999999</v>
      </c>
      <c r="K382" s="32" t="str">
        <f t="shared" si="171"/>
        <v>PIR-056|MAT</v>
      </c>
      <c r="L382" s="32">
        <f>COUNTIFS($K$2:K382,K382)</f>
        <v>1</v>
      </c>
      <c r="M382" s="32" t="str">
        <f t="shared" si="158"/>
        <v>PIR-056|MAT|1</v>
      </c>
      <c r="N382" s="121">
        <f>IFERROR(VLOOKUP(A382,PARTIDAS!A:F,6,FALSE()),0)</f>
        <v>13</v>
      </c>
      <c r="O382" s="123">
        <f t="shared" si="155"/>
        <v>0</v>
      </c>
      <c r="P382" s="123" t="str">
        <f>+_xlfn.XLOOKUP(A382,PPTO_GENERADOR!Q:Q,PPTO_GENERADOR!E:E,"-",0)</f>
        <v>-</v>
      </c>
      <c r="Q382" s="123">
        <f t="shared" si="156"/>
        <v>0</v>
      </c>
      <c r="R382" s="125" t="str">
        <f>+_xlfn.XLOOKUP(A382,PPTO_GENERADOR!$Q:$Q,PPTO_GENERADOR!A:A,"-",0)</f>
        <v>-</v>
      </c>
    </row>
    <row r="383" spans="1:18" ht="14.25" customHeight="1" x14ac:dyDescent="0.35">
      <c r="A383" s="105" t="s">
        <v>1861</v>
      </c>
      <c r="B383" s="105" t="s">
        <v>1981</v>
      </c>
      <c r="C383" s="105" t="s">
        <v>1982</v>
      </c>
      <c r="D383" s="105" t="s">
        <v>1023</v>
      </c>
      <c r="E383" s="95" t="str">
        <f>IFERROR(VLOOKUP(D383,MATERIALES!A:B,2,FALSE()),"?")</f>
        <v>Disco Diamantado Aliafor Turbo Fino TRF</v>
      </c>
      <c r="F383" s="129" t="str">
        <f>IFERROR(VLOOKUP(D383,MATERIALES!A:C,3,FALSE()),"?")</f>
        <v>u</v>
      </c>
      <c r="G383" s="119">
        <v>4.0000000000000001E-3</v>
      </c>
      <c r="H383" s="120">
        <v>0.05</v>
      </c>
      <c r="I383" s="96">
        <f>IFERROR(VLOOKUP(D383,MATERIALES!A:D,4,FALSE()),0)</f>
        <v>11376</v>
      </c>
      <c r="J383" s="31">
        <f t="shared" si="176"/>
        <v>47.779200000000003</v>
      </c>
      <c r="K383" s="32" t="str">
        <f t="shared" si="171"/>
        <v>PIR-056|MAT</v>
      </c>
      <c r="L383" s="32">
        <f>COUNTIFS($K$2:K383,K383)</f>
        <v>2</v>
      </c>
      <c r="M383" s="32" t="str">
        <f t="shared" si="158"/>
        <v>PIR-056|MAT|2</v>
      </c>
      <c r="N383" s="121">
        <f>IFERROR(VLOOKUP(A383,PARTIDAS!A:F,6,FALSE()),0)</f>
        <v>13</v>
      </c>
      <c r="O383" s="123">
        <f t="shared" si="155"/>
        <v>0</v>
      </c>
      <c r="P383" s="123" t="str">
        <f>+_xlfn.XLOOKUP(A383,PPTO_GENERADOR!Q:Q,PPTO_GENERADOR!E:E,"-",0)</f>
        <v>-</v>
      </c>
      <c r="Q383" s="123">
        <f t="shared" si="156"/>
        <v>0</v>
      </c>
      <c r="R383" s="125" t="str">
        <f>+_xlfn.XLOOKUP(A383,PPTO_GENERADOR!$Q:$Q,PPTO_GENERADOR!A:A,"-",0)</f>
        <v>-</v>
      </c>
    </row>
    <row r="384" spans="1:18" ht="14.25" customHeight="1" x14ac:dyDescent="0.35">
      <c r="A384" s="105" t="s">
        <v>1861</v>
      </c>
      <c r="B384" s="105" t="s">
        <v>1981</v>
      </c>
      <c r="C384" s="105" t="s">
        <v>1982</v>
      </c>
      <c r="D384" s="105" t="s">
        <v>1025</v>
      </c>
      <c r="E384" s="95" t="str">
        <f>IFERROR(VLOOKUP(D384,MATERIALES!A:B,2,FALSE()),"?")</f>
        <v>Arco y cuña niveladores porcelanatos x 150un</v>
      </c>
      <c r="F384" s="129" t="str">
        <f>IFERROR(VLOOKUP(D384,MATERIALES!A:C,3,FALSE()),"?")</f>
        <v>bol</v>
      </c>
      <c r="G384" s="119">
        <v>0.04</v>
      </c>
      <c r="H384" s="120">
        <v>0.05</v>
      </c>
      <c r="I384" s="96">
        <f>IFERROR(VLOOKUP(D384,MATERIALES!A:D,4,FALSE()),0)</f>
        <v>47272.727272727301</v>
      </c>
      <c r="J384" s="31">
        <f t="shared" si="176"/>
        <v>1985.4545454545469</v>
      </c>
      <c r="K384" s="32" t="str">
        <f t="shared" si="171"/>
        <v>PIR-056|MAT</v>
      </c>
      <c r="L384" s="32">
        <f>COUNTIFS($K$2:K384,K384)</f>
        <v>3</v>
      </c>
      <c r="M384" s="32" t="str">
        <f t="shared" si="158"/>
        <v>PIR-056|MAT|3</v>
      </c>
      <c r="N384" s="121">
        <f>IFERROR(VLOOKUP(A384,PARTIDAS!A:F,6,FALSE()),0)</f>
        <v>13</v>
      </c>
      <c r="O384" s="123">
        <f t="shared" si="155"/>
        <v>0</v>
      </c>
      <c r="P384" s="123" t="str">
        <f>+_xlfn.XLOOKUP(A384,PPTO_GENERADOR!Q:Q,PPTO_GENERADOR!E:E,"-",0)</f>
        <v>-</v>
      </c>
      <c r="Q384" s="123">
        <f t="shared" si="156"/>
        <v>0</v>
      </c>
      <c r="R384" s="125" t="str">
        <f>+_xlfn.XLOOKUP(A384,PPTO_GENERADOR!$Q:$Q,PPTO_GENERADOR!A:A,"-",0)</f>
        <v>-</v>
      </c>
    </row>
    <row r="385" spans="1:18" ht="14.25" customHeight="1" x14ac:dyDescent="0.35">
      <c r="A385" s="105" t="s">
        <v>1861</v>
      </c>
      <c r="B385" s="105" t="s">
        <v>1981</v>
      </c>
      <c r="C385" s="105" t="s">
        <v>1982</v>
      </c>
      <c r="D385" s="105" t="s">
        <v>586</v>
      </c>
      <c r="E385" s="95" t="str">
        <f>IFERROR(VLOOKUP(D385,MATERIALES!A:B,2,FALSE()),"?")</f>
        <v>Trapo</v>
      </c>
      <c r="F385" s="129">
        <f>IFERROR(VLOOKUP(D385,MATERIALES!A:C,3,FALSE()),"?")</f>
        <v>0</v>
      </c>
      <c r="G385" s="119">
        <v>0.01</v>
      </c>
      <c r="H385" s="120">
        <v>0.03</v>
      </c>
      <c r="I385" s="96">
        <f>IFERROR(VLOOKUP(D385,MATERIALES!A:D,4,FALSE()),0)</f>
        <v>1182.6446280991699</v>
      </c>
      <c r="J385" s="31">
        <f t="shared" si="176"/>
        <v>12.181239669421451</v>
      </c>
      <c r="K385" s="32" t="str">
        <f t="shared" si="171"/>
        <v>PIR-056|MAT</v>
      </c>
      <c r="L385" s="32">
        <f>COUNTIFS($K$2:K385,K385)</f>
        <v>4</v>
      </c>
      <c r="M385" s="32" t="str">
        <f t="shared" si="158"/>
        <v>PIR-056|MAT|4</v>
      </c>
      <c r="N385" s="121">
        <f>IFERROR(VLOOKUP(A385,PARTIDAS!A:F,6,FALSE()),0)</f>
        <v>13</v>
      </c>
      <c r="O385" s="123">
        <f t="shared" si="155"/>
        <v>0</v>
      </c>
      <c r="P385" s="123" t="str">
        <f>+_xlfn.XLOOKUP(A385,PPTO_GENERADOR!Q:Q,PPTO_GENERADOR!E:E,"-",0)</f>
        <v>-</v>
      </c>
      <c r="Q385" s="123">
        <f t="shared" si="156"/>
        <v>0</v>
      </c>
      <c r="R385" s="125" t="str">
        <f>+_xlfn.XLOOKUP(A385,PPTO_GENERADOR!$Q:$Q,PPTO_GENERADOR!A:A,"-",0)</f>
        <v>-</v>
      </c>
    </row>
    <row r="386" spans="1:18" ht="14.25" customHeight="1" x14ac:dyDescent="0.35">
      <c r="A386" s="105" t="s">
        <v>1861</v>
      </c>
      <c r="B386" s="105" t="s">
        <v>1983</v>
      </c>
      <c r="C386" s="105"/>
      <c r="D386" s="105" t="s">
        <v>1321</v>
      </c>
      <c r="E386" s="95" t="str">
        <f>IFERROR(VLOOKUP(D386,EQUIPOS!A:B,2,FALSE()),"?")</f>
        <v>EQUIPO PARA COLOCACION DE CERAMICA</v>
      </c>
      <c r="F386" s="129"/>
      <c r="G386" s="119">
        <v>1</v>
      </c>
      <c r="H386" s="120">
        <v>0</v>
      </c>
      <c r="I386" s="96">
        <f>IFERROR(VLOOKUP(D386,EQUIPOS!A:F,6,FALSE()),0)</f>
        <v>2866.2900480747039</v>
      </c>
      <c r="J386" s="31">
        <f>G386*I386</f>
        <v>2866.2900480747039</v>
      </c>
      <c r="K386" s="32" t="str">
        <f t="shared" si="171"/>
        <v>PIR-056|EQ</v>
      </c>
      <c r="L386" s="32">
        <f>COUNTIFS($K$2:K386,K386)</f>
        <v>1</v>
      </c>
      <c r="M386" s="32" t="str">
        <f t="shared" ref="M386:M447" si="177">K386&amp;"|"&amp;L386</f>
        <v>PIR-056|EQ|1</v>
      </c>
      <c r="N386" s="121">
        <f>IFERROR(VLOOKUP(A386,PARTIDAS!A:F,6,FALSE()),0)</f>
        <v>13</v>
      </c>
      <c r="O386" s="123">
        <f t="shared" si="155"/>
        <v>0</v>
      </c>
      <c r="P386" s="123" t="str">
        <f>+_xlfn.XLOOKUP(A386,PPTO_GENERADOR!Q:Q,PPTO_GENERADOR!E:E,"-",0)</f>
        <v>-</v>
      </c>
      <c r="Q386" s="123">
        <f t="shared" si="156"/>
        <v>0</v>
      </c>
      <c r="R386" s="125" t="str">
        <f>+_xlfn.XLOOKUP(A386,PPTO_GENERADOR!$Q:$Q,PPTO_GENERADOR!A:A,"-",0)</f>
        <v>-</v>
      </c>
    </row>
    <row r="387" spans="1:18" ht="14.25" customHeight="1" x14ac:dyDescent="0.35">
      <c r="A387" s="105" t="s">
        <v>1861</v>
      </c>
      <c r="B387" s="105" t="s">
        <v>1979</v>
      </c>
      <c r="C387" s="105" t="s">
        <v>1980</v>
      </c>
      <c r="D387" s="105" t="s">
        <v>1288</v>
      </c>
      <c r="E387" s="95" t="str">
        <f>IFERROR(VLOOKUP(D387,MANO_DE_OBRA!A:B,2,FALSE()),"?")</f>
        <v>MEDIO OFICIAL</v>
      </c>
      <c r="F387" s="129" t="s">
        <v>2042</v>
      </c>
      <c r="G387" s="119">
        <v>1</v>
      </c>
      <c r="H387" s="120">
        <v>0</v>
      </c>
      <c r="I387" s="96">
        <f>IFERROR(VLOOKUP(D387,MANO_DE_OBRA!A:C,3,FALSE()),0)</f>
        <v>72132.138365590101</v>
      </c>
      <c r="J387" s="31">
        <f t="shared" ref="J387:J388" si="178">G387*I387</f>
        <v>72132.138365590101</v>
      </c>
      <c r="K387" s="32" t="str">
        <f t="shared" si="171"/>
        <v>PIR-056|MO</v>
      </c>
      <c r="L387" s="32">
        <f>COUNTIFS($K$2:K387,K387)</f>
        <v>1</v>
      </c>
      <c r="M387" s="32" t="str">
        <f t="shared" si="177"/>
        <v>PIR-056|MO|1</v>
      </c>
      <c r="N387" s="121">
        <f>IFERROR(VLOOKUP(A387,PARTIDAS!A:F,6,FALSE()),0)</f>
        <v>13</v>
      </c>
      <c r="O387" s="123">
        <f t="shared" ref="O387:O450" si="179">+IF(C387="ALB",G387/N387,0)</f>
        <v>7.6923076923076927E-2</v>
      </c>
      <c r="P387" s="123" t="str">
        <f>+_xlfn.XLOOKUP(A387,PPTO_GENERADOR!Q:Q,PPTO_GENERADOR!E:E,"-",0)</f>
        <v>-</v>
      </c>
      <c r="Q387" s="123">
        <f t="shared" ref="Q387:Q450" si="180">IFERROR(P387*O387,0)</f>
        <v>0</v>
      </c>
      <c r="R387" s="125" t="str">
        <f>+_xlfn.XLOOKUP(A387,PPTO_GENERADOR!$Q:$Q,PPTO_GENERADOR!A:A,"-",0)</f>
        <v>-</v>
      </c>
    </row>
    <row r="388" spans="1:18" ht="14.25" customHeight="1" x14ac:dyDescent="0.35">
      <c r="A388" s="105" t="s">
        <v>1861</v>
      </c>
      <c r="B388" s="105" t="s">
        <v>1979</v>
      </c>
      <c r="C388" s="105" t="s">
        <v>1980</v>
      </c>
      <c r="D388" s="105" t="s">
        <v>1292</v>
      </c>
      <c r="E388" s="95" t="str">
        <f>IFERROR(VLOOKUP(D388,MANO_DE_OBRA!A:B,2,FALSE()),"?")</f>
        <v>ESPECIALIZADO</v>
      </c>
      <c r="F388" s="129" t="s">
        <v>2042</v>
      </c>
      <c r="G388" s="119">
        <v>1</v>
      </c>
      <c r="H388" s="120">
        <v>0</v>
      </c>
      <c r="I388" s="96">
        <f>IFERROR(VLOOKUP(D388,MANO_DE_OBRA!A:C,3,FALSE()),0)</f>
        <v>94177.137883538904</v>
      </c>
      <c r="J388" s="31">
        <f t="shared" si="178"/>
        <v>94177.137883538904</v>
      </c>
      <c r="K388" s="32" t="str">
        <f t="shared" si="171"/>
        <v>PIR-056|MO</v>
      </c>
      <c r="L388" s="32">
        <f>COUNTIFS($K$2:K388,K388)</f>
        <v>2</v>
      </c>
      <c r="M388" s="32" t="str">
        <f t="shared" si="177"/>
        <v>PIR-056|MO|2</v>
      </c>
      <c r="N388" s="121">
        <f>IFERROR(VLOOKUP(A388,PARTIDAS!A:F,6,FALSE()),0)</f>
        <v>13</v>
      </c>
      <c r="O388" s="123">
        <f t="shared" si="179"/>
        <v>7.6923076923076927E-2</v>
      </c>
      <c r="P388" s="123" t="str">
        <f>+_xlfn.XLOOKUP(A388,PPTO_GENERADOR!Q:Q,PPTO_GENERADOR!E:E,"-",0)</f>
        <v>-</v>
      </c>
      <c r="Q388" s="123">
        <f t="shared" si="180"/>
        <v>0</v>
      </c>
      <c r="R388" s="125" t="str">
        <f>+_xlfn.XLOOKUP(A388,PPTO_GENERADOR!$Q:$Q,PPTO_GENERADOR!A:A,"-",0)</f>
        <v>-</v>
      </c>
    </row>
    <row r="389" spans="1:18" ht="14.25" customHeight="1" x14ac:dyDescent="0.35">
      <c r="A389" s="105" t="s">
        <v>1865</v>
      </c>
      <c r="B389" s="105" t="s">
        <v>1981</v>
      </c>
      <c r="C389" s="105" t="s">
        <v>1982</v>
      </c>
      <c r="D389" s="105" t="s">
        <v>1017</v>
      </c>
      <c r="E389" s="95" t="str">
        <f>IFERROR(VLOOKUP(D389,MATERIALES!A:B,2,FALSE()),"?")</f>
        <v>Adhesivo Klaukol Porcellanato Fluido x 30Kg</v>
      </c>
      <c r="F389" s="129" t="str">
        <f>IFERROR(VLOOKUP(D389,MATERIALES!A:C,3,FALSE()),"?")</f>
        <v>bol</v>
      </c>
      <c r="G389" s="119">
        <v>0.2</v>
      </c>
      <c r="H389" s="120">
        <v>0.2</v>
      </c>
      <c r="I389" s="96">
        <f>IFERROR(VLOOKUP(D389,MATERIALES!A:D,4,FALSE()),0)</f>
        <v>17106.768</v>
      </c>
      <c r="J389" s="31">
        <f t="shared" ref="J389:J392" si="181">G389*I389*(1+H389)</f>
        <v>4105.6243199999999</v>
      </c>
      <c r="K389" s="32" t="str">
        <f t="shared" si="171"/>
        <v>PIR-057|MAT</v>
      </c>
      <c r="L389" s="32">
        <f>COUNTIFS($K$2:K389,K389)</f>
        <v>1</v>
      </c>
      <c r="M389" s="32" t="str">
        <f t="shared" si="177"/>
        <v>PIR-057|MAT|1</v>
      </c>
      <c r="N389" s="121">
        <f>IFERROR(VLOOKUP(A389,PARTIDAS!A:F,6,FALSE()),0)</f>
        <v>10</v>
      </c>
      <c r="O389" s="123">
        <f t="shared" si="179"/>
        <v>0</v>
      </c>
      <c r="P389" s="123" t="str">
        <f>+_xlfn.XLOOKUP(A389,PPTO_GENERADOR!Q:Q,PPTO_GENERADOR!E:E,"-",0)</f>
        <v>-</v>
      </c>
      <c r="Q389" s="123">
        <f t="shared" si="180"/>
        <v>0</v>
      </c>
      <c r="R389" s="125" t="str">
        <f>+_xlfn.XLOOKUP(A389,PPTO_GENERADOR!$Q:$Q,PPTO_GENERADOR!A:A,"-",0)</f>
        <v>-</v>
      </c>
    </row>
    <row r="390" spans="1:18" ht="14.25" customHeight="1" x14ac:dyDescent="0.35">
      <c r="A390" s="105" t="s">
        <v>1865</v>
      </c>
      <c r="B390" s="105" t="s">
        <v>1981</v>
      </c>
      <c r="C390" s="105" t="s">
        <v>1982</v>
      </c>
      <c r="D390" s="105" t="s">
        <v>1023</v>
      </c>
      <c r="E390" s="95" t="str">
        <f>IFERROR(VLOOKUP(D390,MATERIALES!A:B,2,FALSE()),"?")</f>
        <v>Disco Diamantado Aliafor Turbo Fino TRF</v>
      </c>
      <c r="F390" s="129" t="str">
        <f>IFERROR(VLOOKUP(D390,MATERIALES!A:C,3,FALSE()),"?")</f>
        <v>u</v>
      </c>
      <c r="G390" s="119">
        <v>4.0000000000000001E-3</v>
      </c>
      <c r="H390" s="120">
        <v>0.05</v>
      </c>
      <c r="I390" s="96">
        <f>IFERROR(VLOOKUP(D390,MATERIALES!A:D,4,FALSE()),0)</f>
        <v>11376</v>
      </c>
      <c r="J390" s="31">
        <f t="shared" si="181"/>
        <v>47.779200000000003</v>
      </c>
      <c r="K390" s="32" t="str">
        <f t="shared" si="171"/>
        <v>PIR-057|MAT</v>
      </c>
      <c r="L390" s="32">
        <f>COUNTIFS($K$2:K390,K390)</f>
        <v>2</v>
      </c>
      <c r="M390" s="32" t="str">
        <f t="shared" si="177"/>
        <v>PIR-057|MAT|2</v>
      </c>
      <c r="N390" s="121">
        <f>IFERROR(VLOOKUP(A390,PARTIDAS!A:F,6,FALSE()),0)</f>
        <v>10</v>
      </c>
      <c r="O390" s="123">
        <f t="shared" si="179"/>
        <v>0</v>
      </c>
      <c r="P390" s="123" t="str">
        <f>+_xlfn.XLOOKUP(A390,PPTO_GENERADOR!Q:Q,PPTO_GENERADOR!E:E,"-",0)</f>
        <v>-</v>
      </c>
      <c r="Q390" s="123">
        <f t="shared" si="180"/>
        <v>0</v>
      </c>
      <c r="R390" s="125" t="str">
        <f>+_xlfn.XLOOKUP(A390,PPTO_GENERADOR!$Q:$Q,PPTO_GENERADOR!A:A,"-",0)</f>
        <v>-</v>
      </c>
    </row>
    <row r="391" spans="1:18" ht="14.25" customHeight="1" x14ac:dyDescent="0.35">
      <c r="A391" s="105" t="s">
        <v>1865</v>
      </c>
      <c r="B391" s="105" t="s">
        <v>1981</v>
      </c>
      <c r="C391" s="105" t="s">
        <v>1982</v>
      </c>
      <c r="D391" s="105" t="s">
        <v>1025</v>
      </c>
      <c r="E391" s="95" t="str">
        <f>IFERROR(VLOOKUP(D391,MATERIALES!A:B,2,FALSE()),"?")</f>
        <v>Arco y cuña niveladores porcelanatos x 150un</v>
      </c>
      <c r="F391" s="129" t="str">
        <f>IFERROR(VLOOKUP(D391,MATERIALES!A:C,3,FALSE()),"?")</f>
        <v>bol</v>
      </c>
      <c r="G391" s="119">
        <v>0.04</v>
      </c>
      <c r="H391" s="120">
        <v>0.05</v>
      </c>
      <c r="I391" s="96">
        <f>IFERROR(VLOOKUP(D391,MATERIALES!A:D,4,FALSE()),0)</f>
        <v>47272.727272727301</v>
      </c>
      <c r="J391" s="31">
        <f t="shared" si="181"/>
        <v>1985.4545454545469</v>
      </c>
      <c r="K391" s="32" t="str">
        <f t="shared" si="171"/>
        <v>PIR-057|MAT</v>
      </c>
      <c r="L391" s="32">
        <f>COUNTIFS($K$2:K391,K391)</f>
        <v>3</v>
      </c>
      <c r="M391" s="32" t="str">
        <f t="shared" si="177"/>
        <v>PIR-057|MAT|3</v>
      </c>
      <c r="N391" s="121">
        <f>IFERROR(VLOOKUP(A391,PARTIDAS!A:F,6,FALSE()),0)</f>
        <v>10</v>
      </c>
      <c r="O391" s="123">
        <f t="shared" si="179"/>
        <v>0</v>
      </c>
      <c r="P391" s="123" t="str">
        <f>+_xlfn.XLOOKUP(A391,PPTO_GENERADOR!Q:Q,PPTO_GENERADOR!E:E,"-",0)</f>
        <v>-</v>
      </c>
      <c r="Q391" s="123">
        <f t="shared" si="180"/>
        <v>0</v>
      </c>
      <c r="R391" s="125" t="str">
        <f>+_xlfn.XLOOKUP(A391,PPTO_GENERADOR!$Q:$Q,PPTO_GENERADOR!A:A,"-",0)</f>
        <v>-</v>
      </c>
    </row>
    <row r="392" spans="1:18" ht="14.25" customHeight="1" x14ac:dyDescent="0.35">
      <c r="A392" s="105" t="s">
        <v>1865</v>
      </c>
      <c r="B392" s="105" t="s">
        <v>1981</v>
      </c>
      <c r="C392" s="105" t="s">
        <v>1982</v>
      </c>
      <c r="D392" s="105" t="s">
        <v>586</v>
      </c>
      <c r="E392" s="95" t="str">
        <f>IFERROR(VLOOKUP(D392,MATERIALES!A:B,2,FALSE()),"?")</f>
        <v>Trapo</v>
      </c>
      <c r="F392" s="129">
        <f>IFERROR(VLOOKUP(D392,MATERIALES!A:C,3,FALSE()),"?")</f>
        <v>0</v>
      </c>
      <c r="G392" s="119">
        <v>0.01</v>
      </c>
      <c r="H392" s="120">
        <v>0.03</v>
      </c>
      <c r="I392" s="96">
        <f>IFERROR(VLOOKUP(D392,MATERIALES!A:D,4,FALSE()),0)</f>
        <v>1182.6446280991699</v>
      </c>
      <c r="J392" s="31">
        <f t="shared" si="181"/>
        <v>12.181239669421451</v>
      </c>
      <c r="K392" s="32" t="str">
        <f t="shared" si="171"/>
        <v>PIR-057|MAT</v>
      </c>
      <c r="L392" s="32">
        <f>COUNTIFS($K$2:K392,K392)</f>
        <v>4</v>
      </c>
      <c r="M392" s="32" t="str">
        <f t="shared" si="177"/>
        <v>PIR-057|MAT|4</v>
      </c>
      <c r="N392" s="121">
        <f>IFERROR(VLOOKUP(A392,PARTIDAS!A:F,6,FALSE()),0)</f>
        <v>10</v>
      </c>
      <c r="O392" s="123">
        <f t="shared" si="179"/>
        <v>0</v>
      </c>
      <c r="P392" s="123" t="str">
        <f>+_xlfn.XLOOKUP(A392,PPTO_GENERADOR!Q:Q,PPTO_GENERADOR!E:E,"-",0)</f>
        <v>-</v>
      </c>
      <c r="Q392" s="123">
        <f t="shared" si="180"/>
        <v>0</v>
      </c>
      <c r="R392" s="125" t="str">
        <f>+_xlfn.XLOOKUP(A392,PPTO_GENERADOR!$Q:$Q,PPTO_GENERADOR!A:A,"-",0)</f>
        <v>-</v>
      </c>
    </row>
    <row r="393" spans="1:18" ht="14.25" customHeight="1" x14ac:dyDescent="0.35">
      <c r="A393" s="105" t="s">
        <v>1865</v>
      </c>
      <c r="B393" s="105" t="s">
        <v>1983</v>
      </c>
      <c r="C393" s="105"/>
      <c r="D393" s="105" t="s">
        <v>1321</v>
      </c>
      <c r="E393" s="95" t="str">
        <f>IFERROR(VLOOKUP(D393,EQUIPOS!A:B,2,FALSE()),"?")</f>
        <v>EQUIPO PARA COLOCACION DE CERAMICA</v>
      </c>
      <c r="F393" s="129"/>
      <c r="G393" s="119">
        <v>1</v>
      </c>
      <c r="H393" s="120">
        <v>0</v>
      </c>
      <c r="I393" s="96">
        <f>IFERROR(VLOOKUP(D393,EQUIPOS!A:F,6,FALSE()),0)</f>
        <v>2866.2900480747039</v>
      </c>
      <c r="J393" s="31">
        <f>G393*I393</f>
        <v>2866.2900480747039</v>
      </c>
      <c r="K393" s="32" t="str">
        <f t="shared" ref="K393:K424" si="182">A393&amp;"|"&amp;B393</f>
        <v>PIR-057|EQ</v>
      </c>
      <c r="L393" s="32">
        <f>COUNTIFS($K$2:K393,K393)</f>
        <v>1</v>
      </c>
      <c r="M393" s="32" t="str">
        <f t="shared" si="177"/>
        <v>PIR-057|EQ|1</v>
      </c>
      <c r="N393" s="121">
        <f>IFERROR(VLOOKUP(A393,PARTIDAS!A:F,6,FALSE()),0)</f>
        <v>10</v>
      </c>
      <c r="O393" s="123">
        <f t="shared" si="179"/>
        <v>0</v>
      </c>
      <c r="P393" s="123" t="str">
        <f>+_xlfn.XLOOKUP(A393,PPTO_GENERADOR!Q:Q,PPTO_GENERADOR!E:E,"-",0)</f>
        <v>-</v>
      </c>
      <c r="Q393" s="123">
        <f t="shared" si="180"/>
        <v>0</v>
      </c>
      <c r="R393" s="125" t="str">
        <f>+_xlfn.XLOOKUP(A393,PPTO_GENERADOR!$Q:$Q,PPTO_GENERADOR!A:A,"-",0)</f>
        <v>-</v>
      </c>
    </row>
    <row r="394" spans="1:18" ht="14.25" customHeight="1" x14ac:dyDescent="0.35">
      <c r="A394" s="105" t="s">
        <v>1865</v>
      </c>
      <c r="B394" s="105" t="s">
        <v>1979</v>
      </c>
      <c r="C394" s="105" t="s">
        <v>1980</v>
      </c>
      <c r="D394" s="105" t="s">
        <v>1288</v>
      </c>
      <c r="E394" s="95" t="str">
        <f>IFERROR(VLOOKUP(D394,MANO_DE_OBRA!A:B,2,FALSE()),"?")</f>
        <v>MEDIO OFICIAL</v>
      </c>
      <c r="F394" s="129" t="s">
        <v>2042</v>
      </c>
      <c r="G394" s="119">
        <v>1</v>
      </c>
      <c r="H394" s="120">
        <v>0</v>
      </c>
      <c r="I394" s="96">
        <f>IFERROR(VLOOKUP(D394,MANO_DE_OBRA!A:C,3,FALSE()),0)</f>
        <v>72132.138365590101</v>
      </c>
      <c r="J394" s="31">
        <f t="shared" ref="J394:J395" si="183">G394*I394</f>
        <v>72132.138365590101</v>
      </c>
      <c r="K394" s="32" t="str">
        <f t="shared" si="182"/>
        <v>PIR-057|MO</v>
      </c>
      <c r="L394" s="32">
        <f>COUNTIFS($K$2:K394,K394)</f>
        <v>1</v>
      </c>
      <c r="M394" s="32" t="str">
        <f t="shared" si="177"/>
        <v>PIR-057|MO|1</v>
      </c>
      <c r="N394" s="121">
        <f>IFERROR(VLOOKUP(A394,PARTIDAS!A:F,6,FALSE()),0)</f>
        <v>10</v>
      </c>
      <c r="O394" s="123">
        <f t="shared" si="179"/>
        <v>0.1</v>
      </c>
      <c r="P394" s="123" t="str">
        <f>+_xlfn.XLOOKUP(A394,PPTO_GENERADOR!Q:Q,PPTO_GENERADOR!E:E,"-",0)</f>
        <v>-</v>
      </c>
      <c r="Q394" s="123">
        <f t="shared" si="180"/>
        <v>0</v>
      </c>
      <c r="R394" s="125" t="str">
        <f>+_xlfn.XLOOKUP(A394,PPTO_GENERADOR!$Q:$Q,PPTO_GENERADOR!A:A,"-",0)</f>
        <v>-</v>
      </c>
    </row>
    <row r="395" spans="1:18" ht="14.25" customHeight="1" x14ac:dyDescent="0.35">
      <c r="A395" s="105" t="s">
        <v>1865</v>
      </c>
      <c r="B395" s="105" t="s">
        <v>1979</v>
      </c>
      <c r="C395" s="105" t="s">
        <v>1980</v>
      </c>
      <c r="D395" s="105" t="s">
        <v>1292</v>
      </c>
      <c r="E395" s="95" t="str">
        <f>IFERROR(VLOOKUP(D395,MANO_DE_OBRA!A:B,2,FALSE()),"?")</f>
        <v>ESPECIALIZADO</v>
      </c>
      <c r="F395" s="129" t="s">
        <v>2042</v>
      </c>
      <c r="G395" s="119">
        <v>1</v>
      </c>
      <c r="H395" s="120">
        <v>0</v>
      </c>
      <c r="I395" s="96">
        <f>IFERROR(VLOOKUP(D395,MANO_DE_OBRA!A:C,3,FALSE()),0)</f>
        <v>94177.137883538904</v>
      </c>
      <c r="J395" s="31">
        <f t="shared" si="183"/>
        <v>94177.137883538904</v>
      </c>
      <c r="K395" s="32" t="str">
        <f t="shared" si="182"/>
        <v>PIR-057|MO</v>
      </c>
      <c r="L395" s="32">
        <f>COUNTIFS($K$2:K395,K395)</f>
        <v>2</v>
      </c>
      <c r="M395" s="32" t="str">
        <f t="shared" si="177"/>
        <v>PIR-057|MO|2</v>
      </c>
      <c r="N395" s="121">
        <f>IFERROR(VLOOKUP(A395,PARTIDAS!A:F,6,FALSE()),0)</f>
        <v>10</v>
      </c>
      <c r="O395" s="123">
        <f t="shared" si="179"/>
        <v>0.1</v>
      </c>
      <c r="P395" s="123" t="str">
        <f>+_xlfn.XLOOKUP(A395,PPTO_GENERADOR!Q:Q,PPTO_GENERADOR!E:E,"-",0)</f>
        <v>-</v>
      </c>
      <c r="Q395" s="123">
        <f t="shared" si="180"/>
        <v>0</v>
      </c>
      <c r="R395" s="125" t="str">
        <f>+_xlfn.XLOOKUP(A395,PPTO_GENERADOR!$Q:$Q,PPTO_GENERADOR!A:A,"-",0)</f>
        <v>-</v>
      </c>
    </row>
    <row r="396" spans="1:18" ht="14.25" customHeight="1" x14ac:dyDescent="0.35">
      <c r="A396" s="105" t="s">
        <v>1868</v>
      </c>
      <c r="B396" s="105" t="s">
        <v>1981</v>
      </c>
      <c r="C396" s="105" t="s">
        <v>1982</v>
      </c>
      <c r="D396" s="105" t="s">
        <v>1017</v>
      </c>
      <c r="E396" s="95" t="str">
        <f>IFERROR(VLOOKUP(D396,MATERIALES!A:B,2,FALSE()),"?")</f>
        <v>Adhesivo Klaukol Porcellanato Fluido x 30Kg</v>
      </c>
      <c r="F396" s="129" t="str">
        <f>IFERROR(VLOOKUP(D396,MATERIALES!A:C,3,FALSE()),"?")</f>
        <v>bol</v>
      </c>
      <c r="G396" s="119">
        <v>0.04</v>
      </c>
      <c r="H396" s="120">
        <v>0.2</v>
      </c>
      <c r="I396" s="96">
        <f>IFERROR(VLOOKUP(D396,MATERIALES!A:D,4,FALSE()),0)</f>
        <v>17106.768</v>
      </c>
      <c r="J396" s="31">
        <f t="shared" ref="J396:J399" si="184">G396*I396*(1+H396)</f>
        <v>821.124864</v>
      </c>
      <c r="K396" s="32" t="str">
        <f t="shared" si="182"/>
        <v>CER-058|MAT</v>
      </c>
      <c r="L396" s="32">
        <f>COUNTIFS($K$2:K396,K396)</f>
        <v>1</v>
      </c>
      <c r="M396" s="32" t="str">
        <f t="shared" si="177"/>
        <v>CER-058|MAT|1</v>
      </c>
      <c r="N396" s="121">
        <f>IFERROR(VLOOKUP(A396,PARTIDAS!A:F,6,FALSE()),0)</f>
        <v>30</v>
      </c>
      <c r="O396" s="123">
        <f t="shared" si="179"/>
        <v>0</v>
      </c>
      <c r="P396" s="123" t="str">
        <f>+_xlfn.XLOOKUP(A396,PPTO_GENERADOR!Q:Q,PPTO_GENERADOR!E:E,"-",0)</f>
        <v>-</v>
      </c>
      <c r="Q396" s="123">
        <f t="shared" si="180"/>
        <v>0</v>
      </c>
      <c r="R396" s="125" t="str">
        <f>+_xlfn.XLOOKUP(A396,PPTO_GENERADOR!$Q:$Q,PPTO_GENERADOR!A:A,"-",0)</f>
        <v>-</v>
      </c>
    </row>
    <row r="397" spans="1:18" ht="14.25" customHeight="1" x14ac:dyDescent="0.35">
      <c r="A397" s="105" t="s">
        <v>1868</v>
      </c>
      <c r="B397" s="105" t="s">
        <v>1981</v>
      </c>
      <c r="C397" s="105" t="s">
        <v>1982</v>
      </c>
      <c r="D397" s="105" t="s">
        <v>1023</v>
      </c>
      <c r="E397" s="95" t="str">
        <f>IFERROR(VLOOKUP(D397,MATERIALES!A:B,2,FALSE()),"?")</f>
        <v>Disco Diamantado Aliafor Turbo Fino TRF</v>
      </c>
      <c r="F397" s="129" t="str">
        <f>IFERROR(VLOOKUP(D397,MATERIALES!A:C,3,FALSE()),"?")</f>
        <v>u</v>
      </c>
      <c r="G397" s="119">
        <v>1E-3</v>
      </c>
      <c r="H397" s="120">
        <v>0.05</v>
      </c>
      <c r="I397" s="96">
        <f>IFERROR(VLOOKUP(D397,MATERIALES!A:D,4,FALSE()),0)</f>
        <v>11376</v>
      </c>
      <c r="J397" s="31">
        <f t="shared" si="184"/>
        <v>11.944800000000001</v>
      </c>
      <c r="K397" s="32" t="str">
        <f t="shared" si="182"/>
        <v>CER-058|MAT</v>
      </c>
      <c r="L397" s="32">
        <f>COUNTIFS($K$2:K397,K397)</f>
        <v>2</v>
      </c>
      <c r="M397" s="32" t="str">
        <f t="shared" si="177"/>
        <v>CER-058|MAT|2</v>
      </c>
      <c r="N397" s="121">
        <f>IFERROR(VLOOKUP(A397,PARTIDAS!A:F,6,FALSE()),0)</f>
        <v>30</v>
      </c>
      <c r="O397" s="123">
        <f t="shared" si="179"/>
        <v>0</v>
      </c>
      <c r="P397" s="123" t="str">
        <f>+_xlfn.XLOOKUP(A397,PPTO_GENERADOR!Q:Q,PPTO_GENERADOR!E:E,"-",0)</f>
        <v>-</v>
      </c>
      <c r="Q397" s="123">
        <f t="shared" si="180"/>
        <v>0</v>
      </c>
      <c r="R397" s="125" t="str">
        <f>+_xlfn.XLOOKUP(A397,PPTO_GENERADOR!$Q:$Q,PPTO_GENERADOR!A:A,"-",0)</f>
        <v>-</v>
      </c>
    </row>
    <row r="398" spans="1:18" ht="14.25" customHeight="1" x14ac:dyDescent="0.35">
      <c r="A398" s="105" t="s">
        <v>1868</v>
      </c>
      <c r="B398" s="105" t="s">
        <v>1981</v>
      </c>
      <c r="C398" s="105" t="s">
        <v>1982</v>
      </c>
      <c r="D398" s="105" t="s">
        <v>1021</v>
      </c>
      <c r="E398" s="95" t="str">
        <f>IFERROR(VLOOKUP(D398,MATERIALES!A:B,2,FALSE()),"?")</f>
        <v>Pastina Klaukol x 1kg - Alta performance</v>
      </c>
      <c r="F398" s="129" t="str">
        <f>IFERROR(VLOOKUP(D398,MATERIALES!A:C,3,FALSE()),"?")</f>
        <v>bol</v>
      </c>
      <c r="G398" s="119">
        <v>0.04</v>
      </c>
      <c r="H398" s="120">
        <v>0.05</v>
      </c>
      <c r="I398" s="96">
        <f>IFERROR(VLOOKUP(D398,MATERIALES!A:D,4,FALSE()),0)</f>
        <v>3720.15</v>
      </c>
      <c r="J398" s="31">
        <f t="shared" si="184"/>
        <v>156.24630000000002</v>
      </c>
      <c r="K398" s="32" t="str">
        <f t="shared" si="182"/>
        <v>CER-058|MAT</v>
      </c>
      <c r="L398" s="32">
        <f>COUNTIFS($K$2:K398,K398)</f>
        <v>3</v>
      </c>
      <c r="M398" s="32" t="str">
        <f t="shared" si="177"/>
        <v>CER-058|MAT|3</v>
      </c>
      <c r="N398" s="121">
        <f>IFERROR(VLOOKUP(A398,PARTIDAS!A:F,6,FALSE()),0)</f>
        <v>30</v>
      </c>
      <c r="O398" s="123">
        <f t="shared" si="179"/>
        <v>0</v>
      </c>
      <c r="P398" s="123" t="str">
        <f>+_xlfn.XLOOKUP(A398,PPTO_GENERADOR!Q:Q,PPTO_GENERADOR!E:E,"-",0)</f>
        <v>-</v>
      </c>
      <c r="Q398" s="123">
        <f t="shared" si="180"/>
        <v>0</v>
      </c>
      <c r="R398" s="125" t="str">
        <f>+_xlfn.XLOOKUP(A398,PPTO_GENERADOR!$Q:$Q,PPTO_GENERADOR!A:A,"-",0)</f>
        <v>-</v>
      </c>
    </row>
    <row r="399" spans="1:18" ht="14.25" customHeight="1" x14ac:dyDescent="0.35">
      <c r="A399" s="105" t="s">
        <v>1868</v>
      </c>
      <c r="B399" s="105" t="s">
        <v>1981</v>
      </c>
      <c r="C399" s="105" t="s">
        <v>1982</v>
      </c>
      <c r="D399" s="105" t="s">
        <v>586</v>
      </c>
      <c r="E399" s="95" t="str">
        <f>IFERROR(VLOOKUP(D399,MATERIALES!A:B,2,FALSE()),"?")</f>
        <v>Trapo</v>
      </c>
      <c r="F399" s="129">
        <f>IFERROR(VLOOKUP(D399,MATERIALES!A:C,3,FALSE()),"?")</f>
        <v>0</v>
      </c>
      <c r="G399" s="119">
        <v>0.01</v>
      </c>
      <c r="H399" s="120">
        <v>0.03</v>
      </c>
      <c r="I399" s="96">
        <f>IFERROR(VLOOKUP(D399,MATERIALES!A:D,4,FALSE()),0)</f>
        <v>1182.6446280991699</v>
      </c>
      <c r="J399" s="31">
        <f t="shared" si="184"/>
        <v>12.181239669421451</v>
      </c>
      <c r="K399" s="32" t="str">
        <f t="shared" si="182"/>
        <v>CER-058|MAT</v>
      </c>
      <c r="L399" s="32">
        <f>COUNTIFS($K$2:K399,K399)</f>
        <v>4</v>
      </c>
      <c r="M399" s="32" t="str">
        <f t="shared" si="177"/>
        <v>CER-058|MAT|4</v>
      </c>
      <c r="N399" s="121">
        <f>IFERROR(VLOOKUP(A399,PARTIDAS!A:F,6,FALSE()),0)</f>
        <v>30</v>
      </c>
      <c r="O399" s="123">
        <f t="shared" si="179"/>
        <v>0</v>
      </c>
      <c r="P399" s="123" t="str">
        <f>+_xlfn.XLOOKUP(A399,PPTO_GENERADOR!Q:Q,PPTO_GENERADOR!E:E,"-",0)</f>
        <v>-</v>
      </c>
      <c r="Q399" s="123">
        <f t="shared" si="180"/>
        <v>0</v>
      </c>
      <c r="R399" s="125" t="str">
        <f>+_xlfn.XLOOKUP(A399,PPTO_GENERADOR!$Q:$Q,PPTO_GENERADOR!A:A,"-",0)</f>
        <v>-</v>
      </c>
    </row>
    <row r="400" spans="1:18" ht="14.25" customHeight="1" x14ac:dyDescent="0.35">
      <c r="A400" s="105" t="s">
        <v>1868</v>
      </c>
      <c r="B400" s="105" t="s">
        <v>1983</v>
      </c>
      <c r="C400" s="105"/>
      <c r="D400" s="105" t="s">
        <v>1321</v>
      </c>
      <c r="E400" s="95" t="str">
        <f>IFERROR(VLOOKUP(D400,EQUIPOS!A:B,2,FALSE()),"?")</f>
        <v>EQUIPO PARA COLOCACION DE CERAMICA</v>
      </c>
      <c r="F400" s="129"/>
      <c r="G400" s="119">
        <v>1</v>
      </c>
      <c r="H400" s="120">
        <v>0</v>
      </c>
      <c r="I400" s="96">
        <f>IFERROR(VLOOKUP(D400,EQUIPOS!A:F,6,FALSE()),0)</f>
        <v>2866.2900480747039</v>
      </c>
      <c r="J400" s="31">
        <f>G400*I400</f>
        <v>2866.2900480747039</v>
      </c>
      <c r="K400" s="32" t="str">
        <f t="shared" si="182"/>
        <v>CER-058|EQ</v>
      </c>
      <c r="L400" s="32">
        <f>COUNTIFS($K$2:K400,K400)</f>
        <v>1</v>
      </c>
      <c r="M400" s="32" t="str">
        <f t="shared" si="177"/>
        <v>CER-058|EQ|1</v>
      </c>
      <c r="N400" s="121">
        <f>IFERROR(VLOOKUP(A400,PARTIDAS!A:F,6,FALSE()),0)</f>
        <v>30</v>
      </c>
      <c r="O400" s="123">
        <f t="shared" si="179"/>
        <v>0</v>
      </c>
      <c r="P400" s="123" t="str">
        <f>+_xlfn.XLOOKUP(A400,PPTO_GENERADOR!Q:Q,PPTO_GENERADOR!E:E,"-",0)</f>
        <v>-</v>
      </c>
      <c r="Q400" s="123">
        <f t="shared" si="180"/>
        <v>0</v>
      </c>
      <c r="R400" s="125" t="str">
        <f>+_xlfn.XLOOKUP(A400,PPTO_GENERADOR!$Q:$Q,PPTO_GENERADOR!A:A,"-",0)</f>
        <v>-</v>
      </c>
    </row>
    <row r="401" spans="1:18" ht="14.25" customHeight="1" x14ac:dyDescent="0.35">
      <c r="A401" s="105" t="s">
        <v>1868</v>
      </c>
      <c r="B401" s="105" t="s">
        <v>1979</v>
      </c>
      <c r="C401" s="105" t="s">
        <v>1980</v>
      </c>
      <c r="D401" s="105" t="s">
        <v>1288</v>
      </c>
      <c r="E401" s="95" t="str">
        <f>IFERROR(VLOOKUP(D401,MANO_DE_OBRA!A:B,2,FALSE()),"?")</f>
        <v>MEDIO OFICIAL</v>
      </c>
      <c r="F401" s="129" t="s">
        <v>2042</v>
      </c>
      <c r="G401" s="119">
        <v>1</v>
      </c>
      <c r="H401" s="120">
        <v>0</v>
      </c>
      <c r="I401" s="96">
        <f>IFERROR(VLOOKUP(D401,MANO_DE_OBRA!A:C,3,FALSE()),0)</f>
        <v>72132.138365590101</v>
      </c>
      <c r="J401" s="31">
        <f t="shared" ref="J401:J402" si="185">G401*I401</f>
        <v>72132.138365590101</v>
      </c>
      <c r="K401" s="32" t="str">
        <f t="shared" si="182"/>
        <v>CER-058|MO</v>
      </c>
      <c r="L401" s="32">
        <f>COUNTIFS($K$2:K401,K401)</f>
        <v>1</v>
      </c>
      <c r="M401" s="32" t="str">
        <f t="shared" si="177"/>
        <v>CER-058|MO|1</v>
      </c>
      <c r="N401" s="121">
        <f>IFERROR(VLOOKUP(A401,PARTIDAS!A:F,6,FALSE()),0)</f>
        <v>30</v>
      </c>
      <c r="O401" s="123">
        <f t="shared" si="179"/>
        <v>3.3333333333333333E-2</v>
      </c>
      <c r="P401" s="123" t="str">
        <f>+_xlfn.XLOOKUP(A401,PPTO_GENERADOR!Q:Q,PPTO_GENERADOR!E:E,"-",0)</f>
        <v>-</v>
      </c>
      <c r="Q401" s="123">
        <f t="shared" si="180"/>
        <v>0</v>
      </c>
      <c r="R401" s="125" t="str">
        <f>+_xlfn.XLOOKUP(A401,PPTO_GENERADOR!$Q:$Q,PPTO_GENERADOR!A:A,"-",0)</f>
        <v>-</v>
      </c>
    </row>
    <row r="402" spans="1:18" ht="14.25" customHeight="1" x14ac:dyDescent="0.35">
      <c r="A402" s="105" t="s">
        <v>1868</v>
      </c>
      <c r="B402" s="105" t="s">
        <v>1979</v>
      </c>
      <c r="C402" s="105" t="s">
        <v>1980</v>
      </c>
      <c r="D402" s="105" t="s">
        <v>1292</v>
      </c>
      <c r="E402" s="95" t="str">
        <f>IFERROR(VLOOKUP(D402,MANO_DE_OBRA!A:B,2,FALSE()),"?")</f>
        <v>ESPECIALIZADO</v>
      </c>
      <c r="F402" s="129" t="s">
        <v>2042</v>
      </c>
      <c r="G402" s="119">
        <v>1</v>
      </c>
      <c r="H402" s="120">
        <v>0</v>
      </c>
      <c r="I402" s="96">
        <f>IFERROR(VLOOKUP(D402,MANO_DE_OBRA!A:C,3,FALSE()),0)</f>
        <v>94177.137883538904</v>
      </c>
      <c r="J402" s="31">
        <f t="shared" si="185"/>
        <v>94177.137883538904</v>
      </c>
      <c r="K402" s="32" t="str">
        <f t="shared" si="182"/>
        <v>CER-058|MO</v>
      </c>
      <c r="L402" s="32">
        <f>COUNTIFS($K$2:K402,K402)</f>
        <v>2</v>
      </c>
      <c r="M402" s="32" t="str">
        <f t="shared" si="177"/>
        <v>CER-058|MO|2</v>
      </c>
      <c r="N402" s="121">
        <f>IFERROR(VLOOKUP(A402,PARTIDAS!A:F,6,FALSE()),0)</f>
        <v>30</v>
      </c>
      <c r="O402" s="123">
        <f t="shared" si="179"/>
        <v>3.3333333333333333E-2</v>
      </c>
      <c r="P402" s="123" t="str">
        <f>+_xlfn.XLOOKUP(A402,PPTO_GENERADOR!Q:Q,PPTO_GENERADOR!E:E,"-",0)</f>
        <v>-</v>
      </c>
      <c r="Q402" s="123">
        <f t="shared" si="180"/>
        <v>0</v>
      </c>
      <c r="R402" s="125" t="str">
        <f>+_xlfn.XLOOKUP(A402,PPTO_GENERADOR!$Q:$Q,PPTO_GENERADOR!A:A,"-",0)</f>
        <v>-</v>
      </c>
    </row>
    <row r="403" spans="1:18" ht="14.25" customHeight="1" x14ac:dyDescent="0.35">
      <c r="A403" s="105" t="s">
        <v>1871</v>
      </c>
      <c r="B403" s="105" t="s">
        <v>1981</v>
      </c>
      <c r="C403" s="105" t="s">
        <v>1982</v>
      </c>
      <c r="D403" s="105" t="s">
        <v>588</v>
      </c>
      <c r="E403" s="95" t="str">
        <f>IFERROR(VLOOKUP(D403,MATERIALES!A:B,2,FALSE()),"?")</f>
        <v>Fijador al agua x 20 lts</v>
      </c>
      <c r="F403" s="129">
        <f>IFERROR(VLOOKUP(D403,MATERIALES!A:C,3,FALSE()),"?")</f>
        <v>0</v>
      </c>
      <c r="G403" s="119">
        <v>4.0000000000000001E-3</v>
      </c>
      <c r="H403" s="120">
        <v>0.05</v>
      </c>
      <c r="I403" s="96">
        <f>IFERROR(VLOOKUP(D403,MATERIALES!A:D,4,FALSE()),0)</f>
        <v>42552.892561983499</v>
      </c>
      <c r="J403" s="31">
        <f t="shared" ref="J403:J412" si="186">G403*I403*(1+H403)</f>
        <v>178.7221487603307</v>
      </c>
      <c r="K403" s="32" t="str">
        <f t="shared" si="182"/>
        <v>CER-059|MAT</v>
      </c>
      <c r="L403" s="32">
        <f>COUNTIFS($K$2:K403,K403)</f>
        <v>1</v>
      </c>
      <c r="M403" s="32" t="str">
        <f t="shared" si="177"/>
        <v>CER-059|MAT|1</v>
      </c>
      <c r="N403" s="121">
        <f>IFERROR(VLOOKUP(A403,PARTIDAS!A:F,6,FALSE()),0)</f>
        <v>11</v>
      </c>
      <c r="O403" s="123">
        <f t="shared" si="179"/>
        <v>0</v>
      </c>
      <c r="P403" s="123" t="str">
        <f>+_xlfn.XLOOKUP(A403,PPTO_GENERADOR!Q:Q,PPTO_GENERADOR!E:E,"-",0)</f>
        <v>-</v>
      </c>
      <c r="Q403" s="123">
        <f t="shared" si="180"/>
        <v>0</v>
      </c>
      <c r="R403" s="125" t="str">
        <f>+_xlfn.XLOOKUP(A403,PPTO_GENERADOR!$Q:$Q,PPTO_GENERADOR!A:A,"-",0)</f>
        <v>-</v>
      </c>
    </row>
    <row r="404" spans="1:18" ht="14.25" customHeight="1" x14ac:dyDescent="0.35">
      <c r="A404" s="105" t="s">
        <v>1871</v>
      </c>
      <c r="B404" s="105" t="s">
        <v>1981</v>
      </c>
      <c r="C404" s="105" t="s">
        <v>1982</v>
      </c>
      <c r="D404" s="105" t="s">
        <v>580</v>
      </c>
      <c r="E404" s="95" t="str">
        <f>IFERROR(VLOOKUP(D404,MATERIALES!A:B,2,FALSE()),"?")</f>
        <v>Enduido Interior x 20lts</v>
      </c>
      <c r="F404" s="129">
        <f>IFERROR(VLOOKUP(D404,MATERIALES!A:C,3,FALSE()),"?")</f>
        <v>0</v>
      </c>
      <c r="G404" s="119">
        <v>0.05</v>
      </c>
      <c r="H404" s="120">
        <v>0.1</v>
      </c>
      <c r="I404" s="96">
        <f>IFERROR(VLOOKUP(D404,MATERIALES!A:D,4,FALSE()),0)</f>
        <v>41314.049586776899</v>
      </c>
      <c r="J404" s="31">
        <f t="shared" si="186"/>
        <v>2272.2727272727298</v>
      </c>
      <c r="K404" s="32" t="str">
        <f t="shared" si="182"/>
        <v>CER-059|MAT</v>
      </c>
      <c r="L404" s="32">
        <f>COUNTIFS($K$2:K404,K404)</f>
        <v>2</v>
      </c>
      <c r="M404" s="32" t="str">
        <f t="shared" si="177"/>
        <v>CER-059|MAT|2</v>
      </c>
      <c r="N404" s="121">
        <f>IFERROR(VLOOKUP(A404,PARTIDAS!A:F,6,FALSE()),0)</f>
        <v>11</v>
      </c>
      <c r="O404" s="123">
        <f t="shared" si="179"/>
        <v>0</v>
      </c>
      <c r="P404" s="123" t="str">
        <f>+_xlfn.XLOOKUP(A404,PPTO_GENERADOR!Q:Q,PPTO_GENERADOR!E:E,"-",0)</f>
        <v>-</v>
      </c>
      <c r="Q404" s="123">
        <f t="shared" si="180"/>
        <v>0</v>
      </c>
      <c r="R404" s="125" t="str">
        <f>+_xlfn.XLOOKUP(A404,PPTO_GENERADOR!$Q:$Q,PPTO_GENERADOR!A:A,"-",0)</f>
        <v>-</v>
      </c>
    </row>
    <row r="405" spans="1:18" ht="14.25" customHeight="1" x14ac:dyDescent="0.35">
      <c r="A405" s="105" t="s">
        <v>1871</v>
      </c>
      <c r="B405" s="105" t="s">
        <v>1981</v>
      </c>
      <c r="C405" s="105" t="s">
        <v>1982</v>
      </c>
      <c r="D405" s="105" t="s">
        <v>1048</v>
      </c>
      <c r="E405" s="95" t="str">
        <f>IFERROR(VLOOKUP(D405,MATERIALES!A:B,2,FALSE()),"?")</f>
        <v>Latex Loxon Interior Sherwin Williams Satinado Bco x 20lts</v>
      </c>
      <c r="F405" s="129" t="str">
        <f>IFERROR(VLOOKUP(D405,MATERIALES!A:C,3,FALSE()),"?")</f>
        <v>b</v>
      </c>
      <c r="G405" s="119">
        <v>1.2500000000000001E-2</v>
      </c>
      <c r="H405" s="120">
        <v>0.1</v>
      </c>
      <c r="I405" s="96">
        <f>IFERROR(VLOOKUP(D405,MATERIALES!A:D,4,FALSE()),0)</f>
        <v>239668.595041322</v>
      </c>
      <c r="J405" s="31">
        <f t="shared" si="186"/>
        <v>3295.4431818181779</v>
      </c>
      <c r="K405" s="32" t="str">
        <f t="shared" si="182"/>
        <v>CER-059|MAT</v>
      </c>
      <c r="L405" s="32">
        <f>COUNTIFS($K$2:K405,K405)</f>
        <v>3</v>
      </c>
      <c r="M405" s="32" t="str">
        <f t="shared" si="177"/>
        <v>CER-059|MAT|3</v>
      </c>
      <c r="N405" s="121">
        <f>IFERROR(VLOOKUP(A405,PARTIDAS!A:F,6,FALSE()),0)</f>
        <v>11</v>
      </c>
      <c r="O405" s="123">
        <f t="shared" si="179"/>
        <v>0</v>
      </c>
      <c r="P405" s="123" t="str">
        <f>+_xlfn.XLOOKUP(A405,PPTO_GENERADOR!Q:Q,PPTO_GENERADOR!E:E,"-",0)</f>
        <v>-</v>
      </c>
      <c r="Q405" s="123">
        <f t="shared" si="180"/>
        <v>0</v>
      </c>
      <c r="R405" s="125" t="str">
        <f>+_xlfn.XLOOKUP(A405,PPTO_GENERADOR!$Q:$Q,PPTO_GENERADOR!A:A,"-",0)</f>
        <v>-</v>
      </c>
    </row>
    <row r="406" spans="1:18" ht="14.25" customHeight="1" x14ac:dyDescent="0.35">
      <c r="A406" s="105" t="s">
        <v>1871</v>
      </c>
      <c r="B406" s="105" t="s">
        <v>1981</v>
      </c>
      <c r="C406" s="105" t="s">
        <v>1982</v>
      </c>
      <c r="D406" s="105" t="s">
        <v>590</v>
      </c>
      <c r="E406" s="95" t="str">
        <f>IFERROR(VLOOKUP(D406,MATERIALES!A:B,2,FALSE()),"?")</f>
        <v>Yeso Tuyango x 30kg</v>
      </c>
      <c r="F406" s="129">
        <f>IFERROR(VLOOKUP(D406,MATERIALES!A:C,3,FALSE()),"?")</f>
        <v>0</v>
      </c>
      <c r="G406" s="119">
        <v>2.5000000000000001E-3</v>
      </c>
      <c r="H406" s="120">
        <v>0.05</v>
      </c>
      <c r="I406" s="96">
        <f>IFERROR(VLOOKUP(D406,MATERIALES!A:D,4,FALSE()),0)</f>
        <v>9927.59</v>
      </c>
      <c r="J406" s="31">
        <f t="shared" si="186"/>
        <v>26.059923750000003</v>
      </c>
      <c r="K406" s="32" t="str">
        <f t="shared" si="182"/>
        <v>CER-059|MAT</v>
      </c>
      <c r="L406" s="32">
        <f>COUNTIFS($K$2:K406,K406)</f>
        <v>4</v>
      </c>
      <c r="M406" s="32" t="str">
        <f t="shared" si="177"/>
        <v>CER-059|MAT|4</v>
      </c>
      <c r="N406" s="121">
        <f>IFERROR(VLOOKUP(A406,PARTIDAS!A:F,6,FALSE()),0)</f>
        <v>11</v>
      </c>
      <c r="O406" s="123">
        <f t="shared" si="179"/>
        <v>0</v>
      </c>
      <c r="P406" s="123" t="str">
        <f>+_xlfn.XLOOKUP(A406,PPTO_GENERADOR!Q:Q,PPTO_GENERADOR!E:E,"-",0)</f>
        <v>-</v>
      </c>
      <c r="Q406" s="123">
        <f t="shared" si="180"/>
        <v>0</v>
      </c>
      <c r="R406" s="125" t="str">
        <f>+_xlfn.XLOOKUP(A406,PPTO_GENERADOR!$Q:$Q,PPTO_GENERADOR!A:A,"-",0)</f>
        <v>-</v>
      </c>
    </row>
    <row r="407" spans="1:18" ht="14.25" customHeight="1" x14ac:dyDescent="0.35">
      <c r="A407" s="105" t="s">
        <v>1871</v>
      </c>
      <c r="B407" s="105" t="s">
        <v>1981</v>
      </c>
      <c r="C407" s="105" t="s">
        <v>1982</v>
      </c>
      <c r="D407" s="105" t="s">
        <v>586</v>
      </c>
      <c r="E407" s="95" t="str">
        <f>IFERROR(VLOOKUP(D407,MATERIALES!A:B,2,FALSE()),"?")</f>
        <v>Trapo</v>
      </c>
      <c r="F407" s="129">
        <f>IFERROR(VLOOKUP(D407,MATERIALES!A:C,3,FALSE()),"?")</f>
        <v>0</v>
      </c>
      <c r="G407" s="119">
        <v>0.03</v>
      </c>
      <c r="H407" s="120">
        <v>0.05</v>
      </c>
      <c r="I407" s="96">
        <f>IFERROR(VLOOKUP(D407,MATERIALES!A:D,4,FALSE()),0)</f>
        <v>1182.6446280991699</v>
      </c>
      <c r="J407" s="31">
        <f t="shared" si="186"/>
        <v>37.25330578512385</v>
      </c>
      <c r="K407" s="32" t="str">
        <f t="shared" si="182"/>
        <v>CER-059|MAT</v>
      </c>
      <c r="L407" s="32">
        <f>COUNTIFS($K$2:K407,K407)</f>
        <v>5</v>
      </c>
      <c r="M407" s="32" t="str">
        <f t="shared" si="177"/>
        <v>CER-059|MAT|5</v>
      </c>
      <c r="N407" s="121">
        <f>IFERROR(VLOOKUP(A407,PARTIDAS!A:F,6,FALSE()),0)</f>
        <v>11</v>
      </c>
      <c r="O407" s="123">
        <f t="shared" si="179"/>
        <v>0</v>
      </c>
      <c r="P407" s="123" t="str">
        <f>+_xlfn.XLOOKUP(A407,PPTO_GENERADOR!Q:Q,PPTO_GENERADOR!E:E,"-",0)</f>
        <v>-</v>
      </c>
      <c r="Q407" s="123">
        <f t="shared" si="180"/>
        <v>0</v>
      </c>
      <c r="R407" s="125" t="str">
        <f>+_xlfn.XLOOKUP(A407,PPTO_GENERADOR!$Q:$Q,PPTO_GENERADOR!A:A,"-",0)</f>
        <v>-</v>
      </c>
    </row>
    <row r="408" spans="1:18" ht="14.25" customHeight="1" x14ac:dyDescent="0.35">
      <c r="A408" s="105" t="s">
        <v>1871</v>
      </c>
      <c r="B408" s="105" t="s">
        <v>1981</v>
      </c>
      <c r="C408" s="105" t="s">
        <v>1982</v>
      </c>
      <c r="D408" s="105" t="s">
        <v>584</v>
      </c>
      <c r="E408" s="95" t="str">
        <f>IFERROR(VLOOKUP(D408,MATERIALES!A:B,2,FALSE()),"?")</f>
        <v>Cinta de Papel 36 mm x 40m</v>
      </c>
      <c r="F408" s="129">
        <f>IFERROR(VLOOKUP(D408,MATERIALES!A:C,3,FALSE()),"?")</f>
        <v>0</v>
      </c>
      <c r="G408" s="119">
        <v>0.05</v>
      </c>
      <c r="H408" s="120">
        <v>0.1</v>
      </c>
      <c r="I408" s="96">
        <f>IFERROR(VLOOKUP(D408,MATERIALES!A:D,4,FALSE()),0)</f>
        <v>5885.9504132231395</v>
      </c>
      <c r="J408" s="31">
        <f t="shared" si="186"/>
        <v>323.72727272727269</v>
      </c>
      <c r="K408" s="32" t="str">
        <f t="shared" si="182"/>
        <v>CER-059|MAT</v>
      </c>
      <c r="L408" s="32">
        <f>COUNTIFS($K$2:K408,K408)</f>
        <v>6</v>
      </c>
      <c r="M408" s="32" t="str">
        <f t="shared" si="177"/>
        <v>CER-059|MAT|6</v>
      </c>
      <c r="N408" s="121">
        <f>IFERROR(VLOOKUP(A408,PARTIDAS!A:F,6,FALSE()),0)</f>
        <v>11</v>
      </c>
      <c r="O408" s="123">
        <f t="shared" si="179"/>
        <v>0</v>
      </c>
      <c r="P408" s="123" t="str">
        <f>+_xlfn.XLOOKUP(A408,PPTO_GENERADOR!Q:Q,PPTO_GENERADOR!E:E,"-",0)</f>
        <v>-</v>
      </c>
      <c r="Q408" s="123">
        <f t="shared" si="180"/>
        <v>0</v>
      </c>
      <c r="R408" s="125" t="str">
        <f>+_xlfn.XLOOKUP(A408,PPTO_GENERADOR!$Q:$Q,PPTO_GENERADOR!A:A,"-",0)</f>
        <v>-</v>
      </c>
    </row>
    <row r="409" spans="1:18" ht="14.25" customHeight="1" x14ac:dyDescent="0.35">
      <c r="A409" s="105" t="s">
        <v>1871</v>
      </c>
      <c r="B409" s="105" t="s">
        <v>1981</v>
      </c>
      <c r="C409" s="105" t="s">
        <v>1982</v>
      </c>
      <c r="D409" s="105" t="s">
        <v>582</v>
      </c>
      <c r="E409" s="95" t="str">
        <f>IFERROR(VLOOKUP(D409,MATERIALES!A:B,2,FALSE()),"?")</f>
        <v>Lija 180 al agua x 10u</v>
      </c>
      <c r="F409" s="129">
        <f>IFERROR(VLOOKUP(D409,MATERIALES!A:C,3,FALSE()),"?")</f>
        <v>0</v>
      </c>
      <c r="G409" s="119">
        <v>0.05</v>
      </c>
      <c r="H409" s="120">
        <v>0.05</v>
      </c>
      <c r="I409" s="96">
        <f>IFERROR(VLOOKUP(D409,MATERIALES!A:D,4,FALSE()),0)</f>
        <v>7917.3553719008296</v>
      </c>
      <c r="J409" s="31">
        <f t="shared" si="186"/>
        <v>415.66115702479362</v>
      </c>
      <c r="K409" s="32" t="str">
        <f t="shared" si="182"/>
        <v>CER-059|MAT</v>
      </c>
      <c r="L409" s="32">
        <f>COUNTIFS($K$2:K409,K409)</f>
        <v>7</v>
      </c>
      <c r="M409" s="32" t="str">
        <f t="shared" si="177"/>
        <v>CER-059|MAT|7</v>
      </c>
      <c r="N409" s="121">
        <f>IFERROR(VLOOKUP(A409,PARTIDAS!A:F,6,FALSE()),0)</f>
        <v>11</v>
      </c>
      <c r="O409" s="123">
        <f t="shared" si="179"/>
        <v>0</v>
      </c>
      <c r="P409" s="123" t="str">
        <f>+_xlfn.XLOOKUP(A409,PPTO_GENERADOR!Q:Q,PPTO_GENERADOR!E:E,"-",0)</f>
        <v>-</v>
      </c>
      <c r="Q409" s="123">
        <f t="shared" si="180"/>
        <v>0</v>
      </c>
      <c r="R409" s="125" t="str">
        <f>+_xlfn.XLOOKUP(A409,PPTO_GENERADOR!$Q:$Q,PPTO_GENERADOR!A:A,"-",0)</f>
        <v>-</v>
      </c>
    </row>
    <row r="410" spans="1:18" ht="14.25" customHeight="1" x14ac:dyDescent="0.35">
      <c r="A410" s="105" t="s">
        <v>1871</v>
      </c>
      <c r="B410" s="105" t="s">
        <v>1981</v>
      </c>
      <c r="C410" s="105" t="s">
        <v>1982</v>
      </c>
      <c r="D410" s="105" t="s">
        <v>922</v>
      </c>
      <c r="E410" s="95" t="str">
        <f>IFERROR(VLOOKUP(D410,MATERIALES!A:B,2,FALSE()),"?")</f>
        <v>Rodillo de lana pelo largo N°22 - El Galgo</v>
      </c>
      <c r="F410" s="129" t="str">
        <f>IFERROR(VLOOKUP(D410,MATERIALES!A:C,3,FALSE()),"?")</f>
        <v>u</v>
      </c>
      <c r="G410" s="119">
        <v>5.0000000000000001E-3</v>
      </c>
      <c r="H410" s="120">
        <v>0.05</v>
      </c>
      <c r="I410" s="96">
        <f>IFERROR(VLOOKUP(D410,MATERIALES!A:D,4,FALSE()),0)</f>
        <v>6442.15</v>
      </c>
      <c r="J410" s="31">
        <f t="shared" si="186"/>
        <v>33.821287499999997</v>
      </c>
      <c r="K410" s="32" t="str">
        <f t="shared" si="182"/>
        <v>CER-059|MAT</v>
      </c>
      <c r="L410" s="32">
        <f>COUNTIFS($K$2:K410,K410)</f>
        <v>8</v>
      </c>
      <c r="M410" s="32" t="str">
        <f t="shared" si="177"/>
        <v>CER-059|MAT|8</v>
      </c>
      <c r="N410" s="121">
        <f>IFERROR(VLOOKUP(A410,PARTIDAS!A:F,6,FALSE()),0)</f>
        <v>11</v>
      </c>
      <c r="O410" s="123">
        <f t="shared" si="179"/>
        <v>0</v>
      </c>
      <c r="P410" s="123" t="str">
        <f>+_xlfn.XLOOKUP(A410,PPTO_GENERADOR!Q:Q,PPTO_GENERADOR!E:E,"-",0)</f>
        <v>-</v>
      </c>
      <c r="Q410" s="123">
        <f t="shared" si="180"/>
        <v>0</v>
      </c>
      <c r="R410" s="125" t="str">
        <f>+_xlfn.XLOOKUP(A410,PPTO_GENERADOR!$Q:$Q,PPTO_GENERADOR!A:A,"-",0)</f>
        <v>-</v>
      </c>
    </row>
    <row r="411" spans="1:18" ht="14.25" customHeight="1" x14ac:dyDescent="0.35">
      <c r="A411" s="105" t="s">
        <v>1871</v>
      </c>
      <c r="B411" s="105" t="s">
        <v>1981</v>
      </c>
      <c r="C411" s="105" t="s">
        <v>1982</v>
      </c>
      <c r="D411" s="105" t="s">
        <v>1007</v>
      </c>
      <c r="E411" s="95" t="str">
        <f>IFERROR(VLOOKUP(D411,MATERIALES!A:B,2,FALSE()),"?")</f>
        <v>Pincel N° 20 - El Galgo</v>
      </c>
      <c r="F411" s="129" t="str">
        <f>IFERROR(VLOOKUP(D411,MATERIALES!A:C,3,FALSE()),"?")</f>
        <v>u</v>
      </c>
      <c r="G411" s="119">
        <v>5.0000000000000001E-3</v>
      </c>
      <c r="H411" s="120">
        <v>0.05</v>
      </c>
      <c r="I411" s="96">
        <f>IFERROR(VLOOKUP(D411,MATERIALES!A:D,4,FALSE()),0)</f>
        <v>4418.1818181818198</v>
      </c>
      <c r="J411" s="31">
        <f t="shared" si="186"/>
        <v>23.195454545454556</v>
      </c>
      <c r="K411" s="32" t="str">
        <f t="shared" si="182"/>
        <v>CER-059|MAT</v>
      </c>
      <c r="L411" s="32">
        <f>COUNTIFS($K$2:K411,K411)</f>
        <v>9</v>
      </c>
      <c r="M411" s="32" t="str">
        <f t="shared" si="177"/>
        <v>CER-059|MAT|9</v>
      </c>
      <c r="N411" s="121">
        <f>IFERROR(VLOOKUP(A411,PARTIDAS!A:F,6,FALSE()),0)</f>
        <v>11</v>
      </c>
      <c r="O411" s="123">
        <f t="shared" si="179"/>
        <v>0</v>
      </c>
      <c r="P411" s="123" t="str">
        <f>+_xlfn.XLOOKUP(A411,PPTO_GENERADOR!Q:Q,PPTO_GENERADOR!E:E,"-",0)</f>
        <v>-</v>
      </c>
      <c r="Q411" s="123">
        <f t="shared" si="180"/>
        <v>0</v>
      </c>
      <c r="R411" s="125" t="str">
        <f>+_xlfn.XLOOKUP(A411,PPTO_GENERADOR!$Q:$Q,PPTO_GENERADOR!A:A,"-",0)</f>
        <v>-</v>
      </c>
    </row>
    <row r="412" spans="1:18" ht="14.25" customHeight="1" x14ac:dyDescent="0.35">
      <c r="A412" s="105" t="s">
        <v>1871</v>
      </c>
      <c r="B412" s="105" t="s">
        <v>1981</v>
      </c>
      <c r="C412" s="105" t="s">
        <v>1982</v>
      </c>
      <c r="D412" s="105" t="s">
        <v>1033</v>
      </c>
      <c r="E412" s="95" t="str">
        <f>IFERROR(VLOOKUP(D412,MATERIALES!A:B,2,FALSE()),"?")</f>
        <v>Rollo de cartón corrugado 0,90 x 25 mts</v>
      </c>
      <c r="F412" s="129" t="str">
        <f>IFERROR(VLOOKUP(D412,MATERIALES!A:C,3,FALSE()),"?")</f>
        <v>u</v>
      </c>
      <c r="G412" s="119">
        <v>0.01</v>
      </c>
      <c r="H412" s="120">
        <v>0.05</v>
      </c>
      <c r="I412" s="96">
        <f>IFERROR(VLOOKUP(D412,MATERIALES!A:D,4,FALSE()),0)</f>
        <v>8173.5537190082696</v>
      </c>
      <c r="J412" s="31">
        <f t="shared" si="186"/>
        <v>85.822314049586836</v>
      </c>
      <c r="K412" s="32" t="str">
        <f t="shared" si="182"/>
        <v>CER-059|MAT</v>
      </c>
      <c r="L412" s="32">
        <f>COUNTIFS($K$2:K412,K412)</f>
        <v>10</v>
      </c>
      <c r="M412" s="32" t="str">
        <f t="shared" si="177"/>
        <v>CER-059|MAT|10</v>
      </c>
      <c r="N412" s="121">
        <f>IFERROR(VLOOKUP(A412,PARTIDAS!A:F,6,FALSE()),0)</f>
        <v>11</v>
      </c>
      <c r="O412" s="123">
        <f t="shared" si="179"/>
        <v>0</v>
      </c>
      <c r="P412" s="123" t="str">
        <f>+_xlfn.XLOOKUP(A412,PPTO_GENERADOR!Q:Q,PPTO_GENERADOR!E:E,"-",0)</f>
        <v>-</v>
      </c>
      <c r="Q412" s="123">
        <f t="shared" si="180"/>
        <v>0</v>
      </c>
      <c r="R412" s="125" t="str">
        <f>+_xlfn.XLOOKUP(A412,PPTO_GENERADOR!$Q:$Q,PPTO_GENERADOR!A:A,"-",0)</f>
        <v>-</v>
      </c>
    </row>
    <row r="413" spans="1:18" ht="14.25" customHeight="1" x14ac:dyDescent="0.35">
      <c r="A413" s="105" t="s">
        <v>1871</v>
      </c>
      <c r="B413" s="105" t="s">
        <v>1983</v>
      </c>
      <c r="C413" s="105"/>
      <c r="D413" s="105" t="s">
        <v>1509</v>
      </c>
      <c r="E413" s="95" t="str">
        <f>IFERROR(VLOOKUP(D413,EQUIPOS!A:B,2,FALSE()),"?")</f>
        <v>Escalera madera pintor 8 escalones</v>
      </c>
      <c r="F413" s="129"/>
      <c r="G413" s="119">
        <v>1</v>
      </c>
      <c r="H413" s="120">
        <v>0</v>
      </c>
      <c r="I413" s="96">
        <f>IFERROR(VLOOKUP(D413,EQUIPOS!A:F,6,FALSE()),0)</f>
        <v>217.65359719478195</v>
      </c>
      <c r="J413" s="31">
        <f t="shared" ref="J413:J414" si="187">G413*I413</f>
        <v>217.65359719478195</v>
      </c>
      <c r="K413" s="32" t="str">
        <f t="shared" si="182"/>
        <v>CER-059|EQ</v>
      </c>
      <c r="L413" s="32">
        <f>COUNTIFS($K$2:K413,K413)</f>
        <v>1</v>
      </c>
      <c r="M413" s="32" t="str">
        <f t="shared" si="177"/>
        <v>CER-059|EQ|1</v>
      </c>
      <c r="N413" s="121">
        <f>IFERROR(VLOOKUP(A413,PARTIDAS!A:F,6,FALSE()),0)</f>
        <v>11</v>
      </c>
      <c r="O413" s="123">
        <f t="shared" si="179"/>
        <v>0</v>
      </c>
      <c r="P413" s="123" t="str">
        <f>+_xlfn.XLOOKUP(A413,PPTO_GENERADOR!Q:Q,PPTO_GENERADOR!E:E,"-",0)</f>
        <v>-</v>
      </c>
      <c r="Q413" s="123">
        <f t="shared" si="180"/>
        <v>0</v>
      </c>
      <c r="R413" s="125" t="str">
        <f>+_xlfn.XLOOKUP(A413,PPTO_GENERADOR!$Q:$Q,PPTO_GENERADOR!A:A,"-",0)</f>
        <v>-</v>
      </c>
    </row>
    <row r="414" spans="1:18" ht="14.25" customHeight="1" x14ac:dyDescent="0.35">
      <c r="A414" s="105" t="s">
        <v>1871</v>
      </c>
      <c r="B414" s="105" t="s">
        <v>1983</v>
      </c>
      <c r="C414" s="105"/>
      <c r="D414" s="105" t="s">
        <v>1327</v>
      </c>
      <c r="E414" s="95" t="str">
        <f>IFERROR(VLOOKUP(D414,EQUIPOS!A:B,2,FALSE()),"?")</f>
        <v>EQUIPO PARA PINTAR</v>
      </c>
      <c r="F414" s="129"/>
      <c r="G414" s="119">
        <v>2</v>
      </c>
      <c r="H414" s="120">
        <v>0</v>
      </c>
      <c r="I414" s="96">
        <f>IFERROR(VLOOKUP(D414,EQUIPOS!A:F,6,FALSE()),0)</f>
        <v>1873.3963608356808</v>
      </c>
      <c r="J414" s="31">
        <f t="shared" si="187"/>
        <v>3746.7927216713615</v>
      </c>
      <c r="K414" s="32" t="str">
        <f t="shared" si="182"/>
        <v>CER-059|EQ</v>
      </c>
      <c r="L414" s="32">
        <f>COUNTIFS($K$2:K414,K414)</f>
        <v>2</v>
      </c>
      <c r="M414" s="32" t="str">
        <f t="shared" si="177"/>
        <v>CER-059|EQ|2</v>
      </c>
      <c r="N414" s="121">
        <f>IFERROR(VLOOKUP(A414,PARTIDAS!A:F,6,FALSE()),0)</f>
        <v>11</v>
      </c>
      <c r="O414" s="123">
        <f t="shared" si="179"/>
        <v>0</v>
      </c>
      <c r="P414" s="123" t="str">
        <f>+_xlfn.XLOOKUP(A414,PPTO_GENERADOR!Q:Q,PPTO_GENERADOR!E:E,"-",0)</f>
        <v>-</v>
      </c>
      <c r="Q414" s="123">
        <f t="shared" si="180"/>
        <v>0</v>
      </c>
      <c r="R414" s="125" t="str">
        <f>+_xlfn.XLOOKUP(A414,PPTO_GENERADOR!$Q:$Q,PPTO_GENERADOR!A:A,"-",0)</f>
        <v>-</v>
      </c>
    </row>
    <row r="415" spans="1:18" ht="14.25" customHeight="1" x14ac:dyDescent="0.35">
      <c r="A415" s="105" t="s">
        <v>1871</v>
      </c>
      <c r="B415" s="105" t="s">
        <v>1979</v>
      </c>
      <c r="C415" s="105" t="s">
        <v>1980</v>
      </c>
      <c r="D415" s="105" t="s">
        <v>1292</v>
      </c>
      <c r="E415" s="95" t="str">
        <f>IFERROR(VLOOKUP(D415,MANO_DE_OBRA!A:B,2,FALSE()),"?")</f>
        <v>ESPECIALIZADO</v>
      </c>
      <c r="F415" s="129" t="s">
        <v>2042</v>
      </c>
      <c r="G415" s="119">
        <v>1</v>
      </c>
      <c r="H415" s="120">
        <v>0</v>
      </c>
      <c r="I415" s="96">
        <f>IFERROR(VLOOKUP(D415,MANO_DE_OBRA!A:C,3,FALSE()),0)</f>
        <v>94177.137883538904</v>
      </c>
      <c r="J415" s="31">
        <f t="shared" ref="J415:J416" si="188">G415*I415</f>
        <v>94177.137883538904</v>
      </c>
      <c r="K415" s="32" t="str">
        <f t="shared" si="182"/>
        <v>CER-059|MO</v>
      </c>
      <c r="L415" s="32">
        <f>COUNTIFS($K$2:K415,K415)</f>
        <v>1</v>
      </c>
      <c r="M415" s="32" t="str">
        <f t="shared" si="177"/>
        <v>CER-059|MO|1</v>
      </c>
      <c r="N415" s="121">
        <f>IFERROR(VLOOKUP(A415,PARTIDAS!A:F,6,FALSE()),0)</f>
        <v>11</v>
      </c>
      <c r="O415" s="123">
        <f t="shared" si="179"/>
        <v>9.0909090909090912E-2</v>
      </c>
      <c r="P415" s="123" t="str">
        <f>+_xlfn.XLOOKUP(A415,PPTO_GENERADOR!Q:Q,PPTO_GENERADOR!E:E,"-",0)</f>
        <v>-</v>
      </c>
      <c r="Q415" s="123">
        <f t="shared" si="180"/>
        <v>0</v>
      </c>
      <c r="R415" s="125" t="str">
        <f>+_xlfn.XLOOKUP(A415,PPTO_GENERADOR!$Q:$Q,PPTO_GENERADOR!A:A,"-",0)</f>
        <v>-</v>
      </c>
    </row>
    <row r="416" spans="1:18" ht="14.25" customHeight="1" x14ac:dyDescent="0.35">
      <c r="A416" s="105" t="s">
        <v>1871</v>
      </c>
      <c r="B416" s="105" t="s">
        <v>1979</v>
      </c>
      <c r="C416" s="105" t="s">
        <v>1980</v>
      </c>
      <c r="D416" s="105" t="s">
        <v>1288</v>
      </c>
      <c r="E416" s="95" t="str">
        <f>IFERROR(VLOOKUP(D416,MANO_DE_OBRA!A:B,2,FALSE()),"?")</f>
        <v>MEDIO OFICIAL</v>
      </c>
      <c r="F416" s="129" t="s">
        <v>2042</v>
      </c>
      <c r="G416" s="119">
        <v>1</v>
      </c>
      <c r="H416" s="120">
        <v>0</v>
      </c>
      <c r="I416" s="96">
        <f>IFERROR(VLOOKUP(D416,MANO_DE_OBRA!A:C,3,FALSE()),0)</f>
        <v>72132.138365590101</v>
      </c>
      <c r="J416" s="31">
        <f t="shared" si="188"/>
        <v>72132.138365590101</v>
      </c>
      <c r="K416" s="32" t="str">
        <f t="shared" si="182"/>
        <v>CER-059|MO</v>
      </c>
      <c r="L416" s="32">
        <f>COUNTIFS($K$2:K416,K416)</f>
        <v>2</v>
      </c>
      <c r="M416" s="32" t="str">
        <f t="shared" si="177"/>
        <v>CER-059|MO|2</v>
      </c>
      <c r="N416" s="121">
        <f>IFERROR(VLOOKUP(A416,PARTIDAS!A:F,6,FALSE()),0)</f>
        <v>11</v>
      </c>
      <c r="O416" s="123">
        <f t="shared" si="179"/>
        <v>9.0909090909090912E-2</v>
      </c>
      <c r="P416" s="123" t="str">
        <f>+_xlfn.XLOOKUP(A416,PPTO_GENERADOR!Q:Q,PPTO_GENERADOR!E:E,"-",0)</f>
        <v>-</v>
      </c>
      <c r="Q416" s="123">
        <f t="shared" si="180"/>
        <v>0</v>
      </c>
      <c r="R416" s="125" t="str">
        <f>+_xlfn.XLOOKUP(A416,PPTO_GENERADOR!$Q:$Q,PPTO_GENERADOR!A:A,"-",0)</f>
        <v>-</v>
      </c>
    </row>
    <row r="417" spans="1:18" ht="14.25" customHeight="1" x14ac:dyDescent="0.35">
      <c r="A417" s="105" t="s">
        <v>1875</v>
      </c>
      <c r="B417" s="105" t="s">
        <v>1981</v>
      </c>
      <c r="C417" s="105" t="s">
        <v>1982</v>
      </c>
      <c r="D417" s="105" t="s">
        <v>929</v>
      </c>
      <c r="E417" s="95" t="str">
        <f>IFERROR(VLOOKUP(D417,MATERIALES!A:B,2,FALSE()),"?")</f>
        <v>Solera 35mm x 2.60m</v>
      </c>
      <c r="F417" s="129" t="str">
        <f>IFERROR(VLOOKUP(D417,MATERIALES!A:C,3,FALSE()),"?")</f>
        <v>u</v>
      </c>
      <c r="G417" s="119">
        <v>0.50770000000000004</v>
      </c>
      <c r="H417" s="120">
        <v>0.1</v>
      </c>
      <c r="I417" s="96">
        <f>IFERROR(VLOOKUP(D417,MATERIALES!A:D,4,FALSE()),0)</f>
        <v>2244.87</v>
      </c>
      <c r="J417" s="31">
        <f t="shared" ref="J417:J424" si="189">G417*I417*(1+H417)</f>
        <v>1253.6925489</v>
      </c>
      <c r="K417" s="32" t="str">
        <f t="shared" si="182"/>
        <v>CER-060|MAT</v>
      </c>
      <c r="L417" s="32">
        <f>COUNTIFS($K$2:K417,K417)</f>
        <v>1</v>
      </c>
      <c r="M417" s="32" t="str">
        <f t="shared" si="177"/>
        <v>CER-060|MAT|1</v>
      </c>
      <c r="N417" s="121">
        <f>IFERROR(VLOOKUP(A417,PARTIDAS!A:F,6,FALSE()),0)</f>
        <v>9.5</v>
      </c>
      <c r="O417" s="123">
        <f t="shared" si="179"/>
        <v>0</v>
      </c>
      <c r="P417" s="123" t="str">
        <f>+_xlfn.XLOOKUP(A417,PPTO_GENERADOR!Q:Q,PPTO_GENERADOR!E:E,"-",0)</f>
        <v>-</v>
      </c>
      <c r="Q417" s="123">
        <f t="shared" si="180"/>
        <v>0</v>
      </c>
      <c r="R417" s="125" t="str">
        <f>+_xlfn.XLOOKUP(A417,PPTO_GENERADOR!$Q:$Q,PPTO_GENERADOR!A:A,"-",0)</f>
        <v>-</v>
      </c>
    </row>
    <row r="418" spans="1:18" ht="14.25" customHeight="1" x14ac:dyDescent="0.35">
      <c r="A418" s="105" t="s">
        <v>1875</v>
      </c>
      <c r="B418" s="105" t="s">
        <v>1981</v>
      </c>
      <c r="C418" s="105" t="s">
        <v>1982</v>
      </c>
      <c r="D418" s="105" t="s">
        <v>931</v>
      </c>
      <c r="E418" s="95" t="str">
        <f>IFERROR(VLOOKUP(D418,MATERIALES!A:B,2,FALSE()),"?")</f>
        <v>Montante 34mm x 2.60m</v>
      </c>
      <c r="F418" s="129" t="str">
        <f>IFERROR(VLOOKUP(D418,MATERIALES!A:C,3,FALSE()),"?")</f>
        <v>u</v>
      </c>
      <c r="G418" s="119">
        <v>1.2307999999999999</v>
      </c>
      <c r="H418" s="120">
        <v>0.1</v>
      </c>
      <c r="I418" s="96">
        <f>IFERROR(VLOOKUP(D418,MATERIALES!A:D,4,FALSE()),0)</f>
        <v>2574.7199999999998</v>
      </c>
      <c r="J418" s="31">
        <f t="shared" si="189"/>
        <v>3485.8619135999998</v>
      </c>
      <c r="K418" s="32" t="str">
        <f t="shared" si="182"/>
        <v>CER-060|MAT</v>
      </c>
      <c r="L418" s="32">
        <f>COUNTIFS($K$2:K418,K418)</f>
        <v>2</v>
      </c>
      <c r="M418" s="32" t="str">
        <f t="shared" si="177"/>
        <v>CER-060|MAT|2</v>
      </c>
      <c r="N418" s="121">
        <f>IFERROR(VLOOKUP(A418,PARTIDAS!A:F,6,FALSE()),0)</f>
        <v>9.5</v>
      </c>
      <c r="O418" s="123">
        <f t="shared" si="179"/>
        <v>0</v>
      </c>
      <c r="P418" s="123" t="str">
        <f>+_xlfn.XLOOKUP(A418,PPTO_GENERADOR!Q:Q,PPTO_GENERADOR!E:E,"-",0)</f>
        <v>-</v>
      </c>
      <c r="Q418" s="123">
        <f t="shared" si="180"/>
        <v>0</v>
      </c>
      <c r="R418" s="125" t="str">
        <f>+_xlfn.XLOOKUP(A418,PPTO_GENERADOR!$Q:$Q,PPTO_GENERADOR!A:A,"-",0)</f>
        <v>-</v>
      </c>
    </row>
    <row r="419" spans="1:18" ht="14.25" customHeight="1" x14ac:dyDescent="0.35">
      <c r="A419" s="105" t="s">
        <v>1875</v>
      </c>
      <c r="B419" s="105" t="s">
        <v>1981</v>
      </c>
      <c r="C419" s="105" t="s">
        <v>1982</v>
      </c>
      <c r="D419" s="105" t="s">
        <v>933</v>
      </c>
      <c r="E419" s="95" t="str">
        <f>IFERROR(VLOOKUP(D419,MATERIALES!A:B,2,FALSE()),"?")</f>
        <v>Tornillo T1 - Aguja</v>
      </c>
      <c r="F419" s="129" t="str">
        <f>IFERROR(VLOOKUP(D419,MATERIALES!A:C,3,FALSE()),"?")</f>
        <v>u</v>
      </c>
      <c r="G419" s="119">
        <v>16</v>
      </c>
      <c r="H419" s="120">
        <v>0.05</v>
      </c>
      <c r="I419" s="96">
        <f>IFERROR(VLOOKUP(D419,MATERIALES!A:D,4,FALSE()),0)</f>
        <v>26.153884000000001</v>
      </c>
      <c r="J419" s="31">
        <f t="shared" si="189"/>
        <v>439.38525120000003</v>
      </c>
      <c r="K419" s="32" t="str">
        <f t="shared" si="182"/>
        <v>CER-060|MAT</v>
      </c>
      <c r="L419" s="32">
        <f>COUNTIFS($K$2:K419,K419)</f>
        <v>3</v>
      </c>
      <c r="M419" s="32" t="str">
        <f t="shared" si="177"/>
        <v>CER-060|MAT|3</v>
      </c>
      <c r="N419" s="121">
        <f>IFERROR(VLOOKUP(A419,PARTIDAS!A:F,6,FALSE()),0)</f>
        <v>9.5</v>
      </c>
      <c r="O419" s="123">
        <f t="shared" si="179"/>
        <v>0</v>
      </c>
      <c r="P419" s="123" t="str">
        <f>+_xlfn.XLOOKUP(A419,PPTO_GENERADOR!Q:Q,PPTO_GENERADOR!E:E,"-",0)</f>
        <v>-</v>
      </c>
      <c r="Q419" s="123">
        <f t="shared" si="180"/>
        <v>0</v>
      </c>
      <c r="R419" s="125" t="str">
        <f>+_xlfn.XLOOKUP(A419,PPTO_GENERADOR!$Q:$Q,PPTO_GENERADOR!A:A,"-",0)</f>
        <v>-</v>
      </c>
    </row>
    <row r="420" spans="1:18" ht="14.25" customHeight="1" x14ac:dyDescent="0.35">
      <c r="A420" s="105" t="s">
        <v>1875</v>
      </c>
      <c r="B420" s="105" t="s">
        <v>1981</v>
      </c>
      <c r="C420" s="105" t="s">
        <v>1982</v>
      </c>
      <c r="D420" s="105" t="s">
        <v>935</v>
      </c>
      <c r="E420" s="95" t="str">
        <f>IFERROR(VLOOKUP(D420,MATERIALES!A:B,2,FALSE()),"?")</f>
        <v>Tornillo T2 - Aguja</v>
      </c>
      <c r="F420" s="129" t="str">
        <f>IFERROR(VLOOKUP(D420,MATERIALES!A:C,3,FALSE()),"?")</f>
        <v>u</v>
      </c>
      <c r="G420" s="119">
        <v>18</v>
      </c>
      <c r="H420" s="120">
        <v>0.05</v>
      </c>
      <c r="I420" s="96">
        <f>IFERROR(VLOOKUP(D420,MATERIALES!A:D,4,FALSE()),0)</f>
        <v>9.1146919999999998</v>
      </c>
      <c r="J420" s="31">
        <f t="shared" si="189"/>
        <v>172.26767880000003</v>
      </c>
      <c r="K420" s="32" t="str">
        <f t="shared" si="182"/>
        <v>CER-060|MAT</v>
      </c>
      <c r="L420" s="32">
        <f>COUNTIFS($K$2:K420,K420)</f>
        <v>4</v>
      </c>
      <c r="M420" s="32" t="str">
        <f t="shared" si="177"/>
        <v>CER-060|MAT|4</v>
      </c>
      <c r="N420" s="121">
        <f>IFERROR(VLOOKUP(A420,PARTIDAS!A:F,6,FALSE()),0)</f>
        <v>9.5</v>
      </c>
      <c r="O420" s="123">
        <f t="shared" si="179"/>
        <v>0</v>
      </c>
      <c r="P420" s="123" t="str">
        <f>+_xlfn.XLOOKUP(A420,PPTO_GENERADOR!Q:Q,PPTO_GENERADOR!E:E,"-",0)</f>
        <v>-</v>
      </c>
      <c r="Q420" s="123">
        <f t="shared" si="180"/>
        <v>0</v>
      </c>
      <c r="R420" s="125" t="str">
        <f>+_xlfn.XLOOKUP(A420,PPTO_GENERADOR!$Q:$Q,PPTO_GENERADOR!A:A,"-",0)</f>
        <v>-</v>
      </c>
    </row>
    <row r="421" spans="1:18" ht="14.25" customHeight="1" x14ac:dyDescent="0.35">
      <c r="A421" s="105" t="s">
        <v>1875</v>
      </c>
      <c r="B421" s="105" t="s">
        <v>1981</v>
      </c>
      <c r="C421" s="105" t="s">
        <v>1982</v>
      </c>
      <c r="D421" s="105" t="s">
        <v>939</v>
      </c>
      <c r="E421" s="95" t="str">
        <f>IFERROR(VLOOKUP(D421,MATERIALES!A:B,2,FALSE()),"?")</f>
        <v>Fijacion completa del 8</v>
      </c>
      <c r="F421" s="129" t="str">
        <f>IFERROR(VLOOKUP(D421,MATERIALES!A:C,3,FALSE()),"?")</f>
        <v>u</v>
      </c>
      <c r="G421" s="119">
        <v>6</v>
      </c>
      <c r="H421" s="120">
        <v>0.05</v>
      </c>
      <c r="I421" s="96">
        <f>IFERROR(VLOOKUP(D421,MATERIALES!A:D,4,FALSE()),0)</f>
        <v>63.381982999999998</v>
      </c>
      <c r="J421" s="31">
        <f t="shared" si="189"/>
        <v>399.30649290000002</v>
      </c>
      <c r="K421" s="32" t="str">
        <f t="shared" si="182"/>
        <v>CER-060|MAT</v>
      </c>
      <c r="L421" s="32">
        <f>COUNTIFS($K$2:K421,K421)</f>
        <v>5</v>
      </c>
      <c r="M421" s="32" t="str">
        <f t="shared" si="177"/>
        <v>CER-060|MAT|5</v>
      </c>
      <c r="N421" s="121">
        <f>IFERROR(VLOOKUP(A421,PARTIDAS!A:F,6,FALSE()),0)</f>
        <v>9.5</v>
      </c>
      <c r="O421" s="123">
        <f t="shared" si="179"/>
        <v>0</v>
      </c>
      <c r="P421" s="123" t="str">
        <f>+_xlfn.XLOOKUP(A421,PPTO_GENERADOR!Q:Q,PPTO_GENERADOR!E:E,"-",0)</f>
        <v>-</v>
      </c>
      <c r="Q421" s="123">
        <f t="shared" si="180"/>
        <v>0</v>
      </c>
      <c r="R421" s="125" t="str">
        <f>+_xlfn.XLOOKUP(A421,PPTO_GENERADOR!$Q:$Q,PPTO_GENERADOR!A:A,"-",0)</f>
        <v>-</v>
      </c>
    </row>
    <row r="422" spans="1:18" ht="14.25" customHeight="1" x14ac:dyDescent="0.35">
      <c r="A422" s="105" t="s">
        <v>1875</v>
      </c>
      <c r="B422" s="105" t="s">
        <v>1981</v>
      </c>
      <c r="C422" s="105" t="s">
        <v>1982</v>
      </c>
      <c r="D422" s="105" t="s">
        <v>941</v>
      </c>
      <c r="E422" s="95" t="str">
        <f>IFERROR(VLOOKUP(D422,MATERIALES!A:B,2,FALSE()),"?")</f>
        <v>Cinta Entramada - 90m</v>
      </c>
      <c r="F422" s="129" t="str">
        <f>IFERROR(VLOOKUP(D422,MATERIALES!A:C,3,FALSE()),"?")</f>
        <v>u</v>
      </c>
      <c r="G422" s="119">
        <v>1.83E-2</v>
      </c>
      <c r="H422" s="120">
        <v>0.05</v>
      </c>
      <c r="I422" s="96">
        <f>IFERROR(VLOOKUP(D422,MATERIALES!A:D,4,FALSE()),0)</f>
        <v>4734.07</v>
      </c>
      <c r="J422" s="31">
        <f t="shared" si="189"/>
        <v>90.965155049999993</v>
      </c>
      <c r="K422" s="32" t="str">
        <f t="shared" si="182"/>
        <v>CER-060|MAT</v>
      </c>
      <c r="L422" s="32">
        <f>COUNTIFS($K$2:K422,K422)</f>
        <v>6</v>
      </c>
      <c r="M422" s="32" t="str">
        <f t="shared" si="177"/>
        <v>CER-060|MAT|6</v>
      </c>
      <c r="N422" s="121">
        <f>IFERROR(VLOOKUP(A422,PARTIDAS!A:F,6,FALSE()),0)</f>
        <v>9.5</v>
      </c>
      <c r="O422" s="123">
        <f t="shared" si="179"/>
        <v>0</v>
      </c>
      <c r="P422" s="123" t="str">
        <f>+_xlfn.XLOOKUP(A422,PPTO_GENERADOR!Q:Q,PPTO_GENERADOR!E:E,"-",0)</f>
        <v>-</v>
      </c>
      <c r="Q422" s="123">
        <f t="shared" si="180"/>
        <v>0</v>
      </c>
      <c r="R422" s="125" t="str">
        <f>+_xlfn.XLOOKUP(A422,PPTO_GENERADOR!$Q:$Q,PPTO_GENERADOR!A:A,"-",0)</f>
        <v>-</v>
      </c>
    </row>
    <row r="423" spans="1:18" ht="14.25" customHeight="1" x14ac:dyDescent="0.35">
      <c r="A423" s="105" t="s">
        <v>1875</v>
      </c>
      <c r="B423" s="105" t="s">
        <v>1981</v>
      </c>
      <c r="C423" s="105" t="s">
        <v>1982</v>
      </c>
      <c r="D423" s="105" t="s">
        <v>943</v>
      </c>
      <c r="E423" s="95" t="str">
        <f>IFERROR(VLOOKUP(D423,MATERIALES!A:B,2,FALSE()),"?")</f>
        <v>Masilla x 32kg</v>
      </c>
      <c r="F423" s="129" t="str">
        <f>IFERROR(VLOOKUP(D423,MATERIALES!A:C,3,FALSE()),"?")</f>
        <v>u</v>
      </c>
      <c r="G423" s="119">
        <v>2.81E-2</v>
      </c>
      <c r="H423" s="120">
        <v>0.05</v>
      </c>
      <c r="I423" s="96">
        <f>IFERROR(VLOOKUP(D423,MATERIALES!A:D,4,FALSE()),0)</f>
        <v>23166.59</v>
      </c>
      <c r="J423" s="31">
        <f t="shared" si="189"/>
        <v>683.53023795000001</v>
      </c>
      <c r="K423" s="32" t="str">
        <f t="shared" si="182"/>
        <v>CER-060|MAT</v>
      </c>
      <c r="L423" s="32">
        <f>COUNTIFS($K$2:K423,K423)</f>
        <v>7</v>
      </c>
      <c r="M423" s="32" t="str">
        <f t="shared" si="177"/>
        <v>CER-060|MAT|7</v>
      </c>
      <c r="N423" s="121">
        <f>IFERROR(VLOOKUP(A423,PARTIDAS!A:F,6,FALSE()),0)</f>
        <v>9.5</v>
      </c>
      <c r="O423" s="123">
        <f t="shared" si="179"/>
        <v>0</v>
      </c>
      <c r="P423" s="123" t="str">
        <f>+_xlfn.XLOOKUP(A423,PPTO_GENERADOR!Q:Q,PPTO_GENERADOR!E:E,"-",0)</f>
        <v>-</v>
      </c>
      <c r="Q423" s="123">
        <f t="shared" si="180"/>
        <v>0</v>
      </c>
      <c r="R423" s="125" t="str">
        <f>+_xlfn.XLOOKUP(A423,PPTO_GENERADOR!$Q:$Q,PPTO_GENERADOR!A:A,"-",0)</f>
        <v>-</v>
      </c>
    </row>
    <row r="424" spans="1:18" ht="14.25" customHeight="1" x14ac:dyDescent="0.35">
      <c r="A424" s="105" t="s">
        <v>1875</v>
      </c>
      <c r="B424" s="105" t="s">
        <v>1981</v>
      </c>
      <c r="C424" s="105" t="s">
        <v>1982</v>
      </c>
      <c r="D424" s="105" t="s">
        <v>947</v>
      </c>
      <c r="E424" s="95" t="str">
        <f>IFERROR(VLOOKUP(D424,MATERIALES!A:B,2,FALSE()),"?")</f>
        <v>Placa Roca de Yeso 1220 x 2440 - 12.5mm - STD</v>
      </c>
      <c r="F424" s="129" t="str">
        <f>IFERROR(VLOOKUP(D424,MATERIALES!A:C,3,FALSE()),"?")</f>
        <v>u</v>
      </c>
      <c r="G424" s="119">
        <v>0.36</v>
      </c>
      <c r="H424" s="120">
        <v>0.1</v>
      </c>
      <c r="I424" s="96">
        <f>IFERROR(VLOOKUP(D424,MATERIALES!A:D,4,FALSE()),0)</f>
        <v>10458</v>
      </c>
      <c r="J424" s="31">
        <f t="shared" si="189"/>
        <v>4141.3680000000004</v>
      </c>
      <c r="K424" s="32" t="str">
        <f t="shared" si="182"/>
        <v>CER-060|MAT</v>
      </c>
      <c r="L424" s="32">
        <f>COUNTIFS($K$2:K424,K424)</f>
        <v>8</v>
      </c>
      <c r="M424" s="32" t="str">
        <f t="shared" si="177"/>
        <v>CER-060|MAT|8</v>
      </c>
      <c r="N424" s="121">
        <f>IFERROR(VLOOKUP(A424,PARTIDAS!A:F,6,FALSE()),0)</f>
        <v>9.5</v>
      </c>
      <c r="O424" s="123">
        <f t="shared" si="179"/>
        <v>0</v>
      </c>
      <c r="P424" s="123" t="str">
        <f>+_xlfn.XLOOKUP(A424,PPTO_GENERADOR!Q:Q,PPTO_GENERADOR!E:E,"-",0)</f>
        <v>-</v>
      </c>
      <c r="Q424" s="123">
        <f t="shared" si="180"/>
        <v>0</v>
      </c>
      <c r="R424" s="125" t="str">
        <f>+_xlfn.XLOOKUP(A424,PPTO_GENERADOR!$Q:$Q,PPTO_GENERADOR!A:A,"-",0)</f>
        <v>-</v>
      </c>
    </row>
    <row r="425" spans="1:18" ht="14.25" customHeight="1" x14ac:dyDescent="0.35">
      <c r="A425" s="105" t="s">
        <v>228</v>
      </c>
      <c r="B425" s="105" t="s">
        <v>1983</v>
      </c>
      <c r="C425" s="105"/>
      <c r="D425" s="105" t="s">
        <v>1311</v>
      </c>
      <c r="E425" s="95" t="str">
        <f>IFERROR(VLOOKUP(D425,EQUIPOS!A:B,2,FALSE()),"?")</f>
        <v>ESCALERA GLOSS ALUMINIO ARTICULADA 4 X 4 ESCALONES HASTA 150KG</v>
      </c>
      <c r="F425" s="129"/>
      <c r="G425" s="119">
        <v>1</v>
      </c>
      <c r="H425" s="120">
        <v>0</v>
      </c>
      <c r="I425" s="96">
        <f>IFERROR(VLOOKUP(D425,EQUIPOS!A:F,6,FALSE()),0)</f>
        <v>152.38027427373819</v>
      </c>
      <c r="J425" s="31">
        <f>G425*I425</f>
        <v>152.38027427373819</v>
      </c>
      <c r="K425" s="32" t="str">
        <f t="shared" ref="K425:K456" si="190">A425&amp;"|"&amp;B425</f>
        <v>PTO-1403|EQ</v>
      </c>
      <c r="L425" s="32">
        <f>COUNTIFS($K$2:K425,K425)</f>
        <v>1</v>
      </c>
      <c r="M425" s="32" t="str">
        <f t="shared" si="177"/>
        <v>PTO-1403|EQ|1</v>
      </c>
      <c r="N425" s="121">
        <f>IFERROR(VLOOKUP(A425,PARTIDAS!A:F,6,FALSE()),0)</f>
        <v>9.5</v>
      </c>
      <c r="O425" s="123">
        <f t="shared" si="179"/>
        <v>0</v>
      </c>
      <c r="P425" s="123">
        <f>+_xlfn.XLOOKUP(A425,PPTO_GENERADOR!Q:Q,PPTO_GENERADOR!E:E,"-",0)</f>
        <v>62</v>
      </c>
      <c r="Q425" s="123">
        <f t="shared" si="180"/>
        <v>0</v>
      </c>
      <c r="R425" s="125">
        <f>+_xlfn.XLOOKUP(A425,PPTO_GENERADOR!$Q:$Q,PPTO_GENERADOR!A:A,"-",0)</f>
        <v>14.03</v>
      </c>
    </row>
    <row r="426" spans="1:18" ht="14.25" customHeight="1" x14ac:dyDescent="0.35">
      <c r="A426" s="105" t="s">
        <v>1875</v>
      </c>
      <c r="B426" s="105" t="s">
        <v>1979</v>
      </c>
      <c r="C426" s="105" t="s">
        <v>1980</v>
      </c>
      <c r="D426" s="105" t="s">
        <v>1292</v>
      </c>
      <c r="E426" s="95" t="str">
        <f>IFERROR(VLOOKUP(D426,MANO_DE_OBRA!A:B,2,FALSE()),"?")</f>
        <v>ESPECIALIZADO</v>
      </c>
      <c r="F426" s="129" t="s">
        <v>2042</v>
      </c>
      <c r="G426" s="119">
        <v>1</v>
      </c>
      <c r="H426" s="120">
        <v>0</v>
      </c>
      <c r="I426" s="96">
        <f>IFERROR(VLOOKUP(D426,MANO_DE_OBRA!A:C,3,FALSE()),0)</f>
        <v>94177.137883538904</v>
      </c>
      <c r="J426" s="31">
        <f t="shared" ref="J426:J427" si="191">G426*I426</f>
        <v>94177.137883538904</v>
      </c>
      <c r="K426" s="32" t="str">
        <f t="shared" si="190"/>
        <v>CER-060|MO</v>
      </c>
      <c r="L426" s="32">
        <f>COUNTIFS($K$2:K426,K426)</f>
        <v>1</v>
      </c>
      <c r="M426" s="32" t="str">
        <f t="shared" si="177"/>
        <v>CER-060|MO|1</v>
      </c>
      <c r="N426" s="121">
        <f>IFERROR(VLOOKUP(A426,PARTIDAS!A:F,6,FALSE()),0)</f>
        <v>9.5</v>
      </c>
      <c r="O426" s="123">
        <f t="shared" si="179"/>
        <v>0.10526315789473684</v>
      </c>
      <c r="P426" s="123" t="str">
        <f>+_xlfn.XLOOKUP(A426,PPTO_GENERADOR!Q:Q,PPTO_GENERADOR!E:E,"-",0)</f>
        <v>-</v>
      </c>
      <c r="Q426" s="123">
        <f t="shared" si="180"/>
        <v>0</v>
      </c>
      <c r="R426" s="125" t="str">
        <f>+_xlfn.XLOOKUP(A426,PPTO_GENERADOR!$Q:$Q,PPTO_GENERADOR!A:A,"-",0)</f>
        <v>-</v>
      </c>
    </row>
    <row r="427" spans="1:18" ht="14.25" customHeight="1" x14ac:dyDescent="0.35">
      <c r="A427" s="105" t="s">
        <v>1875</v>
      </c>
      <c r="B427" s="105" t="s">
        <v>1979</v>
      </c>
      <c r="C427" s="105" t="s">
        <v>1980</v>
      </c>
      <c r="D427" s="105" t="s">
        <v>1288</v>
      </c>
      <c r="E427" s="95" t="str">
        <f>IFERROR(VLOOKUP(D427,MANO_DE_OBRA!A:B,2,FALSE()),"?")</f>
        <v>MEDIO OFICIAL</v>
      </c>
      <c r="F427" s="129" t="s">
        <v>2042</v>
      </c>
      <c r="G427" s="119">
        <v>1</v>
      </c>
      <c r="H427" s="120">
        <v>0</v>
      </c>
      <c r="I427" s="96">
        <f>IFERROR(VLOOKUP(D427,MANO_DE_OBRA!A:C,3,FALSE()),0)</f>
        <v>72132.138365590101</v>
      </c>
      <c r="J427" s="31">
        <f t="shared" si="191"/>
        <v>72132.138365590101</v>
      </c>
      <c r="K427" s="32" t="str">
        <f t="shared" si="190"/>
        <v>CER-060|MO</v>
      </c>
      <c r="L427" s="32">
        <f>COUNTIFS($K$2:K427,K427)</f>
        <v>2</v>
      </c>
      <c r="M427" s="32" t="str">
        <f t="shared" si="177"/>
        <v>CER-060|MO|2</v>
      </c>
      <c r="N427" s="121">
        <f>IFERROR(VLOOKUP(A427,PARTIDAS!A:F,6,FALSE()),0)</f>
        <v>9.5</v>
      </c>
      <c r="O427" s="123">
        <f t="shared" si="179"/>
        <v>0.10526315789473684</v>
      </c>
      <c r="P427" s="123" t="str">
        <f>+_xlfn.XLOOKUP(A427,PPTO_GENERADOR!Q:Q,PPTO_GENERADOR!E:E,"-",0)</f>
        <v>-</v>
      </c>
      <c r="Q427" s="123">
        <f t="shared" si="180"/>
        <v>0</v>
      </c>
      <c r="R427" s="125" t="str">
        <f>+_xlfn.XLOOKUP(A427,PPTO_GENERADOR!$Q:$Q,PPTO_GENERADOR!A:A,"-",0)</f>
        <v>-</v>
      </c>
    </row>
    <row r="428" spans="1:18" ht="14.25" customHeight="1" x14ac:dyDescent="0.35">
      <c r="A428" s="105" t="s">
        <v>1878</v>
      </c>
      <c r="B428" s="105" t="s">
        <v>1981</v>
      </c>
      <c r="C428" s="105" t="s">
        <v>1982</v>
      </c>
      <c r="D428" s="105" t="s">
        <v>924</v>
      </c>
      <c r="E428" s="95" t="str">
        <f>IFERROR(VLOOKUP(D428,MATERIALES!A:B,2,FALSE()),"?")</f>
        <v>Solera 70mm x 2.60m</v>
      </c>
      <c r="F428" s="129" t="str">
        <f>IFERROR(VLOOKUP(D428,MATERIALES!A:C,3,FALSE()),"?")</f>
        <v>u</v>
      </c>
      <c r="G428" s="119">
        <v>0.50770000000000004</v>
      </c>
      <c r="H428" s="120">
        <v>0.1</v>
      </c>
      <c r="I428" s="96">
        <f>IFERROR(VLOOKUP(D428,MATERIALES!A:D,4,FALSE()),0)</f>
        <v>3084.79</v>
      </c>
      <c r="J428" s="31">
        <f t="shared" ref="J428:J435" si="192">G428*I428*(1+H428)</f>
        <v>1722.7626713000002</v>
      </c>
      <c r="K428" s="32" t="str">
        <f t="shared" si="190"/>
        <v>CER-061|MAT</v>
      </c>
      <c r="L428" s="32">
        <f>COUNTIFS($K$2:K428,K428)</f>
        <v>1</v>
      </c>
      <c r="M428" s="32" t="str">
        <f t="shared" si="177"/>
        <v>CER-061|MAT|1</v>
      </c>
      <c r="N428" s="121">
        <f>IFERROR(VLOOKUP(A428,PARTIDAS!A:F,6,FALSE()),0)</f>
        <v>9.5</v>
      </c>
      <c r="O428" s="123">
        <f t="shared" si="179"/>
        <v>0</v>
      </c>
      <c r="P428" s="123" t="str">
        <f>+_xlfn.XLOOKUP(A428,PPTO_GENERADOR!Q:Q,PPTO_GENERADOR!E:E,"-",0)</f>
        <v>-</v>
      </c>
      <c r="Q428" s="123">
        <f t="shared" si="180"/>
        <v>0</v>
      </c>
      <c r="R428" s="125" t="str">
        <f>+_xlfn.XLOOKUP(A428,PPTO_GENERADOR!$Q:$Q,PPTO_GENERADOR!A:A,"-",0)</f>
        <v>-</v>
      </c>
    </row>
    <row r="429" spans="1:18" ht="14.25" customHeight="1" x14ac:dyDescent="0.35">
      <c r="A429" s="105" t="s">
        <v>1878</v>
      </c>
      <c r="B429" s="105" t="s">
        <v>1981</v>
      </c>
      <c r="C429" s="105" t="s">
        <v>1982</v>
      </c>
      <c r="D429" s="105" t="s">
        <v>927</v>
      </c>
      <c r="E429" s="95" t="str">
        <f>IFERROR(VLOOKUP(D429,MATERIALES!A:B,2,FALSE()),"?")</f>
        <v>Montante 69mm x 2.60m</v>
      </c>
      <c r="F429" s="129" t="str">
        <f>IFERROR(VLOOKUP(D429,MATERIALES!A:C,3,FALSE()),"?")</f>
        <v>u</v>
      </c>
      <c r="G429" s="119">
        <v>1.2307999999999999</v>
      </c>
      <c r="H429" s="120">
        <v>0.1</v>
      </c>
      <c r="I429" s="96">
        <f>IFERROR(VLOOKUP(D429,MATERIALES!A:D,4,FALSE()),0)</f>
        <v>3385.62</v>
      </c>
      <c r="J429" s="31">
        <f t="shared" si="192"/>
        <v>4583.7232056000003</v>
      </c>
      <c r="K429" s="32" t="str">
        <f t="shared" si="190"/>
        <v>CER-061|MAT</v>
      </c>
      <c r="L429" s="32">
        <f>COUNTIFS($K$2:K429,K429)</f>
        <v>2</v>
      </c>
      <c r="M429" s="32" t="str">
        <f t="shared" si="177"/>
        <v>CER-061|MAT|2</v>
      </c>
      <c r="N429" s="121">
        <f>IFERROR(VLOOKUP(A429,PARTIDAS!A:F,6,FALSE()),0)</f>
        <v>9.5</v>
      </c>
      <c r="O429" s="123">
        <f t="shared" si="179"/>
        <v>0</v>
      </c>
      <c r="P429" s="123" t="str">
        <f>+_xlfn.XLOOKUP(A429,PPTO_GENERADOR!Q:Q,PPTO_GENERADOR!E:E,"-",0)</f>
        <v>-</v>
      </c>
      <c r="Q429" s="123">
        <f t="shared" si="180"/>
        <v>0</v>
      </c>
      <c r="R429" s="125" t="str">
        <f>+_xlfn.XLOOKUP(A429,PPTO_GENERADOR!$Q:$Q,PPTO_GENERADOR!A:A,"-",0)</f>
        <v>-</v>
      </c>
    </row>
    <row r="430" spans="1:18" ht="14.25" customHeight="1" x14ac:dyDescent="0.35">
      <c r="A430" s="105" t="s">
        <v>1878</v>
      </c>
      <c r="B430" s="105" t="s">
        <v>1981</v>
      </c>
      <c r="C430" s="105" t="s">
        <v>1982</v>
      </c>
      <c r="D430" s="105" t="s">
        <v>933</v>
      </c>
      <c r="E430" s="95" t="str">
        <f>IFERROR(VLOOKUP(D430,MATERIALES!A:B,2,FALSE()),"?")</f>
        <v>Tornillo T1 - Aguja</v>
      </c>
      <c r="F430" s="129" t="str">
        <f>IFERROR(VLOOKUP(D430,MATERIALES!A:C,3,FALSE()),"?")</f>
        <v>u</v>
      </c>
      <c r="G430" s="119">
        <v>16</v>
      </c>
      <c r="H430" s="120">
        <v>0.05</v>
      </c>
      <c r="I430" s="96">
        <f>IFERROR(VLOOKUP(D430,MATERIALES!A:D,4,FALSE()),0)</f>
        <v>26.153884000000001</v>
      </c>
      <c r="J430" s="31">
        <f t="shared" si="192"/>
        <v>439.38525120000003</v>
      </c>
      <c r="K430" s="32" t="str">
        <f t="shared" si="190"/>
        <v>CER-061|MAT</v>
      </c>
      <c r="L430" s="32">
        <f>COUNTIFS($K$2:K430,K430)</f>
        <v>3</v>
      </c>
      <c r="M430" s="32" t="str">
        <f t="shared" si="177"/>
        <v>CER-061|MAT|3</v>
      </c>
      <c r="N430" s="121">
        <f>IFERROR(VLOOKUP(A430,PARTIDAS!A:F,6,FALSE()),0)</f>
        <v>9.5</v>
      </c>
      <c r="O430" s="123">
        <f t="shared" si="179"/>
        <v>0</v>
      </c>
      <c r="P430" s="123" t="str">
        <f>+_xlfn.XLOOKUP(A430,PPTO_GENERADOR!Q:Q,PPTO_GENERADOR!E:E,"-",0)</f>
        <v>-</v>
      </c>
      <c r="Q430" s="123">
        <f t="shared" si="180"/>
        <v>0</v>
      </c>
      <c r="R430" s="125" t="str">
        <f>+_xlfn.XLOOKUP(A430,PPTO_GENERADOR!$Q:$Q,PPTO_GENERADOR!A:A,"-",0)</f>
        <v>-</v>
      </c>
    </row>
    <row r="431" spans="1:18" ht="14.25" customHeight="1" x14ac:dyDescent="0.35">
      <c r="A431" s="105" t="s">
        <v>1878</v>
      </c>
      <c r="B431" s="105" t="s">
        <v>1981</v>
      </c>
      <c r="C431" s="105" t="s">
        <v>1982</v>
      </c>
      <c r="D431" s="105" t="s">
        <v>935</v>
      </c>
      <c r="E431" s="95" t="str">
        <f>IFERROR(VLOOKUP(D431,MATERIALES!A:B,2,FALSE()),"?")</f>
        <v>Tornillo T2 - Aguja</v>
      </c>
      <c r="F431" s="129" t="str">
        <f>IFERROR(VLOOKUP(D431,MATERIALES!A:C,3,FALSE()),"?")</f>
        <v>u</v>
      </c>
      <c r="G431" s="119">
        <v>18</v>
      </c>
      <c r="H431" s="120">
        <v>0.05</v>
      </c>
      <c r="I431" s="96">
        <f>IFERROR(VLOOKUP(D431,MATERIALES!A:D,4,FALSE()),0)</f>
        <v>9.1146919999999998</v>
      </c>
      <c r="J431" s="31">
        <f t="shared" si="192"/>
        <v>172.26767880000003</v>
      </c>
      <c r="K431" s="32" t="str">
        <f t="shared" si="190"/>
        <v>CER-061|MAT</v>
      </c>
      <c r="L431" s="32">
        <f>COUNTIFS($K$2:K431,K431)</f>
        <v>4</v>
      </c>
      <c r="M431" s="32" t="str">
        <f t="shared" si="177"/>
        <v>CER-061|MAT|4</v>
      </c>
      <c r="N431" s="121">
        <f>IFERROR(VLOOKUP(A431,PARTIDAS!A:F,6,FALSE()),0)</f>
        <v>9.5</v>
      </c>
      <c r="O431" s="123">
        <f t="shared" si="179"/>
        <v>0</v>
      </c>
      <c r="P431" s="123" t="str">
        <f>+_xlfn.XLOOKUP(A431,PPTO_GENERADOR!Q:Q,PPTO_GENERADOR!E:E,"-",0)</f>
        <v>-</v>
      </c>
      <c r="Q431" s="123">
        <f t="shared" si="180"/>
        <v>0</v>
      </c>
      <c r="R431" s="125" t="str">
        <f>+_xlfn.XLOOKUP(A431,PPTO_GENERADOR!$Q:$Q,PPTO_GENERADOR!A:A,"-",0)</f>
        <v>-</v>
      </c>
    </row>
    <row r="432" spans="1:18" ht="14.25" customHeight="1" x14ac:dyDescent="0.35">
      <c r="A432" s="105" t="s">
        <v>1878</v>
      </c>
      <c r="B432" s="105" t="s">
        <v>1981</v>
      </c>
      <c r="C432" s="105" t="s">
        <v>1982</v>
      </c>
      <c r="D432" s="105" t="s">
        <v>939</v>
      </c>
      <c r="E432" s="95" t="str">
        <f>IFERROR(VLOOKUP(D432,MATERIALES!A:B,2,FALSE()),"?")</f>
        <v>Fijacion completa del 8</v>
      </c>
      <c r="F432" s="129" t="str">
        <f>IFERROR(VLOOKUP(D432,MATERIALES!A:C,3,FALSE()),"?")</f>
        <v>u</v>
      </c>
      <c r="G432" s="119">
        <v>6</v>
      </c>
      <c r="H432" s="120">
        <v>0.05</v>
      </c>
      <c r="I432" s="96">
        <f>IFERROR(VLOOKUP(D432,MATERIALES!A:D,4,FALSE()),0)</f>
        <v>63.381982999999998</v>
      </c>
      <c r="J432" s="31">
        <f t="shared" si="192"/>
        <v>399.30649290000002</v>
      </c>
      <c r="K432" s="32" t="str">
        <f t="shared" si="190"/>
        <v>CER-061|MAT</v>
      </c>
      <c r="L432" s="32">
        <f>COUNTIFS($K$2:K432,K432)</f>
        <v>5</v>
      </c>
      <c r="M432" s="32" t="str">
        <f t="shared" si="177"/>
        <v>CER-061|MAT|5</v>
      </c>
      <c r="N432" s="121">
        <f>IFERROR(VLOOKUP(A432,PARTIDAS!A:F,6,FALSE()),0)</f>
        <v>9.5</v>
      </c>
      <c r="O432" s="123">
        <f t="shared" si="179"/>
        <v>0</v>
      </c>
      <c r="P432" s="123" t="str">
        <f>+_xlfn.XLOOKUP(A432,PPTO_GENERADOR!Q:Q,PPTO_GENERADOR!E:E,"-",0)</f>
        <v>-</v>
      </c>
      <c r="Q432" s="123">
        <f t="shared" si="180"/>
        <v>0</v>
      </c>
      <c r="R432" s="125" t="str">
        <f>+_xlfn.XLOOKUP(A432,PPTO_GENERADOR!$Q:$Q,PPTO_GENERADOR!A:A,"-",0)</f>
        <v>-</v>
      </c>
    </row>
    <row r="433" spans="1:18" ht="14.25" customHeight="1" x14ac:dyDescent="0.35">
      <c r="A433" s="105" t="s">
        <v>1878</v>
      </c>
      <c r="B433" s="105" t="s">
        <v>1981</v>
      </c>
      <c r="C433" s="105" t="s">
        <v>1982</v>
      </c>
      <c r="D433" s="105" t="s">
        <v>941</v>
      </c>
      <c r="E433" s="95" t="str">
        <f>IFERROR(VLOOKUP(D433,MATERIALES!A:B,2,FALSE()),"?")</f>
        <v>Cinta Entramada - 90m</v>
      </c>
      <c r="F433" s="129" t="str">
        <f>IFERROR(VLOOKUP(D433,MATERIALES!A:C,3,FALSE()),"?")</f>
        <v>u</v>
      </c>
      <c r="G433" s="119">
        <v>1.83E-2</v>
      </c>
      <c r="H433" s="120">
        <v>0.05</v>
      </c>
      <c r="I433" s="96">
        <f>IFERROR(VLOOKUP(D433,MATERIALES!A:D,4,FALSE()),0)</f>
        <v>4734.07</v>
      </c>
      <c r="J433" s="31">
        <f t="shared" si="192"/>
        <v>90.965155049999993</v>
      </c>
      <c r="K433" s="32" t="str">
        <f t="shared" si="190"/>
        <v>CER-061|MAT</v>
      </c>
      <c r="L433" s="32">
        <f>COUNTIFS($K$2:K433,K433)</f>
        <v>6</v>
      </c>
      <c r="M433" s="32" t="str">
        <f t="shared" si="177"/>
        <v>CER-061|MAT|6</v>
      </c>
      <c r="N433" s="121">
        <f>IFERROR(VLOOKUP(A433,PARTIDAS!A:F,6,FALSE()),0)</f>
        <v>9.5</v>
      </c>
      <c r="O433" s="123">
        <f t="shared" si="179"/>
        <v>0</v>
      </c>
      <c r="P433" s="123" t="str">
        <f>+_xlfn.XLOOKUP(A433,PPTO_GENERADOR!Q:Q,PPTO_GENERADOR!E:E,"-",0)</f>
        <v>-</v>
      </c>
      <c r="Q433" s="123">
        <f t="shared" si="180"/>
        <v>0</v>
      </c>
      <c r="R433" s="125" t="str">
        <f>+_xlfn.XLOOKUP(A433,PPTO_GENERADOR!$Q:$Q,PPTO_GENERADOR!A:A,"-",0)</f>
        <v>-</v>
      </c>
    </row>
    <row r="434" spans="1:18" ht="14.25" customHeight="1" x14ac:dyDescent="0.35">
      <c r="A434" s="105" t="s">
        <v>1878</v>
      </c>
      <c r="B434" s="105" t="s">
        <v>1981</v>
      </c>
      <c r="C434" s="105" t="s">
        <v>1982</v>
      </c>
      <c r="D434" s="105" t="s">
        <v>943</v>
      </c>
      <c r="E434" s="95" t="str">
        <f>IFERROR(VLOOKUP(D434,MATERIALES!A:B,2,FALSE()),"?")</f>
        <v>Masilla x 32kg</v>
      </c>
      <c r="F434" s="129" t="str">
        <f>IFERROR(VLOOKUP(D434,MATERIALES!A:C,3,FALSE()),"?")</f>
        <v>u</v>
      </c>
      <c r="G434" s="119">
        <v>2.81E-2</v>
      </c>
      <c r="H434" s="120">
        <v>0.05</v>
      </c>
      <c r="I434" s="96">
        <f>IFERROR(VLOOKUP(D434,MATERIALES!A:D,4,FALSE()),0)</f>
        <v>23166.59</v>
      </c>
      <c r="J434" s="31">
        <f t="shared" si="192"/>
        <v>683.53023795000001</v>
      </c>
      <c r="K434" s="32" t="str">
        <f t="shared" si="190"/>
        <v>CER-061|MAT</v>
      </c>
      <c r="L434" s="32">
        <f>COUNTIFS($K$2:K434,K434)</f>
        <v>7</v>
      </c>
      <c r="M434" s="32" t="str">
        <f t="shared" si="177"/>
        <v>CER-061|MAT|7</v>
      </c>
      <c r="N434" s="121">
        <f>IFERROR(VLOOKUP(A434,PARTIDAS!A:F,6,FALSE()),0)</f>
        <v>9.5</v>
      </c>
      <c r="O434" s="123">
        <f t="shared" si="179"/>
        <v>0</v>
      </c>
      <c r="P434" s="123" t="str">
        <f>+_xlfn.XLOOKUP(A434,PPTO_GENERADOR!Q:Q,PPTO_GENERADOR!E:E,"-",0)</f>
        <v>-</v>
      </c>
      <c r="Q434" s="123">
        <f t="shared" si="180"/>
        <v>0</v>
      </c>
      <c r="R434" s="125" t="str">
        <f>+_xlfn.XLOOKUP(A434,PPTO_GENERADOR!$Q:$Q,PPTO_GENERADOR!A:A,"-",0)</f>
        <v>-</v>
      </c>
    </row>
    <row r="435" spans="1:18" ht="14.25" customHeight="1" x14ac:dyDescent="0.35">
      <c r="A435" s="105" t="s">
        <v>1878</v>
      </c>
      <c r="B435" s="105" t="s">
        <v>1981</v>
      </c>
      <c r="C435" s="105" t="s">
        <v>1982</v>
      </c>
      <c r="D435" s="105" t="s">
        <v>949</v>
      </c>
      <c r="E435" s="95" t="str">
        <f>IFERROR(VLOOKUP(D435,MATERIALES!A:B,2,FALSE()),"?")</f>
        <v>Placa Roca de Yeso 1220 x 2440 - 12.5mm - RH</v>
      </c>
      <c r="F435" s="129" t="str">
        <f>IFERROR(VLOOKUP(D435,MATERIALES!A:C,3,FALSE()),"?")</f>
        <v>u</v>
      </c>
      <c r="G435" s="119">
        <v>0.36</v>
      </c>
      <c r="H435" s="120">
        <v>0.1</v>
      </c>
      <c r="I435" s="96">
        <f>IFERROR(VLOOKUP(D435,MATERIALES!A:D,4,FALSE()),0)</f>
        <v>16808.400000000001</v>
      </c>
      <c r="J435" s="31">
        <f t="shared" si="192"/>
        <v>6656.126400000001</v>
      </c>
      <c r="K435" s="32" t="str">
        <f t="shared" si="190"/>
        <v>CER-061|MAT</v>
      </c>
      <c r="L435" s="32">
        <f>COUNTIFS($K$2:K435,K435)</f>
        <v>8</v>
      </c>
      <c r="M435" s="32" t="str">
        <f t="shared" si="177"/>
        <v>CER-061|MAT|8</v>
      </c>
      <c r="N435" s="121">
        <f>IFERROR(VLOOKUP(A435,PARTIDAS!A:F,6,FALSE()),0)</f>
        <v>9.5</v>
      </c>
      <c r="O435" s="123">
        <f t="shared" si="179"/>
        <v>0</v>
      </c>
      <c r="P435" s="123" t="str">
        <f>+_xlfn.XLOOKUP(A435,PPTO_GENERADOR!Q:Q,PPTO_GENERADOR!E:E,"-",0)</f>
        <v>-</v>
      </c>
      <c r="Q435" s="123">
        <f t="shared" si="180"/>
        <v>0</v>
      </c>
      <c r="R435" s="125" t="str">
        <f>+_xlfn.XLOOKUP(A435,PPTO_GENERADOR!$Q:$Q,PPTO_GENERADOR!A:A,"-",0)</f>
        <v>-</v>
      </c>
    </row>
    <row r="436" spans="1:18" ht="14.25" customHeight="1" x14ac:dyDescent="0.35">
      <c r="A436" s="105" t="s">
        <v>1878</v>
      </c>
      <c r="B436" s="105" t="s">
        <v>1983</v>
      </c>
      <c r="C436" s="105"/>
      <c r="D436" s="105" t="s">
        <v>1311</v>
      </c>
      <c r="E436" s="95" t="str">
        <f>IFERROR(VLOOKUP(D436,EQUIPOS!A:B,2,FALSE()),"?")</f>
        <v>ESCALERA GLOSS ALUMINIO ARTICULADA 4 X 4 ESCALONES HASTA 150KG</v>
      </c>
      <c r="F436" s="129"/>
      <c r="G436" s="119">
        <v>1</v>
      </c>
      <c r="H436" s="120">
        <v>0</v>
      </c>
      <c r="I436" s="96">
        <f>IFERROR(VLOOKUP(D436,EQUIPOS!A:F,6,FALSE()),0)</f>
        <v>152.38027427373819</v>
      </c>
      <c r="J436" s="31">
        <f>G436*I436</f>
        <v>152.38027427373819</v>
      </c>
      <c r="K436" s="32" t="str">
        <f t="shared" si="190"/>
        <v>CER-061|EQ</v>
      </c>
      <c r="L436" s="32">
        <f>COUNTIFS($K$2:K436,K436)</f>
        <v>1</v>
      </c>
      <c r="M436" s="32" t="str">
        <f t="shared" si="177"/>
        <v>CER-061|EQ|1</v>
      </c>
      <c r="N436" s="121">
        <f>IFERROR(VLOOKUP(A436,PARTIDAS!A:F,6,FALSE()),0)</f>
        <v>9.5</v>
      </c>
      <c r="O436" s="123">
        <f t="shared" si="179"/>
        <v>0</v>
      </c>
      <c r="P436" s="123" t="str">
        <f>+_xlfn.XLOOKUP(A436,PPTO_GENERADOR!Q:Q,PPTO_GENERADOR!E:E,"-",0)</f>
        <v>-</v>
      </c>
      <c r="Q436" s="123">
        <f t="shared" si="180"/>
        <v>0</v>
      </c>
      <c r="R436" s="125" t="str">
        <f>+_xlfn.XLOOKUP(A436,PPTO_GENERADOR!$Q:$Q,PPTO_GENERADOR!A:A,"-",0)</f>
        <v>-</v>
      </c>
    </row>
    <row r="437" spans="1:18" ht="14.25" customHeight="1" x14ac:dyDescent="0.35">
      <c r="A437" s="105" t="s">
        <v>1878</v>
      </c>
      <c r="B437" s="105" t="s">
        <v>1979</v>
      </c>
      <c r="C437" s="105" t="s">
        <v>1980</v>
      </c>
      <c r="D437" s="105" t="s">
        <v>1292</v>
      </c>
      <c r="E437" s="95" t="str">
        <f>IFERROR(VLOOKUP(D437,MANO_DE_OBRA!A:B,2,FALSE()),"?")</f>
        <v>ESPECIALIZADO</v>
      </c>
      <c r="F437" s="129" t="s">
        <v>2042</v>
      </c>
      <c r="G437" s="119">
        <v>1</v>
      </c>
      <c r="H437" s="120">
        <v>0</v>
      </c>
      <c r="I437" s="96">
        <f>IFERROR(VLOOKUP(D437,MANO_DE_OBRA!A:C,3,FALSE()),0)</f>
        <v>94177.137883538904</v>
      </c>
      <c r="J437" s="31">
        <f t="shared" ref="J437:J438" si="193">G437*I437</f>
        <v>94177.137883538904</v>
      </c>
      <c r="K437" s="32" t="str">
        <f t="shared" si="190"/>
        <v>CER-061|MO</v>
      </c>
      <c r="L437" s="32">
        <f>COUNTIFS($K$2:K437,K437)</f>
        <v>1</v>
      </c>
      <c r="M437" s="32" t="str">
        <f t="shared" si="177"/>
        <v>CER-061|MO|1</v>
      </c>
      <c r="N437" s="121">
        <f>IFERROR(VLOOKUP(A437,PARTIDAS!A:F,6,FALSE()),0)</f>
        <v>9.5</v>
      </c>
      <c r="O437" s="123">
        <f t="shared" si="179"/>
        <v>0.10526315789473684</v>
      </c>
      <c r="P437" s="123" t="str">
        <f>+_xlfn.XLOOKUP(A437,PPTO_GENERADOR!Q:Q,PPTO_GENERADOR!E:E,"-",0)</f>
        <v>-</v>
      </c>
      <c r="Q437" s="123">
        <f t="shared" si="180"/>
        <v>0</v>
      </c>
      <c r="R437" s="125" t="str">
        <f>+_xlfn.XLOOKUP(A437,PPTO_GENERADOR!$Q:$Q,PPTO_GENERADOR!A:A,"-",0)</f>
        <v>-</v>
      </c>
    </row>
    <row r="438" spans="1:18" ht="14.25" customHeight="1" x14ac:dyDescent="0.35">
      <c r="A438" s="105" t="s">
        <v>1878</v>
      </c>
      <c r="B438" s="105" t="s">
        <v>1979</v>
      </c>
      <c r="C438" s="105" t="s">
        <v>1980</v>
      </c>
      <c r="D438" s="105" t="s">
        <v>1288</v>
      </c>
      <c r="E438" s="95" t="str">
        <f>IFERROR(VLOOKUP(D438,MANO_DE_OBRA!A:B,2,FALSE()),"?")</f>
        <v>MEDIO OFICIAL</v>
      </c>
      <c r="F438" s="129" t="s">
        <v>2042</v>
      </c>
      <c r="G438" s="119">
        <v>1</v>
      </c>
      <c r="H438" s="120">
        <v>0</v>
      </c>
      <c r="I438" s="96">
        <f>IFERROR(VLOOKUP(D438,MANO_DE_OBRA!A:C,3,FALSE()),0)</f>
        <v>72132.138365590101</v>
      </c>
      <c r="J438" s="31">
        <f t="shared" si="193"/>
        <v>72132.138365590101</v>
      </c>
      <c r="K438" s="32" t="str">
        <f t="shared" si="190"/>
        <v>CER-061|MO</v>
      </c>
      <c r="L438" s="32">
        <f>COUNTIFS($K$2:K438,K438)</f>
        <v>2</v>
      </c>
      <c r="M438" s="32" t="str">
        <f t="shared" si="177"/>
        <v>CER-061|MO|2</v>
      </c>
      <c r="N438" s="121">
        <f>IFERROR(VLOOKUP(A438,PARTIDAS!A:F,6,FALSE()),0)</f>
        <v>9.5</v>
      </c>
      <c r="O438" s="123">
        <f t="shared" si="179"/>
        <v>0.10526315789473684</v>
      </c>
      <c r="P438" s="123" t="str">
        <f>+_xlfn.XLOOKUP(A438,PPTO_GENERADOR!Q:Q,PPTO_GENERADOR!E:E,"-",0)</f>
        <v>-</v>
      </c>
      <c r="Q438" s="123">
        <f t="shared" si="180"/>
        <v>0</v>
      </c>
      <c r="R438" s="125" t="str">
        <f>+_xlfn.XLOOKUP(A438,PPTO_GENERADOR!$Q:$Q,PPTO_GENERADOR!A:A,"-",0)</f>
        <v>-</v>
      </c>
    </row>
    <row r="439" spans="1:18" ht="14.25" customHeight="1" x14ac:dyDescent="0.35">
      <c r="A439" s="105" t="s">
        <v>1881</v>
      </c>
      <c r="B439" s="105" t="s">
        <v>1981</v>
      </c>
      <c r="C439" s="105" t="s">
        <v>1982</v>
      </c>
      <c r="D439" s="105" t="s">
        <v>924</v>
      </c>
      <c r="E439" s="95" t="str">
        <f>IFERROR(VLOOKUP(D439,MATERIALES!A:B,2,FALSE()),"?")</f>
        <v>Solera 70mm x 2.60m</v>
      </c>
      <c r="F439" s="129" t="str">
        <f>IFERROR(VLOOKUP(D439,MATERIALES!A:C,3,FALSE()),"?")</f>
        <v>u</v>
      </c>
      <c r="G439" s="119">
        <v>0.50770000000000004</v>
      </c>
      <c r="H439" s="120">
        <v>0.1</v>
      </c>
      <c r="I439" s="96">
        <f>IFERROR(VLOOKUP(D439,MATERIALES!A:D,4,FALSE()),0)</f>
        <v>3084.79</v>
      </c>
      <c r="J439" s="31">
        <f t="shared" ref="J439:J446" si="194">G439*I439*(1+H439)</f>
        <v>1722.7626713000002</v>
      </c>
      <c r="K439" s="32" t="str">
        <f t="shared" si="190"/>
        <v>CER-062|MAT</v>
      </c>
      <c r="L439" s="32">
        <f>COUNTIFS($K$2:K439,K439)</f>
        <v>1</v>
      </c>
      <c r="M439" s="32" t="str">
        <f t="shared" si="177"/>
        <v>CER-062|MAT|1</v>
      </c>
      <c r="N439" s="121">
        <f>IFERROR(VLOOKUP(A439,PARTIDAS!A:F,6,FALSE()),0)</f>
        <v>9.5</v>
      </c>
      <c r="O439" s="123">
        <f t="shared" si="179"/>
        <v>0</v>
      </c>
      <c r="P439" s="123" t="str">
        <f>+_xlfn.XLOOKUP(A439,PPTO_GENERADOR!Q:Q,PPTO_GENERADOR!E:E,"-",0)</f>
        <v>-</v>
      </c>
      <c r="Q439" s="123">
        <f t="shared" si="180"/>
        <v>0</v>
      </c>
      <c r="R439" s="125" t="str">
        <f>+_xlfn.XLOOKUP(A439,PPTO_GENERADOR!$Q:$Q,PPTO_GENERADOR!A:A,"-",0)</f>
        <v>-</v>
      </c>
    </row>
    <row r="440" spans="1:18" ht="14.25" customHeight="1" x14ac:dyDescent="0.35">
      <c r="A440" s="105" t="s">
        <v>1881</v>
      </c>
      <c r="B440" s="105" t="s">
        <v>1981</v>
      </c>
      <c r="C440" s="105" t="s">
        <v>1982</v>
      </c>
      <c r="D440" s="105" t="s">
        <v>927</v>
      </c>
      <c r="E440" s="95" t="str">
        <f>IFERROR(VLOOKUP(D440,MATERIALES!A:B,2,FALSE()),"?")</f>
        <v>Montante 69mm x 2.60m</v>
      </c>
      <c r="F440" s="129" t="str">
        <f>IFERROR(VLOOKUP(D440,MATERIALES!A:C,3,FALSE()),"?")</f>
        <v>u</v>
      </c>
      <c r="G440" s="119">
        <v>1.2307999999999999</v>
      </c>
      <c r="H440" s="120">
        <v>0.1</v>
      </c>
      <c r="I440" s="96">
        <f>IFERROR(VLOOKUP(D440,MATERIALES!A:D,4,FALSE()),0)</f>
        <v>3385.62</v>
      </c>
      <c r="J440" s="31">
        <f t="shared" si="194"/>
        <v>4583.7232056000003</v>
      </c>
      <c r="K440" s="32" t="str">
        <f t="shared" si="190"/>
        <v>CER-062|MAT</v>
      </c>
      <c r="L440" s="32">
        <f>COUNTIFS($K$2:K440,K440)</f>
        <v>2</v>
      </c>
      <c r="M440" s="32" t="str">
        <f t="shared" si="177"/>
        <v>CER-062|MAT|2</v>
      </c>
      <c r="N440" s="121">
        <f>IFERROR(VLOOKUP(A440,PARTIDAS!A:F,6,FALSE()),0)</f>
        <v>9.5</v>
      </c>
      <c r="O440" s="123">
        <f t="shared" si="179"/>
        <v>0</v>
      </c>
      <c r="P440" s="123" t="str">
        <f>+_xlfn.XLOOKUP(A440,PPTO_GENERADOR!Q:Q,PPTO_GENERADOR!E:E,"-",0)</f>
        <v>-</v>
      </c>
      <c r="Q440" s="123">
        <f t="shared" si="180"/>
        <v>0</v>
      </c>
      <c r="R440" s="125" t="str">
        <f>+_xlfn.XLOOKUP(A440,PPTO_GENERADOR!$Q:$Q,PPTO_GENERADOR!A:A,"-",0)</f>
        <v>-</v>
      </c>
    </row>
    <row r="441" spans="1:18" ht="14.25" customHeight="1" x14ac:dyDescent="0.35">
      <c r="A441" s="105" t="s">
        <v>1881</v>
      </c>
      <c r="B441" s="105" t="s">
        <v>1981</v>
      </c>
      <c r="C441" s="105" t="s">
        <v>1982</v>
      </c>
      <c r="D441" s="105" t="s">
        <v>933</v>
      </c>
      <c r="E441" s="95" t="str">
        <f>IFERROR(VLOOKUP(D441,MATERIALES!A:B,2,FALSE()),"?")</f>
        <v>Tornillo T1 - Aguja</v>
      </c>
      <c r="F441" s="129" t="str">
        <f>IFERROR(VLOOKUP(D441,MATERIALES!A:C,3,FALSE()),"?")</f>
        <v>u</v>
      </c>
      <c r="G441" s="119">
        <v>16</v>
      </c>
      <c r="H441" s="120">
        <v>0.05</v>
      </c>
      <c r="I441" s="96">
        <f>IFERROR(VLOOKUP(D441,MATERIALES!A:D,4,FALSE()),0)</f>
        <v>26.153884000000001</v>
      </c>
      <c r="J441" s="31">
        <f t="shared" si="194"/>
        <v>439.38525120000003</v>
      </c>
      <c r="K441" s="32" t="str">
        <f t="shared" si="190"/>
        <v>CER-062|MAT</v>
      </c>
      <c r="L441" s="32">
        <f>COUNTIFS($K$2:K441,K441)</f>
        <v>3</v>
      </c>
      <c r="M441" s="32" t="str">
        <f t="shared" si="177"/>
        <v>CER-062|MAT|3</v>
      </c>
      <c r="N441" s="121">
        <f>IFERROR(VLOOKUP(A441,PARTIDAS!A:F,6,FALSE()),0)</f>
        <v>9.5</v>
      </c>
      <c r="O441" s="123">
        <f t="shared" si="179"/>
        <v>0</v>
      </c>
      <c r="P441" s="123" t="str">
        <f>+_xlfn.XLOOKUP(A441,PPTO_GENERADOR!Q:Q,PPTO_GENERADOR!E:E,"-",0)</f>
        <v>-</v>
      </c>
      <c r="Q441" s="123">
        <f t="shared" si="180"/>
        <v>0</v>
      </c>
      <c r="R441" s="125" t="str">
        <f>+_xlfn.XLOOKUP(A441,PPTO_GENERADOR!$Q:$Q,PPTO_GENERADOR!A:A,"-",0)</f>
        <v>-</v>
      </c>
    </row>
    <row r="442" spans="1:18" ht="14.25" customHeight="1" x14ac:dyDescent="0.35">
      <c r="A442" s="105" t="s">
        <v>1881</v>
      </c>
      <c r="B442" s="105" t="s">
        <v>1981</v>
      </c>
      <c r="C442" s="105" t="s">
        <v>1982</v>
      </c>
      <c r="D442" s="105" t="s">
        <v>935</v>
      </c>
      <c r="E442" s="95" t="str">
        <f>IFERROR(VLOOKUP(D442,MATERIALES!A:B,2,FALSE()),"?")</f>
        <v>Tornillo T2 - Aguja</v>
      </c>
      <c r="F442" s="129" t="str">
        <f>IFERROR(VLOOKUP(D442,MATERIALES!A:C,3,FALSE()),"?")</f>
        <v>u</v>
      </c>
      <c r="G442" s="119">
        <v>18</v>
      </c>
      <c r="H442" s="120">
        <v>0.05</v>
      </c>
      <c r="I442" s="96">
        <f>IFERROR(VLOOKUP(D442,MATERIALES!A:D,4,FALSE()),0)</f>
        <v>9.1146919999999998</v>
      </c>
      <c r="J442" s="31">
        <f t="shared" si="194"/>
        <v>172.26767880000003</v>
      </c>
      <c r="K442" s="32" t="str">
        <f t="shared" si="190"/>
        <v>CER-062|MAT</v>
      </c>
      <c r="L442" s="32">
        <f>COUNTIFS($K$2:K442,K442)</f>
        <v>4</v>
      </c>
      <c r="M442" s="32" t="str">
        <f t="shared" si="177"/>
        <v>CER-062|MAT|4</v>
      </c>
      <c r="N442" s="121">
        <f>IFERROR(VLOOKUP(A442,PARTIDAS!A:F,6,FALSE()),0)</f>
        <v>9.5</v>
      </c>
      <c r="O442" s="123">
        <f t="shared" si="179"/>
        <v>0</v>
      </c>
      <c r="P442" s="123" t="str">
        <f>+_xlfn.XLOOKUP(A442,PPTO_GENERADOR!Q:Q,PPTO_GENERADOR!E:E,"-",0)</f>
        <v>-</v>
      </c>
      <c r="Q442" s="123">
        <f t="shared" si="180"/>
        <v>0</v>
      </c>
      <c r="R442" s="125" t="str">
        <f>+_xlfn.XLOOKUP(A442,PPTO_GENERADOR!$Q:$Q,PPTO_GENERADOR!A:A,"-",0)</f>
        <v>-</v>
      </c>
    </row>
    <row r="443" spans="1:18" ht="14.25" customHeight="1" x14ac:dyDescent="0.35">
      <c r="A443" s="105" t="s">
        <v>1881</v>
      </c>
      <c r="B443" s="105" t="s">
        <v>1981</v>
      </c>
      <c r="C443" s="105" t="s">
        <v>1982</v>
      </c>
      <c r="D443" s="105" t="s">
        <v>939</v>
      </c>
      <c r="E443" s="95" t="str">
        <f>IFERROR(VLOOKUP(D443,MATERIALES!A:B,2,FALSE()),"?")</f>
        <v>Fijacion completa del 8</v>
      </c>
      <c r="F443" s="129" t="str">
        <f>IFERROR(VLOOKUP(D443,MATERIALES!A:C,3,FALSE()),"?")</f>
        <v>u</v>
      </c>
      <c r="G443" s="119">
        <v>6</v>
      </c>
      <c r="H443" s="120">
        <v>0.05</v>
      </c>
      <c r="I443" s="96">
        <f>IFERROR(VLOOKUP(D443,MATERIALES!A:D,4,FALSE()),0)</f>
        <v>63.381982999999998</v>
      </c>
      <c r="J443" s="31">
        <f t="shared" si="194"/>
        <v>399.30649290000002</v>
      </c>
      <c r="K443" s="32" t="str">
        <f t="shared" si="190"/>
        <v>CER-062|MAT</v>
      </c>
      <c r="L443" s="32">
        <f>COUNTIFS($K$2:K443,K443)</f>
        <v>5</v>
      </c>
      <c r="M443" s="32" t="str">
        <f t="shared" si="177"/>
        <v>CER-062|MAT|5</v>
      </c>
      <c r="N443" s="121">
        <f>IFERROR(VLOOKUP(A443,PARTIDAS!A:F,6,FALSE()),0)</f>
        <v>9.5</v>
      </c>
      <c r="O443" s="123">
        <f t="shared" si="179"/>
        <v>0</v>
      </c>
      <c r="P443" s="123" t="str">
        <f>+_xlfn.XLOOKUP(A443,PPTO_GENERADOR!Q:Q,PPTO_GENERADOR!E:E,"-",0)</f>
        <v>-</v>
      </c>
      <c r="Q443" s="123">
        <f t="shared" si="180"/>
        <v>0</v>
      </c>
      <c r="R443" s="125" t="str">
        <f>+_xlfn.XLOOKUP(A443,PPTO_GENERADOR!$Q:$Q,PPTO_GENERADOR!A:A,"-",0)</f>
        <v>-</v>
      </c>
    </row>
    <row r="444" spans="1:18" ht="14.25" customHeight="1" x14ac:dyDescent="0.35">
      <c r="A444" s="105" t="s">
        <v>1881</v>
      </c>
      <c r="B444" s="105" t="s">
        <v>1981</v>
      </c>
      <c r="C444" s="105" t="s">
        <v>1982</v>
      </c>
      <c r="D444" s="105" t="s">
        <v>941</v>
      </c>
      <c r="E444" s="95" t="str">
        <f>IFERROR(VLOOKUP(D444,MATERIALES!A:B,2,FALSE()),"?")</f>
        <v>Cinta Entramada - 90m</v>
      </c>
      <c r="F444" s="129" t="str">
        <f>IFERROR(VLOOKUP(D444,MATERIALES!A:C,3,FALSE()),"?")</f>
        <v>u</v>
      </c>
      <c r="G444" s="119">
        <v>1.83E-2</v>
      </c>
      <c r="H444" s="120">
        <v>0.05</v>
      </c>
      <c r="I444" s="96">
        <f>IFERROR(VLOOKUP(D444,MATERIALES!A:D,4,FALSE()),0)</f>
        <v>4734.07</v>
      </c>
      <c r="J444" s="31">
        <f t="shared" si="194"/>
        <v>90.965155049999993</v>
      </c>
      <c r="K444" s="32" t="str">
        <f t="shared" si="190"/>
        <v>CER-062|MAT</v>
      </c>
      <c r="L444" s="32">
        <f>COUNTIFS($K$2:K444,K444)</f>
        <v>6</v>
      </c>
      <c r="M444" s="32" t="str">
        <f t="shared" si="177"/>
        <v>CER-062|MAT|6</v>
      </c>
      <c r="N444" s="121">
        <f>IFERROR(VLOOKUP(A444,PARTIDAS!A:F,6,FALSE()),0)</f>
        <v>9.5</v>
      </c>
      <c r="O444" s="123">
        <f t="shared" si="179"/>
        <v>0</v>
      </c>
      <c r="P444" s="123" t="str">
        <f>+_xlfn.XLOOKUP(A444,PPTO_GENERADOR!Q:Q,PPTO_GENERADOR!E:E,"-",0)</f>
        <v>-</v>
      </c>
      <c r="Q444" s="123">
        <f t="shared" si="180"/>
        <v>0</v>
      </c>
      <c r="R444" s="125" t="str">
        <f>+_xlfn.XLOOKUP(A444,PPTO_GENERADOR!$Q:$Q,PPTO_GENERADOR!A:A,"-",0)</f>
        <v>-</v>
      </c>
    </row>
    <row r="445" spans="1:18" ht="14.25" customHeight="1" x14ac:dyDescent="0.35">
      <c r="A445" s="105" t="s">
        <v>1881</v>
      </c>
      <c r="B445" s="105" t="s">
        <v>1981</v>
      </c>
      <c r="C445" s="105" t="s">
        <v>1982</v>
      </c>
      <c r="D445" s="105" t="s">
        <v>943</v>
      </c>
      <c r="E445" s="95" t="str">
        <f>IFERROR(VLOOKUP(D445,MATERIALES!A:B,2,FALSE()),"?")</f>
        <v>Masilla x 32kg</v>
      </c>
      <c r="F445" s="129" t="str">
        <f>IFERROR(VLOOKUP(D445,MATERIALES!A:C,3,FALSE()),"?")</f>
        <v>u</v>
      </c>
      <c r="G445" s="119">
        <v>2.81E-2</v>
      </c>
      <c r="H445" s="120">
        <v>0.05</v>
      </c>
      <c r="I445" s="96">
        <f>IFERROR(VLOOKUP(D445,MATERIALES!A:D,4,FALSE()),0)</f>
        <v>23166.59</v>
      </c>
      <c r="J445" s="31">
        <f t="shared" si="194"/>
        <v>683.53023795000001</v>
      </c>
      <c r="K445" s="32" t="str">
        <f t="shared" si="190"/>
        <v>CER-062|MAT</v>
      </c>
      <c r="L445" s="32">
        <f>COUNTIFS($K$2:K445,K445)</f>
        <v>7</v>
      </c>
      <c r="M445" s="32" t="str">
        <f t="shared" si="177"/>
        <v>CER-062|MAT|7</v>
      </c>
      <c r="N445" s="121">
        <f>IFERROR(VLOOKUP(A445,PARTIDAS!A:F,6,FALSE()),0)</f>
        <v>9.5</v>
      </c>
      <c r="O445" s="123">
        <f t="shared" si="179"/>
        <v>0</v>
      </c>
      <c r="P445" s="123" t="str">
        <f>+_xlfn.XLOOKUP(A445,PPTO_GENERADOR!Q:Q,PPTO_GENERADOR!E:E,"-",0)</f>
        <v>-</v>
      </c>
      <c r="Q445" s="123">
        <f t="shared" si="180"/>
        <v>0</v>
      </c>
      <c r="R445" s="125" t="str">
        <f>+_xlfn.XLOOKUP(A445,PPTO_GENERADOR!$Q:$Q,PPTO_GENERADOR!A:A,"-",0)</f>
        <v>-</v>
      </c>
    </row>
    <row r="446" spans="1:18" ht="14.25" customHeight="1" x14ac:dyDescent="0.35">
      <c r="A446" s="105" t="s">
        <v>1881</v>
      </c>
      <c r="B446" s="105" t="s">
        <v>1981</v>
      </c>
      <c r="C446" s="105" t="s">
        <v>1982</v>
      </c>
      <c r="D446" s="105" t="s">
        <v>951</v>
      </c>
      <c r="E446" s="95" t="str">
        <f>IFERROR(VLOOKUP(D446,MATERIALES!A:B,2,FALSE()),"?")</f>
        <v>Placa Roca de Yeso 1220 x 2440 - 12.5mm - RF</v>
      </c>
      <c r="F446" s="129" t="str">
        <f>IFERROR(VLOOKUP(D446,MATERIALES!A:C,3,FALSE()),"?")</f>
        <v>u</v>
      </c>
      <c r="G446" s="119">
        <v>0.36</v>
      </c>
      <c r="H446" s="120">
        <v>0.1</v>
      </c>
      <c r="I446" s="96">
        <f>IFERROR(VLOOKUP(D446,MATERIALES!A:D,4,FALSE()),0)</f>
        <v>14786.1</v>
      </c>
      <c r="J446" s="31">
        <f t="shared" si="194"/>
        <v>5855.2956000000004</v>
      </c>
      <c r="K446" s="32" t="str">
        <f t="shared" si="190"/>
        <v>CER-062|MAT</v>
      </c>
      <c r="L446" s="32">
        <f>COUNTIFS($K$2:K446,K446)</f>
        <v>8</v>
      </c>
      <c r="M446" s="32" t="str">
        <f t="shared" si="177"/>
        <v>CER-062|MAT|8</v>
      </c>
      <c r="N446" s="121">
        <f>IFERROR(VLOOKUP(A446,PARTIDAS!A:F,6,FALSE()),0)</f>
        <v>9.5</v>
      </c>
      <c r="O446" s="123">
        <f t="shared" si="179"/>
        <v>0</v>
      </c>
      <c r="P446" s="123" t="str">
        <f>+_xlfn.XLOOKUP(A446,PPTO_GENERADOR!Q:Q,PPTO_GENERADOR!E:E,"-",0)</f>
        <v>-</v>
      </c>
      <c r="Q446" s="123">
        <f t="shared" si="180"/>
        <v>0</v>
      </c>
      <c r="R446" s="125" t="str">
        <f>+_xlfn.XLOOKUP(A446,PPTO_GENERADOR!$Q:$Q,PPTO_GENERADOR!A:A,"-",0)</f>
        <v>-</v>
      </c>
    </row>
    <row r="447" spans="1:18" ht="14.25" customHeight="1" x14ac:dyDescent="0.35">
      <c r="A447" s="105" t="s">
        <v>1881</v>
      </c>
      <c r="B447" s="105" t="s">
        <v>1983</v>
      </c>
      <c r="C447" s="105"/>
      <c r="D447" s="105" t="s">
        <v>1311</v>
      </c>
      <c r="E447" s="95" t="str">
        <f>IFERROR(VLOOKUP(D447,EQUIPOS!A:B,2,FALSE()),"?")</f>
        <v>ESCALERA GLOSS ALUMINIO ARTICULADA 4 X 4 ESCALONES HASTA 150KG</v>
      </c>
      <c r="F447" s="129"/>
      <c r="G447" s="119">
        <v>1</v>
      </c>
      <c r="H447" s="120">
        <v>0</v>
      </c>
      <c r="I447" s="96">
        <f>IFERROR(VLOOKUP(D447,EQUIPOS!A:F,6,FALSE()),0)</f>
        <v>152.38027427373819</v>
      </c>
      <c r="J447" s="31">
        <f t="shared" ref="J447:J448" si="195">G447*I447</f>
        <v>152.38027427373819</v>
      </c>
      <c r="K447" s="32" t="str">
        <f t="shared" si="190"/>
        <v>CER-062|EQ</v>
      </c>
      <c r="L447" s="32">
        <f>COUNTIFS($K$2:K447,K447)</f>
        <v>1</v>
      </c>
      <c r="M447" s="32" t="str">
        <f t="shared" si="177"/>
        <v>CER-062|EQ|1</v>
      </c>
      <c r="N447" s="121">
        <f>IFERROR(VLOOKUP(A447,PARTIDAS!A:F,6,FALSE()),0)</f>
        <v>9.5</v>
      </c>
      <c r="O447" s="123">
        <f t="shared" si="179"/>
        <v>0</v>
      </c>
      <c r="P447" s="123" t="str">
        <f>+_xlfn.XLOOKUP(A447,PPTO_GENERADOR!Q:Q,PPTO_GENERADOR!E:E,"-",0)</f>
        <v>-</v>
      </c>
      <c r="Q447" s="123">
        <f t="shared" si="180"/>
        <v>0</v>
      </c>
      <c r="R447" s="125" t="str">
        <f>+_xlfn.XLOOKUP(A447,PPTO_GENERADOR!$Q:$Q,PPTO_GENERADOR!A:A,"-",0)</f>
        <v>-</v>
      </c>
    </row>
    <row r="448" spans="1:18" ht="14.25" customHeight="1" x14ac:dyDescent="0.35">
      <c r="A448" s="105" t="s">
        <v>1881</v>
      </c>
      <c r="B448" s="105" t="s">
        <v>1983</v>
      </c>
      <c r="C448" s="105"/>
      <c r="D448" s="105" t="s">
        <v>1513</v>
      </c>
      <c r="E448" s="95" t="str">
        <f>IFERROR(VLOOKUP(D448,EQUIPOS!A:B,2,FALSE()),"?")</f>
        <v>EQUIPO DE CONSTRUCCION EN SECO</v>
      </c>
      <c r="F448" s="129"/>
      <c r="G448" s="119">
        <v>1</v>
      </c>
      <c r="H448" s="120">
        <v>0</v>
      </c>
      <c r="I448" s="96">
        <f>IFERROR(VLOOKUP(D448,EQUIPOS!A:F,6,FALSE()),0)</f>
        <v>2570.7599166666664</v>
      </c>
      <c r="J448" s="31">
        <f t="shared" si="195"/>
        <v>2570.7599166666664</v>
      </c>
      <c r="K448" s="32" t="str">
        <f t="shared" si="190"/>
        <v>CER-062|EQ</v>
      </c>
      <c r="L448" s="32">
        <f>COUNTIFS($K$2:K448,K448)</f>
        <v>2</v>
      </c>
      <c r="M448" s="32" t="str">
        <f t="shared" ref="M448" si="196">K448&amp;"|"&amp;L448</f>
        <v>CER-062|EQ|2</v>
      </c>
      <c r="N448" s="121">
        <f>IFERROR(VLOOKUP(A448,PARTIDAS!A:F,6,FALSE()),0)</f>
        <v>9.5</v>
      </c>
      <c r="O448" s="123">
        <f t="shared" si="179"/>
        <v>0</v>
      </c>
      <c r="P448" s="123" t="str">
        <f>+_xlfn.XLOOKUP(A448,PPTO_GENERADOR!Q:Q,PPTO_GENERADOR!E:E,"-",0)</f>
        <v>-</v>
      </c>
      <c r="Q448" s="123">
        <f t="shared" si="180"/>
        <v>0</v>
      </c>
      <c r="R448" s="125" t="str">
        <f>+_xlfn.XLOOKUP(A448,PPTO_GENERADOR!$Q:$Q,PPTO_GENERADOR!A:A,"-",0)</f>
        <v>-</v>
      </c>
    </row>
    <row r="449" spans="1:18" ht="14.25" customHeight="1" x14ac:dyDescent="0.35">
      <c r="A449" s="105" t="s">
        <v>1881</v>
      </c>
      <c r="B449" s="105" t="s">
        <v>1979</v>
      </c>
      <c r="C449" s="105" t="s">
        <v>1980</v>
      </c>
      <c r="D449" s="105" t="s">
        <v>1292</v>
      </c>
      <c r="E449" s="95" t="str">
        <f>IFERROR(VLOOKUP(D449,MANO_DE_OBRA!A:B,2,FALSE()),"?")</f>
        <v>ESPECIALIZADO</v>
      </c>
      <c r="F449" s="129" t="s">
        <v>2042</v>
      </c>
      <c r="G449" s="119">
        <v>1</v>
      </c>
      <c r="H449" s="120">
        <v>0</v>
      </c>
      <c r="I449" s="96">
        <f>IFERROR(VLOOKUP(D449,MANO_DE_OBRA!A:C,3,FALSE()),0)</f>
        <v>94177.137883538904</v>
      </c>
      <c r="J449" s="31">
        <f t="shared" ref="J449:J450" si="197">G449*I449</f>
        <v>94177.137883538904</v>
      </c>
      <c r="K449" s="32" t="str">
        <f t="shared" si="190"/>
        <v>CER-062|MO</v>
      </c>
      <c r="L449" s="32">
        <f>COUNTIFS($K$2:K449,K449)</f>
        <v>1</v>
      </c>
      <c r="M449" s="32" t="str">
        <f t="shared" ref="M449:M511" si="198">K449&amp;"|"&amp;L449</f>
        <v>CER-062|MO|1</v>
      </c>
      <c r="N449" s="121">
        <f>IFERROR(VLOOKUP(A449,PARTIDAS!A:F,6,FALSE()),0)</f>
        <v>9.5</v>
      </c>
      <c r="O449" s="123">
        <f t="shared" si="179"/>
        <v>0.10526315789473684</v>
      </c>
      <c r="P449" s="123" t="str">
        <f>+_xlfn.XLOOKUP(A449,PPTO_GENERADOR!Q:Q,PPTO_GENERADOR!E:E,"-",0)</f>
        <v>-</v>
      </c>
      <c r="Q449" s="123">
        <f t="shared" si="180"/>
        <v>0</v>
      </c>
      <c r="R449" s="125" t="str">
        <f>+_xlfn.XLOOKUP(A449,PPTO_GENERADOR!$Q:$Q,PPTO_GENERADOR!A:A,"-",0)</f>
        <v>-</v>
      </c>
    </row>
    <row r="450" spans="1:18" ht="14.25" customHeight="1" x14ac:dyDescent="0.35">
      <c r="A450" s="105" t="s">
        <v>1881</v>
      </c>
      <c r="B450" s="105" t="s">
        <v>1979</v>
      </c>
      <c r="C450" s="105" t="s">
        <v>1980</v>
      </c>
      <c r="D450" s="105" t="s">
        <v>1288</v>
      </c>
      <c r="E450" s="95" t="str">
        <f>IFERROR(VLOOKUP(D450,MANO_DE_OBRA!A:B,2,FALSE()),"?")</f>
        <v>MEDIO OFICIAL</v>
      </c>
      <c r="F450" s="129" t="s">
        <v>2042</v>
      </c>
      <c r="G450" s="119">
        <v>1</v>
      </c>
      <c r="H450" s="120">
        <v>0</v>
      </c>
      <c r="I450" s="96">
        <f>IFERROR(VLOOKUP(D450,MANO_DE_OBRA!A:C,3,FALSE()),0)</f>
        <v>72132.138365590101</v>
      </c>
      <c r="J450" s="31">
        <f t="shared" si="197"/>
        <v>72132.138365590101</v>
      </c>
      <c r="K450" s="32" t="str">
        <f t="shared" si="190"/>
        <v>CER-062|MO</v>
      </c>
      <c r="L450" s="32">
        <f>COUNTIFS($K$2:K450,K450)</f>
        <v>2</v>
      </c>
      <c r="M450" s="32" t="str">
        <f t="shared" si="198"/>
        <v>CER-062|MO|2</v>
      </c>
      <c r="N450" s="121">
        <f>IFERROR(VLOOKUP(A450,PARTIDAS!A:F,6,FALSE()),0)</f>
        <v>9.5</v>
      </c>
      <c r="O450" s="123">
        <f t="shared" si="179"/>
        <v>0.10526315789473684</v>
      </c>
      <c r="P450" s="123" t="str">
        <f>+_xlfn.XLOOKUP(A450,PPTO_GENERADOR!Q:Q,PPTO_GENERADOR!E:E,"-",0)</f>
        <v>-</v>
      </c>
      <c r="Q450" s="123">
        <f t="shared" si="180"/>
        <v>0</v>
      </c>
      <c r="R450" s="125" t="str">
        <f>+_xlfn.XLOOKUP(A450,PPTO_GENERADOR!$Q:$Q,PPTO_GENERADOR!A:A,"-",0)</f>
        <v>-</v>
      </c>
    </row>
    <row r="451" spans="1:18" ht="14.25" customHeight="1" x14ac:dyDescent="0.35">
      <c r="A451" s="105" t="s">
        <v>1884</v>
      </c>
      <c r="B451" s="105" t="s">
        <v>1981</v>
      </c>
      <c r="C451" s="105" t="s">
        <v>1982</v>
      </c>
      <c r="D451" s="105" t="s">
        <v>955</v>
      </c>
      <c r="E451" s="95" t="str">
        <f>IFERROR(VLOOKUP(D451,MATERIALES!A:B,2,FALSE()),"?")</f>
        <v>Perfil Perimetral x 3.05</v>
      </c>
      <c r="F451" s="129" t="str">
        <f>IFERROR(VLOOKUP(D451,MATERIALES!A:C,3,FALSE()),"?")</f>
        <v>u</v>
      </c>
      <c r="G451" s="119">
        <v>0.49</v>
      </c>
      <c r="H451" s="120">
        <v>0.1</v>
      </c>
      <c r="I451" s="96">
        <f>IFERROR(VLOOKUP(D451,MATERIALES!A:D,4,FALSE()),0)</f>
        <v>3028.942149</v>
      </c>
      <c r="J451" s="31">
        <f t="shared" ref="J451:J455" si="199">G451*I451*(1+H451)</f>
        <v>1632.599818311</v>
      </c>
      <c r="K451" s="32" t="str">
        <f t="shared" si="190"/>
        <v>CER-063|MAT</v>
      </c>
      <c r="L451" s="32">
        <f>COUNTIFS($K$2:K451,K451)</f>
        <v>1</v>
      </c>
      <c r="M451" s="32" t="str">
        <f t="shared" si="198"/>
        <v>CER-063|MAT|1</v>
      </c>
      <c r="N451" s="121">
        <f>IFERROR(VLOOKUP(A451,PARTIDAS!A:F,6,FALSE()),0)</f>
        <v>10</v>
      </c>
      <c r="O451" s="123">
        <f t="shared" ref="O451:O514" si="200">+IF(C451="ALB",G451/N451,0)</f>
        <v>0</v>
      </c>
      <c r="P451" s="123" t="str">
        <f>+_xlfn.XLOOKUP(A451,PPTO_GENERADOR!Q:Q,PPTO_GENERADOR!E:E,"-",0)</f>
        <v>-</v>
      </c>
      <c r="Q451" s="123">
        <f t="shared" ref="Q451:Q514" si="201">IFERROR(P451*O451,0)</f>
        <v>0</v>
      </c>
      <c r="R451" s="125" t="str">
        <f>+_xlfn.XLOOKUP(A451,PPTO_GENERADOR!$Q:$Q,PPTO_GENERADOR!A:A,"-",0)</f>
        <v>-</v>
      </c>
    </row>
    <row r="452" spans="1:18" ht="14.25" customHeight="1" x14ac:dyDescent="0.35">
      <c r="A452" s="105" t="s">
        <v>1884</v>
      </c>
      <c r="B452" s="105" t="s">
        <v>1981</v>
      </c>
      <c r="C452" s="105" t="s">
        <v>1982</v>
      </c>
      <c r="D452" s="105" t="s">
        <v>957</v>
      </c>
      <c r="E452" s="95" t="str">
        <f>IFERROR(VLOOKUP(D452,MATERIALES!A:B,2,FALSE()),"?")</f>
        <v>Larguero x 3.66</v>
      </c>
      <c r="F452" s="129" t="str">
        <f>IFERROR(VLOOKUP(D452,MATERIALES!A:C,3,FALSE()),"?")</f>
        <v>u</v>
      </c>
      <c r="G452" s="119">
        <v>0.44</v>
      </c>
      <c r="H452" s="120">
        <v>0.05</v>
      </c>
      <c r="I452" s="96">
        <f>IFERROR(VLOOKUP(D452,MATERIALES!A:D,4,FALSE()),0)</f>
        <v>4774.9090910000004</v>
      </c>
      <c r="J452" s="31">
        <f t="shared" si="199"/>
        <v>2206.0080000420003</v>
      </c>
      <c r="K452" s="32" t="str">
        <f t="shared" si="190"/>
        <v>CER-063|MAT</v>
      </c>
      <c r="L452" s="32">
        <f>COUNTIFS($K$2:K452,K452)</f>
        <v>2</v>
      </c>
      <c r="M452" s="32" t="str">
        <f t="shared" si="198"/>
        <v>CER-063|MAT|2</v>
      </c>
      <c r="N452" s="121">
        <f>IFERROR(VLOOKUP(A452,PARTIDAS!A:F,6,FALSE()),0)</f>
        <v>10</v>
      </c>
      <c r="O452" s="123">
        <f t="shared" si="200"/>
        <v>0</v>
      </c>
      <c r="P452" s="123" t="str">
        <f>+_xlfn.XLOOKUP(A452,PPTO_GENERADOR!Q:Q,PPTO_GENERADOR!E:E,"-",0)</f>
        <v>-</v>
      </c>
      <c r="Q452" s="123">
        <f t="shared" si="201"/>
        <v>0</v>
      </c>
      <c r="R452" s="125" t="str">
        <f>+_xlfn.XLOOKUP(A452,PPTO_GENERADOR!$Q:$Q,PPTO_GENERADOR!A:A,"-",0)</f>
        <v>-</v>
      </c>
    </row>
    <row r="453" spans="1:18" ht="14.25" customHeight="1" x14ac:dyDescent="0.35">
      <c r="A453" s="105" t="s">
        <v>1884</v>
      </c>
      <c r="B453" s="105" t="s">
        <v>1981</v>
      </c>
      <c r="C453" s="105" t="s">
        <v>1982</v>
      </c>
      <c r="D453" s="105" t="s">
        <v>961</v>
      </c>
      <c r="E453" s="95" t="str">
        <f>IFERROR(VLOOKUP(D453,MATERIALES!A:B,2,FALSE()),"?")</f>
        <v>Travesaño x 0.60</v>
      </c>
      <c r="F453" s="129" t="str">
        <f>IFERROR(VLOOKUP(D453,MATERIALES!A:C,3,FALSE()),"?")</f>
        <v>u</v>
      </c>
      <c r="G453" s="119">
        <v>2.67</v>
      </c>
      <c r="H453" s="120">
        <v>0.05</v>
      </c>
      <c r="I453" s="96">
        <f>IFERROR(VLOOKUP(D453,MATERIALES!A:D,4,FALSE()),0)</f>
        <v>793.53719000000001</v>
      </c>
      <c r="J453" s="31">
        <f t="shared" si="199"/>
        <v>2224.6815121649997</v>
      </c>
      <c r="K453" s="32" t="str">
        <f t="shared" si="190"/>
        <v>CER-063|MAT</v>
      </c>
      <c r="L453" s="32">
        <f>COUNTIFS($K$2:K453,K453)</f>
        <v>3</v>
      </c>
      <c r="M453" s="32" t="str">
        <f t="shared" si="198"/>
        <v>CER-063|MAT|3</v>
      </c>
      <c r="N453" s="121">
        <f>IFERROR(VLOOKUP(A453,PARTIDAS!A:F,6,FALSE()),0)</f>
        <v>10</v>
      </c>
      <c r="O453" s="123">
        <f t="shared" si="200"/>
        <v>0</v>
      </c>
      <c r="P453" s="123" t="str">
        <f>+_xlfn.XLOOKUP(A453,PPTO_GENERADOR!Q:Q,PPTO_GENERADOR!E:E,"-",0)</f>
        <v>-</v>
      </c>
      <c r="Q453" s="123">
        <f t="shared" si="201"/>
        <v>0</v>
      </c>
      <c r="R453" s="125" t="str">
        <f>+_xlfn.XLOOKUP(A453,PPTO_GENERADOR!$Q:$Q,PPTO_GENERADOR!A:A,"-",0)</f>
        <v>-</v>
      </c>
    </row>
    <row r="454" spans="1:18" ht="14.25" customHeight="1" x14ac:dyDescent="0.35">
      <c r="A454" s="105" t="s">
        <v>1884</v>
      </c>
      <c r="B454" s="105" t="s">
        <v>1981</v>
      </c>
      <c r="C454" s="105" t="s">
        <v>1982</v>
      </c>
      <c r="D454" s="105" t="s">
        <v>939</v>
      </c>
      <c r="E454" s="95" t="str">
        <f>IFERROR(VLOOKUP(D454,MATERIALES!A:B,2,FALSE()),"?")</f>
        <v>Fijacion completa del 8</v>
      </c>
      <c r="F454" s="129" t="str">
        <f>IFERROR(VLOOKUP(D454,MATERIALES!A:C,3,FALSE()),"?")</f>
        <v>u</v>
      </c>
      <c r="G454" s="119">
        <v>6</v>
      </c>
      <c r="H454" s="120">
        <v>0.05</v>
      </c>
      <c r="I454" s="96">
        <f>IFERROR(VLOOKUP(D454,MATERIALES!A:D,4,FALSE()),0)</f>
        <v>63.381982999999998</v>
      </c>
      <c r="J454" s="31">
        <f t="shared" si="199"/>
        <v>399.30649290000002</v>
      </c>
      <c r="K454" s="32" t="str">
        <f t="shared" si="190"/>
        <v>CER-063|MAT</v>
      </c>
      <c r="L454" s="32">
        <f>COUNTIFS($K$2:K454,K454)</f>
        <v>4</v>
      </c>
      <c r="M454" s="32" t="str">
        <f t="shared" si="198"/>
        <v>CER-063|MAT|4</v>
      </c>
      <c r="N454" s="121">
        <f>IFERROR(VLOOKUP(A454,PARTIDAS!A:F,6,FALSE()),0)</f>
        <v>10</v>
      </c>
      <c r="O454" s="123">
        <f t="shared" si="200"/>
        <v>0</v>
      </c>
      <c r="P454" s="123" t="str">
        <f>+_xlfn.XLOOKUP(A454,PPTO_GENERADOR!Q:Q,PPTO_GENERADOR!E:E,"-",0)</f>
        <v>-</v>
      </c>
      <c r="Q454" s="123">
        <f t="shared" si="201"/>
        <v>0</v>
      </c>
      <c r="R454" s="125" t="str">
        <f>+_xlfn.XLOOKUP(A454,PPTO_GENERADOR!$Q:$Q,PPTO_GENERADOR!A:A,"-",0)</f>
        <v>-</v>
      </c>
    </row>
    <row r="455" spans="1:18" ht="14.25" customHeight="1" x14ac:dyDescent="0.35">
      <c r="A455" s="105" t="s">
        <v>1884</v>
      </c>
      <c r="B455" s="105" t="s">
        <v>1981</v>
      </c>
      <c r="C455" s="105" t="s">
        <v>1982</v>
      </c>
      <c r="D455" s="105" t="s">
        <v>963</v>
      </c>
      <c r="E455" s="95" t="str">
        <f>IFERROR(VLOOKUP(D455,MATERIALES!A:B,2,FALSE()),"?")</f>
        <v>Alambre galvanizado N°14 x kg</v>
      </c>
      <c r="F455" s="129" t="str">
        <f>IFERROR(VLOOKUP(D455,MATERIALES!A:C,3,FALSE()),"?")</f>
        <v>kg</v>
      </c>
      <c r="G455" s="119">
        <v>0.06</v>
      </c>
      <c r="H455" s="120">
        <v>0.05</v>
      </c>
      <c r="I455" s="96">
        <f>IFERROR(VLOOKUP(D455,MATERIALES!A:D,4,FALSE()),0)</f>
        <v>2755.61157</v>
      </c>
      <c r="J455" s="31">
        <f t="shared" si="199"/>
        <v>173.60352890999999</v>
      </c>
      <c r="K455" s="32" t="str">
        <f t="shared" si="190"/>
        <v>CER-063|MAT</v>
      </c>
      <c r="L455" s="32">
        <f>COUNTIFS($K$2:K455,K455)</f>
        <v>5</v>
      </c>
      <c r="M455" s="32" t="str">
        <f t="shared" si="198"/>
        <v>CER-063|MAT|5</v>
      </c>
      <c r="N455" s="121">
        <f>IFERROR(VLOOKUP(A455,PARTIDAS!A:F,6,FALSE()),0)</f>
        <v>10</v>
      </c>
      <c r="O455" s="123">
        <f t="shared" si="200"/>
        <v>0</v>
      </c>
      <c r="P455" s="123" t="str">
        <f>+_xlfn.XLOOKUP(A455,PPTO_GENERADOR!Q:Q,PPTO_GENERADOR!E:E,"-",0)</f>
        <v>-</v>
      </c>
      <c r="Q455" s="123">
        <f t="shared" si="201"/>
        <v>0</v>
      </c>
      <c r="R455" s="125" t="str">
        <f>+_xlfn.XLOOKUP(A455,PPTO_GENERADOR!$Q:$Q,PPTO_GENERADOR!A:A,"-",0)</f>
        <v>-</v>
      </c>
    </row>
    <row r="456" spans="1:18" ht="14.25" customHeight="1" x14ac:dyDescent="0.35">
      <c r="A456" s="105" t="s">
        <v>1884</v>
      </c>
      <c r="B456" s="105" t="s">
        <v>1983</v>
      </c>
      <c r="C456" s="105"/>
      <c r="D456" s="105" t="s">
        <v>1311</v>
      </c>
      <c r="E456" s="95" t="str">
        <f>IFERROR(VLOOKUP(D456,EQUIPOS!A:B,2,FALSE()),"?")</f>
        <v>ESCALERA GLOSS ALUMINIO ARTICULADA 4 X 4 ESCALONES HASTA 150KG</v>
      </c>
      <c r="F456" s="129"/>
      <c r="G456" s="119">
        <v>1</v>
      </c>
      <c r="H456" s="120">
        <v>0</v>
      </c>
      <c r="I456" s="96">
        <f>IFERROR(VLOOKUP(D456,EQUIPOS!A:F,6,FALSE()),0)</f>
        <v>152.38027427373819</v>
      </c>
      <c r="J456" s="31">
        <f>G456*I456</f>
        <v>152.38027427373819</v>
      </c>
      <c r="K456" s="32" t="str">
        <f t="shared" si="190"/>
        <v>CER-063|EQ</v>
      </c>
      <c r="L456" s="32">
        <f>COUNTIFS($K$2:K456,K456)</f>
        <v>1</v>
      </c>
      <c r="M456" s="32" t="str">
        <f t="shared" si="198"/>
        <v>CER-063|EQ|1</v>
      </c>
      <c r="N456" s="121">
        <f>IFERROR(VLOOKUP(A456,PARTIDAS!A:F,6,FALSE()),0)</f>
        <v>10</v>
      </c>
      <c r="O456" s="123">
        <f t="shared" si="200"/>
        <v>0</v>
      </c>
      <c r="P456" s="123" t="str">
        <f>+_xlfn.XLOOKUP(A456,PPTO_GENERADOR!Q:Q,PPTO_GENERADOR!E:E,"-",0)</f>
        <v>-</v>
      </c>
      <c r="Q456" s="123">
        <f t="shared" si="201"/>
        <v>0</v>
      </c>
      <c r="R456" s="125" t="str">
        <f>+_xlfn.XLOOKUP(A456,PPTO_GENERADOR!$Q:$Q,PPTO_GENERADOR!A:A,"-",0)</f>
        <v>-</v>
      </c>
    </row>
    <row r="457" spans="1:18" ht="14.25" customHeight="1" x14ac:dyDescent="0.35">
      <c r="A457" s="105" t="s">
        <v>1884</v>
      </c>
      <c r="B457" s="105" t="s">
        <v>1979</v>
      </c>
      <c r="C457" s="105" t="s">
        <v>1980</v>
      </c>
      <c r="D457" s="105" t="s">
        <v>1292</v>
      </c>
      <c r="E457" s="95" t="str">
        <f>IFERROR(VLOOKUP(D457,MANO_DE_OBRA!A:B,2,FALSE()),"?")</f>
        <v>ESPECIALIZADO</v>
      </c>
      <c r="F457" s="129" t="s">
        <v>2042</v>
      </c>
      <c r="G457" s="119">
        <v>1</v>
      </c>
      <c r="H457" s="120">
        <v>0</v>
      </c>
      <c r="I457" s="96">
        <f>IFERROR(VLOOKUP(D457,MANO_DE_OBRA!A:C,3,FALSE()),0)</f>
        <v>94177.137883538904</v>
      </c>
      <c r="J457" s="31">
        <f t="shared" ref="J457:J458" si="202">G457*I457</f>
        <v>94177.137883538904</v>
      </c>
      <c r="K457" s="32" t="str">
        <f t="shared" ref="K457:K463" si="203">A457&amp;"|"&amp;B457</f>
        <v>CER-063|MO</v>
      </c>
      <c r="L457" s="32">
        <f>COUNTIFS($K$2:K457,K457)</f>
        <v>1</v>
      </c>
      <c r="M457" s="32" t="str">
        <f t="shared" si="198"/>
        <v>CER-063|MO|1</v>
      </c>
      <c r="N457" s="121">
        <f>IFERROR(VLOOKUP(A457,PARTIDAS!A:F,6,FALSE()),0)</f>
        <v>10</v>
      </c>
      <c r="O457" s="123">
        <f t="shared" si="200"/>
        <v>0.1</v>
      </c>
      <c r="P457" s="123" t="str">
        <f>+_xlfn.XLOOKUP(A457,PPTO_GENERADOR!Q:Q,PPTO_GENERADOR!E:E,"-",0)</f>
        <v>-</v>
      </c>
      <c r="Q457" s="123">
        <f t="shared" si="201"/>
        <v>0</v>
      </c>
      <c r="R457" s="125" t="str">
        <f>+_xlfn.XLOOKUP(A457,PPTO_GENERADOR!$Q:$Q,PPTO_GENERADOR!A:A,"-",0)</f>
        <v>-</v>
      </c>
    </row>
    <row r="458" spans="1:18" ht="14.25" customHeight="1" x14ac:dyDescent="0.35">
      <c r="A458" s="105" t="s">
        <v>1884</v>
      </c>
      <c r="B458" s="105" t="s">
        <v>1979</v>
      </c>
      <c r="C458" s="105" t="s">
        <v>1980</v>
      </c>
      <c r="D458" s="105" t="s">
        <v>1288</v>
      </c>
      <c r="E458" s="95" t="str">
        <f>IFERROR(VLOOKUP(D458,MANO_DE_OBRA!A:B,2,FALSE()),"?")</f>
        <v>MEDIO OFICIAL</v>
      </c>
      <c r="F458" s="129" t="s">
        <v>2042</v>
      </c>
      <c r="G458" s="119">
        <v>1</v>
      </c>
      <c r="H458" s="120">
        <v>0</v>
      </c>
      <c r="I458" s="96">
        <f>IFERROR(VLOOKUP(D458,MANO_DE_OBRA!A:C,3,FALSE()),0)</f>
        <v>72132.138365590101</v>
      </c>
      <c r="J458" s="31">
        <f t="shared" si="202"/>
        <v>72132.138365590101</v>
      </c>
      <c r="K458" s="32" t="str">
        <f t="shared" si="203"/>
        <v>CER-063|MO</v>
      </c>
      <c r="L458" s="32">
        <f>COUNTIFS($K$2:K458,K458)</f>
        <v>2</v>
      </c>
      <c r="M458" s="32" t="str">
        <f t="shared" si="198"/>
        <v>CER-063|MO|2</v>
      </c>
      <c r="N458" s="121">
        <f>IFERROR(VLOOKUP(A458,PARTIDAS!A:F,6,FALSE()),0)</f>
        <v>10</v>
      </c>
      <c r="O458" s="123">
        <f t="shared" si="200"/>
        <v>0.1</v>
      </c>
      <c r="P458" s="123" t="str">
        <f>+_xlfn.XLOOKUP(A458,PPTO_GENERADOR!Q:Q,PPTO_GENERADOR!E:E,"-",0)</f>
        <v>-</v>
      </c>
      <c r="Q458" s="123">
        <f t="shared" si="201"/>
        <v>0</v>
      </c>
      <c r="R458" s="125" t="str">
        <f>+_xlfn.XLOOKUP(A458,PPTO_GENERADOR!$Q:$Q,PPTO_GENERADOR!A:A,"-",0)</f>
        <v>-</v>
      </c>
    </row>
    <row r="459" spans="1:18" ht="14.25" customHeight="1" x14ac:dyDescent="0.35">
      <c r="A459" s="105" t="s">
        <v>1887</v>
      </c>
      <c r="B459" s="105" t="s">
        <v>1981</v>
      </c>
      <c r="C459" s="105" t="s">
        <v>1982</v>
      </c>
      <c r="D459" s="105" t="s">
        <v>955</v>
      </c>
      <c r="E459" s="95" t="str">
        <f>IFERROR(VLOOKUP(D459,MATERIALES!A:B,2,FALSE()),"?")</f>
        <v>Perfil Perimetral x 3.05</v>
      </c>
      <c r="F459" s="129" t="str">
        <f>IFERROR(VLOOKUP(D459,MATERIALES!A:C,3,FALSE()),"?")</f>
        <v>u</v>
      </c>
      <c r="G459" s="119">
        <v>0.49</v>
      </c>
      <c r="H459" s="120">
        <v>0.1</v>
      </c>
      <c r="I459" s="96">
        <f>IFERROR(VLOOKUP(D459,MATERIALES!A:D,4,FALSE()),0)</f>
        <v>3028.942149</v>
      </c>
      <c r="J459" s="31">
        <f t="shared" ref="J459:J463" si="204">G459*I459*(1+H459)</f>
        <v>1632.599818311</v>
      </c>
      <c r="K459" s="32" t="str">
        <f t="shared" si="203"/>
        <v>CER-063B|MAT</v>
      </c>
      <c r="L459" s="32">
        <f>COUNTIFS($K$2:K459,K459)</f>
        <v>1</v>
      </c>
      <c r="M459" s="32" t="str">
        <f t="shared" si="198"/>
        <v>CER-063B|MAT|1</v>
      </c>
      <c r="N459" s="121">
        <f>IFERROR(VLOOKUP(A459,PARTIDAS!A:F,6,FALSE()),0)</f>
        <v>10</v>
      </c>
      <c r="O459" s="123">
        <f t="shared" si="200"/>
        <v>0</v>
      </c>
      <c r="P459" s="123" t="str">
        <f>+_xlfn.XLOOKUP(A459,PPTO_GENERADOR!Q:Q,PPTO_GENERADOR!E:E,"-",0)</f>
        <v>-</v>
      </c>
      <c r="Q459" s="123">
        <f t="shared" si="201"/>
        <v>0</v>
      </c>
      <c r="R459" s="125" t="str">
        <f>+_xlfn.XLOOKUP(A459,PPTO_GENERADOR!$Q:$Q,PPTO_GENERADOR!A:A,"-",0)</f>
        <v>-</v>
      </c>
    </row>
    <row r="460" spans="1:18" ht="14.25" customHeight="1" x14ac:dyDescent="0.35">
      <c r="A460" s="105" t="s">
        <v>1887</v>
      </c>
      <c r="B460" s="105" t="s">
        <v>1981</v>
      </c>
      <c r="C460" s="105" t="s">
        <v>1982</v>
      </c>
      <c r="D460" s="105" t="s">
        <v>957</v>
      </c>
      <c r="E460" s="95" t="str">
        <f>IFERROR(VLOOKUP(D460,MATERIALES!A:B,2,FALSE()),"?")</f>
        <v>Larguero x 3.66</v>
      </c>
      <c r="F460" s="129" t="str">
        <f>IFERROR(VLOOKUP(D460,MATERIALES!A:C,3,FALSE()),"?")</f>
        <v>u</v>
      </c>
      <c r="G460" s="119">
        <v>0.44</v>
      </c>
      <c r="H460" s="120">
        <v>0.05</v>
      </c>
      <c r="I460" s="96">
        <f>IFERROR(VLOOKUP(D460,MATERIALES!A:D,4,FALSE()),0)</f>
        <v>4774.9090910000004</v>
      </c>
      <c r="J460" s="31">
        <f t="shared" si="204"/>
        <v>2206.0080000420003</v>
      </c>
      <c r="K460" s="32" t="str">
        <f t="shared" si="203"/>
        <v>CER-063B|MAT</v>
      </c>
      <c r="L460" s="32">
        <f>COUNTIFS($K$2:K460,K460)</f>
        <v>2</v>
      </c>
      <c r="M460" s="32" t="str">
        <f t="shared" si="198"/>
        <v>CER-063B|MAT|2</v>
      </c>
      <c r="N460" s="121">
        <f>IFERROR(VLOOKUP(A460,PARTIDAS!A:F,6,FALSE()),0)</f>
        <v>10</v>
      </c>
      <c r="O460" s="123">
        <f t="shared" si="200"/>
        <v>0</v>
      </c>
      <c r="P460" s="123" t="str">
        <f>+_xlfn.XLOOKUP(A460,PPTO_GENERADOR!Q:Q,PPTO_GENERADOR!E:E,"-",0)</f>
        <v>-</v>
      </c>
      <c r="Q460" s="123">
        <f t="shared" si="201"/>
        <v>0</v>
      </c>
      <c r="R460" s="125" t="str">
        <f>+_xlfn.XLOOKUP(A460,PPTO_GENERADOR!$Q:$Q,PPTO_GENERADOR!A:A,"-",0)</f>
        <v>-</v>
      </c>
    </row>
    <row r="461" spans="1:18" ht="14.25" customHeight="1" x14ac:dyDescent="0.35">
      <c r="A461" s="105" t="s">
        <v>1887</v>
      </c>
      <c r="B461" s="105" t="s">
        <v>1981</v>
      </c>
      <c r="C461" s="105" t="s">
        <v>1982</v>
      </c>
      <c r="D461" s="105" t="s">
        <v>961</v>
      </c>
      <c r="E461" s="95" t="str">
        <f>IFERROR(VLOOKUP(D461,MATERIALES!A:B,2,FALSE()),"?")</f>
        <v>Travesaño x 0.60</v>
      </c>
      <c r="F461" s="129" t="str">
        <f>IFERROR(VLOOKUP(D461,MATERIALES!A:C,3,FALSE()),"?")</f>
        <v>u</v>
      </c>
      <c r="G461" s="119">
        <v>2.67</v>
      </c>
      <c r="H461" s="120">
        <v>0.05</v>
      </c>
      <c r="I461" s="96">
        <f>IFERROR(VLOOKUP(D461,MATERIALES!A:D,4,FALSE()),0)</f>
        <v>793.53719000000001</v>
      </c>
      <c r="J461" s="31">
        <f t="shared" si="204"/>
        <v>2224.6815121649997</v>
      </c>
      <c r="K461" s="32" t="str">
        <f t="shared" si="203"/>
        <v>CER-063B|MAT</v>
      </c>
      <c r="L461" s="32">
        <f>COUNTIFS($K$2:K461,K461)</f>
        <v>3</v>
      </c>
      <c r="M461" s="32" t="str">
        <f t="shared" si="198"/>
        <v>CER-063B|MAT|3</v>
      </c>
      <c r="N461" s="121">
        <f>IFERROR(VLOOKUP(A461,PARTIDAS!A:F,6,FALSE()),0)</f>
        <v>10</v>
      </c>
      <c r="O461" s="123">
        <f t="shared" si="200"/>
        <v>0</v>
      </c>
      <c r="P461" s="123" t="str">
        <f>+_xlfn.XLOOKUP(A461,PPTO_GENERADOR!Q:Q,PPTO_GENERADOR!E:E,"-",0)</f>
        <v>-</v>
      </c>
      <c r="Q461" s="123">
        <f t="shared" si="201"/>
        <v>0</v>
      </c>
      <c r="R461" s="125" t="str">
        <f>+_xlfn.XLOOKUP(A461,PPTO_GENERADOR!$Q:$Q,PPTO_GENERADOR!A:A,"-",0)</f>
        <v>-</v>
      </c>
    </row>
    <row r="462" spans="1:18" ht="14.25" customHeight="1" x14ac:dyDescent="0.35">
      <c r="A462" s="105" t="s">
        <v>1887</v>
      </c>
      <c r="B462" s="105" t="s">
        <v>1981</v>
      </c>
      <c r="C462" s="105" t="s">
        <v>1982</v>
      </c>
      <c r="D462" s="105" t="s">
        <v>939</v>
      </c>
      <c r="E462" s="95" t="str">
        <f>IFERROR(VLOOKUP(D462,MATERIALES!A:B,2,FALSE()),"?")</f>
        <v>Fijacion completa del 8</v>
      </c>
      <c r="F462" s="129" t="str">
        <f>IFERROR(VLOOKUP(D462,MATERIALES!A:C,3,FALSE()),"?")</f>
        <v>u</v>
      </c>
      <c r="G462" s="119">
        <v>6</v>
      </c>
      <c r="H462" s="120">
        <v>0.05</v>
      </c>
      <c r="I462" s="96">
        <f>IFERROR(VLOOKUP(D462,MATERIALES!A:D,4,FALSE()),0)</f>
        <v>63.381982999999998</v>
      </c>
      <c r="J462" s="31">
        <f t="shared" si="204"/>
        <v>399.30649290000002</v>
      </c>
      <c r="K462" s="32" t="str">
        <f t="shared" si="203"/>
        <v>CER-063B|MAT</v>
      </c>
      <c r="L462" s="32">
        <f>COUNTIFS($K$2:K462,K462)</f>
        <v>4</v>
      </c>
      <c r="M462" s="32" t="str">
        <f t="shared" si="198"/>
        <v>CER-063B|MAT|4</v>
      </c>
      <c r="N462" s="121">
        <f>IFERROR(VLOOKUP(A462,PARTIDAS!A:F,6,FALSE()),0)</f>
        <v>10</v>
      </c>
      <c r="O462" s="123">
        <f t="shared" si="200"/>
        <v>0</v>
      </c>
      <c r="P462" s="123" t="str">
        <f>+_xlfn.XLOOKUP(A462,PPTO_GENERADOR!Q:Q,PPTO_GENERADOR!E:E,"-",0)</f>
        <v>-</v>
      </c>
      <c r="Q462" s="123">
        <f t="shared" si="201"/>
        <v>0</v>
      </c>
      <c r="R462" s="125" t="str">
        <f>+_xlfn.XLOOKUP(A462,PPTO_GENERADOR!$Q:$Q,PPTO_GENERADOR!A:A,"-",0)</f>
        <v>-</v>
      </c>
    </row>
    <row r="463" spans="1:18" ht="14.25" customHeight="1" x14ac:dyDescent="0.35">
      <c r="A463" s="105" t="s">
        <v>1887</v>
      </c>
      <c r="B463" s="105" t="s">
        <v>1981</v>
      </c>
      <c r="C463" s="105" t="s">
        <v>1982</v>
      </c>
      <c r="D463" s="105" t="s">
        <v>963</v>
      </c>
      <c r="E463" s="95" t="str">
        <f>IFERROR(VLOOKUP(D463,MATERIALES!A:B,2,FALSE()),"?")</f>
        <v>Alambre galvanizado N°14 x kg</v>
      </c>
      <c r="F463" s="129" t="str">
        <f>IFERROR(VLOOKUP(D463,MATERIALES!A:C,3,FALSE()),"?")</f>
        <v>kg</v>
      </c>
      <c r="G463" s="119">
        <v>0.06</v>
      </c>
      <c r="H463" s="120">
        <v>0.05</v>
      </c>
      <c r="I463" s="96">
        <f>IFERROR(VLOOKUP(D463,MATERIALES!A:D,4,FALSE()),0)</f>
        <v>2755.61157</v>
      </c>
      <c r="J463" s="31">
        <f t="shared" si="204"/>
        <v>173.60352890999999</v>
      </c>
      <c r="K463" s="32" t="str">
        <f t="shared" si="203"/>
        <v>CER-063B|MAT</v>
      </c>
      <c r="L463" s="32">
        <f>COUNTIFS($K$2:K463,K463)</f>
        <v>5</v>
      </c>
      <c r="M463" s="32" t="str">
        <f t="shared" si="198"/>
        <v>CER-063B|MAT|5</v>
      </c>
      <c r="N463" s="121">
        <f>IFERROR(VLOOKUP(A463,PARTIDAS!A:F,6,FALSE()),0)</f>
        <v>10</v>
      </c>
      <c r="O463" s="123">
        <f t="shared" si="200"/>
        <v>0</v>
      </c>
      <c r="P463" s="123" t="str">
        <f>+_xlfn.XLOOKUP(A463,PPTO_GENERADOR!Q:Q,PPTO_GENERADOR!E:E,"-",0)</f>
        <v>-</v>
      </c>
      <c r="Q463" s="123">
        <f t="shared" si="201"/>
        <v>0</v>
      </c>
      <c r="R463" s="125" t="str">
        <f>+_xlfn.XLOOKUP(A463,PPTO_GENERADOR!$Q:$Q,PPTO_GENERADOR!A:A,"-",0)</f>
        <v>-</v>
      </c>
    </row>
    <row r="464" spans="1:18" ht="14.25" customHeight="1" x14ac:dyDescent="0.35">
      <c r="A464" s="105" t="s">
        <v>1887</v>
      </c>
      <c r="B464" s="105" t="s">
        <v>1983</v>
      </c>
      <c r="C464" s="105"/>
      <c r="D464" s="105" t="s">
        <v>1311</v>
      </c>
      <c r="E464" s="95" t="str">
        <f>IFERROR(VLOOKUP(D464,EQUIPOS!A:B,2,FALSE()),"?")</f>
        <v>ESCALERA GLOSS ALUMINIO ARTICULADA 4 X 4 ESCALONES HASTA 150KG</v>
      </c>
      <c r="F464" s="129"/>
      <c r="G464" s="119">
        <v>1</v>
      </c>
      <c r="H464" s="120">
        <v>0</v>
      </c>
      <c r="I464" s="96">
        <f>IFERROR(VLOOKUP(D464,EQUIPOS!A:F,6,FALSE()),0)</f>
        <v>152.38027427373819</v>
      </c>
      <c r="J464" s="31">
        <f t="shared" ref="J464:J465" si="205">G464*I464</f>
        <v>152.38027427373819</v>
      </c>
      <c r="K464" s="32" t="str">
        <f t="shared" ref="K464:K465" si="206">A464&amp;"|"&amp;B464</f>
        <v>CER-063B|EQ</v>
      </c>
      <c r="L464" s="32">
        <f>COUNTIFS($K$2:K464,K464)</f>
        <v>1</v>
      </c>
      <c r="M464" s="32" t="str">
        <f t="shared" si="198"/>
        <v>CER-063B|EQ|1</v>
      </c>
      <c r="N464" s="121">
        <f>IFERROR(VLOOKUP(A464,PARTIDAS!A:F,6,FALSE()),0)</f>
        <v>10</v>
      </c>
      <c r="O464" s="123">
        <f t="shared" si="200"/>
        <v>0</v>
      </c>
      <c r="P464" s="123" t="str">
        <f>+_xlfn.XLOOKUP(A464,PPTO_GENERADOR!Q:Q,PPTO_GENERADOR!E:E,"-",0)</f>
        <v>-</v>
      </c>
      <c r="Q464" s="123">
        <f t="shared" si="201"/>
        <v>0</v>
      </c>
      <c r="R464" s="125" t="str">
        <f>+_xlfn.XLOOKUP(A464,PPTO_GENERADOR!$Q:$Q,PPTO_GENERADOR!A:A,"-",0)</f>
        <v>-</v>
      </c>
    </row>
    <row r="465" spans="1:18" ht="14.25" customHeight="1" x14ac:dyDescent="0.35">
      <c r="A465" s="105" t="s">
        <v>1887</v>
      </c>
      <c r="B465" s="105" t="s">
        <v>1983</v>
      </c>
      <c r="C465" s="105"/>
      <c r="D465" s="105" t="s">
        <v>1513</v>
      </c>
      <c r="E465" s="95" t="str">
        <f>IFERROR(VLOOKUP(D465,EQUIPOS!A:B,2,FALSE()),"?")</f>
        <v>EQUIPO DE CONSTRUCCION EN SECO</v>
      </c>
      <c r="F465" s="129"/>
      <c r="G465" s="119">
        <v>1</v>
      </c>
      <c r="H465" s="120">
        <v>0</v>
      </c>
      <c r="I465" s="96">
        <f>IFERROR(VLOOKUP(D465,EQUIPOS!A:F,6,FALSE()),0)</f>
        <v>2570.7599166666664</v>
      </c>
      <c r="J465" s="31">
        <f t="shared" si="205"/>
        <v>2570.7599166666664</v>
      </c>
      <c r="K465" s="32" t="str">
        <f t="shared" si="206"/>
        <v>CER-063B|EQ</v>
      </c>
      <c r="L465" s="32">
        <f>COUNTIFS($K$2:K465,K465)</f>
        <v>2</v>
      </c>
      <c r="M465" s="32" t="str">
        <f t="shared" si="198"/>
        <v>CER-063B|EQ|2</v>
      </c>
      <c r="N465" s="121">
        <f>IFERROR(VLOOKUP(A465,PARTIDAS!A:F,6,FALSE()),0)</f>
        <v>10</v>
      </c>
      <c r="O465" s="123">
        <f t="shared" si="200"/>
        <v>0</v>
      </c>
      <c r="P465" s="123" t="str">
        <f>+_xlfn.XLOOKUP(A465,PPTO_GENERADOR!Q:Q,PPTO_GENERADOR!E:E,"-",0)</f>
        <v>-</v>
      </c>
      <c r="Q465" s="123">
        <f t="shared" si="201"/>
        <v>0</v>
      </c>
      <c r="R465" s="125" t="str">
        <f>+_xlfn.XLOOKUP(A465,PPTO_GENERADOR!$Q:$Q,PPTO_GENERADOR!A:A,"-",0)</f>
        <v>-</v>
      </c>
    </row>
    <row r="466" spans="1:18" ht="14.25" customHeight="1" x14ac:dyDescent="0.35">
      <c r="A466" s="105" t="s">
        <v>1887</v>
      </c>
      <c r="B466" s="105" t="s">
        <v>1979</v>
      </c>
      <c r="C466" s="105" t="s">
        <v>1980</v>
      </c>
      <c r="D466" s="105" t="s">
        <v>1292</v>
      </c>
      <c r="E466" s="95" t="str">
        <f>IFERROR(VLOOKUP(D466,MANO_DE_OBRA!A:B,2,FALSE()),"?")</f>
        <v>ESPECIALIZADO</v>
      </c>
      <c r="F466" s="129" t="s">
        <v>2042</v>
      </c>
      <c r="G466" s="119">
        <v>1</v>
      </c>
      <c r="H466" s="120">
        <v>0</v>
      </c>
      <c r="I466" s="96">
        <f>IFERROR(VLOOKUP(D466,MANO_DE_OBRA!A:C,3,FALSE()),0)</f>
        <v>94177.137883538904</v>
      </c>
      <c r="J466" s="31">
        <f t="shared" ref="J466:J467" si="207">G466*I466</f>
        <v>94177.137883538904</v>
      </c>
      <c r="K466" s="32" t="str">
        <f t="shared" ref="K466:K502" si="208">A466&amp;"|"&amp;B466</f>
        <v>CER-063B|MO</v>
      </c>
      <c r="L466" s="32">
        <f>COUNTIFS($K$2:K466,K466)</f>
        <v>1</v>
      </c>
      <c r="M466" s="32" t="str">
        <f t="shared" si="198"/>
        <v>CER-063B|MO|1</v>
      </c>
      <c r="N466" s="121">
        <f>IFERROR(VLOOKUP(A466,PARTIDAS!A:F,6,FALSE()),0)</f>
        <v>10</v>
      </c>
      <c r="O466" s="123">
        <f t="shared" si="200"/>
        <v>0.1</v>
      </c>
      <c r="P466" s="123" t="str">
        <f>+_xlfn.XLOOKUP(A466,PPTO_GENERADOR!Q:Q,PPTO_GENERADOR!E:E,"-",0)</f>
        <v>-</v>
      </c>
      <c r="Q466" s="123">
        <f t="shared" si="201"/>
        <v>0</v>
      </c>
      <c r="R466" s="125" t="str">
        <f>+_xlfn.XLOOKUP(A466,PPTO_GENERADOR!$Q:$Q,PPTO_GENERADOR!A:A,"-",0)</f>
        <v>-</v>
      </c>
    </row>
    <row r="467" spans="1:18" ht="14.25" customHeight="1" x14ac:dyDescent="0.35">
      <c r="A467" s="105" t="s">
        <v>1887</v>
      </c>
      <c r="B467" s="105" t="s">
        <v>1979</v>
      </c>
      <c r="C467" s="105" t="s">
        <v>1980</v>
      </c>
      <c r="D467" s="105" t="s">
        <v>1288</v>
      </c>
      <c r="E467" s="95" t="str">
        <f>IFERROR(VLOOKUP(D467,MANO_DE_OBRA!A:B,2,FALSE()),"?")</f>
        <v>MEDIO OFICIAL</v>
      </c>
      <c r="F467" s="129" t="s">
        <v>2042</v>
      </c>
      <c r="G467" s="119">
        <v>1</v>
      </c>
      <c r="H467" s="120">
        <v>0</v>
      </c>
      <c r="I467" s="96">
        <f>IFERROR(VLOOKUP(D467,MANO_DE_OBRA!A:C,3,FALSE()),0)</f>
        <v>72132.138365590101</v>
      </c>
      <c r="J467" s="31">
        <f t="shared" si="207"/>
        <v>72132.138365590101</v>
      </c>
      <c r="K467" s="32" t="str">
        <f t="shared" si="208"/>
        <v>CER-063B|MO</v>
      </c>
      <c r="L467" s="32">
        <f>COUNTIFS($K$2:K467,K467)</f>
        <v>2</v>
      </c>
      <c r="M467" s="32" t="str">
        <f t="shared" si="198"/>
        <v>CER-063B|MO|2</v>
      </c>
      <c r="N467" s="121">
        <f>IFERROR(VLOOKUP(A467,PARTIDAS!A:F,6,FALSE()),0)</f>
        <v>10</v>
      </c>
      <c r="O467" s="123">
        <f t="shared" si="200"/>
        <v>0.1</v>
      </c>
      <c r="P467" s="123" t="str">
        <f>+_xlfn.XLOOKUP(A467,PPTO_GENERADOR!Q:Q,PPTO_GENERADOR!E:E,"-",0)</f>
        <v>-</v>
      </c>
      <c r="Q467" s="123">
        <f t="shared" si="201"/>
        <v>0</v>
      </c>
      <c r="R467" s="125" t="str">
        <f>+_xlfn.XLOOKUP(A467,PPTO_GENERADOR!$Q:$Q,PPTO_GENERADOR!A:A,"-",0)</f>
        <v>-</v>
      </c>
    </row>
    <row r="468" spans="1:18" ht="14.25" customHeight="1" x14ac:dyDescent="0.35">
      <c r="A468" s="105" t="s">
        <v>1890</v>
      </c>
      <c r="B468" s="105" t="s">
        <v>1981</v>
      </c>
      <c r="C468" s="105" t="s">
        <v>1982</v>
      </c>
      <c r="D468" s="105" t="s">
        <v>924</v>
      </c>
      <c r="E468" s="95" t="str">
        <f>IFERROR(VLOOKUP(D468,MATERIALES!A:B,2,FALSE()),"?")</f>
        <v>Solera 70mm x 2.60m</v>
      </c>
      <c r="F468" s="129" t="str">
        <f>IFERROR(VLOOKUP(D468,MATERIALES!A:C,3,FALSE()),"?")</f>
        <v>u</v>
      </c>
      <c r="G468" s="119">
        <v>0.46150000000000002</v>
      </c>
      <c r="H468" s="120">
        <v>0.1</v>
      </c>
      <c r="I468" s="96">
        <f>IFERROR(VLOOKUP(D468,MATERIALES!A:D,4,FALSE()),0)</f>
        <v>3084.79</v>
      </c>
      <c r="J468" s="31">
        <f t="shared" ref="J468:J476" si="209">G468*I468*(1+H468)</f>
        <v>1565.9936435000002</v>
      </c>
      <c r="K468" s="32" t="str">
        <f t="shared" si="208"/>
        <v>CER-064|MAT</v>
      </c>
      <c r="L468" s="32">
        <f>COUNTIFS($K$2:K468,K468)</f>
        <v>1</v>
      </c>
      <c r="M468" s="32" t="str">
        <f t="shared" si="198"/>
        <v>CER-064|MAT|1</v>
      </c>
      <c r="N468" s="121">
        <f>IFERROR(VLOOKUP(A468,PARTIDAS!A:F,6,FALSE()),0)</f>
        <v>7</v>
      </c>
      <c r="O468" s="123">
        <f t="shared" si="200"/>
        <v>0</v>
      </c>
      <c r="P468" s="123" t="str">
        <f>+_xlfn.XLOOKUP(A468,PPTO_GENERADOR!Q:Q,PPTO_GENERADOR!E:E,"-",0)</f>
        <v>-</v>
      </c>
      <c r="Q468" s="123">
        <f t="shared" si="201"/>
        <v>0</v>
      </c>
      <c r="R468" s="125" t="str">
        <f>+_xlfn.XLOOKUP(A468,PPTO_GENERADOR!$Q:$Q,PPTO_GENERADOR!A:A,"-",0)</f>
        <v>-</v>
      </c>
    </row>
    <row r="469" spans="1:18" ht="14.25" customHeight="1" x14ac:dyDescent="0.35">
      <c r="A469" s="105" t="s">
        <v>1890</v>
      </c>
      <c r="B469" s="105" t="s">
        <v>1981</v>
      </c>
      <c r="C469" s="105" t="s">
        <v>1982</v>
      </c>
      <c r="D469" s="105" t="s">
        <v>927</v>
      </c>
      <c r="E469" s="95" t="str">
        <f>IFERROR(VLOOKUP(D469,MATERIALES!A:B,2,FALSE()),"?")</f>
        <v>Montante 69mm x 2.60m</v>
      </c>
      <c r="F469" s="129" t="str">
        <f>IFERROR(VLOOKUP(D469,MATERIALES!A:C,3,FALSE()),"?")</f>
        <v>u</v>
      </c>
      <c r="G469" s="119">
        <v>1.1537999999999999</v>
      </c>
      <c r="H469" s="120">
        <v>0.1</v>
      </c>
      <c r="I469" s="96">
        <f>IFERROR(VLOOKUP(D469,MATERIALES!A:D,4,FALSE()),0)</f>
        <v>3385.62</v>
      </c>
      <c r="J469" s="31">
        <f t="shared" si="209"/>
        <v>4296.9611915999994</v>
      </c>
      <c r="K469" s="32" t="str">
        <f t="shared" si="208"/>
        <v>CER-064|MAT</v>
      </c>
      <c r="L469" s="32">
        <f>COUNTIFS($K$2:K469,K469)</f>
        <v>2</v>
      </c>
      <c r="M469" s="32" t="str">
        <f t="shared" si="198"/>
        <v>CER-064|MAT|2</v>
      </c>
      <c r="N469" s="121">
        <f>IFERROR(VLOOKUP(A469,PARTIDAS!A:F,6,FALSE()),0)</f>
        <v>7</v>
      </c>
      <c r="O469" s="123">
        <f t="shared" si="200"/>
        <v>0</v>
      </c>
      <c r="P469" s="123" t="str">
        <f>+_xlfn.XLOOKUP(A469,PPTO_GENERADOR!Q:Q,PPTO_GENERADOR!E:E,"-",0)</f>
        <v>-</v>
      </c>
      <c r="Q469" s="123">
        <f t="shared" si="201"/>
        <v>0</v>
      </c>
      <c r="R469" s="125" t="str">
        <f>+_xlfn.XLOOKUP(A469,PPTO_GENERADOR!$Q:$Q,PPTO_GENERADOR!A:A,"-",0)</f>
        <v>-</v>
      </c>
    </row>
    <row r="470" spans="1:18" ht="14.25" customHeight="1" x14ac:dyDescent="0.35">
      <c r="A470" s="105" t="s">
        <v>1890</v>
      </c>
      <c r="B470" s="105" t="s">
        <v>1981</v>
      </c>
      <c r="C470" s="105" t="s">
        <v>1982</v>
      </c>
      <c r="D470" s="105" t="s">
        <v>933</v>
      </c>
      <c r="E470" s="95" t="str">
        <f>IFERROR(VLOOKUP(D470,MATERIALES!A:B,2,FALSE()),"?")</f>
        <v>Tornillo T1 - Aguja</v>
      </c>
      <c r="F470" s="129" t="str">
        <f>IFERROR(VLOOKUP(D470,MATERIALES!A:C,3,FALSE()),"?")</f>
        <v>u</v>
      </c>
      <c r="G470" s="119">
        <v>10</v>
      </c>
      <c r="H470" s="120">
        <v>0.05</v>
      </c>
      <c r="I470" s="96">
        <f>IFERROR(VLOOKUP(D470,MATERIALES!A:D,4,FALSE()),0)</f>
        <v>26.153884000000001</v>
      </c>
      <c r="J470" s="31">
        <f t="shared" si="209"/>
        <v>274.61578200000002</v>
      </c>
      <c r="K470" s="32" t="str">
        <f t="shared" si="208"/>
        <v>CER-064|MAT</v>
      </c>
      <c r="L470" s="32">
        <f>COUNTIFS($K$2:K470,K470)</f>
        <v>3</v>
      </c>
      <c r="M470" s="32" t="str">
        <f t="shared" si="198"/>
        <v>CER-064|MAT|3</v>
      </c>
      <c r="N470" s="121">
        <f>IFERROR(VLOOKUP(A470,PARTIDAS!A:F,6,FALSE()),0)</f>
        <v>7</v>
      </c>
      <c r="O470" s="123">
        <f t="shared" si="200"/>
        <v>0</v>
      </c>
      <c r="P470" s="123" t="str">
        <f>+_xlfn.XLOOKUP(A470,PPTO_GENERADOR!Q:Q,PPTO_GENERADOR!E:E,"-",0)</f>
        <v>-</v>
      </c>
      <c r="Q470" s="123">
        <f t="shared" si="201"/>
        <v>0</v>
      </c>
      <c r="R470" s="125" t="str">
        <f>+_xlfn.XLOOKUP(A470,PPTO_GENERADOR!$Q:$Q,PPTO_GENERADOR!A:A,"-",0)</f>
        <v>-</v>
      </c>
    </row>
    <row r="471" spans="1:18" ht="14.25" customHeight="1" x14ac:dyDescent="0.35">
      <c r="A471" s="105" t="s">
        <v>1890</v>
      </c>
      <c r="B471" s="105" t="s">
        <v>1981</v>
      </c>
      <c r="C471" s="105" t="s">
        <v>1982</v>
      </c>
      <c r="D471" s="105" t="s">
        <v>935</v>
      </c>
      <c r="E471" s="95" t="str">
        <f>IFERROR(VLOOKUP(D471,MATERIALES!A:B,2,FALSE()),"?")</f>
        <v>Tornillo T2 - Aguja</v>
      </c>
      <c r="F471" s="129" t="str">
        <f>IFERROR(VLOOKUP(D471,MATERIALES!A:C,3,FALSE()),"?")</f>
        <v>u</v>
      </c>
      <c r="G471" s="119">
        <v>30</v>
      </c>
      <c r="H471" s="120">
        <v>0.05</v>
      </c>
      <c r="I471" s="96">
        <f>IFERROR(VLOOKUP(D471,MATERIALES!A:D,4,FALSE()),0)</f>
        <v>9.1146919999999998</v>
      </c>
      <c r="J471" s="31">
        <f t="shared" si="209"/>
        <v>287.112798</v>
      </c>
      <c r="K471" s="32" t="str">
        <f t="shared" si="208"/>
        <v>CER-064|MAT</v>
      </c>
      <c r="L471" s="32">
        <f>COUNTIFS($K$2:K471,K471)</f>
        <v>4</v>
      </c>
      <c r="M471" s="32" t="str">
        <f t="shared" si="198"/>
        <v>CER-064|MAT|4</v>
      </c>
      <c r="N471" s="121">
        <f>IFERROR(VLOOKUP(A471,PARTIDAS!A:F,6,FALSE()),0)</f>
        <v>7</v>
      </c>
      <c r="O471" s="123">
        <f t="shared" si="200"/>
        <v>0</v>
      </c>
      <c r="P471" s="123" t="str">
        <f>+_xlfn.XLOOKUP(A471,PPTO_GENERADOR!Q:Q,PPTO_GENERADOR!E:E,"-",0)</f>
        <v>-</v>
      </c>
      <c r="Q471" s="123">
        <f t="shared" si="201"/>
        <v>0</v>
      </c>
      <c r="R471" s="125" t="str">
        <f>+_xlfn.XLOOKUP(A471,PPTO_GENERADOR!$Q:$Q,PPTO_GENERADOR!A:A,"-",0)</f>
        <v>-</v>
      </c>
    </row>
    <row r="472" spans="1:18" ht="14.25" customHeight="1" x14ac:dyDescent="0.35">
      <c r="A472" s="105" t="s">
        <v>1890</v>
      </c>
      <c r="B472" s="105" t="s">
        <v>1981</v>
      </c>
      <c r="C472" s="105" t="s">
        <v>1982</v>
      </c>
      <c r="D472" s="105" t="s">
        <v>939</v>
      </c>
      <c r="E472" s="95" t="str">
        <f>IFERROR(VLOOKUP(D472,MATERIALES!A:B,2,FALSE()),"?")</f>
        <v>Fijacion completa del 8</v>
      </c>
      <c r="F472" s="129" t="str">
        <f>IFERROR(VLOOKUP(D472,MATERIALES!A:C,3,FALSE()),"?")</f>
        <v>u</v>
      </c>
      <c r="G472" s="119">
        <v>3.5</v>
      </c>
      <c r="H472" s="120">
        <v>0.05</v>
      </c>
      <c r="I472" s="96">
        <f>IFERROR(VLOOKUP(D472,MATERIALES!A:D,4,FALSE()),0)</f>
        <v>63.381982999999998</v>
      </c>
      <c r="J472" s="31">
        <f t="shared" si="209"/>
        <v>232.92878752500002</v>
      </c>
      <c r="K472" s="32" t="str">
        <f t="shared" si="208"/>
        <v>CER-064|MAT</v>
      </c>
      <c r="L472" s="32">
        <f>COUNTIFS($K$2:K472,K472)</f>
        <v>5</v>
      </c>
      <c r="M472" s="32" t="str">
        <f t="shared" si="198"/>
        <v>CER-064|MAT|5</v>
      </c>
      <c r="N472" s="121">
        <f>IFERROR(VLOOKUP(A472,PARTIDAS!A:F,6,FALSE()),0)</f>
        <v>7</v>
      </c>
      <c r="O472" s="123">
        <f t="shared" si="200"/>
        <v>0</v>
      </c>
      <c r="P472" s="123" t="str">
        <f>+_xlfn.XLOOKUP(A472,PPTO_GENERADOR!Q:Q,PPTO_GENERADOR!E:E,"-",0)</f>
        <v>-</v>
      </c>
      <c r="Q472" s="123">
        <f t="shared" si="201"/>
        <v>0</v>
      </c>
      <c r="R472" s="125" t="str">
        <f>+_xlfn.XLOOKUP(A472,PPTO_GENERADOR!$Q:$Q,PPTO_GENERADOR!A:A,"-",0)</f>
        <v>-</v>
      </c>
    </row>
    <row r="473" spans="1:18" ht="14.25" customHeight="1" x14ac:dyDescent="0.35">
      <c r="A473" s="105" t="s">
        <v>1890</v>
      </c>
      <c r="B473" s="105" t="s">
        <v>1981</v>
      </c>
      <c r="C473" s="105" t="s">
        <v>1982</v>
      </c>
      <c r="D473" s="105" t="s">
        <v>941</v>
      </c>
      <c r="E473" s="95" t="str">
        <f>IFERROR(VLOOKUP(D473,MATERIALES!A:B,2,FALSE()),"?")</f>
        <v>Cinta Entramada - 90m</v>
      </c>
      <c r="F473" s="129" t="str">
        <f>IFERROR(VLOOKUP(D473,MATERIALES!A:C,3,FALSE()),"?")</f>
        <v>u</v>
      </c>
      <c r="G473" s="119">
        <v>0.04</v>
      </c>
      <c r="H473" s="120">
        <v>0.05</v>
      </c>
      <c r="I473" s="96">
        <f>IFERROR(VLOOKUP(D473,MATERIALES!A:D,4,FALSE()),0)</f>
        <v>4734.07</v>
      </c>
      <c r="J473" s="31">
        <f t="shared" si="209"/>
        <v>198.83094</v>
      </c>
      <c r="K473" s="32" t="str">
        <f t="shared" si="208"/>
        <v>CER-064|MAT</v>
      </c>
      <c r="L473" s="32">
        <f>COUNTIFS($K$2:K473,K473)</f>
        <v>6</v>
      </c>
      <c r="M473" s="32" t="str">
        <f t="shared" si="198"/>
        <v>CER-064|MAT|6</v>
      </c>
      <c r="N473" s="121">
        <f>IFERROR(VLOOKUP(A473,PARTIDAS!A:F,6,FALSE()),0)</f>
        <v>7</v>
      </c>
      <c r="O473" s="123">
        <f t="shared" si="200"/>
        <v>0</v>
      </c>
      <c r="P473" s="123" t="str">
        <f>+_xlfn.XLOOKUP(A473,PPTO_GENERADOR!Q:Q,PPTO_GENERADOR!E:E,"-",0)</f>
        <v>-</v>
      </c>
      <c r="Q473" s="123">
        <f t="shared" si="201"/>
        <v>0</v>
      </c>
      <c r="R473" s="125" t="str">
        <f>+_xlfn.XLOOKUP(A473,PPTO_GENERADOR!$Q:$Q,PPTO_GENERADOR!A:A,"-",0)</f>
        <v>-</v>
      </c>
    </row>
    <row r="474" spans="1:18" ht="14.25" customHeight="1" x14ac:dyDescent="0.35">
      <c r="A474" s="105" t="s">
        <v>1890</v>
      </c>
      <c r="B474" s="105" t="s">
        <v>1981</v>
      </c>
      <c r="C474" s="105" t="s">
        <v>1982</v>
      </c>
      <c r="D474" s="105" t="s">
        <v>943</v>
      </c>
      <c r="E474" s="95" t="str">
        <f>IFERROR(VLOOKUP(D474,MATERIALES!A:B,2,FALSE()),"?")</f>
        <v>Masilla x 32kg</v>
      </c>
      <c r="F474" s="129" t="str">
        <f>IFERROR(VLOOKUP(D474,MATERIALES!A:C,3,FALSE()),"?")</f>
        <v>u</v>
      </c>
      <c r="G474" s="119">
        <v>5.6300000000000003E-2</v>
      </c>
      <c r="H474" s="120">
        <v>0.05</v>
      </c>
      <c r="I474" s="96">
        <f>IFERROR(VLOOKUP(D474,MATERIALES!A:D,4,FALSE()),0)</f>
        <v>23166.59</v>
      </c>
      <c r="J474" s="31">
        <f t="shared" si="209"/>
        <v>1369.4929678500002</v>
      </c>
      <c r="K474" s="32" t="str">
        <f t="shared" si="208"/>
        <v>CER-064|MAT</v>
      </c>
      <c r="L474" s="32">
        <f>COUNTIFS($K$2:K474,K474)</f>
        <v>7</v>
      </c>
      <c r="M474" s="32" t="str">
        <f t="shared" si="198"/>
        <v>CER-064|MAT|7</v>
      </c>
      <c r="N474" s="121">
        <f>IFERROR(VLOOKUP(A474,PARTIDAS!A:F,6,FALSE()),0)</f>
        <v>7</v>
      </c>
      <c r="O474" s="123">
        <f t="shared" si="200"/>
        <v>0</v>
      </c>
      <c r="P474" s="123" t="str">
        <f>+_xlfn.XLOOKUP(A474,PPTO_GENERADOR!Q:Q,PPTO_GENERADOR!E:E,"-",0)</f>
        <v>-</v>
      </c>
      <c r="Q474" s="123">
        <f t="shared" si="201"/>
        <v>0</v>
      </c>
      <c r="R474" s="125" t="str">
        <f>+_xlfn.XLOOKUP(A474,PPTO_GENERADOR!$Q:$Q,PPTO_GENERADOR!A:A,"-",0)</f>
        <v>-</v>
      </c>
    </row>
    <row r="475" spans="1:18" ht="14.25" customHeight="1" x14ac:dyDescent="0.35">
      <c r="A475" s="105" t="s">
        <v>1890</v>
      </c>
      <c r="B475" s="105" t="s">
        <v>1981</v>
      </c>
      <c r="C475" s="105" t="s">
        <v>1982</v>
      </c>
      <c r="D475" s="105" t="s">
        <v>945</v>
      </c>
      <c r="E475" s="95" t="str">
        <f>IFERROR(VLOOKUP(D475,MATERIALES!A:B,2,FALSE()),"?")</f>
        <v>Lana De Vidrio 40mm X 21,6m2 Alta Densidad</v>
      </c>
      <c r="F475" s="129" t="str">
        <f>IFERROR(VLOOKUP(D475,MATERIALES!A:C,3,FALSE()),"?")</f>
        <v>u</v>
      </c>
      <c r="G475" s="119">
        <v>0</v>
      </c>
      <c r="H475" s="120">
        <v>0</v>
      </c>
      <c r="I475" s="96">
        <f>IFERROR(VLOOKUP(D475,MATERIALES!A:D,4,FALSE()),0)</f>
        <v>77226.259999999995</v>
      </c>
      <c r="J475" s="31">
        <f t="shared" si="209"/>
        <v>0</v>
      </c>
      <c r="K475" s="32" t="str">
        <f t="shared" si="208"/>
        <v>CER-064|MAT</v>
      </c>
      <c r="L475" s="32">
        <f>COUNTIFS($K$2:K475,K475)</f>
        <v>8</v>
      </c>
      <c r="M475" s="32" t="str">
        <f t="shared" si="198"/>
        <v>CER-064|MAT|8</v>
      </c>
      <c r="N475" s="121">
        <f>IFERROR(VLOOKUP(A475,PARTIDAS!A:F,6,FALSE()),0)</f>
        <v>7</v>
      </c>
      <c r="O475" s="123">
        <f t="shared" si="200"/>
        <v>0</v>
      </c>
      <c r="P475" s="123" t="str">
        <f>+_xlfn.XLOOKUP(A475,PPTO_GENERADOR!Q:Q,PPTO_GENERADOR!E:E,"-",0)</f>
        <v>-</v>
      </c>
      <c r="Q475" s="123">
        <f t="shared" si="201"/>
        <v>0</v>
      </c>
      <c r="R475" s="125" t="str">
        <f>+_xlfn.XLOOKUP(A475,PPTO_GENERADOR!$Q:$Q,PPTO_GENERADOR!A:A,"-",0)</f>
        <v>-</v>
      </c>
    </row>
    <row r="476" spans="1:18" ht="14.25" customHeight="1" x14ac:dyDescent="0.35">
      <c r="A476" s="105" t="s">
        <v>1890</v>
      </c>
      <c r="B476" s="105" t="s">
        <v>1981</v>
      </c>
      <c r="C476" s="105" t="s">
        <v>1982</v>
      </c>
      <c r="D476" s="105" t="s">
        <v>947</v>
      </c>
      <c r="E476" s="95" t="str">
        <f>IFERROR(VLOOKUP(D476,MATERIALES!A:B,2,FALSE()),"?")</f>
        <v>Placa Roca de Yeso 1220 x 2440 - 12.5mm - STD</v>
      </c>
      <c r="F476" s="129" t="str">
        <f>IFERROR(VLOOKUP(D476,MATERIALES!A:C,3,FALSE()),"?")</f>
        <v>u</v>
      </c>
      <c r="G476" s="119">
        <v>0.71</v>
      </c>
      <c r="H476" s="120">
        <v>0.1</v>
      </c>
      <c r="I476" s="96">
        <f>IFERROR(VLOOKUP(D476,MATERIALES!A:D,4,FALSE()),0)</f>
        <v>10458</v>
      </c>
      <c r="J476" s="31">
        <f t="shared" si="209"/>
        <v>8167.6980000000003</v>
      </c>
      <c r="K476" s="32" t="str">
        <f t="shared" si="208"/>
        <v>CER-064|MAT</v>
      </c>
      <c r="L476" s="32">
        <f>COUNTIFS($K$2:K476,K476)</f>
        <v>9</v>
      </c>
      <c r="M476" s="32" t="str">
        <f t="shared" si="198"/>
        <v>CER-064|MAT|9</v>
      </c>
      <c r="N476" s="121">
        <f>IFERROR(VLOOKUP(A476,PARTIDAS!A:F,6,FALSE()),0)</f>
        <v>7</v>
      </c>
      <c r="O476" s="123">
        <f t="shared" si="200"/>
        <v>0</v>
      </c>
      <c r="P476" s="123" t="str">
        <f>+_xlfn.XLOOKUP(A476,PPTO_GENERADOR!Q:Q,PPTO_GENERADOR!E:E,"-",0)</f>
        <v>-</v>
      </c>
      <c r="Q476" s="123">
        <f t="shared" si="201"/>
        <v>0</v>
      </c>
      <c r="R476" s="125" t="str">
        <f>+_xlfn.XLOOKUP(A476,PPTO_GENERADOR!$Q:$Q,PPTO_GENERADOR!A:A,"-",0)</f>
        <v>-</v>
      </c>
    </row>
    <row r="477" spans="1:18" ht="14.25" customHeight="1" x14ac:dyDescent="0.35">
      <c r="A477" s="105" t="s">
        <v>1890</v>
      </c>
      <c r="B477" s="105" t="s">
        <v>1983</v>
      </c>
      <c r="C477" s="105"/>
      <c r="D477" s="105" t="s">
        <v>1311</v>
      </c>
      <c r="E477" s="95" t="str">
        <f>IFERROR(VLOOKUP(D477,EQUIPOS!A:B,2,FALSE()),"?")</f>
        <v>ESCALERA GLOSS ALUMINIO ARTICULADA 4 X 4 ESCALONES HASTA 150KG</v>
      </c>
      <c r="F477" s="129"/>
      <c r="G477" s="119">
        <v>0.5</v>
      </c>
      <c r="H477" s="120">
        <v>0</v>
      </c>
      <c r="I477" s="96">
        <f>IFERROR(VLOOKUP(D477,EQUIPOS!A:F,6,FALSE()),0)</f>
        <v>152.38027427373819</v>
      </c>
      <c r="J477" s="31">
        <f t="shared" ref="J477:J478" si="210">G477*I477</f>
        <v>76.190137136869097</v>
      </c>
      <c r="K477" s="32" t="str">
        <f t="shared" si="208"/>
        <v>CER-064|EQ</v>
      </c>
      <c r="L477" s="32">
        <f>COUNTIFS($K$2:K477,K477)</f>
        <v>1</v>
      </c>
      <c r="M477" s="32" t="str">
        <f t="shared" si="198"/>
        <v>CER-064|EQ|1</v>
      </c>
      <c r="N477" s="121">
        <f>IFERROR(VLOOKUP(A477,PARTIDAS!A:F,6,FALSE()),0)</f>
        <v>7</v>
      </c>
      <c r="O477" s="123">
        <f t="shared" si="200"/>
        <v>0</v>
      </c>
      <c r="P477" s="123" t="str">
        <f>+_xlfn.XLOOKUP(A477,PPTO_GENERADOR!Q:Q,PPTO_GENERADOR!E:E,"-",0)</f>
        <v>-</v>
      </c>
      <c r="Q477" s="123">
        <f t="shared" si="201"/>
        <v>0</v>
      </c>
      <c r="R477" s="125" t="str">
        <f>+_xlfn.XLOOKUP(A477,PPTO_GENERADOR!$Q:$Q,PPTO_GENERADOR!A:A,"-",0)</f>
        <v>-</v>
      </c>
    </row>
    <row r="478" spans="1:18" ht="14.25" customHeight="1" x14ac:dyDescent="0.35">
      <c r="A478" s="105" t="s">
        <v>1890</v>
      </c>
      <c r="B478" s="105" t="s">
        <v>1983</v>
      </c>
      <c r="C478" s="105"/>
      <c r="D478" s="105" t="s">
        <v>1513</v>
      </c>
      <c r="E478" s="95" t="str">
        <f>IFERROR(VLOOKUP(D478,EQUIPOS!A:B,2,FALSE()),"?")</f>
        <v>EQUIPO DE CONSTRUCCION EN SECO</v>
      </c>
      <c r="F478" s="129"/>
      <c r="G478" s="119">
        <v>1</v>
      </c>
      <c r="H478" s="120">
        <v>0</v>
      </c>
      <c r="I478" s="96">
        <f>IFERROR(VLOOKUP(D478,EQUIPOS!A:F,6,FALSE()),0)</f>
        <v>2570.7599166666664</v>
      </c>
      <c r="J478" s="31">
        <f t="shared" si="210"/>
        <v>2570.7599166666664</v>
      </c>
      <c r="K478" s="32" t="str">
        <f t="shared" si="208"/>
        <v>CER-064|EQ</v>
      </c>
      <c r="L478" s="32">
        <f>COUNTIFS($K$2:K478,K478)</f>
        <v>2</v>
      </c>
      <c r="M478" s="32" t="str">
        <f t="shared" si="198"/>
        <v>CER-064|EQ|2</v>
      </c>
      <c r="N478" s="121">
        <f>IFERROR(VLOOKUP(A478,PARTIDAS!A:F,6,FALSE()),0)</f>
        <v>7</v>
      </c>
      <c r="O478" s="123">
        <f t="shared" si="200"/>
        <v>0</v>
      </c>
      <c r="P478" s="123" t="str">
        <f>+_xlfn.XLOOKUP(A478,PPTO_GENERADOR!Q:Q,PPTO_GENERADOR!E:E,"-",0)</f>
        <v>-</v>
      </c>
      <c r="Q478" s="123">
        <f t="shared" si="201"/>
        <v>0</v>
      </c>
      <c r="R478" s="125" t="str">
        <f>+_xlfn.XLOOKUP(A478,PPTO_GENERADOR!$Q:$Q,PPTO_GENERADOR!A:A,"-",0)</f>
        <v>-</v>
      </c>
    </row>
    <row r="479" spans="1:18" ht="14.25" customHeight="1" x14ac:dyDescent="0.35">
      <c r="A479" s="105" t="s">
        <v>1890</v>
      </c>
      <c r="B479" s="105" t="s">
        <v>1979</v>
      </c>
      <c r="C479" s="105" t="s">
        <v>1980</v>
      </c>
      <c r="D479" s="105" t="s">
        <v>1292</v>
      </c>
      <c r="E479" s="95" t="str">
        <f>IFERROR(VLOOKUP(D479,MANO_DE_OBRA!A:B,2,FALSE()),"?")</f>
        <v>ESPECIALIZADO</v>
      </c>
      <c r="F479" s="129" t="s">
        <v>2042</v>
      </c>
      <c r="G479" s="119">
        <v>1</v>
      </c>
      <c r="H479" s="120">
        <v>0</v>
      </c>
      <c r="I479" s="96">
        <f>IFERROR(VLOOKUP(D479,MANO_DE_OBRA!A:C,3,FALSE()),0)</f>
        <v>94177.137883538904</v>
      </c>
      <c r="J479" s="31">
        <f t="shared" ref="J479:J480" si="211">G479*I479</f>
        <v>94177.137883538904</v>
      </c>
      <c r="K479" s="32" t="str">
        <f t="shared" si="208"/>
        <v>CER-064|MO</v>
      </c>
      <c r="L479" s="32">
        <f>COUNTIFS($K$2:K479,K479)</f>
        <v>1</v>
      </c>
      <c r="M479" s="32" t="str">
        <f t="shared" si="198"/>
        <v>CER-064|MO|1</v>
      </c>
      <c r="N479" s="121">
        <f>IFERROR(VLOOKUP(A479,PARTIDAS!A:F,6,FALSE()),0)</f>
        <v>7</v>
      </c>
      <c r="O479" s="123">
        <f t="shared" si="200"/>
        <v>0.14285714285714285</v>
      </c>
      <c r="P479" s="123" t="str">
        <f>+_xlfn.XLOOKUP(A479,PPTO_GENERADOR!Q:Q,PPTO_GENERADOR!E:E,"-",0)</f>
        <v>-</v>
      </c>
      <c r="Q479" s="123">
        <f t="shared" si="201"/>
        <v>0</v>
      </c>
      <c r="R479" s="125" t="str">
        <f>+_xlfn.XLOOKUP(A479,PPTO_GENERADOR!$Q:$Q,PPTO_GENERADOR!A:A,"-",0)</f>
        <v>-</v>
      </c>
    </row>
    <row r="480" spans="1:18" ht="14.25" customHeight="1" x14ac:dyDescent="0.35">
      <c r="A480" s="105" t="s">
        <v>1890</v>
      </c>
      <c r="B480" s="105" t="s">
        <v>1979</v>
      </c>
      <c r="C480" s="105" t="s">
        <v>1980</v>
      </c>
      <c r="D480" s="105" t="s">
        <v>1288</v>
      </c>
      <c r="E480" s="95" t="str">
        <f>IFERROR(VLOOKUP(D480,MANO_DE_OBRA!A:B,2,FALSE()),"?")</f>
        <v>MEDIO OFICIAL</v>
      </c>
      <c r="F480" s="129" t="s">
        <v>2042</v>
      </c>
      <c r="G480" s="119">
        <v>1</v>
      </c>
      <c r="H480" s="120">
        <v>0</v>
      </c>
      <c r="I480" s="96">
        <f>IFERROR(VLOOKUP(D480,MANO_DE_OBRA!A:C,3,FALSE()),0)</f>
        <v>72132.138365590101</v>
      </c>
      <c r="J480" s="31">
        <f t="shared" si="211"/>
        <v>72132.138365590101</v>
      </c>
      <c r="K480" s="32" t="str">
        <f t="shared" si="208"/>
        <v>CER-064|MO</v>
      </c>
      <c r="L480" s="32">
        <f>COUNTIFS($K$2:K480,K480)</f>
        <v>2</v>
      </c>
      <c r="M480" s="32" t="str">
        <f t="shared" si="198"/>
        <v>CER-064|MO|2</v>
      </c>
      <c r="N480" s="121">
        <f>IFERROR(VLOOKUP(A480,PARTIDAS!A:F,6,FALSE()),0)</f>
        <v>7</v>
      </c>
      <c r="O480" s="123">
        <f t="shared" si="200"/>
        <v>0.14285714285714285</v>
      </c>
      <c r="P480" s="123" t="str">
        <f>+_xlfn.XLOOKUP(A480,PPTO_GENERADOR!Q:Q,PPTO_GENERADOR!E:E,"-",0)</f>
        <v>-</v>
      </c>
      <c r="Q480" s="123">
        <f t="shared" si="201"/>
        <v>0</v>
      </c>
      <c r="R480" s="125" t="str">
        <f>+_xlfn.XLOOKUP(A480,PPTO_GENERADOR!$Q:$Q,PPTO_GENERADOR!A:A,"-",0)</f>
        <v>-</v>
      </c>
    </row>
    <row r="481" spans="1:18" ht="14.25" customHeight="1" x14ac:dyDescent="0.35">
      <c r="A481" s="105" t="s">
        <v>1893</v>
      </c>
      <c r="B481" s="105" t="s">
        <v>1981</v>
      </c>
      <c r="C481" s="105" t="s">
        <v>1982</v>
      </c>
      <c r="D481" s="105" t="s">
        <v>924</v>
      </c>
      <c r="E481" s="95" t="str">
        <f>IFERROR(VLOOKUP(D481,MATERIALES!A:B,2,FALSE()),"?")</f>
        <v>Solera 70mm x 2.60m</v>
      </c>
      <c r="F481" s="129" t="str">
        <f>IFERROR(VLOOKUP(D481,MATERIALES!A:C,3,FALSE()),"?")</f>
        <v>u</v>
      </c>
      <c r="G481" s="119">
        <v>0.46150000000000002</v>
      </c>
      <c r="H481" s="120">
        <v>0.1</v>
      </c>
      <c r="I481" s="96">
        <f>IFERROR(VLOOKUP(D481,MATERIALES!A:D,4,FALSE()),0)</f>
        <v>3084.79</v>
      </c>
      <c r="J481" s="31">
        <f t="shared" ref="J481:J490" si="212">G481*I481*(1+H481)</f>
        <v>1565.9936435000002</v>
      </c>
      <c r="K481" s="32" t="str">
        <f t="shared" si="208"/>
        <v>DRY-065|MAT</v>
      </c>
      <c r="L481" s="32">
        <f>COUNTIFS($K$2:K481,K481)</f>
        <v>1</v>
      </c>
      <c r="M481" s="32" t="str">
        <f t="shared" si="198"/>
        <v>DRY-065|MAT|1</v>
      </c>
      <c r="N481" s="121">
        <f>IFERROR(VLOOKUP(A481,PARTIDAS!A:F,6,FALSE()),0)</f>
        <v>6</v>
      </c>
      <c r="O481" s="123">
        <f t="shared" si="200"/>
        <v>0</v>
      </c>
      <c r="P481" s="123" t="str">
        <f>+_xlfn.XLOOKUP(A481,PPTO_GENERADOR!Q:Q,PPTO_GENERADOR!E:E,"-",0)</f>
        <v>-</v>
      </c>
      <c r="Q481" s="123">
        <f t="shared" si="201"/>
        <v>0</v>
      </c>
      <c r="R481" s="125" t="str">
        <f>+_xlfn.XLOOKUP(A481,PPTO_GENERADOR!$Q:$Q,PPTO_GENERADOR!A:A,"-",0)</f>
        <v>-</v>
      </c>
    </row>
    <row r="482" spans="1:18" ht="14.25" customHeight="1" x14ac:dyDescent="0.35">
      <c r="A482" s="105" t="s">
        <v>1893</v>
      </c>
      <c r="B482" s="105" t="s">
        <v>1981</v>
      </c>
      <c r="C482" s="105" t="s">
        <v>1982</v>
      </c>
      <c r="D482" s="105" t="s">
        <v>927</v>
      </c>
      <c r="E482" s="95" t="str">
        <f>IFERROR(VLOOKUP(D482,MATERIALES!A:B,2,FALSE()),"?")</f>
        <v>Montante 69mm x 2.60m</v>
      </c>
      <c r="F482" s="129" t="str">
        <f>IFERROR(VLOOKUP(D482,MATERIALES!A:C,3,FALSE()),"?")</f>
        <v>u</v>
      </c>
      <c r="G482" s="119">
        <v>1.1537999999999999</v>
      </c>
      <c r="H482" s="120">
        <v>0.1</v>
      </c>
      <c r="I482" s="96">
        <f>IFERROR(VLOOKUP(D482,MATERIALES!A:D,4,FALSE()),0)</f>
        <v>3385.62</v>
      </c>
      <c r="J482" s="31">
        <f t="shared" si="212"/>
        <v>4296.9611915999994</v>
      </c>
      <c r="K482" s="32" t="str">
        <f t="shared" si="208"/>
        <v>DRY-065|MAT</v>
      </c>
      <c r="L482" s="32">
        <f>COUNTIFS($K$2:K482,K482)</f>
        <v>2</v>
      </c>
      <c r="M482" s="32" t="str">
        <f t="shared" si="198"/>
        <v>DRY-065|MAT|2</v>
      </c>
      <c r="N482" s="121">
        <f>IFERROR(VLOOKUP(A482,PARTIDAS!A:F,6,FALSE()),0)</f>
        <v>6</v>
      </c>
      <c r="O482" s="123">
        <f t="shared" si="200"/>
        <v>0</v>
      </c>
      <c r="P482" s="123" t="str">
        <f>+_xlfn.XLOOKUP(A482,PPTO_GENERADOR!Q:Q,PPTO_GENERADOR!E:E,"-",0)</f>
        <v>-</v>
      </c>
      <c r="Q482" s="123">
        <f t="shared" si="201"/>
        <v>0</v>
      </c>
      <c r="R482" s="125" t="str">
        <f>+_xlfn.XLOOKUP(A482,PPTO_GENERADOR!$Q:$Q,PPTO_GENERADOR!A:A,"-",0)</f>
        <v>-</v>
      </c>
    </row>
    <row r="483" spans="1:18" ht="14.25" customHeight="1" x14ac:dyDescent="0.35">
      <c r="A483" s="105" t="s">
        <v>1893</v>
      </c>
      <c r="B483" s="105" t="s">
        <v>1981</v>
      </c>
      <c r="C483" s="105" t="s">
        <v>1982</v>
      </c>
      <c r="D483" s="105" t="s">
        <v>933</v>
      </c>
      <c r="E483" s="95" t="str">
        <f>IFERROR(VLOOKUP(D483,MATERIALES!A:B,2,FALSE()),"?")</f>
        <v>Tornillo T1 - Aguja</v>
      </c>
      <c r="F483" s="129" t="str">
        <f>IFERROR(VLOOKUP(D483,MATERIALES!A:C,3,FALSE()),"?")</f>
        <v>u</v>
      </c>
      <c r="G483" s="119">
        <v>10</v>
      </c>
      <c r="H483" s="120">
        <v>0.05</v>
      </c>
      <c r="I483" s="96">
        <f>IFERROR(VLOOKUP(D483,MATERIALES!A:D,4,FALSE()),0)</f>
        <v>26.153884000000001</v>
      </c>
      <c r="J483" s="31">
        <f t="shared" si="212"/>
        <v>274.61578200000002</v>
      </c>
      <c r="K483" s="32" t="str">
        <f t="shared" si="208"/>
        <v>DRY-065|MAT</v>
      </c>
      <c r="L483" s="32">
        <f>COUNTIFS($K$2:K483,K483)</f>
        <v>3</v>
      </c>
      <c r="M483" s="32" t="str">
        <f t="shared" si="198"/>
        <v>DRY-065|MAT|3</v>
      </c>
      <c r="N483" s="121">
        <f>IFERROR(VLOOKUP(A483,PARTIDAS!A:F,6,FALSE()),0)</f>
        <v>6</v>
      </c>
      <c r="O483" s="123">
        <f t="shared" si="200"/>
        <v>0</v>
      </c>
      <c r="P483" s="123" t="str">
        <f>+_xlfn.XLOOKUP(A483,PPTO_GENERADOR!Q:Q,PPTO_GENERADOR!E:E,"-",0)</f>
        <v>-</v>
      </c>
      <c r="Q483" s="123">
        <f t="shared" si="201"/>
        <v>0</v>
      </c>
      <c r="R483" s="125" t="str">
        <f>+_xlfn.XLOOKUP(A483,PPTO_GENERADOR!$Q:$Q,PPTO_GENERADOR!A:A,"-",0)</f>
        <v>-</v>
      </c>
    </row>
    <row r="484" spans="1:18" ht="14.25" customHeight="1" x14ac:dyDescent="0.35">
      <c r="A484" s="105" t="s">
        <v>1893</v>
      </c>
      <c r="B484" s="105" t="s">
        <v>1981</v>
      </c>
      <c r="C484" s="105" t="s">
        <v>1982</v>
      </c>
      <c r="D484" s="105" t="s">
        <v>935</v>
      </c>
      <c r="E484" s="95" t="str">
        <f>IFERROR(VLOOKUP(D484,MATERIALES!A:B,2,FALSE()),"?")</f>
        <v>Tornillo T2 - Aguja</v>
      </c>
      <c r="F484" s="129" t="str">
        <f>IFERROR(VLOOKUP(D484,MATERIALES!A:C,3,FALSE()),"?")</f>
        <v>u</v>
      </c>
      <c r="G484" s="119">
        <v>15</v>
      </c>
      <c r="H484" s="120">
        <v>0.05</v>
      </c>
      <c r="I484" s="96">
        <f>IFERROR(VLOOKUP(D484,MATERIALES!A:D,4,FALSE()),0)</f>
        <v>9.1146919999999998</v>
      </c>
      <c r="J484" s="31">
        <f t="shared" si="212"/>
        <v>143.556399</v>
      </c>
      <c r="K484" s="32" t="str">
        <f t="shared" si="208"/>
        <v>DRY-065|MAT</v>
      </c>
      <c r="L484" s="32">
        <f>COUNTIFS($K$2:K484,K484)</f>
        <v>4</v>
      </c>
      <c r="M484" s="32" t="str">
        <f t="shared" si="198"/>
        <v>DRY-065|MAT|4</v>
      </c>
      <c r="N484" s="121">
        <f>IFERROR(VLOOKUP(A484,PARTIDAS!A:F,6,FALSE()),0)</f>
        <v>6</v>
      </c>
      <c r="O484" s="123">
        <f t="shared" si="200"/>
        <v>0</v>
      </c>
      <c r="P484" s="123" t="str">
        <f>+_xlfn.XLOOKUP(A484,PPTO_GENERADOR!Q:Q,PPTO_GENERADOR!E:E,"-",0)</f>
        <v>-</v>
      </c>
      <c r="Q484" s="123">
        <f t="shared" si="201"/>
        <v>0</v>
      </c>
      <c r="R484" s="125" t="str">
        <f>+_xlfn.XLOOKUP(A484,PPTO_GENERADOR!$Q:$Q,PPTO_GENERADOR!A:A,"-",0)</f>
        <v>-</v>
      </c>
    </row>
    <row r="485" spans="1:18" ht="14.25" customHeight="1" x14ac:dyDescent="0.35">
      <c r="A485" s="105" t="s">
        <v>1893</v>
      </c>
      <c r="B485" s="105" t="s">
        <v>1981</v>
      </c>
      <c r="C485" s="105" t="s">
        <v>1982</v>
      </c>
      <c r="D485" s="105" t="s">
        <v>937</v>
      </c>
      <c r="E485" s="95" t="str">
        <f>IFERROR(VLOOKUP(D485,MATERIALES!A:B,2,FALSE()),"?")</f>
        <v>Tornillo T3 - Aguja</v>
      </c>
      <c r="F485" s="129" t="str">
        <f>IFERROR(VLOOKUP(D485,MATERIALES!A:C,3,FALSE()),"?")</f>
        <v>u</v>
      </c>
      <c r="G485" s="119">
        <v>30</v>
      </c>
      <c r="H485" s="120">
        <v>0.05</v>
      </c>
      <c r="I485" s="96">
        <f>IFERROR(VLOOKUP(D485,MATERIALES!A:D,4,FALSE()),0)</f>
        <v>18.832004000000001</v>
      </c>
      <c r="J485" s="31">
        <f t="shared" si="212"/>
        <v>593.20812600000011</v>
      </c>
      <c r="K485" s="32" t="str">
        <f t="shared" si="208"/>
        <v>DRY-065|MAT</v>
      </c>
      <c r="L485" s="32">
        <f>COUNTIFS($K$2:K485,K485)</f>
        <v>5</v>
      </c>
      <c r="M485" s="32" t="str">
        <f t="shared" si="198"/>
        <v>DRY-065|MAT|5</v>
      </c>
      <c r="N485" s="121">
        <f>IFERROR(VLOOKUP(A485,PARTIDAS!A:F,6,FALSE()),0)</f>
        <v>6</v>
      </c>
      <c r="O485" s="123">
        <f t="shared" si="200"/>
        <v>0</v>
      </c>
      <c r="P485" s="123" t="str">
        <f>+_xlfn.XLOOKUP(A485,PPTO_GENERADOR!Q:Q,PPTO_GENERADOR!E:E,"-",0)</f>
        <v>-</v>
      </c>
      <c r="Q485" s="123">
        <f t="shared" si="201"/>
        <v>0</v>
      </c>
      <c r="R485" s="125" t="str">
        <f>+_xlfn.XLOOKUP(A485,PPTO_GENERADOR!$Q:$Q,PPTO_GENERADOR!A:A,"-",0)</f>
        <v>-</v>
      </c>
    </row>
    <row r="486" spans="1:18" ht="14.25" customHeight="1" x14ac:dyDescent="0.35">
      <c r="A486" s="105" t="s">
        <v>1893</v>
      </c>
      <c r="B486" s="105" t="s">
        <v>1981</v>
      </c>
      <c r="C486" s="105" t="s">
        <v>1982</v>
      </c>
      <c r="D486" s="105" t="s">
        <v>939</v>
      </c>
      <c r="E486" s="95" t="str">
        <f>IFERROR(VLOOKUP(D486,MATERIALES!A:B,2,FALSE()),"?")</f>
        <v>Fijacion completa del 8</v>
      </c>
      <c r="F486" s="129" t="str">
        <f>IFERROR(VLOOKUP(D486,MATERIALES!A:C,3,FALSE()),"?")</f>
        <v>u</v>
      </c>
      <c r="G486" s="119">
        <v>3.5</v>
      </c>
      <c r="H486" s="120">
        <v>0.05</v>
      </c>
      <c r="I486" s="96">
        <f>IFERROR(VLOOKUP(D486,MATERIALES!A:D,4,FALSE()),0)</f>
        <v>63.381982999999998</v>
      </c>
      <c r="J486" s="31">
        <f t="shared" si="212"/>
        <v>232.92878752500002</v>
      </c>
      <c r="K486" s="32" t="str">
        <f t="shared" si="208"/>
        <v>DRY-065|MAT</v>
      </c>
      <c r="L486" s="32">
        <f>COUNTIFS($K$2:K486,K486)</f>
        <v>6</v>
      </c>
      <c r="M486" s="32" t="str">
        <f t="shared" si="198"/>
        <v>DRY-065|MAT|6</v>
      </c>
      <c r="N486" s="121">
        <f>IFERROR(VLOOKUP(A486,PARTIDAS!A:F,6,FALSE()),0)</f>
        <v>6</v>
      </c>
      <c r="O486" s="123">
        <f t="shared" si="200"/>
        <v>0</v>
      </c>
      <c r="P486" s="123" t="str">
        <f>+_xlfn.XLOOKUP(A486,PPTO_GENERADOR!Q:Q,PPTO_GENERADOR!E:E,"-",0)</f>
        <v>-</v>
      </c>
      <c r="Q486" s="123">
        <f t="shared" si="201"/>
        <v>0</v>
      </c>
      <c r="R486" s="125" t="str">
        <f>+_xlfn.XLOOKUP(A486,PPTO_GENERADOR!$Q:$Q,PPTO_GENERADOR!A:A,"-",0)</f>
        <v>-</v>
      </c>
    </row>
    <row r="487" spans="1:18" ht="14.25" customHeight="1" x14ac:dyDescent="0.35">
      <c r="A487" s="105" t="s">
        <v>1893</v>
      </c>
      <c r="B487" s="105" t="s">
        <v>1981</v>
      </c>
      <c r="C487" s="105" t="s">
        <v>1982</v>
      </c>
      <c r="D487" s="105" t="s">
        <v>941</v>
      </c>
      <c r="E487" s="95" t="str">
        <f>IFERROR(VLOOKUP(D487,MATERIALES!A:B,2,FALSE()),"?")</f>
        <v>Cinta Entramada - 90m</v>
      </c>
      <c r="F487" s="129" t="str">
        <f>IFERROR(VLOOKUP(D487,MATERIALES!A:C,3,FALSE()),"?")</f>
        <v>u</v>
      </c>
      <c r="G487" s="119">
        <v>0.04</v>
      </c>
      <c r="H487" s="120">
        <v>0.05</v>
      </c>
      <c r="I487" s="96">
        <f>IFERROR(VLOOKUP(D487,MATERIALES!A:D,4,FALSE()),0)</f>
        <v>4734.07</v>
      </c>
      <c r="J487" s="31">
        <f t="shared" si="212"/>
        <v>198.83094</v>
      </c>
      <c r="K487" s="32" t="str">
        <f t="shared" si="208"/>
        <v>DRY-065|MAT</v>
      </c>
      <c r="L487" s="32">
        <f>COUNTIFS($K$2:K487,K487)</f>
        <v>7</v>
      </c>
      <c r="M487" s="32" t="str">
        <f t="shared" si="198"/>
        <v>DRY-065|MAT|7</v>
      </c>
      <c r="N487" s="121">
        <f>IFERROR(VLOOKUP(A487,PARTIDAS!A:F,6,FALSE()),0)</f>
        <v>6</v>
      </c>
      <c r="O487" s="123">
        <f t="shared" si="200"/>
        <v>0</v>
      </c>
      <c r="P487" s="123" t="str">
        <f>+_xlfn.XLOOKUP(A487,PPTO_GENERADOR!Q:Q,PPTO_GENERADOR!E:E,"-",0)</f>
        <v>-</v>
      </c>
      <c r="Q487" s="123">
        <f t="shared" si="201"/>
        <v>0</v>
      </c>
      <c r="R487" s="125" t="str">
        <f>+_xlfn.XLOOKUP(A487,PPTO_GENERADOR!$Q:$Q,PPTO_GENERADOR!A:A,"-",0)</f>
        <v>-</v>
      </c>
    </row>
    <row r="488" spans="1:18" ht="14.25" customHeight="1" x14ac:dyDescent="0.35">
      <c r="A488" s="105" t="s">
        <v>1893</v>
      </c>
      <c r="B488" s="105" t="s">
        <v>1981</v>
      </c>
      <c r="C488" s="105" t="s">
        <v>1982</v>
      </c>
      <c r="D488" s="105" t="s">
        <v>943</v>
      </c>
      <c r="E488" s="95" t="str">
        <f>IFERROR(VLOOKUP(D488,MATERIALES!A:B,2,FALSE()),"?")</f>
        <v>Masilla x 32kg</v>
      </c>
      <c r="F488" s="129" t="str">
        <f>IFERROR(VLOOKUP(D488,MATERIALES!A:C,3,FALSE()),"?")</f>
        <v>u</v>
      </c>
      <c r="G488" s="119">
        <v>5.6300000000000003E-2</v>
      </c>
      <c r="H488" s="120">
        <v>0.05</v>
      </c>
      <c r="I488" s="96">
        <f>IFERROR(VLOOKUP(D488,MATERIALES!A:D,4,FALSE()),0)</f>
        <v>23166.59</v>
      </c>
      <c r="J488" s="31">
        <f t="shared" si="212"/>
        <v>1369.4929678500002</v>
      </c>
      <c r="K488" s="32" t="str">
        <f t="shared" si="208"/>
        <v>DRY-065|MAT</v>
      </c>
      <c r="L488" s="32">
        <f>COUNTIFS($K$2:K488,K488)</f>
        <v>8</v>
      </c>
      <c r="M488" s="32" t="str">
        <f t="shared" si="198"/>
        <v>DRY-065|MAT|8</v>
      </c>
      <c r="N488" s="121">
        <f>IFERROR(VLOOKUP(A488,PARTIDAS!A:F,6,FALSE()),0)</f>
        <v>6</v>
      </c>
      <c r="O488" s="123">
        <f t="shared" si="200"/>
        <v>0</v>
      </c>
      <c r="P488" s="123" t="str">
        <f>+_xlfn.XLOOKUP(A488,PPTO_GENERADOR!Q:Q,PPTO_GENERADOR!E:E,"-",0)</f>
        <v>-</v>
      </c>
      <c r="Q488" s="123">
        <f t="shared" si="201"/>
        <v>0</v>
      </c>
      <c r="R488" s="125" t="str">
        <f>+_xlfn.XLOOKUP(A488,PPTO_GENERADOR!$Q:$Q,PPTO_GENERADOR!A:A,"-",0)</f>
        <v>-</v>
      </c>
    </row>
    <row r="489" spans="1:18" ht="14.25" customHeight="1" x14ac:dyDescent="0.35">
      <c r="A489" s="105" t="s">
        <v>1893</v>
      </c>
      <c r="B489" s="105" t="s">
        <v>1981</v>
      </c>
      <c r="C489" s="105" t="s">
        <v>1982</v>
      </c>
      <c r="D489" s="105" t="s">
        <v>945</v>
      </c>
      <c r="E489" s="95" t="str">
        <f>IFERROR(VLOOKUP(D489,MATERIALES!A:B,2,FALSE()),"?")</f>
        <v>Lana De Vidrio 40mm X 21,6m2 Alta Densidad</v>
      </c>
      <c r="F489" s="129" t="str">
        <f>IFERROR(VLOOKUP(D489,MATERIALES!A:C,3,FALSE()),"?")</f>
        <v>u</v>
      </c>
      <c r="G489" s="119">
        <v>4.6300000000000001E-2</v>
      </c>
      <c r="H489" s="120">
        <v>0.1</v>
      </c>
      <c r="I489" s="96">
        <f>IFERROR(VLOOKUP(D489,MATERIALES!A:D,4,FALSE()),0)</f>
        <v>77226.259999999995</v>
      </c>
      <c r="J489" s="31">
        <f t="shared" si="212"/>
        <v>3933.1334218000002</v>
      </c>
      <c r="K489" s="32" t="str">
        <f t="shared" si="208"/>
        <v>DRY-065|MAT</v>
      </c>
      <c r="L489" s="32">
        <f>COUNTIFS($K$2:K489,K489)</f>
        <v>9</v>
      </c>
      <c r="M489" s="32" t="str">
        <f t="shared" si="198"/>
        <v>DRY-065|MAT|9</v>
      </c>
      <c r="N489" s="121">
        <f>IFERROR(VLOOKUP(A489,PARTIDAS!A:F,6,FALSE()),0)</f>
        <v>6</v>
      </c>
      <c r="O489" s="123">
        <f t="shared" si="200"/>
        <v>0</v>
      </c>
      <c r="P489" s="123" t="str">
        <f>+_xlfn.XLOOKUP(A489,PPTO_GENERADOR!Q:Q,PPTO_GENERADOR!E:E,"-",0)</f>
        <v>-</v>
      </c>
      <c r="Q489" s="123">
        <f t="shared" si="201"/>
        <v>0</v>
      </c>
      <c r="R489" s="125" t="str">
        <f>+_xlfn.XLOOKUP(A489,PPTO_GENERADOR!$Q:$Q,PPTO_GENERADOR!A:A,"-",0)</f>
        <v>-</v>
      </c>
    </row>
    <row r="490" spans="1:18" ht="14.25" customHeight="1" x14ac:dyDescent="0.35">
      <c r="A490" s="105" t="s">
        <v>1893</v>
      </c>
      <c r="B490" s="105" t="s">
        <v>1981</v>
      </c>
      <c r="C490" s="105" t="s">
        <v>1982</v>
      </c>
      <c r="D490" s="105" t="s">
        <v>947</v>
      </c>
      <c r="E490" s="95" t="str">
        <f>IFERROR(VLOOKUP(D490,MATERIALES!A:B,2,FALSE()),"?")</f>
        <v>Placa Roca de Yeso 1220 x 2440 - 12.5mm - STD</v>
      </c>
      <c r="F490" s="129" t="str">
        <f>IFERROR(VLOOKUP(D490,MATERIALES!A:C,3,FALSE()),"?")</f>
        <v>u</v>
      </c>
      <c r="G490" s="119">
        <v>1.42</v>
      </c>
      <c r="H490" s="120">
        <v>0.1</v>
      </c>
      <c r="I490" s="96">
        <f>IFERROR(VLOOKUP(D490,MATERIALES!A:D,4,FALSE()),0)</f>
        <v>10458</v>
      </c>
      <c r="J490" s="31">
        <f t="shared" si="212"/>
        <v>16335.396000000001</v>
      </c>
      <c r="K490" s="32" t="str">
        <f t="shared" si="208"/>
        <v>DRY-065|MAT</v>
      </c>
      <c r="L490" s="32">
        <f>COUNTIFS($K$2:K490,K490)</f>
        <v>10</v>
      </c>
      <c r="M490" s="32" t="str">
        <f t="shared" si="198"/>
        <v>DRY-065|MAT|10</v>
      </c>
      <c r="N490" s="121">
        <f>IFERROR(VLOOKUP(A490,PARTIDAS!A:F,6,FALSE()),0)</f>
        <v>6</v>
      </c>
      <c r="O490" s="123">
        <f t="shared" si="200"/>
        <v>0</v>
      </c>
      <c r="P490" s="123" t="str">
        <f>+_xlfn.XLOOKUP(A490,PPTO_GENERADOR!Q:Q,PPTO_GENERADOR!E:E,"-",0)</f>
        <v>-</v>
      </c>
      <c r="Q490" s="123">
        <f t="shared" si="201"/>
        <v>0</v>
      </c>
      <c r="R490" s="125" t="str">
        <f>+_xlfn.XLOOKUP(A490,PPTO_GENERADOR!$Q:$Q,PPTO_GENERADOR!A:A,"-",0)</f>
        <v>-</v>
      </c>
    </row>
    <row r="491" spans="1:18" ht="14.25" customHeight="1" x14ac:dyDescent="0.35">
      <c r="A491" s="105" t="s">
        <v>1893</v>
      </c>
      <c r="B491" s="105" t="s">
        <v>1983</v>
      </c>
      <c r="C491" s="105"/>
      <c r="D491" s="105" t="s">
        <v>1311</v>
      </c>
      <c r="E491" s="95" t="str">
        <f>IFERROR(VLOOKUP(D491,EQUIPOS!A:B,2,FALSE()),"?")</f>
        <v>ESCALERA GLOSS ALUMINIO ARTICULADA 4 X 4 ESCALONES HASTA 150KG</v>
      </c>
      <c r="F491" s="129"/>
      <c r="G491" s="119">
        <v>0.5</v>
      </c>
      <c r="H491" s="120">
        <v>0</v>
      </c>
      <c r="I491" s="96">
        <f>IFERROR(VLOOKUP(D491,EQUIPOS!A:F,6,FALSE()),0)</f>
        <v>152.38027427373819</v>
      </c>
      <c r="J491" s="31">
        <f t="shared" ref="J491:J492" si="213">G491*I491</f>
        <v>76.190137136869097</v>
      </c>
      <c r="K491" s="32" t="str">
        <f t="shared" si="208"/>
        <v>DRY-065|EQ</v>
      </c>
      <c r="L491" s="32">
        <f>COUNTIFS($K$2:K491,K491)</f>
        <v>1</v>
      </c>
      <c r="M491" s="32" t="str">
        <f t="shared" si="198"/>
        <v>DRY-065|EQ|1</v>
      </c>
      <c r="N491" s="121">
        <f>IFERROR(VLOOKUP(A491,PARTIDAS!A:F,6,FALSE()),0)</f>
        <v>6</v>
      </c>
      <c r="O491" s="123">
        <f t="shared" si="200"/>
        <v>0</v>
      </c>
      <c r="P491" s="123" t="str">
        <f>+_xlfn.XLOOKUP(A491,PPTO_GENERADOR!Q:Q,PPTO_GENERADOR!E:E,"-",0)</f>
        <v>-</v>
      </c>
      <c r="Q491" s="123">
        <f t="shared" si="201"/>
        <v>0</v>
      </c>
      <c r="R491" s="125" t="str">
        <f>+_xlfn.XLOOKUP(A491,PPTO_GENERADOR!$Q:$Q,PPTO_GENERADOR!A:A,"-",0)</f>
        <v>-</v>
      </c>
    </row>
    <row r="492" spans="1:18" ht="14.25" customHeight="1" x14ac:dyDescent="0.35">
      <c r="A492" s="105" t="s">
        <v>1893</v>
      </c>
      <c r="B492" s="105" t="s">
        <v>1983</v>
      </c>
      <c r="C492" s="105"/>
      <c r="D492" s="105" t="s">
        <v>1513</v>
      </c>
      <c r="E492" s="95" t="str">
        <f>IFERROR(VLOOKUP(D492,EQUIPOS!A:B,2,FALSE()),"?")</f>
        <v>EQUIPO DE CONSTRUCCION EN SECO</v>
      </c>
      <c r="F492" s="129"/>
      <c r="G492" s="119">
        <v>1</v>
      </c>
      <c r="H492" s="120">
        <v>0</v>
      </c>
      <c r="I492" s="96">
        <f>IFERROR(VLOOKUP(D492,EQUIPOS!A:F,6,FALSE()),0)</f>
        <v>2570.7599166666664</v>
      </c>
      <c r="J492" s="31">
        <f t="shared" si="213"/>
        <v>2570.7599166666664</v>
      </c>
      <c r="K492" s="32" t="str">
        <f t="shared" si="208"/>
        <v>DRY-065|EQ</v>
      </c>
      <c r="L492" s="32">
        <f>COUNTIFS($K$2:K492,K492)</f>
        <v>2</v>
      </c>
      <c r="M492" s="32" t="str">
        <f t="shared" si="198"/>
        <v>DRY-065|EQ|2</v>
      </c>
      <c r="N492" s="121">
        <f>IFERROR(VLOOKUP(A492,PARTIDAS!A:F,6,FALSE()),0)</f>
        <v>6</v>
      </c>
      <c r="O492" s="123">
        <f t="shared" si="200"/>
        <v>0</v>
      </c>
      <c r="P492" s="123" t="str">
        <f>+_xlfn.XLOOKUP(A492,PPTO_GENERADOR!Q:Q,PPTO_GENERADOR!E:E,"-",0)</f>
        <v>-</v>
      </c>
      <c r="Q492" s="123">
        <f t="shared" si="201"/>
        <v>0</v>
      </c>
      <c r="R492" s="125" t="str">
        <f>+_xlfn.XLOOKUP(A492,PPTO_GENERADOR!$Q:$Q,PPTO_GENERADOR!A:A,"-",0)</f>
        <v>-</v>
      </c>
    </row>
    <row r="493" spans="1:18" ht="14.25" customHeight="1" x14ac:dyDescent="0.35">
      <c r="A493" s="105" t="s">
        <v>1893</v>
      </c>
      <c r="B493" s="105" t="s">
        <v>1979</v>
      </c>
      <c r="C493" s="105" t="s">
        <v>1980</v>
      </c>
      <c r="D493" s="105" t="s">
        <v>1292</v>
      </c>
      <c r="E493" s="95" t="str">
        <f>IFERROR(VLOOKUP(D493,MANO_DE_OBRA!A:B,2,FALSE()),"?")</f>
        <v>ESPECIALIZADO</v>
      </c>
      <c r="F493" s="129" t="s">
        <v>2042</v>
      </c>
      <c r="G493" s="119">
        <v>1</v>
      </c>
      <c r="H493" s="120">
        <v>0</v>
      </c>
      <c r="I493" s="96">
        <f>IFERROR(VLOOKUP(D493,MANO_DE_OBRA!A:C,3,FALSE()),0)</f>
        <v>94177.137883538904</v>
      </c>
      <c r="J493" s="31">
        <f t="shared" ref="J493:J494" si="214">G493*I493</f>
        <v>94177.137883538904</v>
      </c>
      <c r="K493" s="32" t="str">
        <f t="shared" si="208"/>
        <v>DRY-065|MO</v>
      </c>
      <c r="L493" s="32">
        <f>COUNTIFS($K$2:K493,K493)</f>
        <v>1</v>
      </c>
      <c r="M493" s="32" t="str">
        <f t="shared" si="198"/>
        <v>DRY-065|MO|1</v>
      </c>
      <c r="N493" s="121">
        <f>IFERROR(VLOOKUP(A493,PARTIDAS!A:F,6,FALSE()),0)</f>
        <v>6</v>
      </c>
      <c r="O493" s="123">
        <f t="shared" si="200"/>
        <v>0.16666666666666666</v>
      </c>
      <c r="P493" s="123" t="str">
        <f>+_xlfn.XLOOKUP(A493,PPTO_GENERADOR!Q:Q,PPTO_GENERADOR!E:E,"-",0)</f>
        <v>-</v>
      </c>
      <c r="Q493" s="123">
        <f t="shared" si="201"/>
        <v>0</v>
      </c>
      <c r="R493" s="125" t="str">
        <f>+_xlfn.XLOOKUP(A493,PPTO_GENERADOR!$Q:$Q,PPTO_GENERADOR!A:A,"-",0)</f>
        <v>-</v>
      </c>
    </row>
    <row r="494" spans="1:18" ht="14.25" customHeight="1" x14ac:dyDescent="0.35">
      <c r="A494" s="105" t="s">
        <v>1893</v>
      </c>
      <c r="B494" s="105" t="s">
        <v>1979</v>
      </c>
      <c r="C494" s="105" t="s">
        <v>1980</v>
      </c>
      <c r="D494" s="105" t="s">
        <v>1288</v>
      </c>
      <c r="E494" s="95" t="str">
        <f>IFERROR(VLOOKUP(D494,MANO_DE_OBRA!A:B,2,FALSE()),"?")</f>
        <v>MEDIO OFICIAL</v>
      </c>
      <c r="F494" s="129" t="s">
        <v>2042</v>
      </c>
      <c r="G494" s="119">
        <v>1</v>
      </c>
      <c r="H494" s="120">
        <v>0</v>
      </c>
      <c r="I494" s="96">
        <f>IFERROR(VLOOKUP(D494,MANO_DE_OBRA!A:C,3,FALSE()),0)</f>
        <v>72132.138365590101</v>
      </c>
      <c r="J494" s="31">
        <f t="shared" si="214"/>
        <v>72132.138365590101</v>
      </c>
      <c r="K494" s="32" t="str">
        <f t="shared" si="208"/>
        <v>DRY-065|MO</v>
      </c>
      <c r="L494" s="32">
        <f>COUNTIFS($K$2:K494,K494)</f>
        <v>2</v>
      </c>
      <c r="M494" s="32" t="str">
        <f t="shared" si="198"/>
        <v>DRY-065|MO|2</v>
      </c>
      <c r="N494" s="121">
        <f>IFERROR(VLOOKUP(A494,PARTIDAS!A:F,6,FALSE()),0)</f>
        <v>6</v>
      </c>
      <c r="O494" s="123">
        <f t="shared" si="200"/>
        <v>0.16666666666666666</v>
      </c>
      <c r="P494" s="123" t="str">
        <f>+_xlfn.XLOOKUP(A494,PPTO_GENERADOR!Q:Q,PPTO_GENERADOR!E:E,"-",0)</f>
        <v>-</v>
      </c>
      <c r="Q494" s="123">
        <f t="shared" si="201"/>
        <v>0</v>
      </c>
      <c r="R494" s="125" t="str">
        <f>+_xlfn.XLOOKUP(A494,PPTO_GENERADOR!$Q:$Q,PPTO_GENERADOR!A:A,"-",0)</f>
        <v>-</v>
      </c>
    </row>
    <row r="495" spans="1:18" ht="14.25" customHeight="1" x14ac:dyDescent="0.35">
      <c r="A495" s="105" t="s">
        <v>1896</v>
      </c>
      <c r="B495" s="105" t="s">
        <v>1981</v>
      </c>
      <c r="C495" s="105" t="s">
        <v>1982</v>
      </c>
      <c r="D495" s="105" t="s">
        <v>924</v>
      </c>
      <c r="E495" s="95" t="str">
        <f>IFERROR(VLOOKUP(D495,MATERIALES!A:B,2,FALSE()),"?")</f>
        <v>Solera 70mm x 2.60m</v>
      </c>
      <c r="F495" s="129" t="str">
        <f>IFERROR(VLOOKUP(D495,MATERIALES!A:C,3,FALSE()),"?")</f>
        <v>u</v>
      </c>
      <c r="G495" s="119">
        <v>0.46150000000000002</v>
      </c>
      <c r="H495" s="120">
        <v>0.1</v>
      </c>
      <c r="I495" s="96">
        <f>IFERROR(VLOOKUP(D495,MATERIALES!A:D,4,FALSE()),0)</f>
        <v>3084.79</v>
      </c>
      <c r="J495" s="31">
        <f t="shared" ref="J495:J502" si="215">G495*I495*(1+H495)</f>
        <v>1565.9936435000002</v>
      </c>
      <c r="K495" s="32" t="str">
        <f t="shared" si="208"/>
        <v>DRY-066|MAT</v>
      </c>
      <c r="L495" s="32">
        <f>COUNTIFS($K$2:K495,K495)</f>
        <v>1</v>
      </c>
      <c r="M495" s="32" t="str">
        <f t="shared" si="198"/>
        <v>DRY-066|MAT|1</v>
      </c>
      <c r="N495" s="121">
        <f>IFERROR(VLOOKUP(A495,PARTIDAS!A:F,6,FALSE()),0)</f>
        <v>11</v>
      </c>
      <c r="O495" s="123">
        <f t="shared" si="200"/>
        <v>0</v>
      </c>
      <c r="P495" s="123" t="str">
        <f>+_xlfn.XLOOKUP(A495,PPTO_GENERADOR!Q:Q,PPTO_GENERADOR!E:E,"-",0)</f>
        <v>-</v>
      </c>
      <c r="Q495" s="123">
        <f t="shared" si="201"/>
        <v>0</v>
      </c>
      <c r="R495" s="125" t="str">
        <f>+_xlfn.XLOOKUP(A495,PPTO_GENERADOR!$Q:$Q,PPTO_GENERADOR!A:A,"-",0)</f>
        <v>-</v>
      </c>
    </row>
    <row r="496" spans="1:18" ht="14.25" customHeight="1" x14ac:dyDescent="0.35">
      <c r="A496" s="105" t="s">
        <v>1896</v>
      </c>
      <c r="B496" s="105" t="s">
        <v>1981</v>
      </c>
      <c r="C496" s="105" t="s">
        <v>1982</v>
      </c>
      <c r="D496" s="105" t="s">
        <v>927</v>
      </c>
      <c r="E496" s="95" t="str">
        <f>IFERROR(VLOOKUP(D496,MATERIALES!A:B,2,FALSE()),"?")</f>
        <v>Montante 69mm x 2.60m</v>
      </c>
      <c r="F496" s="129" t="str">
        <f>IFERROR(VLOOKUP(D496,MATERIALES!A:C,3,FALSE()),"?")</f>
        <v>u</v>
      </c>
      <c r="G496" s="119">
        <v>1.1537999999999999</v>
      </c>
      <c r="H496" s="120">
        <v>0.1</v>
      </c>
      <c r="I496" s="96">
        <f>IFERROR(VLOOKUP(D496,MATERIALES!A:D,4,FALSE()),0)</f>
        <v>3385.62</v>
      </c>
      <c r="J496" s="31">
        <f t="shared" si="215"/>
        <v>4296.9611915999994</v>
      </c>
      <c r="K496" s="32" t="str">
        <f t="shared" si="208"/>
        <v>DRY-066|MAT</v>
      </c>
      <c r="L496" s="32">
        <f>COUNTIFS($K$2:K496,K496)</f>
        <v>2</v>
      </c>
      <c r="M496" s="32" t="str">
        <f t="shared" si="198"/>
        <v>DRY-066|MAT|2</v>
      </c>
      <c r="N496" s="121">
        <f>IFERROR(VLOOKUP(A496,PARTIDAS!A:F,6,FALSE()),0)</f>
        <v>11</v>
      </c>
      <c r="O496" s="123">
        <f t="shared" si="200"/>
        <v>0</v>
      </c>
      <c r="P496" s="123" t="str">
        <f>+_xlfn.XLOOKUP(A496,PPTO_GENERADOR!Q:Q,PPTO_GENERADOR!E:E,"-",0)</f>
        <v>-</v>
      </c>
      <c r="Q496" s="123">
        <f t="shared" si="201"/>
        <v>0</v>
      </c>
      <c r="R496" s="125" t="str">
        <f>+_xlfn.XLOOKUP(A496,PPTO_GENERADOR!$Q:$Q,PPTO_GENERADOR!A:A,"-",0)</f>
        <v>-</v>
      </c>
    </row>
    <row r="497" spans="1:18" ht="14.25" customHeight="1" x14ac:dyDescent="0.35">
      <c r="A497" s="105" t="s">
        <v>1896</v>
      </c>
      <c r="B497" s="105" t="s">
        <v>1981</v>
      </c>
      <c r="C497" s="105" t="s">
        <v>1982</v>
      </c>
      <c r="D497" s="105" t="s">
        <v>933</v>
      </c>
      <c r="E497" s="95" t="str">
        <f>IFERROR(VLOOKUP(D497,MATERIALES!A:B,2,FALSE()),"?")</f>
        <v>Tornillo T1 - Aguja</v>
      </c>
      <c r="F497" s="129" t="str">
        <f>IFERROR(VLOOKUP(D497,MATERIALES!A:C,3,FALSE()),"?")</f>
        <v>u</v>
      </c>
      <c r="G497" s="119">
        <v>10</v>
      </c>
      <c r="H497" s="120">
        <v>0.1</v>
      </c>
      <c r="I497" s="96">
        <f>IFERROR(VLOOKUP(D497,MATERIALES!A:D,4,FALSE()),0)</f>
        <v>26.153884000000001</v>
      </c>
      <c r="J497" s="31">
        <f t="shared" si="215"/>
        <v>287.692724</v>
      </c>
      <c r="K497" s="32" t="str">
        <f t="shared" si="208"/>
        <v>DRY-066|MAT</v>
      </c>
      <c r="L497" s="32">
        <f>COUNTIFS($K$2:K497,K497)</f>
        <v>3</v>
      </c>
      <c r="M497" s="32" t="str">
        <f t="shared" si="198"/>
        <v>DRY-066|MAT|3</v>
      </c>
      <c r="N497" s="121">
        <f>IFERROR(VLOOKUP(A497,PARTIDAS!A:F,6,FALSE()),0)</f>
        <v>11</v>
      </c>
      <c r="O497" s="123">
        <f t="shared" si="200"/>
        <v>0</v>
      </c>
      <c r="P497" s="123" t="str">
        <f>+_xlfn.XLOOKUP(A497,PPTO_GENERADOR!Q:Q,PPTO_GENERADOR!E:E,"-",0)</f>
        <v>-</v>
      </c>
      <c r="Q497" s="123">
        <f t="shared" si="201"/>
        <v>0</v>
      </c>
      <c r="R497" s="125" t="str">
        <f>+_xlfn.XLOOKUP(A497,PPTO_GENERADOR!$Q:$Q,PPTO_GENERADOR!A:A,"-",0)</f>
        <v>-</v>
      </c>
    </row>
    <row r="498" spans="1:18" ht="14.25" customHeight="1" x14ac:dyDescent="0.35">
      <c r="A498" s="105" t="s">
        <v>1896</v>
      </c>
      <c r="B498" s="105" t="s">
        <v>1981</v>
      </c>
      <c r="C498" s="105" t="s">
        <v>1982</v>
      </c>
      <c r="D498" s="105" t="s">
        <v>935</v>
      </c>
      <c r="E498" s="95" t="str">
        <f>IFERROR(VLOOKUP(D498,MATERIALES!A:B,2,FALSE()),"?")</f>
        <v>Tornillo T2 - Aguja</v>
      </c>
      <c r="F498" s="129" t="str">
        <f>IFERROR(VLOOKUP(D498,MATERIALES!A:C,3,FALSE()),"?")</f>
        <v>u</v>
      </c>
      <c r="G498" s="119">
        <v>15</v>
      </c>
      <c r="H498" s="120">
        <v>0.1</v>
      </c>
      <c r="I498" s="96">
        <f>IFERROR(VLOOKUP(D498,MATERIALES!A:D,4,FALSE()),0)</f>
        <v>9.1146919999999998</v>
      </c>
      <c r="J498" s="31">
        <f t="shared" si="215"/>
        <v>150.39241800000002</v>
      </c>
      <c r="K498" s="32" t="str">
        <f t="shared" si="208"/>
        <v>DRY-066|MAT</v>
      </c>
      <c r="L498" s="32">
        <f>COUNTIFS($K$2:K498,K498)</f>
        <v>4</v>
      </c>
      <c r="M498" s="32" t="str">
        <f t="shared" si="198"/>
        <v>DRY-066|MAT|4</v>
      </c>
      <c r="N498" s="121">
        <f>IFERROR(VLOOKUP(A498,PARTIDAS!A:F,6,FALSE()),0)</f>
        <v>11</v>
      </c>
      <c r="O498" s="123">
        <f t="shared" si="200"/>
        <v>0</v>
      </c>
      <c r="P498" s="123" t="str">
        <f>+_xlfn.XLOOKUP(A498,PPTO_GENERADOR!Q:Q,PPTO_GENERADOR!E:E,"-",0)</f>
        <v>-</v>
      </c>
      <c r="Q498" s="123">
        <f t="shared" si="201"/>
        <v>0</v>
      </c>
      <c r="R498" s="125" t="str">
        <f>+_xlfn.XLOOKUP(A498,PPTO_GENERADOR!$Q:$Q,PPTO_GENERADOR!A:A,"-",0)</f>
        <v>-</v>
      </c>
    </row>
    <row r="499" spans="1:18" ht="14.25" customHeight="1" x14ac:dyDescent="0.35">
      <c r="A499" s="105" t="s">
        <v>1896</v>
      </c>
      <c r="B499" s="105" t="s">
        <v>1981</v>
      </c>
      <c r="C499" s="105" t="s">
        <v>1982</v>
      </c>
      <c r="D499" s="105" t="s">
        <v>939</v>
      </c>
      <c r="E499" s="95" t="str">
        <f>IFERROR(VLOOKUP(D499,MATERIALES!A:B,2,FALSE()),"?")</f>
        <v>Fijacion completa del 8</v>
      </c>
      <c r="F499" s="129" t="str">
        <f>IFERROR(VLOOKUP(D499,MATERIALES!A:C,3,FALSE()),"?")</f>
        <v>u</v>
      </c>
      <c r="G499" s="119">
        <v>3.5</v>
      </c>
      <c r="H499" s="120">
        <v>0.1</v>
      </c>
      <c r="I499" s="96">
        <f>IFERROR(VLOOKUP(D499,MATERIALES!A:D,4,FALSE()),0)</f>
        <v>63.381982999999998</v>
      </c>
      <c r="J499" s="31">
        <f t="shared" si="215"/>
        <v>244.02063455000001</v>
      </c>
      <c r="K499" s="32" t="str">
        <f t="shared" si="208"/>
        <v>DRY-066|MAT</v>
      </c>
      <c r="L499" s="32">
        <f>COUNTIFS($K$2:K499,K499)</f>
        <v>5</v>
      </c>
      <c r="M499" s="32" t="str">
        <f t="shared" si="198"/>
        <v>DRY-066|MAT|5</v>
      </c>
      <c r="N499" s="121">
        <f>IFERROR(VLOOKUP(A499,PARTIDAS!A:F,6,FALSE()),0)</f>
        <v>11</v>
      </c>
      <c r="O499" s="123">
        <f t="shared" si="200"/>
        <v>0</v>
      </c>
      <c r="P499" s="123" t="str">
        <f>+_xlfn.XLOOKUP(A499,PPTO_GENERADOR!Q:Q,PPTO_GENERADOR!E:E,"-",0)</f>
        <v>-</v>
      </c>
      <c r="Q499" s="123">
        <f t="shared" si="201"/>
        <v>0</v>
      </c>
      <c r="R499" s="125" t="str">
        <f>+_xlfn.XLOOKUP(A499,PPTO_GENERADOR!$Q:$Q,PPTO_GENERADOR!A:A,"-",0)</f>
        <v>-</v>
      </c>
    </row>
    <row r="500" spans="1:18" ht="14.25" customHeight="1" x14ac:dyDescent="0.35">
      <c r="A500" s="105" t="s">
        <v>1896</v>
      </c>
      <c r="B500" s="105" t="s">
        <v>1981</v>
      </c>
      <c r="C500" s="105" t="s">
        <v>1982</v>
      </c>
      <c r="D500" s="105" t="s">
        <v>941</v>
      </c>
      <c r="E500" s="95" t="str">
        <f>IFERROR(VLOOKUP(D500,MATERIALES!A:B,2,FALSE()),"?")</f>
        <v>Cinta Entramada - 90m</v>
      </c>
      <c r="F500" s="129" t="str">
        <f>IFERROR(VLOOKUP(D500,MATERIALES!A:C,3,FALSE()),"?")</f>
        <v>u</v>
      </c>
      <c r="G500" s="119">
        <v>0.02</v>
      </c>
      <c r="H500" s="120">
        <v>0.1</v>
      </c>
      <c r="I500" s="96">
        <f>IFERROR(VLOOKUP(D500,MATERIALES!A:D,4,FALSE()),0)</f>
        <v>4734.07</v>
      </c>
      <c r="J500" s="31">
        <f t="shared" si="215"/>
        <v>104.14954</v>
      </c>
      <c r="K500" s="32" t="str">
        <f t="shared" si="208"/>
        <v>DRY-066|MAT</v>
      </c>
      <c r="L500" s="32">
        <f>COUNTIFS($K$2:K500,K500)</f>
        <v>6</v>
      </c>
      <c r="M500" s="32" t="str">
        <f t="shared" si="198"/>
        <v>DRY-066|MAT|6</v>
      </c>
      <c r="N500" s="121">
        <f>IFERROR(VLOOKUP(A500,PARTIDAS!A:F,6,FALSE()),0)</f>
        <v>11</v>
      </c>
      <c r="O500" s="123">
        <f t="shared" si="200"/>
        <v>0</v>
      </c>
      <c r="P500" s="123" t="str">
        <f>+_xlfn.XLOOKUP(A500,PPTO_GENERADOR!Q:Q,PPTO_GENERADOR!E:E,"-",0)</f>
        <v>-</v>
      </c>
      <c r="Q500" s="123">
        <f t="shared" si="201"/>
        <v>0</v>
      </c>
      <c r="R500" s="125" t="str">
        <f>+_xlfn.XLOOKUP(A500,PPTO_GENERADOR!$Q:$Q,PPTO_GENERADOR!A:A,"-",0)</f>
        <v>-</v>
      </c>
    </row>
    <row r="501" spans="1:18" ht="14.25" customHeight="1" x14ac:dyDescent="0.35">
      <c r="A501" s="105" t="s">
        <v>1896</v>
      </c>
      <c r="B501" s="105" t="s">
        <v>1981</v>
      </c>
      <c r="C501" s="105" t="s">
        <v>1982</v>
      </c>
      <c r="D501" s="105" t="s">
        <v>943</v>
      </c>
      <c r="E501" s="95" t="str">
        <f>IFERROR(VLOOKUP(D501,MATERIALES!A:B,2,FALSE()),"?")</f>
        <v>Masilla x 32kg</v>
      </c>
      <c r="F501" s="129" t="str">
        <f>IFERROR(VLOOKUP(D501,MATERIALES!A:C,3,FALSE()),"?")</f>
        <v>u</v>
      </c>
      <c r="G501" s="119">
        <v>2.81E-2</v>
      </c>
      <c r="H501" s="120">
        <v>0.1</v>
      </c>
      <c r="I501" s="96">
        <f>IFERROR(VLOOKUP(D501,MATERIALES!A:D,4,FALSE()),0)</f>
        <v>23166.59</v>
      </c>
      <c r="J501" s="31">
        <f t="shared" si="215"/>
        <v>716.07929690000003</v>
      </c>
      <c r="K501" s="32" t="str">
        <f t="shared" si="208"/>
        <v>DRY-066|MAT</v>
      </c>
      <c r="L501" s="32">
        <f>COUNTIFS($K$2:K501,K501)</f>
        <v>7</v>
      </c>
      <c r="M501" s="32" t="str">
        <f t="shared" si="198"/>
        <v>DRY-066|MAT|7</v>
      </c>
      <c r="N501" s="121">
        <f>IFERROR(VLOOKUP(A501,PARTIDAS!A:F,6,FALSE()),0)</f>
        <v>11</v>
      </c>
      <c r="O501" s="123">
        <f t="shared" si="200"/>
        <v>0</v>
      </c>
      <c r="P501" s="123" t="str">
        <f>+_xlfn.XLOOKUP(A501,PPTO_GENERADOR!Q:Q,PPTO_GENERADOR!E:E,"-",0)</f>
        <v>-</v>
      </c>
      <c r="Q501" s="123">
        <f t="shared" si="201"/>
        <v>0</v>
      </c>
      <c r="R501" s="125" t="str">
        <f>+_xlfn.XLOOKUP(A501,PPTO_GENERADOR!$Q:$Q,PPTO_GENERADOR!A:A,"-",0)</f>
        <v>-</v>
      </c>
    </row>
    <row r="502" spans="1:18" ht="14.25" customHeight="1" x14ac:dyDescent="0.35">
      <c r="A502" s="105" t="s">
        <v>1896</v>
      </c>
      <c r="B502" s="105" t="s">
        <v>1981</v>
      </c>
      <c r="C502" s="105" t="s">
        <v>1982</v>
      </c>
      <c r="D502" s="105" t="s">
        <v>947</v>
      </c>
      <c r="E502" s="95" t="str">
        <f>IFERROR(VLOOKUP(D502,MATERIALES!A:B,2,FALSE()),"?")</f>
        <v>Placa Roca de Yeso 1220 x 2440 - 12.5mm - STD</v>
      </c>
      <c r="F502" s="129" t="str">
        <f>IFERROR(VLOOKUP(D502,MATERIALES!A:C,3,FALSE()),"?")</f>
        <v>u</v>
      </c>
      <c r="G502" s="119">
        <v>0.36</v>
      </c>
      <c r="H502" s="120">
        <v>0.1</v>
      </c>
      <c r="I502" s="96">
        <f>IFERROR(VLOOKUP(D502,MATERIALES!A:D,4,FALSE()),0)</f>
        <v>10458</v>
      </c>
      <c r="J502" s="31">
        <f t="shared" si="215"/>
        <v>4141.3680000000004</v>
      </c>
      <c r="K502" s="32" t="str">
        <f t="shared" si="208"/>
        <v>DRY-066|MAT</v>
      </c>
      <c r="L502" s="32">
        <f>COUNTIFS($K$2:K502,K502)</f>
        <v>8</v>
      </c>
      <c r="M502" s="32" t="str">
        <f t="shared" si="198"/>
        <v>DRY-066|MAT|8</v>
      </c>
      <c r="N502" s="121">
        <f>IFERROR(VLOOKUP(A502,PARTIDAS!A:F,6,FALSE()),0)</f>
        <v>11</v>
      </c>
      <c r="O502" s="123">
        <f t="shared" si="200"/>
        <v>0</v>
      </c>
      <c r="P502" s="123" t="str">
        <f>+_xlfn.XLOOKUP(A502,PPTO_GENERADOR!Q:Q,PPTO_GENERADOR!E:E,"-",0)</f>
        <v>-</v>
      </c>
      <c r="Q502" s="123">
        <f t="shared" si="201"/>
        <v>0</v>
      </c>
      <c r="R502" s="125" t="str">
        <f>+_xlfn.XLOOKUP(A502,PPTO_GENERADOR!$Q:$Q,PPTO_GENERADOR!A:A,"-",0)</f>
        <v>-</v>
      </c>
    </row>
    <row r="503" spans="1:18" ht="14.25" customHeight="1" x14ac:dyDescent="0.35">
      <c r="A503" s="105" t="s">
        <v>1896</v>
      </c>
      <c r="B503" s="105" t="s">
        <v>1983</v>
      </c>
      <c r="C503" s="105"/>
      <c r="D503" s="105" t="s">
        <v>1311</v>
      </c>
      <c r="E503" s="95" t="str">
        <f>IFERROR(VLOOKUP(D503,EQUIPOS!A:B,2,FALSE()),"?")</f>
        <v>ESCALERA GLOSS ALUMINIO ARTICULADA 4 X 4 ESCALONES HASTA 150KG</v>
      </c>
      <c r="F503" s="129"/>
      <c r="G503" s="119">
        <v>0.5</v>
      </c>
      <c r="H503" s="120">
        <v>0</v>
      </c>
      <c r="I503" s="96">
        <f>IFERROR(VLOOKUP(D503,EQUIPOS!A:F,6,FALSE()),0)</f>
        <v>152.38027427373819</v>
      </c>
      <c r="J503" s="31">
        <f t="shared" ref="J503:J504" si="216">G503*I503</f>
        <v>76.190137136869097</v>
      </c>
      <c r="K503" s="32" t="str">
        <f t="shared" ref="K503:K536" si="217">A503&amp;"|"&amp;B503</f>
        <v>DRY-066|EQ</v>
      </c>
      <c r="L503" s="32">
        <f>COUNTIFS($K$2:K503,K503)</f>
        <v>1</v>
      </c>
      <c r="M503" s="32" t="str">
        <f t="shared" si="198"/>
        <v>DRY-066|EQ|1</v>
      </c>
      <c r="N503" s="121">
        <f>IFERROR(VLOOKUP(A503,PARTIDAS!A:F,6,FALSE()),0)</f>
        <v>11</v>
      </c>
      <c r="O503" s="123">
        <f t="shared" si="200"/>
        <v>0</v>
      </c>
      <c r="P503" s="123" t="str">
        <f>+_xlfn.XLOOKUP(A503,PPTO_GENERADOR!Q:Q,PPTO_GENERADOR!E:E,"-",0)</f>
        <v>-</v>
      </c>
      <c r="Q503" s="123">
        <f t="shared" si="201"/>
        <v>0</v>
      </c>
      <c r="R503" s="125" t="str">
        <f>+_xlfn.XLOOKUP(A503,PPTO_GENERADOR!$Q:$Q,PPTO_GENERADOR!A:A,"-",0)</f>
        <v>-</v>
      </c>
    </row>
    <row r="504" spans="1:18" ht="14.25" customHeight="1" x14ac:dyDescent="0.35">
      <c r="A504" s="105" t="s">
        <v>1896</v>
      </c>
      <c r="B504" s="105" t="s">
        <v>1983</v>
      </c>
      <c r="C504" s="105"/>
      <c r="D504" s="105" t="s">
        <v>1513</v>
      </c>
      <c r="E504" s="95" t="str">
        <f>IFERROR(VLOOKUP(D504,EQUIPOS!A:B,2,FALSE()),"?")</f>
        <v>EQUIPO DE CONSTRUCCION EN SECO</v>
      </c>
      <c r="F504" s="129"/>
      <c r="G504" s="119">
        <v>1</v>
      </c>
      <c r="H504" s="120">
        <v>0</v>
      </c>
      <c r="I504" s="96">
        <f>IFERROR(VLOOKUP(D504,EQUIPOS!A:F,6,FALSE()),0)</f>
        <v>2570.7599166666664</v>
      </c>
      <c r="J504" s="31">
        <f t="shared" si="216"/>
        <v>2570.7599166666664</v>
      </c>
      <c r="K504" s="32" t="str">
        <f t="shared" si="217"/>
        <v>DRY-066|EQ</v>
      </c>
      <c r="L504" s="32">
        <f>COUNTIFS($K$2:K504,K504)</f>
        <v>2</v>
      </c>
      <c r="M504" s="32" t="str">
        <f t="shared" si="198"/>
        <v>DRY-066|EQ|2</v>
      </c>
      <c r="N504" s="121">
        <f>IFERROR(VLOOKUP(A504,PARTIDAS!A:F,6,FALSE()),0)</f>
        <v>11</v>
      </c>
      <c r="O504" s="123">
        <f t="shared" si="200"/>
        <v>0</v>
      </c>
      <c r="P504" s="123" t="str">
        <f>+_xlfn.XLOOKUP(A504,PPTO_GENERADOR!Q:Q,PPTO_GENERADOR!E:E,"-",0)</f>
        <v>-</v>
      </c>
      <c r="Q504" s="123">
        <f t="shared" si="201"/>
        <v>0</v>
      </c>
      <c r="R504" s="125" t="str">
        <f>+_xlfn.XLOOKUP(A504,PPTO_GENERADOR!$Q:$Q,PPTO_GENERADOR!A:A,"-",0)</f>
        <v>-</v>
      </c>
    </row>
    <row r="505" spans="1:18" ht="14.25" customHeight="1" x14ac:dyDescent="0.35">
      <c r="A505" s="105" t="s">
        <v>1896</v>
      </c>
      <c r="B505" s="105" t="s">
        <v>1979</v>
      </c>
      <c r="C505" s="105" t="s">
        <v>1980</v>
      </c>
      <c r="D505" s="105" t="s">
        <v>1292</v>
      </c>
      <c r="E505" s="95" t="str">
        <f>IFERROR(VLOOKUP(D505,MANO_DE_OBRA!A:B,2,FALSE()),"?")</f>
        <v>ESPECIALIZADO</v>
      </c>
      <c r="F505" s="129" t="s">
        <v>2042</v>
      </c>
      <c r="G505" s="119">
        <v>1</v>
      </c>
      <c r="H505" s="120">
        <v>0</v>
      </c>
      <c r="I505" s="96">
        <f>IFERROR(VLOOKUP(D505,MANO_DE_OBRA!A:C,3,FALSE()),0)</f>
        <v>94177.137883538904</v>
      </c>
      <c r="J505" s="31">
        <f t="shared" ref="J505:J506" si="218">G505*I505</f>
        <v>94177.137883538904</v>
      </c>
      <c r="K505" s="32" t="str">
        <f t="shared" si="217"/>
        <v>DRY-066|MO</v>
      </c>
      <c r="L505" s="32">
        <f>COUNTIFS($K$2:K505,K505)</f>
        <v>1</v>
      </c>
      <c r="M505" s="32" t="str">
        <f t="shared" si="198"/>
        <v>DRY-066|MO|1</v>
      </c>
      <c r="N505" s="121">
        <f>IFERROR(VLOOKUP(A505,PARTIDAS!A:F,6,FALSE()),0)</f>
        <v>11</v>
      </c>
      <c r="O505" s="123">
        <f t="shared" si="200"/>
        <v>9.0909090909090912E-2</v>
      </c>
      <c r="P505" s="123" t="str">
        <f>+_xlfn.XLOOKUP(A505,PPTO_GENERADOR!Q:Q,PPTO_GENERADOR!E:E,"-",0)</f>
        <v>-</v>
      </c>
      <c r="Q505" s="123">
        <f t="shared" si="201"/>
        <v>0</v>
      </c>
      <c r="R505" s="125" t="str">
        <f>+_xlfn.XLOOKUP(A505,PPTO_GENERADOR!$Q:$Q,PPTO_GENERADOR!A:A,"-",0)</f>
        <v>-</v>
      </c>
    </row>
    <row r="506" spans="1:18" ht="14.25" customHeight="1" x14ac:dyDescent="0.35">
      <c r="A506" s="105" t="s">
        <v>1896</v>
      </c>
      <c r="B506" s="105" t="s">
        <v>1979</v>
      </c>
      <c r="C506" s="105" t="s">
        <v>1980</v>
      </c>
      <c r="D506" s="105" t="s">
        <v>1288</v>
      </c>
      <c r="E506" s="95" t="str">
        <f>IFERROR(VLOOKUP(D506,MANO_DE_OBRA!A:B,2,FALSE()),"?")</f>
        <v>MEDIO OFICIAL</v>
      </c>
      <c r="F506" s="129" t="s">
        <v>2042</v>
      </c>
      <c r="G506" s="119">
        <v>1</v>
      </c>
      <c r="H506" s="120">
        <v>0</v>
      </c>
      <c r="I506" s="96">
        <f>IFERROR(VLOOKUP(D506,MANO_DE_OBRA!A:C,3,FALSE()),0)</f>
        <v>72132.138365590101</v>
      </c>
      <c r="J506" s="31">
        <f t="shared" si="218"/>
        <v>72132.138365590101</v>
      </c>
      <c r="K506" s="32" t="str">
        <f t="shared" si="217"/>
        <v>DRY-066|MO</v>
      </c>
      <c r="L506" s="32">
        <f>COUNTIFS($K$2:K506,K506)</f>
        <v>2</v>
      </c>
      <c r="M506" s="32" t="str">
        <f t="shared" si="198"/>
        <v>DRY-066|MO|2</v>
      </c>
      <c r="N506" s="121">
        <f>IFERROR(VLOOKUP(A506,PARTIDAS!A:F,6,FALSE()),0)</f>
        <v>11</v>
      </c>
      <c r="O506" s="123">
        <f t="shared" si="200"/>
        <v>9.0909090909090912E-2</v>
      </c>
      <c r="P506" s="123" t="str">
        <f>+_xlfn.XLOOKUP(A506,PPTO_GENERADOR!Q:Q,PPTO_GENERADOR!E:E,"-",0)</f>
        <v>-</v>
      </c>
      <c r="Q506" s="123">
        <f t="shared" si="201"/>
        <v>0</v>
      </c>
      <c r="R506" s="125" t="str">
        <f>+_xlfn.XLOOKUP(A506,PPTO_GENERADOR!$Q:$Q,PPTO_GENERADOR!A:A,"-",0)</f>
        <v>-</v>
      </c>
    </row>
    <row r="507" spans="1:18" ht="14.25" customHeight="1" x14ac:dyDescent="0.35">
      <c r="A507" s="105" t="s">
        <v>1900</v>
      </c>
      <c r="B507" s="105" t="s">
        <v>1981</v>
      </c>
      <c r="C507" s="105" t="s">
        <v>1982</v>
      </c>
      <c r="D507" s="105" t="s">
        <v>916</v>
      </c>
      <c r="E507" s="95" t="str">
        <f>IFERROR(VLOOKUP(D507,MATERIALES!A:B,2,FALSE()),"?")</f>
        <v>Esmalte sintetico satinado Satinol Blanco x 4lts</v>
      </c>
      <c r="F507" s="129">
        <f>IFERROR(VLOOKUP(D507,MATERIALES!A:C,3,FALSE()),"?")</f>
        <v>0</v>
      </c>
      <c r="G507" s="119">
        <v>6.25E-2</v>
      </c>
      <c r="H507" s="120">
        <v>0.1</v>
      </c>
      <c r="I507" s="96">
        <f>IFERROR(VLOOKUP(D507,MATERIALES!A:D,4,FALSE()),0)</f>
        <v>50027.272727272699</v>
      </c>
      <c r="J507" s="31">
        <f t="shared" ref="J507:J515" si="219">G507*I507*(1+H507)</f>
        <v>3439.3749999999982</v>
      </c>
      <c r="K507" s="32" t="str">
        <f t="shared" si="217"/>
        <v>DRY-067|MAT</v>
      </c>
      <c r="L507" s="32">
        <f>COUNTIFS($K$2:K507,K507)</f>
        <v>1</v>
      </c>
      <c r="M507" s="32" t="str">
        <f t="shared" si="198"/>
        <v>DRY-067|MAT|1</v>
      </c>
      <c r="N507" s="121">
        <f>IFERROR(VLOOKUP(A507,PARTIDAS!A:F,6,FALSE()),0)</f>
        <v>20</v>
      </c>
      <c r="O507" s="123">
        <f t="shared" si="200"/>
        <v>0</v>
      </c>
      <c r="P507" s="123" t="str">
        <f>+_xlfn.XLOOKUP(A507,PPTO_GENERADOR!Q:Q,PPTO_GENERADOR!E:E,"-",0)</f>
        <v>-</v>
      </c>
      <c r="Q507" s="123">
        <f t="shared" si="201"/>
        <v>0</v>
      </c>
      <c r="R507" s="125" t="str">
        <f>+_xlfn.XLOOKUP(A507,PPTO_GENERADOR!$Q:$Q,PPTO_GENERADOR!A:A,"-",0)</f>
        <v>-</v>
      </c>
    </row>
    <row r="508" spans="1:18" ht="14.25" customHeight="1" x14ac:dyDescent="0.35">
      <c r="A508" s="105" t="s">
        <v>1900</v>
      </c>
      <c r="B508" s="105" t="s">
        <v>1981</v>
      </c>
      <c r="C508" s="105" t="s">
        <v>1982</v>
      </c>
      <c r="D508" s="105" t="s">
        <v>593</v>
      </c>
      <c r="E508" s="95" t="str">
        <f>IFERROR(VLOOKUP(D508,MATERIALES!A:B,2,FALSE()),"?")</f>
        <v>Aguarras Hydrarras Hydra x 18lts</v>
      </c>
      <c r="F508" s="129">
        <f>IFERROR(VLOOKUP(D508,MATERIALES!A:C,3,FALSE()),"?")</f>
        <v>0</v>
      </c>
      <c r="G508" s="119">
        <v>0.01</v>
      </c>
      <c r="H508" s="120">
        <v>0.1</v>
      </c>
      <c r="I508" s="96">
        <f>IFERROR(VLOOKUP(D508,MATERIALES!A:D,4,FALSE()),0)</f>
        <v>58016.528925619801</v>
      </c>
      <c r="J508" s="31">
        <f t="shared" si="219"/>
        <v>638.18181818181779</v>
      </c>
      <c r="K508" s="32" t="str">
        <f t="shared" si="217"/>
        <v>DRY-067|MAT</v>
      </c>
      <c r="L508" s="32">
        <f>COUNTIFS($K$2:K508,K508)</f>
        <v>2</v>
      </c>
      <c r="M508" s="32" t="str">
        <f t="shared" si="198"/>
        <v>DRY-067|MAT|2</v>
      </c>
      <c r="N508" s="121">
        <f>IFERROR(VLOOKUP(A508,PARTIDAS!A:F,6,FALSE()),0)</f>
        <v>20</v>
      </c>
      <c r="O508" s="123">
        <f t="shared" si="200"/>
        <v>0</v>
      </c>
      <c r="P508" s="123" t="str">
        <f>+_xlfn.XLOOKUP(A508,PPTO_GENERADOR!Q:Q,PPTO_GENERADOR!E:E,"-",0)</f>
        <v>-</v>
      </c>
      <c r="Q508" s="123">
        <f t="shared" si="201"/>
        <v>0</v>
      </c>
      <c r="R508" s="125" t="str">
        <f>+_xlfn.XLOOKUP(A508,PPTO_GENERADOR!$Q:$Q,PPTO_GENERADOR!A:A,"-",0)</f>
        <v>-</v>
      </c>
    </row>
    <row r="509" spans="1:18" ht="14.25" customHeight="1" x14ac:dyDescent="0.35">
      <c r="A509" s="105" t="s">
        <v>1900</v>
      </c>
      <c r="B509" s="105" t="s">
        <v>1981</v>
      </c>
      <c r="C509" s="105" t="s">
        <v>1982</v>
      </c>
      <c r="D509" s="105" t="s">
        <v>586</v>
      </c>
      <c r="E509" s="95" t="str">
        <f>IFERROR(VLOOKUP(D509,MATERIALES!A:B,2,FALSE()),"?")</f>
        <v>Trapo</v>
      </c>
      <c r="F509" s="129">
        <f>IFERROR(VLOOKUP(D509,MATERIALES!A:C,3,FALSE()),"?")</f>
        <v>0</v>
      </c>
      <c r="G509" s="119">
        <v>0.03</v>
      </c>
      <c r="H509" s="120">
        <v>0.05</v>
      </c>
      <c r="I509" s="96">
        <f>IFERROR(VLOOKUP(D509,MATERIALES!A:D,4,FALSE()),0)</f>
        <v>1182.6446280991699</v>
      </c>
      <c r="J509" s="31">
        <f t="shared" si="219"/>
        <v>37.25330578512385</v>
      </c>
      <c r="K509" s="32" t="str">
        <f t="shared" si="217"/>
        <v>DRY-067|MAT</v>
      </c>
      <c r="L509" s="32">
        <f>COUNTIFS($K$2:K509,K509)</f>
        <v>3</v>
      </c>
      <c r="M509" s="32" t="str">
        <f t="shared" si="198"/>
        <v>DRY-067|MAT|3</v>
      </c>
      <c r="N509" s="121">
        <f>IFERROR(VLOOKUP(A509,PARTIDAS!A:F,6,FALSE()),0)</f>
        <v>20</v>
      </c>
      <c r="O509" s="123">
        <f t="shared" si="200"/>
        <v>0</v>
      </c>
      <c r="P509" s="123" t="str">
        <f>+_xlfn.XLOOKUP(A509,PPTO_GENERADOR!Q:Q,PPTO_GENERADOR!E:E,"-",0)</f>
        <v>-</v>
      </c>
      <c r="Q509" s="123">
        <f t="shared" si="201"/>
        <v>0</v>
      </c>
      <c r="R509" s="125" t="str">
        <f>+_xlfn.XLOOKUP(A509,PPTO_GENERADOR!$Q:$Q,PPTO_GENERADOR!A:A,"-",0)</f>
        <v>-</v>
      </c>
    </row>
    <row r="510" spans="1:18" ht="14.25" customHeight="1" x14ac:dyDescent="0.35">
      <c r="A510" s="105" t="s">
        <v>1900</v>
      </c>
      <c r="B510" s="105" t="s">
        <v>1981</v>
      </c>
      <c r="C510" s="105" t="s">
        <v>1982</v>
      </c>
      <c r="D510" s="105" t="s">
        <v>584</v>
      </c>
      <c r="E510" s="95" t="str">
        <f>IFERROR(VLOOKUP(D510,MATERIALES!A:B,2,FALSE()),"?")</f>
        <v>Cinta de Papel 36 mm x 40m</v>
      </c>
      <c r="F510" s="129">
        <f>IFERROR(VLOOKUP(D510,MATERIALES!A:C,3,FALSE()),"?")</f>
        <v>0</v>
      </c>
      <c r="G510" s="119">
        <v>0.05</v>
      </c>
      <c r="H510" s="120">
        <v>0.1</v>
      </c>
      <c r="I510" s="96">
        <f>IFERROR(VLOOKUP(D510,MATERIALES!A:D,4,FALSE()),0)</f>
        <v>5885.9504132231395</v>
      </c>
      <c r="J510" s="31">
        <f t="shared" si="219"/>
        <v>323.72727272727269</v>
      </c>
      <c r="K510" s="32" t="str">
        <f t="shared" si="217"/>
        <v>DRY-067|MAT</v>
      </c>
      <c r="L510" s="32">
        <f>COUNTIFS($K$2:K510,K510)</f>
        <v>4</v>
      </c>
      <c r="M510" s="32" t="str">
        <f t="shared" si="198"/>
        <v>DRY-067|MAT|4</v>
      </c>
      <c r="N510" s="121">
        <f>IFERROR(VLOOKUP(A510,PARTIDAS!A:F,6,FALSE()),0)</f>
        <v>20</v>
      </c>
      <c r="O510" s="123">
        <f t="shared" si="200"/>
        <v>0</v>
      </c>
      <c r="P510" s="123" t="str">
        <f>+_xlfn.XLOOKUP(A510,PPTO_GENERADOR!Q:Q,PPTO_GENERADOR!E:E,"-",0)</f>
        <v>-</v>
      </c>
      <c r="Q510" s="123">
        <f t="shared" si="201"/>
        <v>0</v>
      </c>
      <c r="R510" s="125" t="str">
        <f>+_xlfn.XLOOKUP(A510,PPTO_GENERADOR!$Q:$Q,PPTO_GENERADOR!A:A,"-",0)</f>
        <v>-</v>
      </c>
    </row>
    <row r="511" spans="1:18" ht="14.25" customHeight="1" x14ac:dyDescent="0.35">
      <c r="A511" s="105" t="s">
        <v>1900</v>
      </c>
      <c r="B511" s="105" t="s">
        <v>1981</v>
      </c>
      <c r="C511" s="105" t="s">
        <v>1982</v>
      </c>
      <c r="D511" s="105" t="s">
        <v>582</v>
      </c>
      <c r="E511" s="95" t="str">
        <f>IFERROR(VLOOKUP(D511,MATERIALES!A:B,2,FALSE()),"?")</f>
        <v>Lija 180 al agua x 10u</v>
      </c>
      <c r="F511" s="129">
        <f>IFERROR(VLOOKUP(D511,MATERIALES!A:C,3,FALSE()),"?")</f>
        <v>0</v>
      </c>
      <c r="G511" s="119">
        <v>0.02</v>
      </c>
      <c r="H511" s="120">
        <v>0.05</v>
      </c>
      <c r="I511" s="96">
        <f>IFERROR(VLOOKUP(D511,MATERIALES!A:D,4,FALSE()),0)</f>
        <v>7917.3553719008296</v>
      </c>
      <c r="J511" s="31">
        <f t="shared" si="219"/>
        <v>166.26446280991743</v>
      </c>
      <c r="K511" s="32" t="str">
        <f t="shared" si="217"/>
        <v>DRY-067|MAT</v>
      </c>
      <c r="L511" s="32">
        <f>COUNTIFS($K$2:K511,K511)</f>
        <v>5</v>
      </c>
      <c r="M511" s="32" t="str">
        <f t="shared" si="198"/>
        <v>DRY-067|MAT|5</v>
      </c>
      <c r="N511" s="121">
        <f>IFERROR(VLOOKUP(A511,PARTIDAS!A:F,6,FALSE()),0)</f>
        <v>20</v>
      </c>
      <c r="O511" s="123">
        <f t="shared" si="200"/>
        <v>0</v>
      </c>
      <c r="P511" s="123" t="str">
        <f>+_xlfn.XLOOKUP(A511,PPTO_GENERADOR!Q:Q,PPTO_GENERADOR!E:E,"-",0)</f>
        <v>-</v>
      </c>
      <c r="Q511" s="123">
        <f t="shared" si="201"/>
        <v>0</v>
      </c>
      <c r="R511" s="125" t="str">
        <f>+_xlfn.XLOOKUP(A511,PPTO_GENERADOR!$Q:$Q,PPTO_GENERADOR!A:A,"-",0)</f>
        <v>-</v>
      </c>
    </row>
    <row r="512" spans="1:18" ht="14.25" customHeight="1" x14ac:dyDescent="0.35">
      <c r="A512" s="105" t="s">
        <v>1900</v>
      </c>
      <c r="B512" s="105" t="s">
        <v>1981</v>
      </c>
      <c r="C512" s="105" t="s">
        <v>1982</v>
      </c>
      <c r="D512" s="105" t="s">
        <v>922</v>
      </c>
      <c r="E512" s="95" t="str">
        <f>IFERROR(VLOOKUP(D512,MATERIALES!A:B,2,FALSE()),"?")</f>
        <v>Rodillo de lana pelo largo N°22 - El Galgo</v>
      </c>
      <c r="F512" s="129" t="str">
        <f>IFERROR(VLOOKUP(D512,MATERIALES!A:C,3,FALSE()),"?")</f>
        <v>u</v>
      </c>
      <c r="G512" s="119">
        <v>0.01</v>
      </c>
      <c r="H512" s="120">
        <v>0.05</v>
      </c>
      <c r="I512" s="96">
        <f>IFERROR(VLOOKUP(D512,MATERIALES!A:D,4,FALSE()),0)</f>
        <v>6442.15</v>
      </c>
      <c r="J512" s="31">
        <f t="shared" si="219"/>
        <v>67.642574999999994</v>
      </c>
      <c r="K512" s="32" t="str">
        <f t="shared" si="217"/>
        <v>DRY-067|MAT</v>
      </c>
      <c r="L512" s="32">
        <f>COUNTIFS($K$2:K512,K512)</f>
        <v>6</v>
      </c>
      <c r="M512" s="32" t="str">
        <f t="shared" ref="M512:M515" si="220">K512&amp;"|"&amp;L512</f>
        <v>DRY-067|MAT|6</v>
      </c>
      <c r="N512" s="121">
        <f>IFERROR(VLOOKUP(A512,PARTIDAS!A:F,6,FALSE()),0)</f>
        <v>20</v>
      </c>
      <c r="O512" s="123">
        <f t="shared" si="200"/>
        <v>0</v>
      </c>
      <c r="P512" s="123" t="str">
        <f>+_xlfn.XLOOKUP(A512,PPTO_GENERADOR!Q:Q,PPTO_GENERADOR!E:E,"-",0)</f>
        <v>-</v>
      </c>
      <c r="Q512" s="123">
        <f t="shared" si="201"/>
        <v>0</v>
      </c>
      <c r="R512" s="125" t="str">
        <f>+_xlfn.XLOOKUP(A512,PPTO_GENERADOR!$Q:$Q,PPTO_GENERADOR!A:A,"-",0)</f>
        <v>-</v>
      </c>
    </row>
    <row r="513" spans="1:18" ht="14.25" customHeight="1" x14ac:dyDescent="0.35">
      <c r="A513" s="105" t="s">
        <v>1900</v>
      </c>
      <c r="B513" s="105" t="s">
        <v>1981</v>
      </c>
      <c r="C513" s="105" t="s">
        <v>1982</v>
      </c>
      <c r="D513" s="105" t="s">
        <v>1007</v>
      </c>
      <c r="E513" s="95" t="str">
        <f>IFERROR(VLOOKUP(D513,MATERIALES!A:B,2,FALSE()),"?")</f>
        <v>Pincel N° 20 - El Galgo</v>
      </c>
      <c r="F513" s="129" t="str">
        <f>IFERROR(VLOOKUP(D513,MATERIALES!A:C,3,FALSE()),"?")</f>
        <v>u</v>
      </c>
      <c r="G513" s="119">
        <v>0.01</v>
      </c>
      <c r="H513" s="120">
        <v>0.05</v>
      </c>
      <c r="I513" s="96">
        <f>IFERROR(VLOOKUP(D513,MATERIALES!A:D,4,FALSE()),0)</f>
        <v>4418.1818181818198</v>
      </c>
      <c r="J513" s="31">
        <f t="shared" si="219"/>
        <v>46.390909090909112</v>
      </c>
      <c r="K513" s="32" t="str">
        <f t="shared" si="217"/>
        <v>DRY-067|MAT</v>
      </c>
      <c r="L513" s="32">
        <f>COUNTIFS($K$2:K513,K513)</f>
        <v>7</v>
      </c>
      <c r="M513" s="32" t="str">
        <f t="shared" si="220"/>
        <v>DRY-067|MAT|7</v>
      </c>
      <c r="N513" s="121">
        <f>IFERROR(VLOOKUP(A513,PARTIDAS!A:F,6,FALSE()),0)</f>
        <v>20</v>
      </c>
      <c r="O513" s="123">
        <f t="shared" si="200"/>
        <v>0</v>
      </c>
      <c r="P513" s="123" t="str">
        <f>+_xlfn.XLOOKUP(A513,PPTO_GENERADOR!Q:Q,PPTO_GENERADOR!E:E,"-",0)</f>
        <v>-</v>
      </c>
      <c r="Q513" s="123">
        <f t="shared" si="201"/>
        <v>0</v>
      </c>
      <c r="R513" s="125" t="str">
        <f>+_xlfn.XLOOKUP(A513,PPTO_GENERADOR!$Q:$Q,PPTO_GENERADOR!A:A,"-",0)</f>
        <v>-</v>
      </c>
    </row>
    <row r="514" spans="1:18" ht="14.25" customHeight="1" x14ac:dyDescent="0.35">
      <c r="A514" s="105" t="s">
        <v>1900</v>
      </c>
      <c r="B514" s="105" t="s">
        <v>1981</v>
      </c>
      <c r="C514" s="105" t="s">
        <v>1982</v>
      </c>
      <c r="D514" s="105" t="s">
        <v>1033</v>
      </c>
      <c r="E514" s="95" t="str">
        <f>IFERROR(VLOOKUP(D514,MATERIALES!A:B,2,FALSE()),"?")</f>
        <v>Rollo de cartón corrugado 0,90 x 25 mts</v>
      </c>
      <c r="F514" s="129" t="str">
        <f>IFERROR(VLOOKUP(D514,MATERIALES!A:C,3,FALSE()),"?")</f>
        <v>u</v>
      </c>
      <c r="G514" s="119">
        <v>0.02</v>
      </c>
      <c r="H514" s="120">
        <v>0.05</v>
      </c>
      <c r="I514" s="96">
        <f>IFERROR(VLOOKUP(D514,MATERIALES!A:D,4,FALSE()),0)</f>
        <v>8173.5537190082696</v>
      </c>
      <c r="J514" s="31">
        <f t="shared" si="219"/>
        <v>171.64462809917367</v>
      </c>
      <c r="K514" s="32" t="str">
        <f t="shared" si="217"/>
        <v>DRY-067|MAT</v>
      </c>
      <c r="L514" s="32">
        <f>COUNTIFS($K$2:K514,K514)</f>
        <v>8</v>
      </c>
      <c r="M514" s="32" t="str">
        <f t="shared" si="220"/>
        <v>DRY-067|MAT|8</v>
      </c>
      <c r="N514" s="121">
        <f>IFERROR(VLOOKUP(A514,PARTIDAS!A:F,6,FALSE()),0)</f>
        <v>20</v>
      </c>
      <c r="O514" s="123">
        <f t="shared" si="200"/>
        <v>0</v>
      </c>
      <c r="P514" s="123" t="str">
        <f>+_xlfn.XLOOKUP(A514,PPTO_GENERADOR!Q:Q,PPTO_GENERADOR!E:E,"-",0)</f>
        <v>-</v>
      </c>
      <c r="Q514" s="123">
        <f t="shared" si="201"/>
        <v>0</v>
      </c>
      <c r="R514" s="125" t="str">
        <f>+_xlfn.XLOOKUP(A514,PPTO_GENERADOR!$Q:$Q,PPTO_GENERADOR!A:A,"-",0)</f>
        <v>-</v>
      </c>
    </row>
    <row r="515" spans="1:18" ht="14.25" customHeight="1" x14ac:dyDescent="0.35">
      <c r="A515" s="105" t="s">
        <v>1900</v>
      </c>
      <c r="B515" s="105" t="s">
        <v>1981</v>
      </c>
      <c r="C515" s="105" t="s">
        <v>1982</v>
      </c>
      <c r="D515" s="105" t="s">
        <v>580</v>
      </c>
      <c r="E515" s="95" t="str">
        <f>IFERROR(VLOOKUP(D515,MATERIALES!A:B,2,FALSE()),"?")</f>
        <v>Enduido Interior x 20lts</v>
      </c>
      <c r="F515" s="129">
        <f>IFERROR(VLOOKUP(D515,MATERIALES!A:C,3,FALSE()),"?")</f>
        <v>0</v>
      </c>
      <c r="G515" s="119">
        <v>2E-3</v>
      </c>
      <c r="H515" s="120">
        <v>0.1</v>
      </c>
      <c r="I515" s="96">
        <f>IFERROR(VLOOKUP(D515,MATERIALES!A:D,4,FALSE()),0)</f>
        <v>41314.049586776899</v>
      </c>
      <c r="J515" s="31">
        <f t="shared" si="219"/>
        <v>90.890909090909176</v>
      </c>
      <c r="K515" s="32" t="str">
        <f t="shared" si="217"/>
        <v>DRY-067|MAT</v>
      </c>
      <c r="L515" s="32">
        <f>COUNTIFS($K$2:K515,K515)</f>
        <v>9</v>
      </c>
      <c r="M515" s="32" t="str">
        <f t="shared" si="220"/>
        <v>DRY-067|MAT|9</v>
      </c>
      <c r="N515" s="121">
        <f>IFERROR(VLOOKUP(A515,PARTIDAS!A:F,6,FALSE()),0)</f>
        <v>20</v>
      </c>
      <c r="O515" s="123">
        <f t="shared" ref="O515:O578" si="221">+IF(C515="ALB",G515/N515,0)</f>
        <v>0</v>
      </c>
      <c r="P515" s="123" t="str">
        <f>+_xlfn.XLOOKUP(A515,PPTO_GENERADOR!Q:Q,PPTO_GENERADOR!E:E,"-",0)</f>
        <v>-</v>
      </c>
      <c r="Q515" s="123">
        <f t="shared" ref="Q515:Q578" si="222">IFERROR(P515*O515,0)</f>
        <v>0</v>
      </c>
      <c r="R515" s="125" t="str">
        <f>+_xlfn.XLOOKUP(A515,PPTO_GENERADOR!$Q:$Q,PPTO_GENERADOR!A:A,"-",0)</f>
        <v>-</v>
      </c>
    </row>
    <row r="516" spans="1:18" ht="14.25" customHeight="1" x14ac:dyDescent="0.35">
      <c r="A516" s="105" t="s">
        <v>1900</v>
      </c>
      <c r="B516" s="105" t="s">
        <v>1983</v>
      </c>
      <c r="C516" s="105"/>
      <c r="D516" s="105" t="s">
        <v>1509</v>
      </c>
      <c r="E516" s="95" t="str">
        <f>IFERROR(VLOOKUP(D516,EQUIPOS!A:B,2,FALSE()),"?")</f>
        <v>Escalera madera pintor 8 escalones</v>
      </c>
      <c r="F516" s="129"/>
      <c r="G516" s="119">
        <v>1</v>
      </c>
      <c r="H516" s="120">
        <v>0</v>
      </c>
      <c r="I516" s="96">
        <f>IFERROR(VLOOKUP(D516,EQUIPOS!A:F,6,FALSE()),0)</f>
        <v>217.65359719478195</v>
      </c>
      <c r="J516" s="31">
        <f t="shared" ref="J516:J517" si="223">G516*I516</f>
        <v>217.65359719478195</v>
      </c>
      <c r="K516" s="32" t="str">
        <f t="shared" si="217"/>
        <v>DRY-067|EQ</v>
      </c>
      <c r="L516" s="32">
        <f>COUNTIFS($K$2:K516,K516)</f>
        <v>1</v>
      </c>
      <c r="M516" s="32" t="str">
        <f t="shared" ref="M516:M573" si="224">K516&amp;"|"&amp;L516</f>
        <v>DRY-067|EQ|1</v>
      </c>
      <c r="N516" s="121">
        <f>IFERROR(VLOOKUP(A516,PARTIDAS!A:F,6,FALSE()),0)</f>
        <v>20</v>
      </c>
      <c r="O516" s="123">
        <f t="shared" si="221"/>
        <v>0</v>
      </c>
      <c r="P516" s="123" t="str">
        <f>+_xlfn.XLOOKUP(A516,PPTO_GENERADOR!Q:Q,PPTO_GENERADOR!E:E,"-",0)</f>
        <v>-</v>
      </c>
      <c r="Q516" s="123">
        <f t="shared" si="222"/>
        <v>0</v>
      </c>
      <c r="R516" s="125" t="str">
        <f>+_xlfn.XLOOKUP(A516,PPTO_GENERADOR!$Q:$Q,PPTO_GENERADOR!A:A,"-",0)</f>
        <v>-</v>
      </c>
    </row>
    <row r="517" spans="1:18" ht="14.25" customHeight="1" x14ac:dyDescent="0.35">
      <c r="A517" s="105" t="s">
        <v>1900</v>
      </c>
      <c r="B517" s="105" t="s">
        <v>1983</v>
      </c>
      <c r="C517" s="105"/>
      <c r="D517" s="105" t="s">
        <v>1327</v>
      </c>
      <c r="E517" s="95" t="str">
        <f>IFERROR(VLOOKUP(D517,EQUIPOS!A:B,2,FALSE()),"?")</f>
        <v>EQUIPO PARA PINTAR</v>
      </c>
      <c r="F517" s="129"/>
      <c r="G517" s="119">
        <v>1</v>
      </c>
      <c r="H517" s="120">
        <v>0</v>
      </c>
      <c r="I517" s="96">
        <f>IFERROR(VLOOKUP(D517,EQUIPOS!A:F,6,FALSE()),0)</f>
        <v>1873.3963608356808</v>
      </c>
      <c r="J517" s="31">
        <f t="shared" si="223"/>
        <v>1873.3963608356808</v>
      </c>
      <c r="K517" s="32" t="str">
        <f t="shared" si="217"/>
        <v>DRY-067|EQ</v>
      </c>
      <c r="L517" s="32">
        <f>COUNTIFS($K$2:K517,K517)</f>
        <v>2</v>
      </c>
      <c r="M517" s="32" t="str">
        <f t="shared" si="224"/>
        <v>DRY-067|EQ|2</v>
      </c>
      <c r="N517" s="121">
        <f>IFERROR(VLOOKUP(A517,PARTIDAS!A:F,6,FALSE()),0)</f>
        <v>20</v>
      </c>
      <c r="O517" s="123">
        <f t="shared" si="221"/>
        <v>0</v>
      </c>
      <c r="P517" s="123" t="str">
        <f>+_xlfn.XLOOKUP(A517,PPTO_GENERADOR!Q:Q,PPTO_GENERADOR!E:E,"-",0)</f>
        <v>-</v>
      </c>
      <c r="Q517" s="123">
        <f t="shared" si="222"/>
        <v>0</v>
      </c>
      <c r="R517" s="125" t="str">
        <f>+_xlfn.XLOOKUP(A517,PPTO_GENERADOR!$Q:$Q,PPTO_GENERADOR!A:A,"-",0)</f>
        <v>-</v>
      </c>
    </row>
    <row r="518" spans="1:18" ht="14.25" customHeight="1" x14ac:dyDescent="0.35">
      <c r="A518" s="105" t="s">
        <v>1900</v>
      </c>
      <c r="B518" s="105" t="s">
        <v>1979</v>
      </c>
      <c r="C518" s="105" t="s">
        <v>1980</v>
      </c>
      <c r="D518" s="105" t="s">
        <v>1292</v>
      </c>
      <c r="E518" s="95" t="str">
        <f>IFERROR(VLOOKUP(D518,MANO_DE_OBRA!A:B,2,FALSE()),"?")</f>
        <v>ESPECIALIZADO</v>
      </c>
      <c r="F518" s="129" t="s">
        <v>2042</v>
      </c>
      <c r="G518" s="119">
        <v>1</v>
      </c>
      <c r="H518" s="120">
        <v>0</v>
      </c>
      <c r="I518" s="96">
        <f>IFERROR(VLOOKUP(D518,MANO_DE_OBRA!A:C,3,FALSE()),0)</f>
        <v>94177.137883538904</v>
      </c>
      <c r="J518" s="31">
        <f t="shared" ref="J518:J519" si="225">G518*I518</f>
        <v>94177.137883538904</v>
      </c>
      <c r="K518" s="32" t="str">
        <f t="shared" si="217"/>
        <v>DRY-067|MO</v>
      </c>
      <c r="L518" s="32">
        <f>COUNTIFS($K$2:K518,K518)</f>
        <v>1</v>
      </c>
      <c r="M518" s="32" t="str">
        <f t="shared" si="224"/>
        <v>DRY-067|MO|1</v>
      </c>
      <c r="N518" s="121">
        <f>IFERROR(VLOOKUP(A518,PARTIDAS!A:F,6,FALSE()),0)</f>
        <v>20</v>
      </c>
      <c r="O518" s="123">
        <f t="shared" si="221"/>
        <v>0.05</v>
      </c>
      <c r="P518" s="123" t="str">
        <f>+_xlfn.XLOOKUP(A518,PPTO_GENERADOR!Q:Q,PPTO_GENERADOR!E:E,"-",0)</f>
        <v>-</v>
      </c>
      <c r="Q518" s="123">
        <f t="shared" si="222"/>
        <v>0</v>
      </c>
      <c r="R518" s="125" t="str">
        <f>+_xlfn.XLOOKUP(A518,PPTO_GENERADOR!$Q:$Q,PPTO_GENERADOR!A:A,"-",0)</f>
        <v>-</v>
      </c>
    </row>
    <row r="519" spans="1:18" ht="14.25" customHeight="1" x14ac:dyDescent="0.35">
      <c r="A519" s="105" t="s">
        <v>1900</v>
      </c>
      <c r="B519" s="105" t="s">
        <v>1979</v>
      </c>
      <c r="C519" s="105" t="s">
        <v>1980</v>
      </c>
      <c r="D519" s="105" t="s">
        <v>1288</v>
      </c>
      <c r="E519" s="95" t="str">
        <f>IFERROR(VLOOKUP(D519,MANO_DE_OBRA!A:B,2,FALSE()),"?")</f>
        <v>MEDIO OFICIAL</v>
      </c>
      <c r="F519" s="129" t="s">
        <v>2042</v>
      </c>
      <c r="G519" s="119">
        <v>1</v>
      </c>
      <c r="H519" s="120">
        <v>0</v>
      </c>
      <c r="I519" s="96">
        <f>IFERROR(VLOOKUP(D519,MANO_DE_OBRA!A:C,3,FALSE()),0)</f>
        <v>72132.138365590101</v>
      </c>
      <c r="J519" s="31">
        <f t="shared" si="225"/>
        <v>72132.138365590101</v>
      </c>
      <c r="K519" s="32" t="str">
        <f t="shared" si="217"/>
        <v>DRY-067|MO</v>
      </c>
      <c r="L519" s="32">
        <f>COUNTIFS($K$2:K519,K519)</f>
        <v>2</v>
      </c>
      <c r="M519" s="32" t="str">
        <f t="shared" si="224"/>
        <v>DRY-067|MO|2</v>
      </c>
      <c r="N519" s="121">
        <f>IFERROR(VLOOKUP(A519,PARTIDAS!A:F,6,FALSE()),0)</f>
        <v>20</v>
      </c>
      <c r="O519" s="123">
        <f t="shared" si="221"/>
        <v>0.05</v>
      </c>
      <c r="P519" s="123" t="str">
        <f>+_xlfn.XLOOKUP(A519,PPTO_GENERADOR!Q:Q,PPTO_GENERADOR!E:E,"-",0)</f>
        <v>-</v>
      </c>
      <c r="Q519" s="123">
        <f t="shared" si="222"/>
        <v>0</v>
      </c>
      <c r="R519" s="125" t="str">
        <f>+_xlfn.XLOOKUP(A519,PPTO_GENERADOR!$Q:$Q,PPTO_GENERADOR!A:A,"-",0)</f>
        <v>-</v>
      </c>
    </row>
    <row r="520" spans="1:18" ht="14.25" customHeight="1" x14ac:dyDescent="0.35">
      <c r="A520" s="105" t="s">
        <v>1904</v>
      </c>
      <c r="B520" s="105" t="s">
        <v>1981</v>
      </c>
      <c r="C520" s="105" t="s">
        <v>1982</v>
      </c>
      <c r="D520" s="105" t="s">
        <v>920</v>
      </c>
      <c r="E520" s="95" t="str">
        <f>IFERROR(VLOOKUP(D520,MATERIALES!A:B,2,FALSE()),"?")</f>
        <v>Ladrillo Ceramico Kilablock 27 x 18 x 33</v>
      </c>
      <c r="F520" s="129" t="str">
        <f>IFERROR(VLOOKUP(D520,MATERIALES!A:C,3,FALSE()),"?")</f>
        <v>u</v>
      </c>
      <c r="G520" s="119">
        <v>15</v>
      </c>
      <c r="H520" s="120">
        <v>0.05</v>
      </c>
      <c r="I520" s="96">
        <f>IFERROR(VLOOKUP(D520,MATERIALES!A:D,4,FALSE()),0)</f>
        <v>0</v>
      </c>
      <c r="J520" s="31">
        <f t="shared" ref="J520:J524" si="226">G520*I520*(1+H520)</f>
        <v>0</v>
      </c>
      <c r="K520" s="32" t="str">
        <f t="shared" si="217"/>
        <v>DRY-068|MAT</v>
      </c>
      <c r="L520" s="32">
        <f>COUNTIFS($K$2:K520,K520)</f>
        <v>1</v>
      </c>
      <c r="M520" s="32" t="str">
        <f t="shared" si="224"/>
        <v>DRY-068|MAT|1</v>
      </c>
      <c r="N520" s="121">
        <f>IFERROR(VLOOKUP(A520,PARTIDAS!A:F,6,FALSE()),0)</f>
        <v>15</v>
      </c>
      <c r="O520" s="123">
        <f t="shared" si="221"/>
        <v>0</v>
      </c>
      <c r="P520" s="123" t="str">
        <f>+_xlfn.XLOOKUP(A520,PPTO_GENERADOR!Q:Q,PPTO_GENERADOR!E:E,"-",0)</f>
        <v>-</v>
      </c>
      <c r="Q520" s="123">
        <f t="shared" si="222"/>
        <v>0</v>
      </c>
      <c r="R520" s="125" t="str">
        <f>+_xlfn.XLOOKUP(A520,PPTO_GENERADOR!$Q:$Q,PPTO_GENERADOR!A:A,"-",0)</f>
        <v>-</v>
      </c>
    </row>
    <row r="521" spans="1:18" ht="14.25" customHeight="1" x14ac:dyDescent="0.35">
      <c r="A521" s="105" t="s">
        <v>1904</v>
      </c>
      <c r="B521" s="105" t="s">
        <v>1981</v>
      </c>
      <c r="C521" s="105" t="s">
        <v>1982</v>
      </c>
      <c r="D521" s="105" t="s">
        <v>533</v>
      </c>
      <c r="E521" s="95" t="str">
        <f>IFERROR(VLOOKUP(D521,MATERIALES!A:B,2,FALSE()),"?")</f>
        <v>Barra de Acero Aleteado - 6mm x 12m</v>
      </c>
      <c r="F521" s="129">
        <f>IFERROR(VLOOKUP(D521,MATERIALES!A:C,3,FALSE()),"?")</f>
        <v>0</v>
      </c>
      <c r="G521" s="119">
        <v>0.17</v>
      </c>
      <c r="H521" s="120">
        <v>0.1</v>
      </c>
      <c r="I521" s="96">
        <f>IFERROR(VLOOKUP(D521,MATERIALES!A:D,4,FALSE()),0)</f>
        <v>3620.13</v>
      </c>
      <c r="J521" s="31">
        <f t="shared" si="226"/>
        <v>676.96431000000018</v>
      </c>
      <c r="K521" s="32" t="str">
        <f t="shared" si="217"/>
        <v>DRY-068|MAT</v>
      </c>
      <c r="L521" s="32">
        <f>COUNTIFS($K$2:K521,K521)</f>
        <v>2</v>
      </c>
      <c r="M521" s="32" t="str">
        <f t="shared" si="224"/>
        <v>DRY-068|MAT|2</v>
      </c>
      <c r="N521" s="121">
        <f>IFERROR(VLOOKUP(A521,PARTIDAS!A:F,6,FALSE()),0)</f>
        <v>15</v>
      </c>
      <c r="O521" s="123">
        <f t="shared" si="221"/>
        <v>0</v>
      </c>
      <c r="P521" s="123" t="str">
        <f>+_xlfn.XLOOKUP(A521,PPTO_GENERADOR!Q:Q,PPTO_GENERADOR!E:E,"-",0)</f>
        <v>-</v>
      </c>
      <c r="Q521" s="123">
        <f t="shared" si="222"/>
        <v>0</v>
      </c>
      <c r="R521" s="125" t="str">
        <f>+_xlfn.XLOOKUP(A521,PPTO_GENERADOR!$Q:$Q,PPTO_GENERADOR!A:A,"-",0)</f>
        <v>-</v>
      </c>
    </row>
    <row r="522" spans="1:18" ht="14.25" customHeight="1" x14ac:dyDescent="0.35">
      <c r="A522" s="105" t="s">
        <v>1904</v>
      </c>
      <c r="B522" s="105" t="s">
        <v>1981</v>
      </c>
      <c r="C522" s="105" t="s">
        <v>1982</v>
      </c>
      <c r="D522" s="105" t="s">
        <v>542</v>
      </c>
      <c r="E522" s="95" t="str">
        <f>IFERROR(VLOOKUP(D522,MATERIALES!A:B,2,FALSE()),"?")</f>
        <v>Cal Comun x 25kg</v>
      </c>
      <c r="F522" s="129">
        <f>IFERROR(VLOOKUP(D522,MATERIALES!A:C,3,FALSE()),"?")</f>
        <v>0</v>
      </c>
      <c r="G522" s="119">
        <v>0.25</v>
      </c>
      <c r="H522" s="120">
        <v>0.05</v>
      </c>
      <c r="I522" s="96">
        <f>IFERROR(VLOOKUP(D522,MATERIALES!A:D,4,FALSE()),0)</f>
        <v>3927.28</v>
      </c>
      <c r="J522" s="31">
        <f t="shared" si="226"/>
        <v>1030.9110000000001</v>
      </c>
      <c r="K522" s="32" t="str">
        <f t="shared" si="217"/>
        <v>DRY-068|MAT</v>
      </c>
      <c r="L522" s="32">
        <f>COUNTIFS($K$2:K522,K522)</f>
        <v>3</v>
      </c>
      <c r="M522" s="32" t="str">
        <f t="shared" si="224"/>
        <v>DRY-068|MAT|3</v>
      </c>
      <c r="N522" s="121">
        <f>IFERROR(VLOOKUP(A522,PARTIDAS!A:F,6,FALSE()),0)</f>
        <v>15</v>
      </c>
      <c r="O522" s="123">
        <f t="shared" si="221"/>
        <v>0</v>
      </c>
      <c r="P522" s="123" t="str">
        <f>+_xlfn.XLOOKUP(A522,PPTO_GENERADOR!Q:Q,PPTO_GENERADOR!E:E,"-",0)</f>
        <v>-</v>
      </c>
      <c r="Q522" s="123">
        <f t="shared" si="222"/>
        <v>0</v>
      </c>
      <c r="R522" s="125" t="str">
        <f>+_xlfn.XLOOKUP(A522,PPTO_GENERADOR!$Q:$Q,PPTO_GENERADOR!A:A,"-",0)</f>
        <v>-</v>
      </c>
    </row>
    <row r="523" spans="1:18" ht="14.25" customHeight="1" x14ac:dyDescent="0.35">
      <c r="A523" s="105" t="s">
        <v>1904</v>
      </c>
      <c r="B523" s="105" t="s">
        <v>1981</v>
      </c>
      <c r="C523" s="105" t="s">
        <v>1982</v>
      </c>
      <c r="D523" s="105" t="s">
        <v>540</v>
      </c>
      <c r="E523" s="95" t="str">
        <f>IFERROR(VLOOKUP(D523,MATERIALES!A:B,2,FALSE()),"?")</f>
        <v>Cemento Portland x 50kg</v>
      </c>
      <c r="F523" s="129">
        <f>IFERROR(VLOOKUP(D523,MATERIALES!A:C,3,FALSE()),"?")</f>
        <v>0</v>
      </c>
      <c r="G523" s="119">
        <v>0.125</v>
      </c>
      <c r="H523" s="120">
        <v>0.03</v>
      </c>
      <c r="I523" s="96">
        <f>IFERROR(VLOOKUP(D523,MATERIALES!A:D,4,FALSE()),0)</f>
        <v>7891.74</v>
      </c>
      <c r="J523" s="31">
        <f t="shared" si="226"/>
        <v>1016.061525</v>
      </c>
      <c r="K523" s="32" t="str">
        <f t="shared" si="217"/>
        <v>DRY-068|MAT</v>
      </c>
      <c r="L523" s="32">
        <f>COUNTIFS($K$2:K523,K523)</f>
        <v>4</v>
      </c>
      <c r="M523" s="32" t="str">
        <f t="shared" si="224"/>
        <v>DRY-068|MAT|4</v>
      </c>
      <c r="N523" s="121">
        <f>IFERROR(VLOOKUP(A523,PARTIDAS!A:F,6,FALSE()),0)</f>
        <v>15</v>
      </c>
      <c r="O523" s="123">
        <f t="shared" si="221"/>
        <v>0</v>
      </c>
      <c r="P523" s="123" t="str">
        <f>+_xlfn.XLOOKUP(A523,PPTO_GENERADOR!Q:Q,PPTO_GENERADOR!E:E,"-",0)</f>
        <v>-</v>
      </c>
      <c r="Q523" s="123">
        <f t="shared" si="222"/>
        <v>0</v>
      </c>
      <c r="R523" s="125" t="str">
        <f>+_xlfn.XLOOKUP(A523,PPTO_GENERADOR!$Q:$Q,PPTO_GENERADOR!A:A,"-",0)</f>
        <v>-</v>
      </c>
    </row>
    <row r="524" spans="1:18" ht="14.25" customHeight="1" x14ac:dyDescent="0.35">
      <c r="A524" s="105" t="s">
        <v>1904</v>
      </c>
      <c r="B524" s="105" t="s">
        <v>1981</v>
      </c>
      <c r="C524" s="105" t="s">
        <v>1982</v>
      </c>
      <c r="D524" s="105" t="s">
        <v>538</v>
      </c>
      <c r="E524" s="95" t="str">
        <f>IFERROR(VLOOKUP(D524,MATERIALES!A:B,2,FALSE()),"?")</f>
        <v>ARENA LAVADA</v>
      </c>
      <c r="F524" s="129">
        <f>IFERROR(VLOOKUP(D524,MATERIALES!A:C,3,FALSE()),"?")</f>
        <v>0</v>
      </c>
      <c r="G524" s="119">
        <v>0.03</v>
      </c>
      <c r="H524" s="120">
        <v>0.05</v>
      </c>
      <c r="I524" s="96">
        <f>IFERROR(VLOOKUP(D524,MATERIALES!A:D,4,FALSE()),0)</f>
        <v>32620.38</v>
      </c>
      <c r="J524" s="31">
        <f t="shared" si="226"/>
        <v>1027.54197</v>
      </c>
      <c r="K524" s="32" t="str">
        <f t="shared" si="217"/>
        <v>DRY-068|MAT</v>
      </c>
      <c r="L524" s="32">
        <f>COUNTIFS($K$2:K524,K524)</f>
        <v>5</v>
      </c>
      <c r="M524" s="32" t="str">
        <f t="shared" si="224"/>
        <v>DRY-068|MAT|5</v>
      </c>
      <c r="N524" s="121">
        <f>IFERROR(VLOOKUP(A524,PARTIDAS!A:F,6,FALSE()),0)</f>
        <v>15</v>
      </c>
      <c r="O524" s="123">
        <f t="shared" si="221"/>
        <v>0</v>
      </c>
      <c r="P524" s="123" t="str">
        <f>+_xlfn.XLOOKUP(A524,PPTO_GENERADOR!Q:Q,PPTO_GENERADOR!E:E,"-",0)</f>
        <v>-</v>
      </c>
      <c r="Q524" s="123">
        <f t="shared" si="222"/>
        <v>0</v>
      </c>
      <c r="R524" s="125" t="str">
        <f>+_xlfn.XLOOKUP(A524,PPTO_GENERADOR!$Q:$Q,PPTO_GENERADOR!A:A,"-",0)</f>
        <v>-</v>
      </c>
    </row>
    <row r="525" spans="1:18" ht="14.25" customHeight="1" x14ac:dyDescent="0.35">
      <c r="A525" s="105" t="s">
        <v>1904</v>
      </c>
      <c r="B525" s="105" t="s">
        <v>1983</v>
      </c>
      <c r="C525" s="105"/>
      <c r="D525" s="105" t="s">
        <v>1319</v>
      </c>
      <c r="E525" s="95" t="str">
        <f>IFERROR(VLOOKUP(D525,EQUIPOS!A:B,2,FALSE()),"?")</f>
        <v>EQUIPO DE ALBAÑILERIA, carpetas, ladrillo</v>
      </c>
      <c r="F525" s="129"/>
      <c r="G525" s="119">
        <v>1</v>
      </c>
      <c r="H525" s="120">
        <v>0</v>
      </c>
      <c r="I525" s="96">
        <f>IFERROR(VLOOKUP(D525,EQUIPOS!A:F,6,FALSE()),0)</f>
        <v>2485.8709964593982</v>
      </c>
      <c r="J525" s="31">
        <f t="shared" ref="J525:J527" si="227">G525*I525</f>
        <v>2485.8709964593982</v>
      </c>
      <c r="K525" s="32" t="str">
        <f t="shared" si="217"/>
        <v>DRY-068|EQ</v>
      </c>
      <c r="L525" s="32">
        <f>COUNTIFS($K$2:K525,K525)</f>
        <v>1</v>
      </c>
      <c r="M525" s="32" t="str">
        <f t="shared" si="224"/>
        <v>DRY-068|EQ|1</v>
      </c>
      <c r="N525" s="121">
        <f>IFERROR(VLOOKUP(A525,PARTIDAS!A:F,6,FALSE()),0)</f>
        <v>15</v>
      </c>
      <c r="O525" s="123">
        <f t="shared" si="221"/>
        <v>0</v>
      </c>
      <c r="P525" s="123" t="str">
        <f>+_xlfn.XLOOKUP(A525,PPTO_GENERADOR!Q:Q,PPTO_GENERADOR!E:E,"-",0)</f>
        <v>-</v>
      </c>
      <c r="Q525" s="123">
        <f t="shared" si="222"/>
        <v>0</v>
      </c>
      <c r="R525" s="125" t="str">
        <f>+_xlfn.XLOOKUP(A525,PPTO_GENERADOR!$Q:$Q,PPTO_GENERADOR!A:A,"-",0)</f>
        <v>-</v>
      </c>
    </row>
    <row r="526" spans="1:18" ht="14.25" customHeight="1" x14ac:dyDescent="0.35">
      <c r="A526" s="105" t="s">
        <v>1904</v>
      </c>
      <c r="B526" s="105" t="s">
        <v>1983</v>
      </c>
      <c r="C526" s="105"/>
      <c r="D526" s="105" t="s">
        <v>1313</v>
      </c>
      <c r="E526" s="95" t="str">
        <f>IFERROR(VLOOKUP(D526,EQUIPOS!A:B,2,FALSE()),"?")</f>
        <v>ANDAMIO TUBULAR DE UNO A TRES CUERPOS</v>
      </c>
      <c r="F526" s="129"/>
      <c r="G526" s="119">
        <v>0.5</v>
      </c>
      <c r="H526" s="120">
        <v>0</v>
      </c>
      <c r="I526" s="96">
        <f>IFERROR(VLOOKUP(D526,EQUIPOS!A:F,6,FALSE()),0)</f>
        <v>620.81078197718341</v>
      </c>
      <c r="J526" s="31">
        <f t="shared" si="227"/>
        <v>310.40539098859171</v>
      </c>
      <c r="K526" s="32" t="str">
        <f t="shared" si="217"/>
        <v>DRY-068|EQ</v>
      </c>
      <c r="L526" s="32">
        <f>COUNTIFS($K$2:K526,K526)</f>
        <v>2</v>
      </c>
      <c r="M526" s="32" t="str">
        <f t="shared" si="224"/>
        <v>DRY-068|EQ|2</v>
      </c>
      <c r="N526" s="121">
        <f>IFERROR(VLOOKUP(A526,PARTIDAS!A:F,6,FALSE()),0)</f>
        <v>15</v>
      </c>
      <c r="O526" s="123">
        <f t="shared" si="221"/>
        <v>0</v>
      </c>
      <c r="P526" s="123" t="str">
        <f>+_xlfn.XLOOKUP(A526,PPTO_GENERADOR!Q:Q,PPTO_GENERADOR!E:E,"-",0)</f>
        <v>-</v>
      </c>
      <c r="Q526" s="123">
        <f t="shared" si="222"/>
        <v>0</v>
      </c>
      <c r="R526" s="125" t="str">
        <f>+_xlfn.XLOOKUP(A526,PPTO_GENERADOR!$Q:$Q,PPTO_GENERADOR!A:A,"-",0)</f>
        <v>-</v>
      </c>
    </row>
    <row r="527" spans="1:18" ht="14.25" customHeight="1" x14ac:dyDescent="0.35">
      <c r="A527" s="105" t="s">
        <v>1904</v>
      </c>
      <c r="B527" s="105" t="s">
        <v>1983</v>
      </c>
      <c r="C527" s="105"/>
      <c r="D527" s="105" t="s">
        <v>1507</v>
      </c>
      <c r="E527" s="95" t="str">
        <f>IFERROR(VLOOKUP(D527,EQUIPOS!A:B,2,FALSE()),"?")</f>
        <v>Hormigonera De 150 Litros 1hp Con Rueda Maciza</v>
      </c>
      <c r="F527" s="129"/>
      <c r="G527" s="119">
        <v>1</v>
      </c>
      <c r="H527" s="120">
        <v>0</v>
      </c>
      <c r="I527" s="96">
        <f>IFERROR(VLOOKUP(D527,EQUIPOS!A:F,6,FALSE()),0)</f>
        <v>1040.4314486705237</v>
      </c>
      <c r="J527" s="31">
        <f t="shared" si="227"/>
        <v>1040.4314486705237</v>
      </c>
      <c r="K527" s="32" t="str">
        <f t="shared" si="217"/>
        <v>DRY-068|EQ</v>
      </c>
      <c r="L527" s="32">
        <f>COUNTIFS($K$2:K527,K527)</f>
        <v>3</v>
      </c>
      <c r="M527" s="32" t="str">
        <f t="shared" si="224"/>
        <v>DRY-068|EQ|3</v>
      </c>
      <c r="N527" s="121">
        <f>IFERROR(VLOOKUP(A527,PARTIDAS!A:F,6,FALSE()),0)</f>
        <v>15</v>
      </c>
      <c r="O527" s="123">
        <f t="shared" si="221"/>
        <v>0</v>
      </c>
      <c r="P527" s="123" t="str">
        <f>+_xlfn.XLOOKUP(A527,PPTO_GENERADOR!Q:Q,PPTO_GENERADOR!E:E,"-",0)</f>
        <v>-</v>
      </c>
      <c r="Q527" s="123">
        <f t="shared" si="222"/>
        <v>0</v>
      </c>
      <c r="R527" s="125" t="str">
        <f>+_xlfn.XLOOKUP(A527,PPTO_GENERADOR!$Q:$Q,PPTO_GENERADOR!A:A,"-",0)</f>
        <v>-</v>
      </c>
    </row>
    <row r="528" spans="1:18" ht="14.25" customHeight="1" x14ac:dyDescent="0.35">
      <c r="A528" s="105" t="s">
        <v>1904</v>
      </c>
      <c r="B528" s="105" t="s">
        <v>1979</v>
      </c>
      <c r="C528" s="105" t="s">
        <v>1980</v>
      </c>
      <c r="D528" s="105" t="s">
        <v>1292</v>
      </c>
      <c r="E528" s="95" t="str">
        <f>IFERROR(VLOOKUP(D528,MANO_DE_OBRA!A:B,2,FALSE()),"?")</f>
        <v>ESPECIALIZADO</v>
      </c>
      <c r="F528" s="129" t="s">
        <v>2042</v>
      </c>
      <c r="G528" s="119">
        <v>1</v>
      </c>
      <c r="H528" s="120">
        <v>0</v>
      </c>
      <c r="I528" s="96">
        <f>IFERROR(VLOOKUP(D528,MANO_DE_OBRA!A:C,3,FALSE()),0)</f>
        <v>94177.137883538904</v>
      </c>
      <c r="J528" s="31">
        <f t="shared" ref="J528:J529" si="228">G528*I528</f>
        <v>94177.137883538904</v>
      </c>
      <c r="K528" s="32" t="str">
        <f t="shared" si="217"/>
        <v>DRY-068|MO</v>
      </c>
      <c r="L528" s="32">
        <f>COUNTIFS($K$2:K528,K528)</f>
        <v>1</v>
      </c>
      <c r="M528" s="32" t="str">
        <f t="shared" si="224"/>
        <v>DRY-068|MO|1</v>
      </c>
      <c r="N528" s="121">
        <f>IFERROR(VLOOKUP(A528,PARTIDAS!A:F,6,FALSE()),0)</f>
        <v>15</v>
      </c>
      <c r="O528" s="123">
        <f t="shared" si="221"/>
        <v>6.6666666666666666E-2</v>
      </c>
      <c r="P528" s="123" t="str">
        <f>+_xlfn.XLOOKUP(A528,PPTO_GENERADOR!Q:Q,PPTO_GENERADOR!E:E,"-",0)</f>
        <v>-</v>
      </c>
      <c r="Q528" s="123">
        <f t="shared" si="222"/>
        <v>0</v>
      </c>
      <c r="R528" s="125" t="str">
        <f>+_xlfn.XLOOKUP(A528,PPTO_GENERADOR!$Q:$Q,PPTO_GENERADOR!A:A,"-",0)</f>
        <v>-</v>
      </c>
    </row>
    <row r="529" spans="1:18" ht="14.25" customHeight="1" x14ac:dyDescent="0.35">
      <c r="A529" s="105" t="s">
        <v>1904</v>
      </c>
      <c r="B529" s="105" t="s">
        <v>1979</v>
      </c>
      <c r="C529" s="105" t="s">
        <v>1980</v>
      </c>
      <c r="D529" s="105" t="s">
        <v>2038</v>
      </c>
      <c r="E529" s="95" t="str">
        <f>IFERROR(VLOOKUP(D529,MANO_DE_OBRA!A:B,2,FALSE()),"?")</f>
        <v>AYUDANTE</v>
      </c>
      <c r="F529" s="129" t="s">
        <v>2042</v>
      </c>
      <c r="G529" s="119">
        <v>1</v>
      </c>
      <c r="H529" s="120">
        <v>0</v>
      </c>
      <c r="I529" s="96">
        <f>IFERROR(VLOOKUP(D529,MANO_DE_OBRA!A:C,3,FALSE()),0)</f>
        <v>67240.498860267602</v>
      </c>
      <c r="J529" s="31">
        <f t="shared" si="228"/>
        <v>67240.498860267602</v>
      </c>
      <c r="K529" s="32" t="str">
        <f t="shared" si="217"/>
        <v>DRY-068|MO</v>
      </c>
      <c r="L529" s="32">
        <f>COUNTIFS($K$2:K529,K529)</f>
        <v>2</v>
      </c>
      <c r="M529" s="32" t="str">
        <f t="shared" si="224"/>
        <v>DRY-068|MO|2</v>
      </c>
      <c r="N529" s="121">
        <f>IFERROR(VLOOKUP(A529,PARTIDAS!A:F,6,FALSE()),0)</f>
        <v>15</v>
      </c>
      <c r="O529" s="123">
        <f t="shared" si="221"/>
        <v>6.6666666666666666E-2</v>
      </c>
      <c r="P529" s="123" t="str">
        <f>+_xlfn.XLOOKUP(A529,PPTO_GENERADOR!Q:Q,PPTO_GENERADOR!E:E,"-",0)</f>
        <v>-</v>
      </c>
      <c r="Q529" s="123">
        <f t="shared" si="222"/>
        <v>0</v>
      </c>
      <c r="R529" s="125" t="str">
        <f>+_xlfn.XLOOKUP(A529,PPTO_GENERADOR!$Q:$Q,PPTO_GENERADOR!A:A,"-",0)</f>
        <v>-</v>
      </c>
    </row>
    <row r="530" spans="1:18" ht="14.25" customHeight="1" x14ac:dyDescent="0.35">
      <c r="A530" s="105" t="s">
        <v>1907</v>
      </c>
      <c r="B530" s="105" t="s">
        <v>1981</v>
      </c>
      <c r="C530" s="105" t="s">
        <v>1982</v>
      </c>
      <c r="D530" s="105" t="s">
        <v>572</v>
      </c>
      <c r="E530" s="95" t="str">
        <f>IFERROR(VLOOKUP(D530,MATERIALES!A:B,2,FALSE()),"?")</f>
        <v>Pintura Asfaltica Asfasol x18ts</v>
      </c>
      <c r="F530" s="129">
        <f>IFERROR(VLOOKUP(D530,MATERIALES!A:C,3,FALSE()),"?")</f>
        <v>0</v>
      </c>
      <c r="G530" s="119">
        <v>2.7778000000000001E-2</v>
      </c>
      <c r="H530" s="120">
        <v>0.1</v>
      </c>
      <c r="I530" s="96">
        <f>IFERROR(VLOOKUP(D530,MATERIALES!A:D,4,FALSE()),0)</f>
        <v>35525.949999999997</v>
      </c>
      <c r="J530" s="31">
        <f t="shared" ref="J530:J536" si="229">G530*I530*(1+H530)</f>
        <v>1085.5238230100001</v>
      </c>
      <c r="K530" s="32" t="str">
        <f t="shared" si="217"/>
        <v>IMP-070|MAT</v>
      </c>
      <c r="L530" s="32">
        <f>COUNTIFS($K$2:K530,K530)</f>
        <v>1</v>
      </c>
      <c r="M530" s="32" t="str">
        <f t="shared" si="224"/>
        <v>IMP-070|MAT|1</v>
      </c>
      <c r="N530" s="121">
        <f>IFERROR(VLOOKUP(A530,PARTIDAS!A:F,6,FALSE()),0)</f>
        <v>25</v>
      </c>
      <c r="O530" s="123">
        <f t="shared" si="221"/>
        <v>0</v>
      </c>
      <c r="P530" s="123" t="str">
        <f>+_xlfn.XLOOKUP(A530,PPTO_GENERADOR!Q:Q,PPTO_GENERADOR!E:E,"-",0)</f>
        <v>-</v>
      </c>
      <c r="Q530" s="123">
        <f t="shared" si="222"/>
        <v>0</v>
      </c>
      <c r="R530" s="125" t="str">
        <f>+_xlfn.XLOOKUP(A530,PPTO_GENERADOR!$Q:$Q,PPTO_GENERADOR!A:A,"-",0)</f>
        <v>-</v>
      </c>
    </row>
    <row r="531" spans="1:18" ht="14.25" customHeight="1" x14ac:dyDescent="0.35">
      <c r="A531" s="105" t="s">
        <v>1907</v>
      </c>
      <c r="B531" s="105" t="s">
        <v>1981</v>
      </c>
      <c r="C531" s="105" t="s">
        <v>1982</v>
      </c>
      <c r="D531" s="105" t="s">
        <v>1005</v>
      </c>
      <c r="E531" s="95" t="str">
        <f>IFERROR(VLOOKUP(D531,MATERIALES!A:B,2,FALSE()),"?")</f>
        <v>Membrana Geotextil Ormiflex 4mm - (35kg) x10m</v>
      </c>
      <c r="F531" s="129" t="str">
        <f>IFERROR(VLOOKUP(D531,MATERIALES!A:C,3,FALSE()),"?")</f>
        <v>u</v>
      </c>
      <c r="G531" s="119">
        <v>0.1</v>
      </c>
      <c r="H531" s="120">
        <v>0.1</v>
      </c>
      <c r="I531" s="96">
        <f>IFERROR(VLOOKUP(D531,MATERIALES!A:D,4,FALSE()),0)</f>
        <v>57227.91</v>
      </c>
      <c r="J531" s="31">
        <f t="shared" si="229"/>
        <v>6295.0701000000017</v>
      </c>
      <c r="K531" s="32" t="str">
        <f t="shared" si="217"/>
        <v>IMP-070|MAT</v>
      </c>
      <c r="L531" s="32">
        <f>COUNTIFS($K$2:K531,K531)</f>
        <v>2</v>
      </c>
      <c r="M531" s="32" t="str">
        <f t="shared" si="224"/>
        <v>IMP-070|MAT|2</v>
      </c>
      <c r="N531" s="121">
        <f>IFERROR(VLOOKUP(A531,PARTIDAS!A:F,6,FALSE()),0)</f>
        <v>25</v>
      </c>
      <c r="O531" s="123">
        <f t="shared" si="221"/>
        <v>0</v>
      </c>
      <c r="P531" s="123" t="str">
        <f>+_xlfn.XLOOKUP(A531,PPTO_GENERADOR!Q:Q,PPTO_GENERADOR!E:E,"-",0)</f>
        <v>-</v>
      </c>
      <c r="Q531" s="123">
        <f t="shared" si="222"/>
        <v>0</v>
      </c>
      <c r="R531" s="125" t="str">
        <f>+_xlfn.XLOOKUP(A531,PPTO_GENERADOR!$Q:$Q,PPTO_GENERADOR!A:A,"-",0)</f>
        <v>-</v>
      </c>
    </row>
    <row r="532" spans="1:18" ht="14.25" customHeight="1" x14ac:dyDescent="0.35">
      <c r="A532" s="105" t="s">
        <v>1907</v>
      </c>
      <c r="B532" s="105" t="s">
        <v>1981</v>
      </c>
      <c r="C532" s="105" t="s">
        <v>1982</v>
      </c>
      <c r="D532" s="105" t="s">
        <v>922</v>
      </c>
      <c r="E532" s="95" t="str">
        <f>IFERROR(VLOOKUP(D532,MATERIALES!A:B,2,FALSE()),"?")</f>
        <v>Rodillo de lana pelo largo N°22 - El Galgo</v>
      </c>
      <c r="F532" s="129" t="str">
        <f>IFERROR(VLOOKUP(D532,MATERIALES!A:C,3,FALSE()),"?")</f>
        <v>u</v>
      </c>
      <c r="G532" s="119">
        <v>0.01</v>
      </c>
      <c r="H532" s="120">
        <v>0.05</v>
      </c>
      <c r="I532" s="96">
        <f>IFERROR(VLOOKUP(D532,MATERIALES!A:D,4,FALSE()),0)</f>
        <v>6442.15</v>
      </c>
      <c r="J532" s="31">
        <f t="shared" si="229"/>
        <v>67.642574999999994</v>
      </c>
      <c r="K532" s="32" t="str">
        <f t="shared" si="217"/>
        <v>IMP-070|MAT</v>
      </c>
      <c r="L532" s="32">
        <f>COUNTIFS($K$2:K532,K532)</f>
        <v>3</v>
      </c>
      <c r="M532" s="32" t="str">
        <f t="shared" si="224"/>
        <v>IMP-070|MAT|3</v>
      </c>
      <c r="N532" s="121">
        <f>IFERROR(VLOOKUP(A532,PARTIDAS!A:F,6,FALSE()),0)</f>
        <v>25</v>
      </c>
      <c r="O532" s="123">
        <f t="shared" si="221"/>
        <v>0</v>
      </c>
      <c r="P532" s="123" t="str">
        <f>+_xlfn.XLOOKUP(A532,PPTO_GENERADOR!Q:Q,PPTO_GENERADOR!E:E,"-",0)</f>
        <v>-</v>
      </c>
      <c r="Q532" s="123">
        <f t="shared" si="222"/>
        <v>0</v>
      </c>
      <c r="R532" s="125" t="str">
        <f>+_xlfn.XLOOKUP(A532,PPTO_GENERADOR!$Q:$Q,PPTO_GENERADOR!A:A,"-",0)</f>
        <v>-</v>
      </c>
    </row>
    <row r="533" spans="1:18" ht="14.25" customHeight="1" x14ac:dyDescent="0.35">
      <c r="A533" s="105" t="s">
        <v>1907</v>
      </c>
      <c r="B533" s="105" t="s">
        <v>1981</v>
      </c>
      <c r="C533" s="105" t="s">
        <v>1982</v>
      </c>
      <c r="D533" s="105" t="s">
        <v>1007</v>
      </c>
      <c r="E533" s="95" t="str">
        <f>IFERROR(VLOOKUP(D533,MATERIALES!A:B,2,FALSE()),"?")</f>
        <v>Pincel N° 20 - El Galgo</v>
      </c>
      <c r="F533" s="129" t="str">
        <f>IFERROR(VLOOKUP(D533,MATERIALES!A:C,3,FALSE()),"?")</f>
        <v>u</v>
      </c>
      <c r="G533" s="119">
        <v>0.02</v>
      </c>
      <c r="H533" s="120">
        <v>0.05</v>
      </c>
      <c r="I533" s="96">
        <f>IFERROR(VLOOKUP(D533,MATERIALES!A:D,4,FALSE()),0)</f>
        <v>4418.1818181818198</v>
      </c>
      <c r="J533" s="31">
        <f t="shared" si="229"/>
        <v>92.781818181818224</v>
      </c>
      <c r="K533" s="32" t="str">
        <f t="shared" si="217"/>
        <v>IMP-070|MAT</v>
      </c>
      <c r="L533" s="32">
        <f>COUNTIFS($K$2:K533,K533)</f>
        <v>4</v>
      </c>
      <c r="M533" s="32" t="str">
        <f t="shared" si="224"/>
        <v>IMP-070|MAT|4</v>
      </c>
      <c r="N533" s="121">
        <f>IFERROR(VLOOKUP(A533,PARTIDAS!A:F,6,FALSE()),0)</f>
        <v>25</v>
      </c>
      <c r="O533" s="123">
        <f t="shared" si="221"/>
        <v>0</v>
      </c>
      <c r="P533" s="123" t="str">
        <f>+_xlfn.XLOOKUP(A533,PPTO_GENERADOR!Q:Q,PPTO_GENERADOR!E:E,"-",0)</f>
        <v>-</v>
      </c>
      <c r="Q533" s="123">
        <f t="shared" si="222"/>
        <v>0</v>
      </c>
      <c r="R533" s="125" t="str">
        <f>+_xlfn.XLOOKUP(A533,PPTO_GENERADOR!$Q:$Q,PPTO_GENERADOR!A:A,"-",0)</f>
        <v>-</v>
      </c>
    </row>
    <row r="534" spans="1:18" ht="14.25" customHeight="1" x14ac:dyDescent="0.35">
      <c r="A534" s="105" t="s">
        <v>1907</v>
      </c>
      <c r="B534" s="105" t="s">
        <v>1981</v>
      </c>
      <c r="C534" s="105" t="s">
        <v>1982</v>
      </c>
      <c r="D534" s="105" t="s">
        <v>593</v>
      </c>
      <c r="E534" s="95" t="str">
        <f>IFERROR(VLOOKUP(D534,MATERIALES!A:B,2,FALSE()),"?")</f>
        <v>Aguarras Hydrarras Hydra x 18lts</v>
      </c>
      <c r="F534" s="129">
        <f>IFERROR(VLOOKUP(D534,MATERIALES!A:C,3,FALSE()),"?")</f>
        <v>0</v>
      </c>
      <c r="G534" s="119">
        <v>0.01</v>
      </c>
      <c r="H534" s="120">
        <v>0.05</v>
      </c>
      <c r="I534" s="96">
        <f>IFERROR(VLOOKUP(D534,MATERIALES!A:D,4,FALSE()),0)</f>
        <v>58016.528925619801</v>
      </c>
      <c r="J534" s="31">
        <f t="shared" si="229"/>
        <v>609.17355371900794</v>
      </c>
      <c r="K534" s="32" t="str">
        <f t="shared" si="217"/>
        <v>IMP-070|MAT</v>
      </c>
      <c r="L534" s="32">
        <f>COUNTIFS($K$2:K534,K534)</f>
        <v>5</v>
      </c>
      <c r="M534" s="32" t="str">
        <f t="shared" si="224"/>
        <v>IMP-070|MAT|5</v>
      </c>
      <c r="N534" s="121">
        <f>IFERROR(VLOOKUP(A534,PARTIDAS!A:F,6,FALSE()),0)</f>
        <v>25</v>
      </c>
      <c r="O534" s="123">
        <f t="shared" si="221"/>
        <v>0</v>
      </c>
      <c r="P534" s="123" t="str">
        <f>+_xlfn.XLOOKUP(A534,PPTO_GENERADOR!Q:Q,PPTO_GENERADOR!E:E,"-",0)</f>
        <v>-</v>
      </c>
      <c r="Q534" s="123">
        <f t="shared" si="222"/>
        <v>0</v>
      </c>
      <c r="R534" s="125" t="str">
        <f>+_xlfn.XLOOKUP(A534,PPTO_GENERADOR!$Q:$Q,PPTO_GENERADOR!A:A,"-",0)</f>
        <v>-</v>
      </c>
    </row>
    <row r="535" spans="1:18" ht="14.25" customHeight="1" x14ac:dyDescent="0.35">
      <c r="A535" s="105" t="s">
        <v>1907</v>
      </c>
      <c r="B535" s="105" t="s">
        <v>1981</v>
      </c>
      <c r="C535" s="105" t="s">
        <v>1982</v>
      </c>
      <c r="D535" s="105" t="s">
        <v>586</v>
      </c>
      <c r="E535" s="95" t="str">
        <f>IFERROR(VLOOKUP(D535,MATERIALES!A:B,2,FALSE()),"?")</f>
        <v>Trapo</v>
      </c>
      <c r="F535" s="129">
        <f>IFERROR(VLOOKUP(D535,MATERIALES!A:C,3,FALSE()),"?")</f>
        <v>0</v>
      </c>
      <c r="G535" s="119">
        <v>0.02</v>
      </c>
      <c r="H535" s="120">
        <v>0.05</v>
      </c>
      <c r="I535" s="96">
        <f>IFERROR(VLOOKUP(D535,MATERIALES!A:D,4,FALSE()),0)</f>
        <v>1182.6446280991699</v>
      </c>
      <c r="J535" s="31">
        <f t="shared" si="229"/>
        <v>24.835537190082572</v>
      </c>
      <c r="K535" s="32" t="str">
        <f t="shared" si="217"/>
        <v>IMP-070|MAT</v>
      </c>
      <c r="L535" s="32">
        <f>COUNTIFS($K$2:K535,K535)</f>
        <v>6</v>
      </c>
      <c r="M535" s="32" t="str">
        <f t="shared" si="224"/>
        <v>IMP-070|MAT|6</v>
      </c>
      <c r="N535" s="121">
        <f>IFERROR(VLOOKUP(A535,PARTIDAS!A:F,6,FALSE()),0)</f>
        <v>25</v>
      </c>
      <c r="O535" s="123">
        <f t="shared" si="221"/>
        <v>0</v>
      </c>
      <c r="P535" s="123" t="str">
        <f>+_xlfn.XLOOKUP(A535,PPTO_GENERADOR!Q:Q,PPTO_GENERADOR!E:E,"-",0)</f>
        <v>-</v>
      </c>
      <c r="Q535" s="123">
        <f t="shared" si="222"/>
        <v>0</v>
      </c>
      <c r="R535" s="125" t="str">
        <f>+_xlfn.XLOOKUP(A535,PPTO_GENERADOR!$Q:$Q,PPTO_GENERADOR!A:A,"-",0)</f>
        <v>-</v>
      </c>
    </row>
    <row r="536" spans="1:18" ht="14.25" customHeight="1" x14ac:dyDescent="0.35">
      <c r="A536" s="105" t="s">
        <v>1907</v>
      </c>
      <c r="B536" s="105" t="s">
        <v>1981</v>
      </c>
      <c r="C536" s="105" t="s">
        <v>1982</v>
      </c>
      <c r="D536" s="105" t="s">
        <v>1009</v>
      </c>
      <c r="E536" s="95" t="str">
        <f>IFERROR(VLOOKUP(D536,MATERIALES!A:B,2,FALSE()),"?")</f>
        <v>Guante vaqueta medio paseo</v>
      </c>
      <c r="F536" s="129" t="str">
        <f>IFERROR(VLOOKUP(D536,MATERIALES!A:C,3,FALSE()),"?")</f>
        <v>u</v>
      </c>
      <c r="G536" s="119">
        <v>0.06</v>
      </c>
      <c r="H536" s="120">
        <v>0.05</v>
      </c>
      <c r="I536" s="96">
        <f>IFERROR(VLOOKUP(D536,MATERIALES!A:D,4,FALSE()),0)</f>
        <v>3600</v>
      </c>
      <c r="J536" s="31">
        <f t="shared" si="229"/>
        <v>226.8</v>
      </c>
      <c r="K536" s="32" t="str">
        <f t="shared" si="217"/>
        <v>IMP-070|MAT</v>
      </c>
      <c r="L536" s="32">
        <f>COUNTIFS($K$2:K536,K536)</f>
        <v>7</v>
      </c>
      <c r="M536" s="32" t="str">
        <f t="shared" si="224"/>
        <v>IMP-070|MAT|7</v>
      </c>
      <c r="N536" s="121">
        <f>IFERROR(VLOOKUP(A536,PARTIDAS!A:F,6,FALSE()),0)</f>
        <v>25</v>
      </c>
      <c r="O536" s="123">
        <f t="shared" si="221"/>
        <v>0</v>
      </c>
      <c r="P536" s="123" t="str">
        <f>+_xlfn.XLOOKUP(A536,PPTO_GENERADOR!Q:Q,PPTO_GENERADOR!E:E,"-",0)</f>
        <v>-</v>
      </c>
      <c r="Q536" s="123">
        <f t="shared" si="222"/>
        <v>0</v>
      </c>
      <c r="R536" s="125" t="str">
        <f>+_xlfn.XLOOKUP(A536,PPTO_GENERADOR!$Q:$Q,PPTO_GENERADOR!A:A,"-",0)</f>
        <v>-</v>
      </c>
    </row>
    <row r="537" spans="1:18" ht="14.25" customHeight="1" x14ac:dyDescent="0.35">
      <c r="A537" s="105" t="s">
        <v>1907</v>
      </c>
      <c r="B537" s="105" t="s">
        <v>1983</v>
      </c>
      <c r="C537" s="105"/>
      <c r="D537" s="105" t="s">
        <v>1505</v>
      </c>
      <c r="E537" s="95" t="str">
        <f>IFERROR(VLOOKUP(D537,EQUIPOS!A:B,2,FALSE()),"?")</f>
        <v>Soldador Soplete A Gas Techista Membrana 10 Kg Boca 50mm</v>
      </c>
      <c r="F537" s="129"/>
      <c r="G537" s="119">
        <v>1</v>
      </c>
      <c r="H537" s="120">
        <v>0</v>
      </c>
      <c r="I537" s="96">
        <f>IFERROR(VLOOKUP(D537,EQUIPOS!A:F,6,FALSE()),0)</f>
        <v>874.41130614484587</v>
      </c>
      <c r="J537" s="31">
        <f>G537*I537</f>
        <v>874.41130614484587</v>
      </c>
      <c r="K537" s="32" t="str">
        <f t="shared" ref="K537:K570" si="230">A537&amp;"|"&amp;B537</f>
        <v>IMP-070|EQ</v>
      </c>
      <c r="L537" s="32">
        <f>COUNTIFS($K$2:K537,K537)</f>
        <v>1</v>
      </c>
      <c r="M537" s="32" t="str">
        <f t="shared" si="224"/>
        <v>IMP-070|EQ|1</v>
      </c>
      <c r="N537" s="121">
        <f>IFERROR(VLOOKUP(A537,PARTIDAS!A:F,6,FALSE()),0)</f>
        <v>25</v>
      </c>
      <c r="O537" s="123">
        <f t="shared" si="221"/>
        <v>0</v>
      </c>
      <c r="P537" s="123" t="str">
        <f>+_xlfn.XLOOKUP(A537,PPTO_GENERADOR!Q:Q,PPTO_GENERADOR!E:E,"-",0)</f>
        <v>-</v>
      </c>
      <c r="Q537" s="123">
        <f t="shared" si="222"/>
        <v>0</v>
      </c>
      <c r="R537" s="125" t="str">
        <f>+_xlfn.XLOOKUP(A537,PPTO_GENERADOR!$Q:$Q,PPTO_GENERADOR!A:A,"-",0)</f>
        <v>-</v>
      </c>
    </row>
    <row r="538" spans="1:18" ht="14.25" customHeight="1" x14ac:dyDescent="0.35">
      <c r="A538" s="105" t="s">
        <v>1907</v>
      </c>
      <c r="B538" s="105" t="s">
        <v>1979</v>
      </c>
      <c r="C538" s="105" t="s">
        <v>1980</v>
      </c>
      <c r="D538" s="105" t="s">
        <v>2038</v>
      </c>
      <c r="E538" s="95" t="str">
        <f>IFERROR(VLOOKUP(D538,MANO_DE_OBRA!A:B,2,FALSE()),"?")</f>
        <v>AYUDANTE</v>
      </c>
      <c r="F538" s="129" t="s">
        <v>2042</v>
      </c>
      <c r="G538" s="119">
        <v>1</v>
      </c>
      <c r="H538" s="120">
        <v>0</v>
      </c>
      <c r="I538" s="96">
        <f>IFERROR(VLOOKUP(D538,MANO_DE_OBRA!A:C,3,FALSE()),0)</f>
        <v>67240.498860267602</v>
      </c>
      <c r="J538" s="31">
        <f t="shared" ref="J538:J539" si="231">G538*I538</f>
        <v>67240.498860267602</v>
      </c>
      <c r="K538" s="32" t="str">
        <f t="shared" si="230"/>
        <v>IMP-070|MO</v>
      </c>
      <c r="L538" s="32">
        <f>COUNTIFS($K$2:K538,K538)</f>
        <v>1</v>
      </c>
      <c r="M538" s="32" t="str">
        <f t="shared" si="224"/>
        <v>IMP-070|MO|1</v>
      </c>
      <c r="N538" s="121">
        <f>IFERROR(VLOOKUP(A538,PARTIDAS!A:F,6,FALSE()),0)</f>
        <v>25</v>
      </c>
      <c r="O538" s="123">
        <f t="shared" si="221"/>
        <v>0.04</v>
      </c>
      <c r="P538" s="123" t="str">
        <f>+_xlfn.XLOOKUP(A538,PPTO_GENERADOR!Q:Q,PPTO_GENERADOR!E:E,"-",0)</f>
        <v>-</v>
      </c>
      <c r="Q538" s="123">
        <f t="shared" si="222"/>
        <v>0</v>
      </c>
      <c r="R538" s="125" t="str">
        <f>+_xlfn.XLOOKUP(A538,PPTO_GENERADOR!$Q:$Q,PPTO_GENERADOR!A:A,"-",0)</f>
        <v>-</v>
      </c>
    </row>
    <row r="539" spans="1:18" ht="14.25" customHeight="1" x14ac:dyDescent="0.35">
      <c r="A539" s="105" t="s">
        <v>1907</v>
      </c>
      <c r="B539" s="105" t="s">
        <v>1979</v>
      </c>
      <c r="C539" s="105" t="s">
        <v>1980</v>
      </c>
      <c r="D539" s="105" t="s">
        <v>1292</v>
      </c>
      <c r="E539" s="95" t="str">
        <f>IFERROR(VLOOKUP(D539,MANO_DE_OBRA!A:B,2,FALSE()),"?")</f>
        <v>ESPECIALIZADO</v>
      </c>
      <c r="F539" s="129" t="s">
        <v>2042</v>
      </c>
      <c r="G539" s="119">
        <v>1</v>
      </c>
      <c r="H539" s="120">
        <v>0</v>
      </c>
      <c r="I539" s="96">
        <f>IFERROR(VLOOKUP(D539,MANO_DE_OBRA!A:C,3,FALSE()),0)</f>
        <v>94177.137883538904</v>
      </c>
      <c r="J539" s="31">
        <f t="shared" si="231"/>
        <v>94177.137883538904</v>
      </c>
      <c r="K539" s="32" t="str">
        <f t="shared" si="230"/>
        <v>IMP-070|MO</v>
      </c>
      <c r="L539" s="32">
        <f>COUNTIFS($K$2:K539,K539)</f>
        <v>2</v>
      </c>
      <c r="M539" s="32" t="str">
        <f t="shared" si="224"/>
        <v>IMP-070|MO|2</v>
      </c>
      <c r="N539" s="121">
        <f>IFERROR(VLOOKUP(A539,PARTIDAS!A:F,6,FALSE()),0)</f>
        <v>25</v>
      </c>
      <c r="O539" s="123">
        <f t="shared" si="221"/>
        <v>0.04</v>
      </c>
      <c r="P539" s="123" t="str">
        <f>+_xlfn.XLOOKUP(A539,PPTO_GENERADOR!Q:Q,PPTO_GENERADOR!E:E,"-",0)</f>
        <v>-</v>
      </c>
      <c r="Q539" s="123">
        <f t="shared" si="222"/>
        <v>0</v>
      </c>
      <c r="R539" s="125" t="str">
        <f>+_xlfn.XLOOKUP(A539,PPTO_GENERADOR!$Q:$Q,PPTO_GENERADOR!A:A,"-",0)</f>
        <v>-</v>
      </c>
    </row>
    <row r="540" spans="1:18" ht="14.25" customHeight="1" x14ac:dyDescent="0.35">
      <c r="A540" s="105" t="s">
        <v>1910</v>
      </c>
      <c r="B540" s="105" t="s">
        <v>1981</v>
      </c>
      <c r="C540" s="105" t="s">
        <v>1982</v>
      </c>
      <c r="D540" s="105" t="s">
        <v>575</v>
      </c>
      <c r="E540" s="95" t="str">
        <f>IFERROR(VLOOKUP(D540,MATERIALES!A:B,2,FALSE()),"?")</f>
        <v>Recuplast Tradicional Blanco x 20 lts</v>
      </c>
      <c r="F540" s="129">
        <f>IFERROR(VLOOKUP(D540,MATERIALES!A:C,3,FALSE()),"?")</f>
        <v>0</v>
      </c>
      <c r="G540" s="119">
        <v>3.5000000000000003E-2</v>
      </c>
      <c r="H540" s="120">
        <v>0.1</v>
      </c>
      <c r="I540" s="96">
        <f>IFERROR(VLOOKUP(D540,MATERIALES!A:D,4,FALSE()),0)</f>
        <v>106809.917355372</v>
      </c>
      <c r="J540" s="31">
        <f t="shared" ref="J540:J542" si="232">G540*I540*(1+H540)</f>
        <v>4112.1818181818226</v>
      </c>
      <c r="K540" s="32" t="str">
        <f t="shared" si="230"/>
        <v>CUB-071|MAT</v>
      </c>
      <c r="L540" s="32">
        <f>COUNTIFS($K$2:K540,K540)</f>
        <v>1</v>
      </c>
      <c r="M540" s="32" t="str">
        <f t="shared" si="224"/>
        <v>CUB-071|MAT|1</v>
      </c>
      <c r="N540" s="121">
        <f>IFERROR(VLOOKUP(A540,PARTIDAS!A:F,6,FALSE()),0)</f>
        <v>50</v>
      </c>
      <c r="O540" s="123">
        <f t="shared" si="221"/>
        <v>0</v>
      </c>
      <c r="P540" s="123" t="str">
        <f>+_xlfn.XLOOKUP(A540,PPTO_GENERADOR!Q:Q,PPTO_GENERADOR!E:E,"-",0)</f>
        <v>-</v>
      </c>
      <c r="Q540" s="123">
        <f t="shared" si="222"/>
        <v>0</v>
      </c>
      <c r="R540" s="125" t="str">
        <f>+_xlfn.XLOOKUP(A540,PPTO_GENERADOR!$Q:$Q,PPTO_GENERADOR!A:A,"-",0)</f>
        <v>-</v>
      </c>
    </row>
    <row r="541" spans="1:18" ht="14.25" customHeight="1" x14ac:dyDescent="0.35">
      <c r="A541" s="105" t="s">
        <v>1910</v>
      </c>
      <c r="B541" s="105" t="s">
        <v>1981</v>
      </c>
      <c r="C541" s="105" t="s">
        <v>1982</v>
      </c>
      <c r="D541" s="105" t="s">
        <v>914</v>
      </c>
      <c r="E541" s="95" t="str">
        <f>IFERROR(VLOOKUP(D541,MATERIALES!A:B,2,FALSE()),"?")</f>
        <v>Venda SikaTEX 75 - Rollo</v>
      </c>
      <c r="F541" s="129">
        <f>IFERROR(VLOOKUP(D541,MATERIALES!A:C,3,FALSE()),"?")</f>
        <v>0</v>
      </c>
      <c r="G541" s="119">
        <v>0.04</v>
      </c>
      <c r="H541" s="120">
        <v>0.1</v>
      </c>
      <c r="I541" s="96">
        <f>IFERROR(VLOOKUP(D541,MATERIALES!A:D,4,FALSE()),0)</f>
        <v>100000</v>
      </c>
      <c r="J541" s="31">
        <f t="shared" si="232"/>
        <v>4400</v>
      </c>
      <c r="K541" s="32" t="str">
        <f t="shared" si="230"/>
        <v>CUB-071|MAT</v>
      </c>
      <c r="L541" s="32">
        <f>COUNTIFS($K$2:K541,K541)</f>
        <v>2</v>
      </c>
      <c r="M541" s="32" t="str">
        <f t="shared" si="224"/>
        <v>CUB-071|MAT|2</v>
      </c>
      <c r="N541" s="121">
        <f>IFERROR(VLOOKUP(A541,PARTIDAS!A:F,6,FALSE()),0)</f>
        <v>50</v>
      </c>
      <c r="O541" s="123">
        <f t="shared" si="221"/>
        <v>0</v>
      </c>
      <c r="P541" s="123" t="str">
        <f>+_xlfn.XLOOKUP(A541,PPTO_GENERADOR!Q:Q,PPTO_GENERADOR!E:E,"-",0)</f>
        <v>-</v>
      </c>
      <c r="Q541" s="123">
        <f t="shared" si="222"/>
        <v>0</v>
      </c>
      <c r="R541" s="125" t="str">
        <f>+_xlfn.XLOOKUP(A541,PPTO_GENERADOR!$Q:$Q,PPTO_GENERADOR!A:A,"-",0)</f>
        <v>-</v>
      </c>
    </row>
    <row r="542" spans="1:18" ht="14.25" customHeight="1" x14ac:dyDescent="0.35">
      <c r="A542" s="105" t="s">
        <v>1910</v>
      </c>
      <c r="B542" s="105" t="s">
        <v>1981</v>
      </c>
      <c r="C542" s="105" t="s">
        <v>1982</v>
      </c>
      <c r="D542" s="105" t="s">
        <v>559</v>
      </c>
      <c r="E542" s="95" t="str">
        <f>IFERROR(VLOOKUP(D542,MATERIALES!A:B,2,FALSE()),"?")</f>
        <v>CONSUMIBLES (varios)</v>
      </c>
      <c r="F542" s="129" t="str">
        <f>IFERROR(VLOOKUP(D542,MATERIALES!A:C,3,FALSE()),"?")</f>
        <v>gl</v>
      </c>
      <c r="G542" s="119">
        <v>126.45123966942199</v>
      </c>
      <c r="H542" s="120">
        <v>0</v>
      </c>
      <c r="I542" s="96">
        <f>IFERROR(VLOOKUP(D542,MATERIALES!A:D,4,FALSE()),0)</f>
        <v>1</v>
      </c>
      <c r="J542" s="31">
        <f t="shared" si="232"/>
        <v>126.45123966942199</v>
      </c>
      <c r="K542" s="32" t="str">
        <f t="shared" si="230"/>
        <v>CUB-071|MAT</v>
      </c>
      <c r="L542" s="32">
        <f>COUNTIFS($K$2:K542,K542)</f>
        <v>3</v>
      </c>
      <c r="M542" s="32" t="str">
        <f t="shared" si="224"/>
        <v>CUB-071|MAT|3</v>
      </c>
      <c r="N542" s="121">
        <f>IFERROR(VLOOKUP(A542,PARTIDAS!A:F,6,FALSE()),0)</f>
        <v>50</v>
      </c>
      <c r="O542" s="123">
        <f t="shared" si="221"/>
        <v>0</v>
      </c>
      <c r="P542" s="123" t="str">
        <f>+_xlfn.XLOOKUP(A542,PPTO_GENERADOR!Q:Q,PPTO_GENERADOR!E:E,"-",0)</f>
        <v>-</v>
      </c>
      <c r="Q542" s="123">
        <f t="shared" si="222"/>
        <v>0</v>
      </c>
      <c r="R542" s="125" t="str">
        <f>+_xlfn.XLOOKUP(A542,PPTO_GENERADOR!$Q:$Q,PPTO_GENERADOR!A:A,"-",0)</f>
        <v>-</v>
      </c>
    </row>
    <row r="543" spans="1:18" ht="14.25" customHeight="1" x14ac:dyDescent="0.35">
      <c r="A543" s="105" t="s">
        <v>1910</v>
      </c>
      <c r="B543" s="105" t="s">
        <v>1983</v>
      </c>
      <c r="C543" s="105"/>
      <c r="D543" s="105" t="s">
        <v>1311</v>
      </c>
      <c r="E543" s="95" t="str">
        <f>IFERROR(VLOOKUP(D543,EQUIPOS!A:B,2,FALSE()),"?")</f>
        <v>ESCALERA GLOSS ALUMINIO ARTICULADA 4 X 4 ESCALONES HASTA 150KG</v>
      </c>
      <c r="F543" s="129"/>
      <c r="G543" s="119">
        <v>1</v>
      </c>
      <c r="H543" s="120">
        <v>0</v>
      </c>
      <c r="I543" s="96">
        <f>IFERROR(VLOOKUP(D543,EQUIPOS!A:F,6,FALSE()),0)</f>
        <v>152.38027427373819</v>
      </c>
      <c r="J543" s="31">
        <f t="shared" ref="J543:J544" si="233">G543*I543</f>
        <v>152.38027427373819</v>
      </c>
      <c r="K543" s="32" t="str">
        <f t="shared" si="230"/>
        <v>CUB-071|EQ</v>
      </c>
      <c r="L543" s="32">
        <f>COUNTIFS($K$2:K543,K543)</f>
        <v>1</v>
      </c>
      <c r="M543" s="32" t="str">
        <f t="shared" si="224"/>
        <v>CUB-071|EQ|1</v>
      </c>
      <c r="N543" s="121">
        <f>IFERROR(VLOOKUP(A543,PARTIDAS!A:F,6,FALSE()),0)</f>
        <v>50</v>
      </c>
      <c r="O543" s="123">
        <f t="shared" si="221"/>
        <v>0</v>
      </c>
      <c r="P543" s="123" t="str">
        <f>+_xlfn.XLOOKUP(A543,PPTO_GENERADOR!Q:Q,PPTO_GENERADOR!E:E,"-",0)</f>
        <v>-</v>
      </c>
      <c r="Q543" s="123">
        <f t="shared" si="222"/>
        <v>0</v>
      </c>
      <c r="R543" s="125" t="str">
        <f>+_xlfn.XLOOKUP(A543,PPTO_GENERADOR!$Q:$Q,PPTO_GENERADOR!A:A,"-",0)</f>
        <v>-</v>
      </c>
    </row>
    <row r="544" spans="1:18" ht="14.25" customHeight="1" x14ac:dyDescent="0.35">
      <c r="A544" s="105" t="s">
        <v>1910</v>
      </c>
      <c r="B544" s="105" t="s">
        <v>1983</v>
      </c>
      <c r="C544" s="105"/>
      <c r="D544" s="105" t="s">
        <v>1327</v>
      </c>
      <c r="E544" s="95" t="str">
        <f>IFERROR(VLOOKUP(D544,EQUIPOS!A:B,2,FALSE()),"?")</f>
        <v>EQUIPO PARA PINTAR</v>
      </c>
      <c r="F544" s="129"/>
      <c r="G544" s="119">
        <v>1</v>
      </c>
      <c r="H544" s="120">
        <v>0</v>
      </c>
      <c r="I544" s="96">
        <f>IFERROR(VLOOKUP(D544,EQUIPOS!A:F,6,FALSE()),0)</f>
        <v>1873.3963608356808</v>
      </c>
      <c r="J544" s="31">
        <f t="shared" si="233"/>
        <v>1873.3963608356808</v>
      </c>
      <c r="K544" s="32" t="str">
        <f t="shared" si="230"/>
        <v>CUB-071|EQ</v>
      </c>
      <c r="L544" s="32">
        <f>COUNTIFS($K$2:K544,K544)</f>
        <v>2</v>
      </c>
      <c r="M544" s="32" t="str">
        <f t="shared" si="224"/>
        <v>CUB-071|EQ|2</v>
      </c>
      <c r="N544" s="121">
        <f>IFERROR(VLOOKUP(A544,PARTIDAS!A:F,6,FALSE()),0)</f>
        <v>50</v>
      </c>
      <c r="O544" s="123">
        <f t="shared" si="221"/>
        <v>0</v>
      </c>
      <c r="P544" s="123" t="str">
        <f>+_xlfn.XLOOKUP(A544,PPTO_GENERADOR!Q:Q,PPTO_GENERADOR!E:E,"-",0)</f>
        <v>-</v>
      </c>
      <c r="Q544" s="123">
        <f t="shared" si="222"/>
        <v>0</v>
      </c>
      <c r="R544" s="125" t="str">
        <f>+_xlfn.XLOOKUP(A544,PPTO_GENERADOR!$Q:$Q,PPTO_GENERADOR!A:A,"-",0)</f>
        <v>-</v>
      </c>
    </row>
    <row r="545" spans="1:18" ht="14.25" customHeight="1" x14ac:dyDescent="0.35">
      <c r="A545" s="105" t="s">
        <v>1910</v>
      </c>
      <c r="B545" s="105" t="s">
        <v>1979</v>
      </c>
      <c r="C545" s="105" t="s">
        <v>1980</v>
      </c>
      <c r="D545" s="105" t="s">
        <v>2038</v>
      </c>
      <c r="E545" s="95" t="str">
        <f>IFERROR(VLOOKUP(D545,MANO_DE_OBRA!A:B,2,FALSE()),"?")</f>
        <v>AYUDANTE</v>
      </c>
      <c r="F545" s="129" t="s">
        <v>2042</v>
      </c>
      <c r="G545" s="119">
        <v>1</v>
      </c>
      <c r="H545" s="120">
        <v>0</v>
      </c>
      <c r="I545" s="96">
        <f>IFERROR(VLOOKUP(D545,MANO_DE_OBRA!A:C,3,FALSE()),0)</f>
        <v>67240.498860267602</v>
      </c>
      <c r="J545" s="31">
        <f t="shared" ref="J545:J546" si="234">G545*I545</f>
        <v>67240.498860267602</v>
      </c>
      <c r="K545" s="32" t="str">
        <f t="shared" si="230"/>
        <v>CUB-071|MO</v>
      </c>
      <c r="L545" s="32">
        <f>COUNTIFS($K$2:K545,K545)</f>
        <v>1</v>
      </c>
      <c r="M545" s="32" t="str">
        <f t="shared" si="224"/>
        <v>CUB-071|MO|1</v>
      </c>
      <c r="N545" s="121">
        <f>IFERROR(VLOOKUP(A545,PARTIDAS!A:F,6,FALSE()),0)</f>
        <v>50</v>
      </c>
      <c r="O545" s="123">
        <f t="shared" si="221"/>
        <v>0.02</v>
      </c>
      <c r="P545" s="123" t="str">
        <f>+_xlfn.XLOOKUP(A545,PPTO_GENERADOR!Q:Q,PPTO_GENERADOR!E:E,"-",0)</f>
        <v>-</v>
      </c>
      <c r="Q545" s="123">
        <f t="shared" si="222"/>
        <v>0</v>
      </c>
      <c r="R545" s="125" t="str">
        <f>+_xlfn.XLOOKUP(A545,PPTO_GENERADOR!$Q:$Q,PPTO_GENERADOR!A:A,"-",0)</f>
        <v>-</v>
      </c>
    </row>
    <row r="546" spans="1:18" ht="14.25" customHeight="1" x14ac:dyDescent="0.35">
      <c r="A546" s="105" t="s">
        <v>1910</v>
      </c>
      <c r="B546" s="105" t="s">
        <v>1979</v>
      </c>
      <c r="C546" s="105" t="s">
        <v>1980</v>
      </c>
      <c r="D546" s="105" t="s">
        <v>1292</v>
      </c>
      <c r="E546" s="95" t="str">
        <f>IFERROR(VLOOKUP(D546,MANO_DE_OBRA!A:B,2,FALSE()),"?")</f>
        <v>ESPECIALIZADO</v>
      </c>
      <c r="F546" s="129" t="s">
        <v>2042</v>
      </c>
      <c r="G546" s="119">
        <v>1</v>
      </c>
      <c r="H546" s="120">
        <v>0</v>
      </c>
      <c r="I546" s="96">
        <f>IFERROR(VLOOKUP(D546,MANO_DE_OBRA!A:C,3,FALSE()),0)</f>
        <v>94177.137883538904</v>
      </c>
      <c r="J546" s="31">
        <f t="shared" si="234"/>
        <v>94177.137883538904</v>
      </c>
      <c r="K546" s="32" t="str">
        <f t="shared" si="230"/>
        <v>CUB-071|MO</v>
      </c>
      <c r="L546" s="32">
        <f>COUNTIFS($K$2:K546,K546)</f>
        <v>2</v>
      </c>
      <c r="M546" s="32" t="str">
        <f t="shared" si="224"/>
        <v>CUB-071|MO|2</v>
      </c>
      <c r="N546" s="121">
        <f>IFERROR(VLOOKUP(A546,PARTIDAS!A:F,6,FALSE()),0)</f>
        <v>50</v>
      </c>
      <c r="O546" s="123">
        <f t="shared" si="221"/>
        <v>0.02</v>
      </c>
      <c r="P546" s="123" t="str">
        <f>+_xlfn.XLOOKUP(A546,PPTO_GENERADOR!Q:Q,PPTO_GENERADOR!E:E,"-",0)</f>
        <v>-</v>
      </c>
      <c r="Q546" s="123">
        <f t="shared" si="222"/>
        <v>0</v>
      </c>
      <c r="R546" s="125" t="str">
        <f>+_xlfn.XLOOKUP(A546,PPTO_GENERADOR!$Q:$Q,PPTO_GENERADOR!A:A,"-",0)</f>
        <v>-</v>
      </c>
    </row>
    <row r="547" spans="1:18" ht="14.25" customHeight="1" x14ac:dyDescent="0.35">
      <c r="A547" s="105" t="s">
        <v>1914</v>
      </c>
      <c r="B547" s="105" t="s">
        <v>1981</v>
      </c>
      <c r="C547" s="105" t="s">
        <v>1982</v>
      </c>
      <c r="D547" s="105" t="s">
        <v>1054</v>
      </c>
      <c r="E547" s="95" t="str">
        <f>IFERROR(VLOOKUP(D547,MATERIALES!A:B,2,FALSE()),"?")</f>
        <v>Revoque Cementicio Exterior 3en1</v>
      </c>
      <c r="F547" s="129" t="str">
        <f>IFERROR(VLOOKUP(D547,MATERIALES!A:C,3,FALSE()),"?")</f>
        <v>bol</v>
      </c>
      <c r="G547" s="119">
        <v>1.5</v>
      </c>
      <c r="H547" s="120">
        <v>0.1</v>
      </c>
      <c r="I547" s="96">
        <f>IFERROR(VLOOKUP(D547,MATERIALES!A:D,4,FALSE()),0)</f>
        <v>7607.88</v>
      </c>
      <c r="J547" s="31">
        <f t="shared" ref="J547:J548" si="235">G547*I547*(1+H547)</f>
        <v>12553.002</v>
      </c>
      <c r="K547" s="32" t="str">
        <f t="shared" si="230"/>
        <v>AIS-072|MAT</v>
      </c>
      <c r="L547" s="32">
        <f>COUNTIFS($K$2:K547,K547)</f>
        <v>1</v>
      </c>
      <c r="M547" s="32" t="str">
        <f t="shared" si="224"/>
        <v>AIS-072|MAT|1</v>
      </c>
      <c r="N547" s="121">
        <f>IFERROR(VLOOKUP(A547,PARTIDAS!A:F,6,FALSE()),0)</f>
        <v>35</v>
      </c>
      <c r="O547" s="123">
        <f t="shared" si="221"/>
        <v>0</v>
      </c>
      <c r="P547" s="123" t="str">
        <f>+_xlfn.XLOOKUP(A547,PPTO_GENERADOR!Q:Q,PPTO_GENERADOR!E:E,"-",0)</f>
        <v>-</v>
      </c>
      <c r="Q547" s="123">
        <f t="shared" si="222"/>
        <v>0</v>
      </c>
      <c r="R547" s="125" t="str">
        <f>+_xlfn.XLOOKUP(A547,PPTO_GENERADOR!$Q:$Q,PPTO_GENERADOR!A:A,"-",0)</f>
        <v>-</v>
      </c>
    </row>
    <row r="548" spans="1:18" ht="14.25" customHeight="1" x14ac:dyDescent="0.35">
      <c r="A548" s="105" t="s">
        <v>1914</v>
      </c>
      <c r="B548" s="105" t="s">
        <v>1981</v>
      </c>
      <c r="C548" s="105" t="s">
        <v>1982</v>
      </c>
      <c r="D548" s="105" t="s">
        <v>1056</v>
      </c>
      <c r="E548" s="95" t="str">
        <f>IFERROR(VLOOKUP(D548,MATERIALES!A:B,2,FALSE()),"?")</f>
        <v>Conjunto rotor estator Yeso ASE</v>
      </c>
      <c r="F548" s="129" t="str">
        <f>IFERROR(VLOOKUP(D548,MATERIALES!A:C,3,FALSE()),"?")</f>
        <v>u</v>
      </c>
      <c r="G548" s="119">
        <v>1E-3</v>
      </c>
      <c r="H548" s="120">
        <v>0</v>
      </c>
      <c r="I548" s="96">
        <f>IFERROR(VLOOKUP(D548,MATERIALES!A:D,4,FALSE()),0)</f>
        <v>465850</v>
      </c>
      <c r="J548" s="31">
        <f t="shared" si="235"/>
        <v>465.85</v>
      </c>
      <c r="K548" s="32" t="str">
        <f t="shared" si="230"/>
        <v>AIS-072|MAT</v>
      </c>
      <c r="L548" s="32">
        <f>COUNTIFS($K$2:K548,K548)</f>
        <v>2</v>
      </c>
      <c r="M548" s="32" t="str">
        <f t="shared" si="224"/>
        <v>AIS-072|MAT|2</v>
      </c>
      <c r="N548" s="121">
        <f>IFERROR(VLOOKUP(A548,PARTIDAS!A:F,6,FALSE()),0)</f>
        <v>35</v>
      </c>
      <c r="O548" s="123">
        <f t="shared" si="221"/>
        <v>0</v>
      </c>
      <c r="P548" s="123" t="str">
        <f>+_xlfn.XLOOKUP(A548,PPTO_GENERADOR!Q:Q,PPTO_GENERADOR!E:E,"-",0)</f>
        <v>-</v>
      </c>
      <c r="Q548" s="123">
        <f t="shared" si="222"/>
        <v>0</v>
      </c>
      <c r="R548" s="125" t="str">
        <f>+_xlfn.XLOOKUP(A548,PPTO_GENERADOR!$Q:$Q,PPTO_GENERADOR!A:A,"-",0)</f>
        <v>-</v>
      </c>
    </row>
    <row r="549" spans="1:18" ht="14.25" customHeight="1" x14ac:dyDescent="0.35">
      <c r="A549" s="105" t="s">
        <v>1914</v>
      </c>
      <c r="B549" s="105" t="s">
        <v>1983</v>
      </c>
      <c r="C549" s="105"/>
      <c r="D549" s="105" t="s">
        <v>1313</v>
      </c>
      <c r="E549" s="95" t="str">
        <f>IFERROR(VLOOKUP(D549,EQUIPOS!A:B,2,FALSE()),"?")</f>
        <v>ANDAMIO TUBULAR DE UNO A TRES CUERPOS</v>
      </c>
      <c r="F549" s="129"/>
      <c r="G549" s="119">
        <v>1</v>
      </c>
      <c r="H549" s="120">
        <v>0</v>
      </c>
      <c r="I549" s="96">
        <f>IFERROR(VLOOKUP(D549,EQUIPOS!A:F,6,FALSE()),0)</f>
        <v>620.81078197718341</v>
      </c>
      <c r="J549" s="31">
        <f t="shared" ref="J549:J551" si="236">G549*I549</f>
        <v>620.81078197718341</v>
      </c>
      <c r="K549" s="32" t="str">
        <f t="shared" si="230"/>
        <v>AIS-072|EQ</v>
      </c>
      <c r="L549" s="32">
        <f>COUNTIFS($K$2:K549,K549)</f>
        <v>1</v>
      </c>
      <c r="M549" s="32" t="str">
        <f t="shared" si="224"/>
        <v>AIS-072|EQ|1</v>
      </c>
      <c r="N549" s="121">
        <f>IFERROR(VLOOKUP(A549,PARTIDAS!A:F,6,FALSE()),0)</f>
        <v>35</v>
      </c>
      <c r="O549" s="123">
        <f t="shared" si="221"/>
        <v>0</v>
      </c>
      <c r="P549" s="123" t="str">
        <f>+_xlfn.XLOOKUP(A549,PPTO_GENERADOR!Q:Q,PPTO_GENERADOR!E:E,"-",0)</f>
        <v>-</v>
      </c>
      <c r="Q549" s="123">
        <f t="shared" si="222"/>
        <v>0</v>
      </c>
      <c r="R549" s="125" t="str">
        <f>+_xlfn.XLOOKUP(A549,PPTO_GENERADOR!$Q:$Q,PPTO_GENERADOR!A:A,"-",0)</f>
        <v>-</v>
      </c>
    </row>
    <row r="550" spans="1:18" ht="14.25" customHeight="1" x14ac:dyDescent="0.35">
      <c r="A550" s="105" t="s">
        <v>1914</v>
      </c>
      <c r="B550" s="105" t="s">
        <v>1983</v>
      </c>
      <c r="C550" s="105"/>
      <c r="D550" s="105" t="s">
        <v>1319</v>
      </c>
      <c r="E550" s="95" t="str">
        <f>IFERROR(VLOOKUP(D550,EQUIPOS!A:B,2,FALSE()),"?")</f>
        <v>EQUIPO DE ALBAÑILERIA, carpetas, ladrillo</v>
      </c>
      <c r="F550" s="129"/>
      <c r="G550" s="119">
        <v>1</v>
      </c>
      <c r="H550" s="120">
        <v>0</v>
      </c>
      <c r="I550" s="96">
        <f>IFERROR(VLOOKUP(D550,EQUIPOS!A:F,6,FALSE()),0)</f>
        <v>2485.8709964593982</v>
      </c>
      <c r="J550" s="31">
        <f t="shared" si="236"/>
        <v>2485.8709964593982</v>
      </c>
      <c r="K550" s="32" t="str">
        <f t="shared" si="230"/>
        <v>AIS-072|EQ</v>
      </c>
      <c r="L550" s="32">
        <f>COUNTIFS($K$2:K550,K550)</f>
        <v>2</v>
      </c>
      <c r="M550" s="32" t="str">
        <f t="shared" si="224"/>
        <v>AIS-072|EQ|2</v>
      </c>
      <c r="N550" s="121">
        <f>IFERROR(VLOOKUP(A550,PARTIDAS!A:F,6,FALSE()),0)</f>
        <v>35</v>
      </c>
      <c r="O550" s="123">
        <f t="shared" si="221"/>
        <v>0</v>
      </c>
      <c r="P550" s="123" t="str">
        <f>+_xlfn.XLOOKUP(A550,PPTO_GENERADOR!Q:Q,PPTO_GENERADOR!E:E,"-",0)</f>
        <v>-</v>
      </c>
      <c r="Q550" s="123">
        <f t="shared" si="222"/>
        <v>0</v>
      </c>
      <c r="R550" s="125" t="str">
        <f>+_xlfn.XLOOKUP(A550,PPTO_GENERADOR!$Q:$Q,PPTO_GENERADOR!A:A,"-",0)</f>
        <v>-</v>
      </c>
    </row>
    <row r="551" spans="1:18" ht="14.25" customHeight="1" x14ac:dyDescent="0.35">
      <c r="A551" s="105" t="s">
        <v>1914</v>
      </c>
      <c r="B551" s="105" t="s">
        <v>1983</v>
      </c>
      <c r="C551" s="105"/>
      <c r="D551" s="105" t="s">
        <v>1515</v>
      </c>
      <c r="E551" s="95" t="str">
        <f>IFERROR(VLOOKUP(D551,EQUIPOS!A:B,2,FALSE()),"?")</f>
        <v>Máquina revocadora Yeso/Revoque 3-en-1</v>
      </c>
      <c r="F551" s="129"/>
      <c r="G551" s="119">
        <v>1</v>
      </c>
      <c r="H551" s="120">
        <v>0</v>
      </c>
      <c r="I551" s="96">
        <f>IFERROR(VLOOKUP(D551,EQUIPOS!A:F,6,FALSE()),0)</f>
        <v>41000.000016399994</v>
      </c>
      <c r="J551" s="31">
        <f t="shared" si="236"/>
        <v>41000.000016399994</v>
      </c>
      <c r="K551" s="32" t="str">
        <f t="shared" si="230"/>
        <v>AIS-072|EQ</v>
      </c>
      <c r="L551" s="32">
        <f>COUNTIFS($K$2:K551,K551)</f>
        <v>3</v>
      </c>
      <c r="M551" s="32" t="str">
        <f t="shared" si="224"/>
        <v>AIS-072|EQ|3</v>
      </c>
      <c r="N551" s="121">
        <f>IFERROR(VLOOKUP(A551,PARTIDAS!A:F,6,FALSE()),0)</f>
        <v>35</v>
      </c>
      <c r="O551" s="123">
        <f t="shared" si="221"/>
        <v>0</v>
      </c>
      <c r="P551" s="123" t="str">
        <f>+_xlfn.XLOOKUP(A551,PPTO_GENERADOR!Q:Q,PPTO_GENERADOR!E:E,"-",0)</f>
        <v>-</v>
      </c>
      <c r="Q551" s="123">
        <f t="shared" si="222"/>
        <v>0</v>
      </c>
      <c r="R551" s="125" t="str">
        <f>+_xlfn.XLOOKUP(A551,PPTO_GENERADOR!$Q:$Q,PPTO_GENERADOR!A:A,"-",0)</f>
        <v>-</v>
      </c>
    </row>
    <row r="552" spans="1:18" ht="14.25" customHeight="1" x14ac:dyDescent="0.35">
      <c r="A552" s="105" t="s">
        <v>1914</v>
      </c>
      <c r="B552" s="105" t="s">
        <v>1979</v>
      </c>
      <c r="C552" s="105" t="s">
        <v>1980</v>
      </c>
      <c r="D552" s="105" t="s">
        <v>1292</v>
      </c>
      <c r="E552" s="95" t="str">
        <f>IFERROR(VLOOKUP(D552,MANO_DE_OBRA!A:B,2,FALSE()),"?")</f>
        <v>ESPECIALIZADO</v>
      </c>
      <c r="F552" s="129" t="s">
        <v>2042</v>
      </c>
      <c r="G552" s="119">
        <v>1</v>
      </c>
      <c r="H552" s="120">
        <v>0</v>
      </c>
      <c r="I552" s="96">
        <f>IFERROR(VLOOKUP(D552,MANO_DE_OBRA!A:C,3,FALSE()),0)</f>
        <v>94177.137883538904</v>
      </c>
      <c r="J552" s="31">
        <f t="shared" ref="J552:J554" si="237">G552*I552</f>
        <v>94177.137883538904</v>
      </c>
      <c r="K552" s="32" t="str">
        <f t="shared" si="230"/>
        <v>AIS-072|MO</v>
      </c>
      <c r="L552" s="32">
        <f>COUNTIFS($K$2:K552,K552)</f>
        <v>1</v>
      </c>
      <c r="M552" s="32" t="str">
        <f t="shared" si="224"/>
        <v>AIS-072|MO|1</v>
      </c>
      <c r="N552" s="121">
        <f>IFERROR(VLOOKUP(A552,PARTIDAS!A:F,6,FALSE()),0)</f>
        <v>35</v>
      </c>
      <c r="O552" s="123">
        <f t="shared" si="221"/>
        <v>2.8571428571428571E-2</v>
      </c>
      <c r="P552" s="123" t="str">
        <f>+_xlfn.XLOOKUP(A552,PPTO_GENERADOR!Q:Q,PPTO_GENERADOR!E:E,"-",0)</f>
        <v>-</v>
      </c>
      <c r="Q552" s="123">
        <f t="shared" si="222"/>
        <v>0</v>
      </c>
      <c r="R552" s="125" t="str">
        <f>+_xlfn.XLOOKUP(A552,PPTO_GENERADOR!$Q:$Q,PPTO_GENERADOR!A:A,"-",0)</f>
        <v>-</v>
      </c>
    </row>
    <row r="553" spans="1:18" ht="14.25" customHeight="1" x14ac:dyDescent="0.35">
      <c r="A553" s="105" t="s">
        <v>1914</v>
      </c>
      <c r="B553" s="105" t="s">
        <v>1979</v>
      </c>
      <c r="C553" s="105" t="s">
        <v>1980</v>
      </c>
      <c r="D553" s="105" t="s">
        <v>2038</v>
      </c>
      <c r="E553" s="95" t="str">
        <f>IFERROR(VLOOKUP(D553,MANO_DE_OBRA!A:B,2,FALSE()),"?")</f>
        <v>AYUDANTE</v>
      </c>
      <c r="F553" s="129" t="s">
        <v>2042</v>
      </c>
      <c r="G553" s="119">
        <v>1.5</v>
      </c>
      <c r="H553" s="120">
        <v>0</v>
      </c>
      <c r="I553" s="96">
        <f>IFERROR(VLOOKUP(D553,MANO_DE_OBRA!A:C,3,FALSE()),0)</f>
        <v>67240.498860267602</v>
      </c>
      <c r="J553" s="31">
        <f t="shared" si="237"/>
        <v>100860.7482904014</v>
      </c>
      <c r="K553" s="32" t="str">
        <f t="shared" si="230"/>
        <v>AIS-072|MO</v>
      </c>
      <c r="L553" s="32">
        <f>COUNTIFS($K$2:K553,K553)</f>
        <v>2</v>
      </c>
      <c r="M553" s="32" t="str">
        <f t="shared" si="224"/>
        <v>AIS-072|MO|2</v>
      </c>
      <c r="N553" s="121">
        <f>IFERROR(VLOOKUP(A553,PARTIDAS!A:F,6,FALSE()),0)</f>
        <v>35</v>
      </c>
      <c r="O553" s="123">
        <f t="shared" si="221"/>
        <v>4.2857142857142858E-2</v>
      </c>
      <c r="P553" s="123" t="str">
        <f>+_xlfn.XLOOKUP(A553,PPTO_GENERADOR!Q:Q,PPTO_GENERADOR!E:E,"-",0)</f>
        <v>-</v>
      </c>
      <c r="Q553" s="123">
        <f t="shared" si="222"/>
        <v>0</v>
      </c>
      <c r="R553" s="125" t="str">
        <f>+_xlfn.XLOOKUP(A553,PPTO_GENERADOR!$Q:$Q,PPTO_GENERADOR!A:A,"-",0)</f>
        <v>-</v>
      </c>
    </row>
    <row r="554" spans="1:18" ht="14.25" customHeight="1" x14ac:dyDescent="0.35">
      <c r="A554" s="105" t="s">
        <v>1914</v>
      </c>
      <c r="B554" s="105" t="s">
        <v>1979</v>
      </c>
      <c r="C554" s="105" t="s">
        <v>1980</v>
      </c>
      <c r="D554" s="105" t="s">
        <v>1288</v>
      </c>
      <c r="E554" s="95" t="str">
        <f>IFERROR(VLOOKUP(D554,MANO_DE_OBRA!A:B,2,FALSE()),"?")</f>
        <v>MEDIO OFICIAL</v>
      </c>
      <c r="F554" s="129" t="s">
        <v>2042</v>
      </c>
      <c r="G554" s="119">
        <v>1</v>
      </c>
      <c r="H554" s="120">
        <v>0</v>
      </c>
      <c r="I554" s="96">
        <f>IFERROR(VLOOKUP(D554,MANO_DE_OBRA!A:C,3,FALSE()),0)</f>
        <v>72132.138365590101</v>
      </c>
      <c r="J554" s="31">
        <f t="shared" si="237"/>
        <v>72132.138365590101</v>
      </c>
      <c r="K554" s="32" t="str">
        <f t="shared" si="230"/>
        <v>AIS-072|MO</v>
      </c>
      <c r="L554" s="32">
        <f>COUNTIFS($K$2:K554,K554)</f>
        <v>3</v>
      </c>
      <c r="M554" s="32" t="str">
        <f t="shared" si="224"/>
        <v>AIS-072|MO|3</v>
      </c>
      <c r="N554" s="121">
        <f>IFERROR(VLOOKUP(A554,PARTIDAS!A:F,6,FALSE()),0)</f>
        <v>35</v>
      </c>
      <c r="O554" s="123">
        <f t="shared" si="221"/>
        <v>2.8571428571428571E-2</v>
      </c>
      <c r="P554" s="123" t="str">
        <f>+_xlfn.XLOOKUP(A554,PPTO_GENERADOR!Q:Q,PPTO_GENERADOR!E:E,"-",0)</f>
        <v>-</v>
      </c>
      <c r="Q554" s="123">
        <f t="shared" si="222"/>
        <v>0</v>
      </c>
      <c r="R554" s="125" t="str">
        <f>+_xlfn.XLOOKUP(A554,PPTO_GENERADOR!$Q:$Q,PPTO_GENERADOR!A:A,"-",0)</f>
        <v>-</v>
      </c>
    </row>
    <row r="555" spans="1:18" ht="14.25" customHeight="1" x14ac:dyDescent="0.35">
      <c r="A555" s="105" t="s">
        <v>1918</v>
      </c>
      <c r="B555" s="105" t="s">
        <v>1981</v>
      </c>
      <c r="C555" s="105" t="s">
        <v>1982</v>
      </c>
      <c r="D555" s="105" t="s">
        <v>586</v>
      </c>
      <c r="E555" s="95" t="str">
        <f>IFERROR(VLOOKUP(D555,MATERIALES!A:B,2,FALSE()),"?")</f>
        <v>Trapo</v>
      </c>
      <c r="F555" s="129">
        <f>IFERROR(VLOOKUP(D555,MATERIALES!A:C,3,FALSE()),"?")</f>
        <v>0</v>
      </c>
      <c r="G555" s="119">
        <v>0.03</v>
      </c>
      <c r="H555" s="120">
        <v>0.05</v>
      </c>
      <c r="I555" s="96">
        <f>IFERROR(VLOOKUP(D555,MATERIALES!A:D,4,FALSE()),0)</f>
        <v>1182.6446280991699</v>
      </c>
      <c r="J555" s="31">
        <f t="shared" ref="J555:J561" si="238">G555*I555*(1+H555)</f>
        <v>37.25330578512385</v>
      </c>
      <c r="K555" s="32" t="str">
        <f t="shared" si="230"/>
        <v>AIS-073|MAT</v>
      </c>
      <c r="L555" s="32">
        <f>COUNTIFS($K$2:K555,K555)</f>
        <v>1</v>
      </c>
      <c r="M555" s="32" t="str">
        <f t="shared" si="224"/>
        <v>AIS-073|MAT|1</v>
      </c>
      <c r="N555" s="121">
        <f>IFERROR(VLOOKUP(A555,PARTIDAS!A:F,6,FALSE()),0)</f>
        <v>20</v>
      </c>
      <c r="O555" s="123">
        <f t="shared" si="221"/>
        <v>0</v>
      </c>
      <c r="P555" s="123" t="str">
        <f>+_xlfn.XLOOKUP(A555,PPTO_GENERADOR!Q:Q,PPTO_GENERADOR!E:E,"-",0)</f>
        <v>-</v>
      </c>
      <c r="Q555" s="123">
        <f t="shared" si="222"/>
        <v>0</v>
      </c>
      <c r="R555" s="125" t="str">
        <f>+_xlfn.XLOOKUP(A555,PPTO_GENERADOR!$Q:$Q,PPTO_GENERADOR!A:A,"-",0)</f>
        <v>-</v>
      </c>
    </row>
    <row r="556" spans="1:18" ht="14.25" customHeight="1" x14ac:dyDescent="0.35">
      <c r="A556" s="105" t="s">
        <v>1918</v>
      </c>
      <c r="B556" s="105" t="s">
        <v>1981</v>
      </c>
      <c r="C556" s="105" t="s">
        <v>1982</v>
      </c>
      <c r="D556" s="105" t="s">
        <v>1050</v>
      </c>
      <c r="E556" s="95" t="str">
        <f>IFERROR(VLOOKUP(D556,MATERIALES!A:B,2,FALSE()),"?")</f>
        <v>Cinta de Papel - 75m</v>
      </c>
      <c r="F556" s="129" t="str">
        <f>IFERROR(VLOOKUP(D556,MATERIALES!A:C,3,FALSE()),"?")</f>
        <v>u</v>
      </c>
      <c r="G556" s="119">
        <v>0.05</v>
      </c>
      <c r="H556" s="120">
        <v>0.1</v>
      </c>
      <c r="I556" s="96">
        <f>IFERROR(VLOOKUP(D556,MATERIALES!A:D,4,FALSE()),0)</f>
        <v>6933.12</v>
      </c>
      <c r="J556" s="31">
        <f t="shared" si="238"/>
        <v>381.32160000000005</v>
      </c>
      <c r="K556" s="32" t="str">
        <f t="shared" si="230"/>
        <v>AIS-073|MAT</v>
      </c>
      <c r="L556" s="32">
        <f>COUNTIFS($K$2:K556,K556)</f>
        <v>2</v>
      </c>
      <c r="M556" s="32" t="str">
        <f t="shared" si="224"/>
        <v>AIS-073|MAT|2</v>
      </c>
      <c r="N556" s="121">
        <f>IFERROR(VLOOKUP(A556,PARTIDAS!A:F,6,FALSE()),0)</f>
        <v>20</v>
      </c>
      <c r="O556" s="123">
        <f t="shared" si="221"/>
        <v>0</v>
      </c>
      <c r="P556" s="123" t="str">
        <f>+_xlfn.XLOOKUP(A556,PPTO_GENERADOR!Q:Q,PPTO_GENERADOR!E:E,"-",0)</f>
        <v>-</v>
      </c>
      <c r="Q556" s="123">
        <f t="shared" si="222"/>
        <v>0</v>
      </c>
      <c r="R556" s="125" t="str">
        <f>+_xlfn.XLOOKUP(A556,PPTO_GENERADOR!$Q:$Q,PPTO_GENERADOR!A:A,"-",0)</f>
        <v>-</v>
      </c>
    </row>
    <row r="557" spans="1:18" ht="14.25" customHeight="1" x14ac:dyDescent="0.35">
      <c r="A557" s="105" t="s">
        <v>1918</v>
      </c>
      <c r="B557" s="105" t="s">
        <v>1981</v>
      </c>
      <c r="C557" s="105" t="s">
        <v>1982</v>
      </c>
      <c r="D557" s="105" t="s">
        <v>582</v>
      </c>
      <c r="E557" s="95" t="str">
        <f>IFERROR(VLOOKUP(D557,MATERIALES!A:B,2,FALSE()),"?")</f>
        <v>Lija 180 al agua x 10u</v>
      </c>
      <c r="F557" s="129">
        <f>IFERROR(VLOOKUP(D557,MATERIALES!A:C,3,FALSE()),"?")</f>
        <v>0</v>
      </c>
      <c r="G557" s="119">
        <v>0.01</v>
      </c>
      <c r="H557" s="120">
        <v>0.05</v>
      </c>
      <c r="I557" s="96">
        <f>IFERROR(VLOOKUP(D557,MATERIALES!A:D,4,FALSE()),0)</f>
        <v>7917.3553719008296</v>
      </c>
      <c r="J557" s="31">
        <f t="shared" si="238"/>
        <v>83.132231404958716</v>
      </c>
      <c r="K557" s="32" t="str">
        <f t="shared" si="230"/>
        <v>AIS-073|MAT</v>
      </c>
      <c r="L557" s="32">
        <f>COUNTIFS($K$2:K557,K557)</f>
        <v>3</v>
      </c>
      <c r="M557" s="32" t="str">
        <f t="shared" si="224"/>
        <v>AIS-073|MAT|3</v>
      </c>
      <c r="N557" s="121">
        <f>IFERROR(VLOOKUP(A557,PARTIDAS!A:F,6,FALSE()),0)</f>
        <v>20</v>
      </c>
      <c r="O557" s="123">
        <f t="shared" si="221"/>
        <v>0</v>
      </c>
      <c r="P557" s="123" t="str">
        <f>+_xlfn.XLOOKUP(A557,PPTO_GENERADOR!Q:Q,PPTO_GENERADOR!E:E,"-",0)</f>
        <v>-</v>
      </c>
      <c r="Q557" s="123">
        <f t="shared" si="222"/>
        <v>0</v>
      </c>
      <c r="R557" s="125" t="str">
        <f>+_xlfn.XLOOKUP(A557,PPTO_GENERADOR!$Q:$Q,PPTO_GENERADOR!A:A,"-",0)</f>
        <v>-</v>
      </c>
    </row>
    <row r="558" spans="1:18" ht="14.25" customHeight="1" x14ac:dyDescent="0.35">
      <c r="A558" s="105" t="s">
        <v>1918</v>
      </c>
      <c r="B558" s="105" t="s">
        <v>1981</v>
      </c>
      <c r="C558" s="105" t="s">
        <v>1982</v>
      </c>
      <c r="D558" s="105" t="s">
        <v>922</v>
      </c>
      <c r="E558" s="95" t="str">
        <f>IFERROR(VLOOKUP(D558,MATERIALES!A:B,2,FALSE()),"?")</f>
        <v>Rodillo de lana pelo largo N°22 - El Galgo</v>
      </c>
      <c r="F558" s="129" t="str">
        <f>IFERROR(VLOOKUP(D558,MATERIALES!A:C,3,FALSE()),"?")</f>
        <v>u</v>
      </c>
      <c r="G558" s="119">
        <v>5.0000000000000001E-3</v>
      </c>
      <c r="H558" s="120">
        <v>0.05</v>
      </c>
      <c r="I558" s="96">
        <f>IFERROR(VLOOKUP(D558,MATERIALES!A:D,4,FALSE()),0)</f>
        <v>6442.15</v>
      </c>
      <c r="J558" s="31">
        <f t="shared" si="238"/>
        <v>33.821287499999997</v>
      </c>
      <c r="K558" s="32" t="str">
        <f t="shared" si="230"/>
        <v>AIS-073|MAT</v>
      </c>
      <c r="L558" s="32">
        <f>COUNTIFS($K$2:K558,K558)</f>
        <v>4</v>
      </c>
      <c r="M558" s="32" t="str">
        <f t="shared" si="224"/>
        <v>AIS-073|MAT|4</v>
      </c>
      <c r="N558" s="121">
        <f>IFERROR(VLOOKUP(A558,PARTIDAS!A:F,6,FALSE()),0)</f>
        <v>20</v>
      </c>
      <c r="O558" s="123">
        <f t="shared" si="221"/>
        <v>0</v>
      </c>
      <c r="P558" s="123" t="str">
        <f>+_xlfn.XLOOKUP(A558,PPTO_GENERADOR!Q:Q,PPTO_GENERADOR!E:E,"-",0)</f>
        <v>-</v>
      </c>
      <c r="Q558" s="123">
        <f t="shared" si="222"/>
        <v>0</v>
      </c>
      <c r="R558" s="125" t="str">
        <f>+_xlfn.XLOOKUP(A558,PPTO_GENERADOR!$Q:$Q,PPTO_GENERADOR!A:A,"-",0)</f>
        <v>-</v>
      </c>
    </row>
    <row r="559" spans="1:18" ht="14.25" customHeight="1" x14ac:dyDescent="0.35">
      <c r="A559" s="105" t="s">
        <v>1918</v>
      </c>
      <c r="B559" s="105" t="s">
        <v>1981</v>
      </c>
      <c r="C559" s="105" t="s">
        <v>1982</v>
      </c>
      <c r="D559" s="105" t="s">
        <v>1007</v>
      </c>
      <c r="E559" s="95" t="str">
        <f>IFERROR(VLOOKUP(D559,MATERIALES!A:B,2,FALSE()),"?")</f>
        <v>Pincel N° 20 - El Galgo</v>
      </c>
      <c r="F559" s="129" t="str">
        <f>IFERROR(VLOOKUP(D559,MATERIALES!A:C,3,FALSE()),"?")</f>
        <v>u</v>
      </c>
      <c r="G559" s="119">
        <v>5.0000000000000001E-3</v>
      </c>
      <c r="H559" s="120">
        <v>0.05</v>
      </c>
      <c r="I559" s="96">
        <f>IFERROR(VLOOKUP(D559,MATERIALES!A:D,4,FALSE()),0)</f>
        <v>4418.1818181818198</v>
      </c>
      <c r="J559" s="31">
        <f t="shared" si="238"/>
        <v>23.195454545454556</v>
      </c>
      <c r="K559" s="32" t="str">
        <f t="shared" si="230"/>
        <v>AIS-073|MAT</v>
      </c>
      <c r="L559" s="32">
        <f>COUNTIFS($K$2:K559,K559)</f>
        <v>5</v>
      </c>
      <c r="M559" s="32" t="str">
        <f t="shared" si="224"/>
        <v>AIS-073|MAT|5</v>
      </c>
      <c r="N559" s="121">
        <f>IFERROR(VLOOKUP(A559,PARTIDAS!A:F,6,FALSE()),0)</f>
        <v>20</v>
      </c>
      <c r="O559" s="123">
        <f t="shared" si="221"/>
        <v>0</v>
      </c>
      <c r="P559" s="123" t="str">
        <f>+_xlfn.XLOOKUP(A559,PPTO_GENERADOR!Q:Q,PPTO_GENERADOR!E:E,"-",0)</f>
        <v>-</v>
      </c>
      <c r="Q559" s="123">
        <f t="shared" si="222"/>
        <v>0</v>
      </c>
      <c r="R559" s="125" t="str">
        <f>+_xlfn.XLOOKUP(A559,PPTO_GENERADOR!$Q:$Q,PPTO_GENERADOR!A:A,"-",0)</f>
        <v>-</v>
      </c>
    </row>
    <row r="560" spans="1:18" ht="14.25" customHeight="1" x14ac:dyDescent="0.35">
      <c r="A560" s="105" t="s">
        <v>1918</v>
      </c>
      <c r="B560" s="105" t="s">
        <v>1981</v>
      </c>
      <c r="C560" s="105" t="s">
        <v>1982</v>
      </c>
      <c r="D560" s="105" t="s">
        <v>1033</v>
      </c>
      <c r="E560" s="95" t="str">
        <f>IFERROR(VLOOKUP(D560,MATERIALES!A:B,2,FALSE()),"?")</f>
        <v>Rollo de cartón corrugado 0,90 x 25 mts</v>
      </c>
      <c r="F560" s="129" t="str">
        <f>IFERROR(VLOOKUP(D560,MATERIALES!A:C,3,FALSE()),"?")</f>
        <v>u</v>
      </c>
      <c r="G560" s="119">
        <v>0.01</v>
      </c>
      <c r="H560" s="120">
        <v>0.05</v>
      </c>
      <c r="I560" s="96">
        <f>IFERROR(VLOOKUP(D560,MATERIALES!A:D,4,FALSE()),0)</f>
        <v>8173.5537190082696</v>
      </c>
      <c r="J560" s="31">
        <f t="shared" si="238"/>
        <v>85.822314049586836</v>
      </c>
      <c r="K560" s="32" t="str">
        <f t="shared" si="230"/>
        <v>AIS-073|MAT</v>
      </c>
      <c r="L560" s="32">
        <f>COUNTIFS($K$2:K560,K560)</f>
        <v>6</v>
      </c>
      <c r="M560" s="32" t="str">
        <f t="shared" si="224"/>
        <v>AIS-073|MAT|6</v>
      </c>
      <c r="N560" s="121">
        <f>IFERROR(VLOOKUP(A560,PARTIDAS!A:F,6,FALSE()),0)</f>
        <v>20</v>
      </c>
      <c r="O560" s="123">
        <f t="shared" si="221"/>
        <v>0</v>
      </c>
      <c r="P560" s="123" t="str">
        <f>+_xlfn.XLOOKUP(A560,PPTO_GENERADOR!Q:Q,PPTO_GENERADOR!E:E,"-",0)</f>
        <v>-</v>
      </c>
      <c r="Q560" s="123">
        <f t="shared" si="222"/>
        <v>0</v>
      </c>
      <c r="R560" s="125" t="str">
        <f>+_xlfn.XLOOKUP(A560,PPTO_GENERADOR!$Q:$Q,PPTO_GENERADOR!A:A,"-",0)</f>
        <v>-</v>
      </c>
    </row>
    <row r="561" spans="1:18" ht="14.25" customHeight="1" x14ac:dyDescent="0.35">
      <c r="A561" s="105" t="s">
        <v>1918</v>
      </c>
      <c r="B561" s="105" t="s">
        <v>1981</v>
      </c>
      <c r="C561" s="105" t="s">
        <v>1982</v>
      </c>
      <c r="D561" s="105" t="s">
        <v>578</v>
      </c>
      <c r="E561" s="95" t="str">
        <f>IFERROR(VLOOKUP(D561,MATERIALES!A:B,2,FALSE()),"?")</f>
        <v>Latex Loxon Interior Sherwin Williams Mate Bco x 20lts</v>
      </c>
      <c r="F561" s="129">
        <f>IFERROR(VLOOKUP(D561,MATERIALES!A:C,3,FALSE()),"?")</f>
        <v>0</v>
      </c>
      <c r="G561" s="119">
        <v>1.2500000000000001E-2</v>
      </c>
      <c r="H561" s="120">
        <v>0.1</v>
      </c>
      <c r="I561" s="96">
        <f>IFERROR(VLOOKUP(D561,MATERIALES!A:D,4,FALSE()),0)</f>
        <v>143389.25619834699</v>
      </c>
      <c r="J561" s="31">
        <f t="shared" si="238"/>
        <v>1971.6022727272714</v>
      </c>
      <c r="K561" s="32" t="str">
        <f t="shared" si="230"/>
        <v>AIS-073|MAT</v>
      </c>
      <c r="L561" s="32">
        <f>COUNTIFS($K$2:K561,K561)</f>
        <v>7</v>
      </c>
      <c r="M561" s="32" t="str">
        <f t="shared" si="224"/>
        <v>AIS-073|MAT|7</v>
      </c>
      <c r="N561" s="121">
        <f>IFERROR(VLOOKUP(A561,PARTIDAS!A:F,6,FALSE()),0)</f>
        <v>20</v>
      </c>
      <c r="O561" s="123">
        <f t="shared" si="221"/>
        <v>0</v>
      </c>
      <c r="P561" s="123" t="str">
        <f>+_xlfn.XLOOKUP(A561,PPTO_GENERADOR!Q:Q,PPTO_GENERADOR!E:E,"-",0)</f>
        <v>-</v>
      </c>
      <c r="Q561" s="123">
        <f t="shared" si="222"/>
        <v>0</v>
      </c>
      <c r="R561" s="125" t="str">
        <f>+_xlfn.XLOOKUP(A561,PPTO_GENERADOR!$Q:$Q,PPTO_GENERADOR!A:A,"-",0)</f>
        <v>-</v>
      </c>
    </row>
    <row r="562" spans="1:18" ht="14.25" customHeight="1" x14ac:dyDescent="0.35">
      <c r="A562" s="105" t="s">
        <v>1918</v>
      </c>
      <c r="B562" s="105" t="s">
        <v>1983</v>
      </c>
      <c r="C562" s="105"/>
      <c r="D562" s="105" t="s">
        <v>1509</v>
      </c>
      <c r="E562" s="95" t="str">
        <f>IFERROR(VLOOKUP(D562,EQUIPOS!A:B,2,FALSE()),"?")</f>
        <v>Escalera madera pintor 8 escalones</v>
      </c>
      <c r="F562" s="129"/>
      <c r="G562" s="119">
        <v>1</v>
      </c>
      <c r="H562" s="120">
        <v>0</v>
      </c>
      <c r="I562" s="96">
        <f>IFERROR(VLOOKUP(D562,EQUIPOS!A:F,6,FALSE()),0)</f>
        <v>217.65359719478195</v>
      </c>
      <c r="J562" s="31">
        <f t="shared" ref="J562:J563" si="239">G562*I562</f>
        <v>217.65359719478195</v>
      </c>
      <c r="K562" s="32" t="str">
        <f t="shared" si="230"/>
        <v>AIS-073|EQ</v>
      </c>
      <c r="L562" s="32">
        <f>COUNTIFS($K$2:K562,K562)</f>
        <v>1</v>
      </c>
      <c r="M562" s="32" t="str">
        <f t="shared" si="224"/>
        <v>AIS-073|EQ|1</v>
      </c>
      <c r="N562" s="121">
        <f>IFERROR(VLOOKUP(A562,PARTIDAS!A:F,6,FALSE()),0)</f>
        <v>20</v>
      </c>
      <c r="O562" s="123">
        <f t="shared" si="221"/>
        <v>0</v>
      </c>
      <c r="P562" s="123" t="str">
        <f>+_xlfn.XLOOKUP(A562,PPTO_GENERADOR!Q:Q,PPTO_GENERADOR!E:E,"-",0)</f>
        <v>-</v>
      </c>
      <c r="Q562" s="123">
        <f t="shared" si="222"/>
        <v>0</v>
      </c>
      <c r="R562" s="125" t="str">
        <f>+_xlfn.XLOOKUP(A562,PPTO_GENERADOR!$Q:$Q,PPTO_GENERADOR!A:A,"-",0)</f>
        <v>-</v>
      </c>
    </row>
    <row r="563" spans="1:18" ht="14.25" customHeight="1" x14ac:dyDescent="0.35">
      <c r="A563" s="105" t="s">
        <v>1918</v>
      </c>
      <c r="B563" s="105" t="s">
        <v>1983</v>
      </c>
      <c r="C563" s="105"/>
      <c r="D563" s="105" t="s">
        <v>1327</v>
      </c>
      <c r="E563" s="95" t="str">
        <f>IFERROR(VLOOKUP(D563,EQUIPOS!A:B,2,FALSE()),"?")</f>
        <v>EQUIPO PARA PINTAR</v>
      </c>
      <c r="F563" s="129"/>
      <c r="G563" s="119">
        <v>1</v>
      </c>
      <c r="H563" s="120">
        <v>0</v>
      </c>
      <c r="I563" s="96">
        <f>IFERROR(VLOOKUP(D563,EQUIPOS!A:F,6,FALSE()),0)</f>
        <v>1873.3963608356808</v>
      </c>
      <c r="J563" s="31">
        <f t="shared" si="239"/>
        <v>1873.3963608356808</v>
      </c>
      <c r="K563" s="32" t="str">
        <f t="shared" si="230"/>
        <v>AIS-073|EQ</v>
      </c>
      <c r="L563" s="32">
        <f>COUNTIFS($K$2:K563,K563)</f>
        <v>2</v>
      </c>
      <c r="M563" s="32" t="str">
        <f t="shared" si="224"/>
        <v>AIS-073|EQ|2</v>
      </c>
      <c r="N563" s="121">
        <f>IFERROR(VLOOKUP(A563,PARTIDAS!A:F,6,FALSE()),0)</f>
        <v>20</v>
      </c>
      <c r="O563" s="123">
        <f t="shared" si="221"/>
        <v>0</v>
      </c>
      <c r="P563" s="123" t="str">
        <f>+_xlfn.XLOOKUP(A563,PPTO_GENERADOR!Q:Q,PPTO_GENERADOR!E:E,"-",0)</f>
        <v>-</v>
      </c>
      <c r="Q563" s="123">
        <f t="shared" si="222"/>
        <v>0</v>
      </c>
      <c r="R563" s="125" t="str">
        <f>+_xlfn.XLOOKUP(A563,PPTO_GENERADOR!$Q:$Q,PPTO_GENERADOR!A:A,"-",0)</f>
        <v>-</v>
      </c>
    </row>
    <row r="564" spans="1:18" ht="14.25" customHeight="1" x14ac:dyDescent="0.35">
      <c r="A564" s="105" t="s">
        <v>1918</v>
      </c>
      <c r="B564" s="105" t="s">
        <v>1979</v>
      </c>
      <c r="C564" s="105" t="s">
        <v>1980</v>
      </c>
      <c r="D564" s="105" t="s">
        <v>1292</v>
      </c>
      <c r="E564" s="95" t="str">
        <f>IFERROR(VLOOKUP(D564,MANO_DE_OBRA!A:B,2,FALSE()),"?")</f>
        <v>ESPECIALIZADO</v>
      </c>
      <c r="F564" s="129" t="s">
        <v>2042</v>
      </c>
      <c r="G564" s="119">
        <v>1</v>
      </c>
      <c r="H564" s="120">
        <v>0</v>
      </c>
      <c r="I564" s="96">
        <f>IFERROR(VLOOKUP(D564,MANO_DE_OBRA!A:C,3,FALSE()),0)</f>
        <v>94177.137883538904</v>
      </c>
      <c r="J564" s="31">
        <f t="shared" ref="J564" si="240">G564*I564</f>
        <v>94177.137883538904</v>
      </c>
      <c r="K564" s="32" t="str">
        <f t="shared" si="230"/>
        <v>AIS-073|MO</v>
      </c>
      <c r="L564" s="32">
        <f>COUNTIFS($K$2:K564,K564)</f>
        <v>1</v>
      </c>
      <c r="M564" s="32" t="str">
        <f t="shared" si="224"/>
        <v>AIS-073|MO|1</v>
      </c>
      <c r="N564" s="121">
        <f>IFERROR(VLOOKUP(A564,PARTIDAS!A:F,6,FALSE()),0)</f>
        <v>20</v>
      </c>
      <c r="O564" s="123">
        <f t="shared" si="221"/>
        <v>0.05</v>
      </c>
      <c r="P564" s="123" t="str">
        <f>+_xlfn.XLOOKUP(A564,PPTO_GENERADOR!Q:Q,PPTO_GENERADOR!E:E,"-",0)</f>
        <v>-</v>
      </c>
      <c r="Q564" s="123">
        <f t="shared" si="222"/>
        <v>0</v>
      </c>
      <c r="R564" s="125" t="str">
        <f>+_xlfn.XLOOKUP(A564,PPTO_GENERADOR!$Q:$Q,PPTO_GENERADOR!A:A,"-",0)</f>
        <v>-</v>
      </c>
    </row>
    <row r="565" spans="1:18" ht="14.25" customHeight="1" x14ac:dyDescent="0.35">
      <c r="A565" s="105" t="s">
        <v>1921</v>
      </c>
      <c r="B565" s="105" t="s">
        <v>1981</v>
      </c>
      <c r="C565" s="105" t="s">
        <v>1982</v>
      </c>
      <c r="D565" s="105" t="s">
        <v>533</v>
      </c>
      <c r="E565" s="95" t="str">
        <f>IFERROR(VLOOKUP(D565,MATERIALES!A:B,2,FALSE()),"?")</f>
        <v>Barra de Acero Aleteado - 6mm x 12m</v>
      </c>
      <c r="F565" s="129">
        <f>IFERROR(VLOOKUP(D565,MATERIALES!A:C,3,FALSE()),"?")</f>
        <v>0</v>
      </c>
      <c r="G565" s="119">
        <v>0.17</v>
      </c>
      <c r="H565" s="120">
        <v>0.1</v>
      </c>
      <c r="I565" s="96">
        <f>IFERROR(VLOOKUP(D565,MATERIALES!A:D,4,FALSE()),0)</f>
        <v>3620.13</v>
      </c>
      <c r="J565" s="31">
        <f t="shared" ref="J565:J570" si="241">G565*I565*(1+H565)</f>
        <v>676.96431000000018</v>
      </c>
      <c r="K565" s="32" t="str">
        <f t="shared" si="230"/>
        <v>AIS-075|MAT</v>
      </c>
      <c r="L565" s="32">
        <f>COUNTIFS($K$2:K565,K565)</f>
        <v>1</v>
      </c>
      <c r="M565" s="32" t="str">
        <f t="shared" si="224"/>
        <v>AIS-075|MAT|1</v>
      </c>
      <c r="N565" s="121">
        <f>IFERROR(VLOOKUP(A565,PARTIDAS!A:F,6,FALSE()),0)</f>
        <v>15</v>
      </c>
      <c r="O565" s="123">
        <f t="shared" si="221"/>
        <v>0</v>
      </c>
      <c r="P565" s="123" t="str">
        <f>+_xlfn.XLOOKUP(A565,PPTO_GENERADOR!Q:Q,PPTO_GENERADOR!E:E,"-",0)</f>
        <v>-</v>
      </c>
      <c r="Q565" s="123">
        <f t="shared" si="222"/>
        <v>0</v>
      </c>
      <c r="R565" s="125" t="str">
        <f>+_xlfn.XLOOKUP(A565,PPTO_GENERADOR!$Q:$Q,PPTO_GENERADOR!A:A,"-",0)</f>
        <v>-</v>
      </c>
    </row>
    <row r="566" spans="1:18" ht="14.25" customHeight="1" x14ac:dyDescent="0.35">
      <c r="A566" s="105" t="s">
        <v>1921</v>
      </c>
      <c r="B566" s="105" t="s">
        <v>1981</v>
      </c>
      <c r="C566" s="105" t="s">
        <v>1982</v>
      </c>
      <c r="D566" s="105" t="s">
        <v>1037</v>
      </c>
      <c r="E566" s="95" t="str">
        <f>IFERROR(VLOOKUP(D566,MATERIALES!A:B,2,FALSE()),"?")</f>
        <v>Ladrillo hueco cerámico 18×19×33 - Portante</v>
      </c>
      <c r="F566" s="129" t="str">
        <f>IFERROR(VLOOKUP(D566,MATERIALES!A:C,3,FALSE()),"?")</f>
        <v>u</v>
      </c>
      <c r="G566" s="119">
        <v>15</v>
      </c>
      <c r="H566" s="120">
        <v>0.05</v>
      </c>
      <c r="I566" s="96">
        <f>IFERROR(VLOOKUP(D566,MATERIALES!A:D,4,FALSE()),0)</f>
        <v>1190.7</v>
      </c>
      <c r="J566" s="31">
        <f t="shared" si="241"/>
        <v>18753.525000000001</v>
      </c>
      <c r="K566" s="32" t="str">
        <f t="shared" si="230"/>
        <v>AIS-075|MAT</v>
      </c>
      <c r="L566" s="32">
        <f>COUNTIFS($K$2:K566,K566)</f>
        <v>2</v>
      </c>
      <c r="M566" s="32" t="str">
        <f t="shared" si="224"/>
        <v>AIS-075|MAT|2</v>
      </c>
      <c r="N566" s="121">
        <f>IFERROR(VLOOKUP(A566,PARTIDAS!A:F,6,FALSE()),0)</f>
        <v>15</v>
      </c>
      <c r="O566" s="123">
        <f t="shared" si="221"/>
        <v>0</v>
      </c>
      <c r="P566" s="123" t="str">
        <f>+_xlfn.XLOOKUP(A566,PPTO_GENERADOR!Q:Q,PPTO_GENERADOR!E:E,"-",0)</f>
        <v>-</v>
      </c>
      <c r="Q566" s="123">
        <f t="shared" si="222"/>
        <v>0</v>
      </c>
      <c r="R566" s="125" t="str">
        <f>+_xlfn.XLOOKUP(A566,PPTO_GENERADOR!$Q:$Q,PPTO_GENERADOR!A:A,"-",0)</f>
        <v>-</v>
      </c>
    </row>
    <row r="567" spans="1:18" ht="14.25" customHeight="1" x14ac:dyDescent="0.35">
      <c r="A567" s="105" t="s">
        <v>1921</v>
      </c>
      <c r="B567" s="105" t="s">
        <v>1981</v>
      </c>
      <c r="C567" s="105" t="s">
        <v>1982</v>
      </c>
      <c r="D567" s="105" t="s">
        <v>542</v>
      </c>
      <c r="E567" s="95" t="str">
        <f>IFERROR(VLOOKUP(D567,MATERIALES!A:B,2,FALSE()),"?")</f>
        <v>Cal Comun x 25kg</v>
      </c>
      <c r="F567" s="129">
        <f>IFERROR(VLOOKUP(D567,MATERIALES!A:C,3,FALSE()),"?")</f>
        <v>0</v>
      </c>
      <c r="G567" s="119">
        <v>0.2</v>
      </c>
      <c r="H567" s="120">
        <v>0.1</v>
      </c>
      <c r="I567" s="96">
        <f>IFERROR(VLOOKUP(D567,MATERIALES!A:D,4,FALSE()),0)</f>
        <v>3927.28</v>
      </c>
      <c r="J567" s="31">
        <f t="shared" si="241"/>
        <v>864.00160000000017</v>
      </c>
      <c r="K567" s="32" t="str">
        <f t="shared" si="230"/>
        <v>AIS-075|MAT</v>
      </c>
      <c r="L567" s="32">
        <f>COUNTIFS($K$2:K567,K567)</f>
        <v>3</v>
      </c>
      <c r="M567" s="32" t="str">
        <f t="shared" si="224"/>
        <v>AIS-075|MAT|3</v>
      </c>
      <c r="N567" s="121">
        <f>IFERROR(VLOOKUP(A567,PARTIDAS!A:F,6,FALSE()),0)</f>
        <v>15</v>
      </c>
      <c r="O567" s="123">
        <f t="shared" si="221"/>
        <v>0</v>
      </c>
      <c r="P567" s="123" t="str">
        <f>+_xlfn.XLOOKUP(A567,PPTO_GENERADOR!Q:Q,PPTO_GENERADOR!E:E,"-",0)</f>
        <v>-</v>
      </c>
      <c r="Q567" s="123">
        <f t="shared" si="222"/>
        <v>0</v>
      </c>
      <c r="R567" s="125" t="str">
        <f>+_xlfn.XLOOKUP(A567,PPTO_GENERADOR!$Q:$Q,PPTO_GENERADOR!A:A,"-",0)</f>
        <v>-</v>
      </c>
    </row>
    <row r="568" spans="1:18" ht="14.25" customHeight="1" x14ac:dyDescent="0.35">
      <c r="A568" s="105" t="s">
        <v>1921</v>
      </c>
      <c r="B568" s="105" t="s">
        <v>1981</v>
      </c>
      <c r="C568" s="105" t="s">
        <v>1982</v>
      </c>
      <c r="D568" s="105" t="s">
        <v>540</v>
      </c>
      <c r="E568" s="95" t="str">
        <f>IFERROR(VLOOKUP(D568,MATERIALES!A:B,2,FALSE()),"?")</f>
        <v>Cemento Portland x 50kg</v>
      </c>
      <c r="F568" s="129">
        <f>IFERROR(VLOOKUP(D568,MATERIALES!A:C,3,FALSE()),"?")</f>
        <v>0</v>
      </c>
      <c r="G568" s="119">
        <v>0.1</v>
      </c>
      <c r="H568" s="120">
        <v>0.1</v>
      </c>
      <c r="I568" s="96">
        <f>IFERROR(VLOOKUP(D568,MATERIALES!A:D,4,FALSE()),0)</f>
        <v>7891.74</v>
      </c>
      <c r="J568" s="31">
        <f t="shared" si="241"/>
        <v>868.09140000000002</v>
      </c>
      <c r="K568" s="32" t="str">
        <f t="shared" si="230"/>
        <v>AIS-075|MAT</v>
      </c>
      <c r="L568" s="32">
        <f>COUNTIFS($K$2:K568,K568)</f>
        <v>4</v>
      </c>
      <c r="M568" s="32" t="str">
        <f t="shared" si="224"/>
        <v>AIS-075|MAT|4</v>
      </c>
      <c r="N568" s="121">
        <f>IFERROR(VLOOKUP(A568,PARTIDAS!A:F,6,FALSE()),0)</f>
        <v>15</v>
      </c>
      <c r="O568" s="123">
        <f t="shared" si="221"/>
        <v>0</v>
      </c>
      <c r="P568" s="123" t="str">
        <f>+_xlfn.XLOOKUP(A568,PPTO_GENERADOR!Q:Q,PPTO_GENERADOR!E:E,"-",0)</f>
        <v>-</v>
      </c>
      <c r="Q568" s="123">
        <f t="shared" si="222"/>
        <v>0</v>
      </c>
      <c r="R568" s="125" t="str">
        <f>+_xlfn.XLOOKUP(A568,PPTO_GENERADOR!$Q:$Q,PPTO_GENERADOR!A:A,"-",0)</f>
        <v>-</v>
      </c>
    </row>
    <row r="569" spans="1:18" ht="14.25" customHeight="1" x14ac:dyDescent="0.35">
      <c r="A569" s="105" t="s">
        <v>1921</v>
      </c>
      <c r="B569" s="105" t="s">
        <v>1981</v>
      </c>
      <c r="C569" s="105" t="s">
        <v>1982</v>
      </c>
      <c r="D569" s="105" t="s">
        <v>538</v>
      </c>
      <c r="E569" s="95" t="str">
        <f>IFERROR(VLOOKUP(D569,MATERIALES!A:B,2,FALSE()),"?")</f>
        <v>ARENA LAVADA</v>
      </c>
      <c r="F569" s="129">
        <f>IFERROR(VLOOKUP(D569,MATERIALES!A:C,3,FALSE()),"?")</f>
        <v>0</v>
      </c>
      <c r="G569" s="119">
        <v>2.4E-2</v>
      </c>
      <c r="H569" s="120">
        <v>0.1</v>
      </c>
      <c r="I569" s="96">
        <f>IFERROR(VLOOKUP(D569,MATERIALES!A:D,4,FALSE()),0)</f>
        <v>32620.38</v>
      </c>
      <c r="J569" s="31">
        <f t="shared" si="241"/>
        <v>861.17803200000014</v>
      </c>
      <c r="K569" s="32" t="str">
        <f t="shared" si="230"/>
        <v>AIS-075|MAT</v>
      </c>
      <c r="L569" s="32">
        <f>COUNTIFS($K$2:K569,K569)</f>
        <v>5</v>
      </c>
      <c r="M569" s="32" t="str">
        <f t="shared" si="224"/>
        <v>AIS-075|MAT|5</v>
      </c>
      <c r="N569" s="121">
        <f>IFERROR(VLOOKUP(A569,PARTIDAS!A:F,6,FALSE()),0)</f>
        <v>15</v>
      </c>
      <c r="O569" s="123">
        <f t="shared" si="221"/>
        <v>0</v>
      </c>
      <c r="P569" s="123" t="str">
        <f>+_xlfn.XLOOKUP(A569,PPTO_GENERADOR!Q:Q,PPTO_GENERADOR!E:E,"-",0)</f>
        <v>-</v>
      </c>
      <c r="Q569" s="123">
        <f t="shared" si="222"/>
        <v>0</v>
      </c>
      <c r="R569" s="125" t="str">
        <f>+_xlfn.XLOOKUP(A569,PPTO_GENERADOR!$Q:$Q,PPTO_GENERADOR!A:A,"-",0)</f>
        <v>-</v>
      </c>
    </row>
    <row r="570" spans="1:18" ht="14.25" customHeight="1" x14ac:dyDescent="0.35">
      <c r="A570" s="105" t="s">
        <v>1921</v>
      </c>
      <c r="B570" s="105" t="s">
        <v>1981</v>
      </c>
      <c r="C570" s="105" t="s">
        <v>1982</v>
      </c>
      <c r="D570" s="105" t="s">
        <v>559</v>
      </c>
      <c r="E570" s="95" t="str">
        <f>IFERROR(VLOOKUP(D570,MATERIALES!A:B,2,FALSE()),"?")</f>
        <v>CONSUMIBLES (varios)</v>
      </c>
      <c r="F570" s="129" t="str">
        <f>IFERROR(VLOOKUP(D570,MATERIALES!A:C,3,FALSE()),"?")</f>
        <v>gl</v>
      </c>
      <c r="G570" s="119">
        <v>226.84469999999999</v>
      </c>
      <c r="H570" s="120">
        <v>0</v>
      </c>
      <c r="I570" s="96">
        <f>IFERROR(VLOOKUP(D570,MATERIALES!A:D,4,FALSE()),0)</f>
        <v>1</v>
      </c>
      <c r="J570" s="31">
        <f t="shared" si="241"/>
        <v>226.84469999999999</v>
      </c>
      <c r="K570" s="32" t="str">
        <f t="shared" si="230"/>
        <v>AIS-075|MAT</v>
      </c>
      <c r="L570" s="32">
        <f>COUNTIFS($K$2:K570,K570)</f>
        <v>6</v>
      </c>
      <c r="M570" s="32" t="str">
        <f t="shared" si="224"/>
        <v>AIS-075|MAT|6</v>
      </c>
      <c r="N570" s="121">
        <f>IFERROR(VLOOKUP(A570,PARTIDAS!A:F,6,FALSE()),0)</f>
        <v>15</v>
      </c>
      <c r="O570" s="123">
        <f t="shared" si="221"/>
        <v>0</v>
      </c>
      <c r="P570" s="123" t="str">
        <f>+_xlfn.XLOOKUP(A570,PPTO_GENERADOR!Q:Q,PPTO_GENERADOR!E:E,"-",0)</f>
        <v>-</v>
      </c>
      <c r="Q570" s="123">
        <f t="shared" si="222"/>
        <v>0</v>
      </c>
      <c r="R570" s="125" t="str">
        <f>+_xlfn.XLOOKUP(A570,PPTO_GENERADOR!$Q:$Q,PPTO_GENERADOR!A:A,"-",0)</f>
        <v>-</v>
      </c>
    </row>
    <row r="571" spans="1:18" ht="14.25" customHeight="1" x14ac:dyDescent="0.35">
      <c r="A571" s="105" t="s">
        <v>1921</v>
      </c>
      <c r="B571" s="105" t="s">
        <v>1983</v>
      </c>
      <c r="C571" s="105"/>
      <c r="D571" s="105" t="s">
        <v>1319</v>
      </c>
      <c r="E571" s="95" t="str">
        <f>IFERROR(VLOOKUP(D571,EQUIPOS!A:B,2,FALSE()),"?")</f>
        <v>EQUIPO DE ALBAÑILERIA, carpetas, ladrillo</v>
      </c>
      <c r="F571" s="129"/>
      <c r="G571" s="119">
        <v>1</v>
      </c>
      <c r="H571" s="120">
        <v>0</v>
      </c>
      <c r="I571" s="96">
        <f>IFERROR(VLOOKUP(D571,EQUIPOS!A:F,6,FALSE()),0)</f>
        <v>2485.8709964593982</v>
      </c>
      <c r="J571" s="31">
        <f t="shared" ref="J571:J573" si="242">G571*I571</f>
        <v>2485.8709964593982</v>
      </c>
      <c r="K571" s="32" t="str">
        <f t="shared" ref="K571:K628" si="243">A571&amp;"|"&amp;B571</f>
        <v>AIS-075|EQ</v>
      </c>
      <c r="L571" s="32">
        <f>COUNTIFS($K$2:K571,K571)</f>
        <v>1</v>
      </c>
      <c r="M571" s="32" t="str">
        <f t="shared" si="224"/>
        <v>AIS-075|EQ|1</v>
      </c>
      <c r="N571" s="121">
        <f>IFERROR(VLOOKUP(A571,PARTIDAS!A:F,6,FALSE()),0)</f>
        <v>15</v>
      </c>
      <c r="O571" s="123">
        <f t="shared" si="221"/>
        <v>0</v>
      </c>
      <c r="P571" s="123" t="str">
        <f>+_xlfn.XLOOKUP(A571,PPTO_GENERADOR!Q:Q,PPTO_GENERADOR!E:E,"-",0)</f>
        <v>-</v>
      </c>
      <c r="Q571" s="123">
        <f t="shared" si="222"/>
        <v>0</v>
      </c>
      <c r="R571" s="125" t="str">
        <f>+_xlfn.XLOOKUP(A571,PPTO_GENERADOR!$Q:$Q,PPTO_GENERADOR!A:A,"-",0)</f>
        <v>-</v>
      </c>
    </row>
    <row r="572" spans="1:18" ht="14.25" customHeight="1" x14ac:dyDescent="0.35">
      <c r="A572" s="105" t="s">
        <v>1921</v>
      </c>
      <c r="B572" s="105" t="s">
        <v>1983</v>
      </c>
      <c r="C572" s="105"/>
      <c r="D572" s="105" t="s">
        <v>1313</v>
      </c>
      <c r="E572" s="95" t="str">
        <f>IFERROR(VLOOKUP(D572,EQUIPOS!A:B,2,FALSE()),"?")</f>
        <v>ANDAMIO TUBULAR DE UNO A TRES CUERPOS</v>
      </c>
      <c r="F572" s="129"/>
      <c r="G572" s="119">
        <v>0.5</v>
      </c>
      <c r="H572" s="120">
        <v>0</v>
      </c>
      <c r="I572" s="96">
        <f>IFERROR(VLOOKUP(D572,EQUIPOS!A:F,6,FALSE()),0)</f>
        <v>620.81078197718341</v>
      </c>
      <c r="J572" s="31">
        <f t="shared" si="242"/>
        <v>310.40539098859171</v>
      </c>
      <c r="K572" s="32" t="str">
        <f t="shared" si="243"/>
        <v>AIS-075|EQ</v>
      </c>
      <c r="L572" s="32">
        <f>COUNTIFS($K$2:K572,K572)</f>
        <v>2</v>
      </c>
      <c r="M572" s="32" t="str">
        <f t="shared" si="224"/>
        <v>AIS-075|EQ|2</v>
      </c>
      <c r="N572" s="121">
        <f>IFERROR(VLOOKUP(A572,PARTIDAS!A:F,6,FALSE()),0)</f>
        <v>15</v>
      </c>
      <c r="O572" s="123">
        <f t="shared" si="221"/>
        <v>0</v>
      </c>
      <c r="P572" s="123" t="str">
        <f>+_xlfn.XLOOKUP(A572,PPTO_GENERADOR!Q:Q,PPTO_GENERADOR!E:E,"-",0)</f>
        <v>-</v>
      </c>
      <c r="Q572" s="123">
        <f t="shared" si="222"/>
        <v>0</v>
      </c>
      <c r="R572" s="125" t="str">
        <f>+_xlfn.XLOOKUP(A572,PPTO_GENERADOR!$Q:$Q,PPTO_GENERADOR!A:A,"-",0)</f>
        <v>-</v>
      </c>
    </row>
    <row r="573" spans="1:18" ht="14.25" customHeight="1" x14ac:dyDescent="0.35">
      <c r="A573" s="105" t="s">
        <v>1921</v>
      </c>
      <c r="B573" s="105" t="s">
        <v>1983</v>
      </c>
      <c r="C573" s="105"/>
      <c r="D573" s="105" t="s">
        <v>1507</v>
      </c>
      <c r="E573" s="95" t="str">
        <f>IFERROR(VLOOKUP(D573,EQUIPOS!A:B,2,FALSE()),"?")</f>
        <v>Hormigonera De 150 Litros 1hp Con Rueda Maciza</v>
      </c>
      <c r="F573" s="129"/>
      <c r="G573" s="119">
        <v>1</v>
      </c>
      <c r="H573" s="120">
        <v>0</v>
      </c>
      <c r="I573" s="96">
        <f>IFERROR(VLOOKUP(D573,EQUIPOS!A:F,6,FALSE()),0)</f>
        <v>1040.4314486705237</v>
      </c>
      <c r="J573" s="31">
        <f t="shared" si="242"/>
        <v>1040.4314486705237</v>
      </c>
      <c r="K573" s="32" t="str">
        <f t="shared" si="243"/>
        <v>AIS-075|EQ</v>
      </c>
      <c r="L573" s="32">
        <f>COUNTIFS($K$2:K573,K573)</f>
        <v>3</v>
      </c>
      <c r="M573" s="32" t="str">
        <f t="shared" si="224"/>
        <v>AIS-075|EQ|3</v>
      </c>
      <c r="N573" s="121">
        <f>IFERROR(VLOOKUP(A573,PARTIDAS!A:F,6,FALSE()),0)</f>
        <v>15</v>
      </c>
      <c r="O573" s="123">
        <f t="shared" si="221"/>
        <v>0</v>
      </c>
      <c r="P573" s="123" t="str">
        <f>+_xlfn.XLOOKUP(A573,PPTO_GENERADOR!Q:Q,PPTO_GENERADOR!E:E,"-",0)</f>
        <v>-</v>
      </c>
      <c r="Q573" s="123">
        <f t="shared" si="222"/>
        <v>0</v>
      </c>
      <c r="R573" s="125" t="str">
        <f>+_xlfn.XLOOKUP(A573,PPTO_GENERADOR!$Q:$Q,PPTO_GENERADOR!A:A,"-",0)</f>
        <v>-</v>
      </c>
    </row>
    <row r="574" spans="1:18" ht="14.25" customHeight="1" x14ac:dyDescent="0.35">
      <c r="A574" s="105" t="s">
        <v>1921</v>
      </c>
      <c r="B574" s="105" t="s">
        <v>1979</v>
      </c>
      <c r="C574" s="105" t="s">
        <v>1980</v>
      </c>
      <c r="D574" s="105" t="s">
        <v>1292</v>
      </c>
      <c r="E574" s="95" t="str">
        <f>IFERROR(VLOOKUP(D574,MANO_DE_OBRA!A:B,2,FALSE()),"?")</f>
        <v>ESPECIALIZADO</v>
      </c>
      <c r="F574" s="129" t="s">
        <v>2042</v>
      </c>
      <c r="G574" s="119">
        <v>1</v>
      </c>
      <c r="H574" s="120">
        <v>0</v>
      </c>
      <c r="I574" s="96">
        <f>IFERROR(VLOOKUP(D574,MANO_DE_OBRA!A:C,3,FALSE()),0)</f>
        <v>94177.137883538904</v>
      </c>
      <c r="J574" s="31">
        <f t="shared" ref="J574:J575" si="244">G574*I574</f>
        <v>94177.137883538904</v>
      </c>
      <c r="K574" s="32" t="str">
        <f t="shared" si="243"/>
        <v>AIS-075|MO</v>
      </c>
      <c r="L574" s="32">
        <f>COUNTIFS($K$2:K574,K574)</f>
        <v>1</v>
      </c>
      <c r="M574" s="32" t="str">
        <f t="shared" ref="M574:M634" si="245">K574&amp;"|"&amp;L574</f>
        <v>AIS-075|MO|1</v>
      </c>
      <c r="N574" s="121">
        <f>IFERROR(VLOOKUP(A574,PARTIDAS!A:F,6,FALSE()),0)</f>
        <v>15</v>
      </c>
      <c r="O574" s="123">
        <f t="shared" si="221"/>
        <v>6.6666666666666666E-2</v>
      </c>
      <c r="P574" s="123" t="str">
        <f>+_xlfn.XLOOKUP(A574,PPTO_GENERADOR!Q:Q,PPTO_GENERADOR!E:E,"-",0)</f>
        <v>-</v>
      </c>
      <c r="Q574" s="123">
        <f t="shared" si="222"/>
        <v>0</v>
      </c>
      <c r="R574" s="125" t="str">
        <f>+_xlfn.XLOOKUP(A574,PPTO_GENERADOR!$Q:$Q,PPTO_GENERADOR!A:A,"-",0)</f>
        <v>-</v>
      </c>
    </row>
    <row r="575" spans="1:18" ht="14.25" customHeight="1" x14ac:dyDescent="0.35">
      <c r="A575" s="105" t="s">
        <v>1921</v>
      </c>
      <c r="B575" s="105" t="s">
        <v>1979</v>
      </c>
      <c r="C575" s="105" t="s">
        <v>1980</v>
      </c>
      <c r="D575" s="105" t="s">
        <v>1288</v>
      </c>
      <c r="E575" s="95" t="str">
        <f>IFERROR(VLOOKUP(D575,MANO_DE_OBRA!A:B,2,FALSE()),"?")</f>
        <v>MEDIO OFICIAL</v>
      </c>
      <c r="F575" s="129" t="s">
        <v>2042</v>
      </c>
      <c r="G575" s="119">
        <v>1</v>
      </c>
      <c r="H575" s="120">
        <v>0</v>
      </c>
      <c r="I575" s="96">
        <f>IFERROR(VLOOKUP(D575,MANO_DE_OBRA!A:C,3,FALSE()),0)</f>
        <v>72132.138365590101</v>
      </c>
      <c r="J575" s="31">
        <f t="shared" si="244"/>
        <v>72132.138365590101</v>
      </c>
      <c r="K575" s="32" t="str">
        <f t="shared" si="243"/>
        <v>AIS-075|MO</v>
      </c>
      <c r="L575" s="32">
        <f>COUNTIFS($K$2:K575,K575)</f>
        <v>2</v>
      </c>
      <c r="M575" s="32" t="str">
        <f t="shared" si="245"/>
        <v>AIS-075|MO|2</v>
      </c>
      <c r="N575" s="121">
        <f>IFERROR(VLOOKUP(A575,PARTIDAS!A:F,6,FALSE()),0)</f>
        <v>15</v>
      </c>
      <c r="O575" s="123">
        <f t="shared" si="221"/>
        <v>6.6666666666666666E-2</v>
      </c>
      <c r="P575" s="123" t="str">
        <f>+_xlfn.XLOOKUP(A575,PPTO_GENERADOR!Q:Q,PPTO_GENERADOR!E:E,"-",0)</f>
        <v>-</v>
      </c>
      <c r="Q575" s="123">
        <f t="shared" si="222"/>
        <v>0</v>
      </c>
      <c r="R575" s="125" t="str">
        <f>+_xlfn.XLOOKUP(A575,PPTO_GENERADOR!$Q:$Q,PPTO_GENERADOR!A:A,"-",0)</f>
        <v>-</v>
      </c>
    </row>
    <row r="576" spans="1:18" ht="14.25" customHeight="1" x14ac:dyDescent="0.35">
      <c r="A576" s="105" t="s">
        <v>1924</v>
      </c>
      <c r="B576" s="105" t="s">
        <v>1981</v>
      </c>
      <c r="C576" s="105" t="s">
        <v>1982</v>
      </c>
      <c r="D576" s="105" t="s">
        <v>551</v>
      </c>
      <c r="E576" s="95" t="str">
        <f>IFERROR(VLOOKUP(D576,MATERIALES!A:B,2,FALSE()),"?")</f>
        <v>Alambre de fardo</v>
      </c>
      <c r="F576" s="129">
        <f>IFERROR(VLOOKUP(D576,MATERIALES!A:C,3,FALSE()),"?")</f>
        <v>0</v>
      </c>
      <c r="G576" s="119">
        <v>6.7358399999999999E-2</v>
      </c>
      <c r="H576" s="120">
        <v>0.15</v>
      </c>
      <c r="I576" s="96">
        <f>IFERROR(VLOOKUP(D576,MATERIALES!A:D,4,FALSE()),0)</f>
        <v>2660.68</v>
      </c>
      <c r="J576" s="31">
        <f t="shared" ref="J576:J577" si="246">G576*I576*(1+H576)</f>
        <v>206.10201986879997</v>
      </c>
      <c r="K576" s="32" t="str">
        <f t="shared" si="243"/>
        <v>PIN-080|MAT</v>
      </c>
      <c r="L576" s="32">
        <f>COUNTIFS($K$2:K576,K576)</f>
        <v>1</v>
      </c>
      <c r="M576" s="32" t="str">
        <f t="shared" si="245"/>
        <v>PIN-080|MAT|1</v>
      </c>
      <c r="N576" s="121">
        <f>IFERROR(VLOOKUP(A576,PARTIDAS!A:F,6,FALSE()),0)</f>
        <v>450</v>
      </c>
      <c r="O576" s="123">
        <f t="shared" si="221"/>
        <v>0</v>
      </c>
      <c r="P576" s="123" t="str">
        <f>+_xlfn.XLOOKUP(A576,PPTO_GENERADOR!Q:Q,PPTO_GENERADOR!E:E,"-",0)</f>
        <v>-</v>
      </c>
      <c r="Q576" s="123">
        <f t="shared" si="222"/>
        <v>0</v>
      </c>
      <c r="R576" s="125" t="str">
        <f>+_xlfn.XLOOKUP(A576,PPTO_GENERADOR!$Q:$Q,PPTO_GENERADOR!A:A,"-",0)</f>
        <v>-</v>
      </c>
    </row>
    <row r="577" spans="1:18" ht="14.25" customHeight="1" x14ac:dyDescent="0.35">
      <c r="A577" s="105" t="s">
        <v>1924</v>
      </c>
      <c r="B577" s="105" t="s">
        <v>1981</v>
      </c>
      <c r="C577" s="105" t="s">
        <v>1982</v>
      </c>
      <c r="D577" s="105" t="s">
        <v>536</v>
      </c>
      <c r="E577" s="95" t="str">
        <f>IFERROR(VLOOKUP(D577,MATERIALES!A:B,2,FALSE()),"?")</f>
        <v>ACERO ESTRUCTURAL POR KILO</v>
      </c>
      <c r="F577" s="129">
        <f>IFERROR(VLOOKUP(D577,MATERIALES!A:C,3,FALSE()),"?")</f>
        <v>0</v>
      </c>
      <c r="G577" s="119">
        <v>1.0005529</v>
      </c>
      <c r="H577" s="120">
        <v>7.0000000000000007E-2</v>
      </c>
      <c r="I577" s="96">
        <f>IFERROR(VLOOKUP(D577,MATERIALES!A:D,4,FALSE()),0)</f>
        <v>1338.79</v>
      </c>
      <c r="J577" s="31">
        <f t="shared" si="246"/>
        <v>1433.2973321803699</v>
      </c>
      <c r="K577" s="32" t="str">
        <f t="shared" si="243"/>
        <v>PIN-080|MAT</v>
      </c>
      <c r="L577" s="32">
        <f>COUNTIFS($K$2:K577,K577)</f>
        <v>2</v>
      </c>
      <c r="M577" s="32" t="str">
        <f t="shared" si="245"/>
        <v>PIN-080|MAT|2</v>
      </c>
      <c r="N577" s="121">
        <f>IFERROR(VLOOKUP(A577,PARTIDAS!A:F,6,FALSE()),0)</f>
        <v>450</v>
      </c>
      <c r="O577" s="123">
        <f t="shared" si="221"/>
        <v>0</v>
      </c>
      <c r="P577" s="123" t="str">
        <f>+_xlfn.XLOOKUP(A577,PPTO_GENERADOR!Q:Q,PPTO_GENERADOR!E:E,"-",0)</f>
        <v>-</v>
      </c>
      <c r="Q577" s="123">
        <f t="shared" si="222"/>
        <v>0</v>
      </c>
      <c r="R577" s="125" t="str">
        <f>+_xlfn.XLOOKUP(A577,PPTO_GENERADOR!$Q:$Q,PPTO_GENERADOR!A:A,"-",0)</f>
        <v>-</v>
      </c>
    </row>
    <row r="578" spans="1:18" ht="14.25" customHeight="1" x14ac:dyDescent="0.35">
      <c r="A578" s="105" t="s">
        <v>1924</v>
      </c>
      <c r="B578" s="105" t="s">
        <v>1979</v>
      </c>
      <c r="C578" s="105" t="s">
        <v>1980</v>
      </c>
      <c r="D578" s="105" t="s">
        <v>1292</v>
      </c>
      <c r="E578" s="95" t="str">
        <f>IFERROR(VLOOKUP(D578,MANO_DE_OBRA!A:B,2,FALSE()),"?")</f>
        <v>ESPECIALIZADO</v>
      </c>
      <c r="F578" s="129" t="s">
        <v>2042</v>
      </c>
      <c r="G578" s="119">
        <v>2</v>
      </c>
      <c r="H578" s="120">
        <v>0</v>
      </c>
      <c r="I578" s="96">
        <f>IFERROR(VLOOKUP(D578,MANO_DE_OBRA!A:C,3,FALSE()),0)</f>
        <v>94177.137883538904</v>
      </c>
      <c r="J578" s="31">
        <f t="shared" ref="J578:J580" si="247">G578*I578</f>
        <v>188354.27576707781</v>
      </c>
      <c r="K578" s="32" t="str">
        <f t="shared" si="243"/>
        <v>PIN-080|MO</v>
      </c>
      <c r="L578" s="32">
        <f>COUNTIFS($K$2:K578,K578)</f>
        <v>1</v>
      </c>
      <c r="M578" s="32" t="str">
        <f t="shared" si="245"/>
        <v>PIN-080|MO|1</v>
      </c>
      <c r="N578" s="121">
        <f>IFERROR(VLOOKUP(A578,PARTIDAS!A:F,6,FALSE()),0)</f>
        <v>450</v>
      </c>
      <c r="O578" s="123">
        <f t="shared" si="221"/>
        <v>4.4444444444444444E-3</v>
      </c>
      <c r="P578" s="123" t="str">
        <f>+_xlfn.XLOOKUP(A578,PPTO_GENERADOR!Q:Q,PPTO_GENERADOR!E:E,"-",0)</f>
        <v>-</v>
      </c>
      <c r="Q578" s="123">
        <f t="shared" si="222"/>
        <v>0</v>
      </c>
      <c r="R578" s="125" t="str">
        <f>+_xlfn.XLOOKUP(A578,PPTO_GENERADOR!$Q:$Q,PPTO_GENERADOR!A:A,"-",0)</f>
        <v>-</v>
      </c>
    </row>
    <row r="579" spans="1:18" ht="14.25" customHeight="1" x14ac:dyDescent="0.35">
      <c r="A579" s="105" t="s">
        <v>1924</v>
      </c>
      <c r="B579" s="105" t="s">
        <v>1979</v>
      </c>
      <c r="C579" s="105" t="s">
        <v>1980</v>
      </c>
      <c r="D579" s="105" t="s">
        <v>2038</v>
      </c>
      <c r="E579" s="95" t="str">
        <f>IFERROR(VLOOKUP(D579,MANO_DE_OBRA!A:B,2,FALSE()),"?")</f>
        <v>AYUDANTE</v>
      </c>
      <c r="F579" s="129" t="s">
        <v>2042</v>
      </c>
      <c r="G579" s="119">
        <v>1</v>
      </c>
      <c r="H579" s="120">
        <v>0</v>
      </c>
      <c r="I579" s="96">
        <f>IFERROR(VLOOKUP(D579,MANO_DE_OBRA!A:C,3,FALSE()),0)</f>
        <v>67240.498860267602</v>
      </c>
      <c r="J579" s="31">
        <f t="shared" si="247"/>
        <v>67240.498860267602</v>
      </c>
      <c r="K579" s="32" t="str">
        <f t="shared" si="243"/>
        <v>PIN-080|MO</v>
      </c>
      <c r="L579" s="32">
        <f>COUNTIFS($K$2:K579,K579)</f>
        <v>2</v>
      </c>
      <c r="M579" s="32" t="str">
        <f t="shared" si="245"/>
        <v>PIN-080|MO|2</v>
      </c>
      <c r="N579" s="121">
        <f>IFERROR(VLOOKUP(A579,PARTIDAS!A:F,6,FALSE()),0)</f>
        <v>450</v>
      </c>
      <c r="O579" s="123">
        <f t="shared" ref="O579:O642" si="248">+IF(C579="ALB",G579/N579,0)</f>
        <v>2.2222222222222222E-3</v>
      </c>
      <c r="P579" s="123" t="str">
        <f>+_xlfn.XLOOKUP(A579,PPTO_GENERADOR!Q:Q,PPTO_GENERADOR!E:E,"-",0)</f>
        <v>-</v>
      </c>
      <c r="Q579" s="123">
        <f t="shared" ref="Q579:Q642" si="249">IFERROR(P579*O579,0)</f>
        <v>0</v>
      </c>
      <c r="R579" s="125" t="str">
        <f>+_xlfn.XLOOKUP(A579,PPTO_GENERADOR!$Q:$Q,PPTO_GENERADOR!A:A,"-",0)</f>
        <v>-</v>
      </c>
    </row>
    <row r="580" spans="1:18" ht="14.25" customHeight="1" x14ac:dyDescent="0.35">
      <c r="A580" s="105" t="s">
        <v>1924</v>
      </c>
      <c r="B580" s="105" t="s">
        <v>1979</v>
      </c>
      <c r="C580" s="105" t="s">
        <v>1980</v>
      </c>
      <c r="D580" s="105" t="s">
        <v>1288</v>
      </c>
      <c r="E580" s="95" t="str">
        <f>IFERROR(VLOOKUP(D580,MANO_DE_OBRA!A:B,2,FALSE()),"?")</f>
        <v>MEDIO OFICIAL</v>
      </c>
      <c r="F580" s="129" t="s">
        <v>2042</v>
      </c>
      <c r="G580" s="119">
        <v>2</v>
      </c>
      <c r="H580" s="120">
        <v>0</v>
      </c>
      <c r="I580" s="96">
        <f>IFERROR(VLOOKUP(D580,MANO_DE_OBRA!A:C,3,FALSE()),0)</f>
        <v>72132.138365590101</v>
      </c>
      <c r="J580" s="31">
        <f t="shared" si="247"/>
        <v>144264.2767311802</v>
      </c>
      <c r="K580" s="32" t="str">
        <f t="shared" si="243"/>
        <v>PIN-080|MO</v>
      </c>
      <c r="L580" s="32">
        <f>COUNTIFS($K$2:K580,K580)</f>
        <v>3</v>
      </c>
      <c r="M580" s="32" t="str">
        <f t="shared" si="245"/>
        <v>PIN-080|MO|3</v>
      </c>
      <c r="N580" s="121">
        <f>IFERROR(VLOOKUP(A580,PARTIDAS!A:F,6,FALSE()),0)</f>
        <v>450</v>
      </c>
      <c r="O580" s="123">
        <f t="shared" si="248"/>
        <v>4.4444444444444444E-3</v>
      </c>
      <c r="P580" s="123" t="str">
        <f>+_xlfn.XLOOKUP(A580,PPTO_GENERADOR!Q:Q,PPTO_GENERADOR!E:E,"-",0)</f>
        <v>-</v>
      </c>
      <c r="Q580" s="123">
        <f t="shared" si="249"/>
        <v>0</v>
      </c>
      <c r="R580" s="125" t="str">
        <f>+_xlfn.XLOOKUP(A580,PPTO_GENERADOR!$Q:$Q,PPTO_GENERADOR!A:A,"-",0)</f>
        <v>-</v>
      </c>
    </row>
    <row r="581" spans="1:18" ht="14.25" customHeight="1" x14ac:dyDescent="0.35">
      <c r="A581" s="105" t="s">
        <v>1928</v>
      </c>
      <c r="B581" s="105" t="s">
        <v>1981</v>
      </c>
      <c r="C581" s="105" t="s">
        <v>1982</v>
      </c>
      <c r="D581" s="105" t="s">
        <v>551</v>
      </c>
      <c r="E581" s="95" t="str">
        <f>IFERROR(VLOOKUP(D581,MATERIALES!A:B,2,FALSE()),"?")</f>
        <v>Alambre de fardo</v>
      </c>
      <c r="F581" s="129">
        <f>IFERROR(VLOOKUP(D581,MATERIALES!A:C,3,FALSE()),"?")</f>
        <v>0</v>
      </c>
      <c r="G581" s="119">
        <v>6.6339999999999996E-2</v>
      </c>
      <c r="H581" s="120">
        <v>0.15</v>
      </c>
      <c r="I581" s="96">
        <f>IFERROR(VLOOKUP(D581,MATERIALES!A:D,4,FALSE()),0)</f>
        <v>2660.68</v>
      </c>
      <c r="J581" s="31">
        <f t="shared" ref="J581:J582" si="250">G581*I581*(1+H581)</f>
        <v>202.98593787999997</v>
      </c>
      <c r="K581" s="32" t="str">
        <f t="shared" si="243"/>
        <v>PIN-081|MAT</v>
      </c>
      <c r="L581" s="32">
        <f>COUNTIFS($K$2:K581,K581)</f>
        <v>1</v>
      </c>
      <c r="M581" s="32" t="str">
        <f t="shared" si="245"/>
        <v>PIN-081|MAT|1</v>
      </c>
      <c r="N581" s="121">
        <f>IFERROR(VLOOKUP(A581,PARTIDAS!A:F,6,FALSE()),0)</f>
        <v>380</v>
      </c>
      <c r="O581" s="123">
        <f t="shared" si="248"/>
        <v>0</v>
      </c>
      <c r="P581" s="123" t="str">
        <f>+_xlfn.XLOOKUP(A581,PPTO_GENERADOR!Q:Q,PPTO_GENERADOR!E:E,"-",0)</f>
        <v>-</v>
      </c>
      <c r="Q581" s="123">
        <f t="shared" si="249"/>
        <v>0</v>
      </c>
      <c r="R581" s="125" t="str">
        <f>+_xlfn.XLOOKUP(A581,PPTO_GENERADOR!$Q:$Q,PPTO_GENERADOR!A:A,"-",0)</f>
        <v>-</v>
      </c>
    </row>
    <row r="582" spans="1:18" ht="14.25" customHeight="1" x14ac:dyDescent="0.35">
      <c r="A582" s="105" t="s">
        <v>1928</v>
      </c>
      <c r="B582" s="105" t="s">
        <v>1981</v>
      </c>
      <c r="C582" s="105" t="s">
        <v>1982</v>
      </c>
      <c r="D582" s="105" t="s">
        <v>536</v>
      </c>
      <c r="E582" s="95" t="str">
        <f>IFERROR(VLOOKUP(D582,MATERIALES!A:B,2,FALSE()),"?")</f>
        <v>ACERO ESTRUCTURAL POR KILO</v>
      </c>
      <c r="F582" s="129">
        <f>IFERROR(VLOOKUP(D582,MATERIALES!A:C,3,FALSE()),"?")</f>
        <v>0</v>
      </c>
      <c r="G582" s="119">
        <v>0.99938000000000005</v>
      </c>
      <c r="H582" s="120">
        <v>7.0000000000000007E-2</v>
      </c>
      <c r="I582" s="96">
        <f>IFERROR(VLOOKUP(D582,MATERIALES!A:D,4,FALSE()),0)</f>
        <v>1338.79</v>
      </c>
      <c r="J582" s="31">
        <f t="shared" si="250"/>
        <v>1431.6171467140002</v>
      </c>
      <c r="K582" s="32" t="str">
        <f t="shared" si="243"/>
        <v>PIN-081|MAT</v>
      </c>
      <c r="L582" s="32">
        <f>COUNTIFS($K$2:K582,K582)</f>
        <v>2</v>
      </c>
      <c r="M582" s="32" t="str">
        <f t="shared" si="245"/>
        <v>PIN-081|MAT|2</v>
      </c>
      <c r="N582" s="121">
        <f>IFERROR(VLOOKUP(A582,PARTIDAS!A:F,6,FALSE()),0)</f>
        <v>380</v>
      </c>
      <c r="O582" s="123">
        <f t="shared" si="248"/>
        <v>0</v>
      </c>
      <c r="P582" s="123" t="str">
        <f>+_xlfn.XLOOKUP(A582,PPTO_GENERADOR!Q:Q,PPTO_GENERADOR!E:E,"-",0)</f>
        <v>-</v>
      </c>
      <c r="Q582" s="123">
        <f t="shared" si="249"/>
        <v>0</v>
      </c>
      <c r="R582" s="125" t="str">
        <f>+_xlfn.XLOOKUP(A582,PPTO_GENERADOR!$Q:$Q,PPTO_GENERADOR!A:A,"-",0)</f>
        <v>-</v>
      </c>
    </row>
    <row r="583" spans="1:18" ht="14.25" customHeight="1" x14ac:dyDescent="0.35">
      <c r="A583" s="105" t="s">
        <v>1928</v>
      </c>
      <c r="B583" s="105" t="s">
        <v>1979</v>
      </c>
      <c r="C583" s="105" t="s">
        <v>1980</v>
      </c>
      <c r="D583" s="105" t="s">
        <v>1292</v>
      </c>
      <c r="E583" s="95" t="str">
        <f>IFERROR(VLOOKUP(D583,MANO_DE_OBRA!A:B,2,FALSE()),"?")</f>
        <v>ESPECIALIZADO</v>
      </c>
      <c r="F583" s="129" t="s">
        <v>2042</v>
      </c>
      <c r="G583" s="119">
        <v>2</v>
      </c>
      <c r="H583" s="120">
        <v>0</v>
      </c>
      <c r="I583" s="96">
        <f>IFERROR(VLOOKUP(D583,MANO_DE_OBRA!A:C,3,FALSE()),0)</f>
        <v>94177.137883538904</v>
      </c>
      <c r="J583" s="31">
        <f t="shared" ref="J583:J585" si="251">G583*I583</f>
        <v>188354.27576707781</v>
      </c>
      <c r="K583" s="32" t="str">
        <f t="shared" si="243"/>
        <v>PIN-081|MO</v>
      </c>
      <c r="L583" s="32">
        <f>COUNTIFS($K$2:K583,K583)</f>
        <v>1</v>
      </c>
      <c r="M583" s="32" t="str">
        <f t="shared" si="245"/>
        <v>PIN-081|MO|1</v>
      </c>
      <c r="N583" s="121">
        <f>IFERROR(VLOOKUP(A583,PARTIDAS!A:F,6,FALSE()),0)</f>
        <v>380</v>
      </c>
      <c r="O583" s="123">
        <f t="shared" si="248"/>
        <v>5.263157894736842E-3</v>
      </c>
      <c r="P583" s="123" t="str">
        <f>+_xlfn.XLOOKUP(A583,PPTO_GENERADOR!Q:Q,PPTO_GENERADOR!E:E,"-",0)</f>
        <v>-</v>
      </c>
      <c r="Q583" s="123">
        <f t="shared" si="249"/>
        <v>0</v>
      </c>
      <c r="R583" s="125" t="str">
        <f>+_xlfn.XLOOKUP(A583,PPTO_GENERADOR!$Q:$Q,PPTO_GENERADOR!A:A,"-",0)</f>
        <v>-</v>
      </c>
    </row>
    <row r="584" spans="1:18" ht="14.25" customHeight="1" x14ac:dyDescent="0.35">
      <c r="A584" s="105" t="s">
        <v>1928</v>
      </c>
      <c r="B584" s="105" t="s">
        <v>1979</v>
      </c>
      <c r="C584" s="105" t="s">
        <v>1980</v>
      </c>
      <c r="D584" s="105" t="s">
        <v>2038</v>
      </c>
      <c r="E584" s="95" t="str">
        <f>IFERROR(VLOOKUP(D584,MANO_DE_OBRA!A:B,2,FALSE()),"?")</f>
        <v>AYUDANTE</v>
      </c>
      <c r="F584" s="129" t="s">
        <v>2042</v>
      </c>
      <c r="G584" s="119">
        <v>1</v>
      </c>
      <c r="H584" s="120">
        <v>0</v>
      </c>
      <c r="I584" s="96">
        <f>IFERROR(VLOOKUP(D584,MANO_DE_OBRA!A:C,3,FALSE()),0)</f>
        <v>67240.498860267602</v>
      </c>
      <c r="J584" s="31">
        <f t="shared" si="251"/>
        <v>67240.498860267602</v>
      </c>
      <c r="K584" s="32" t="str">
        <f t="shared" si="243"/>
        <v>PIN-081|MO</v>
      </c>
      <c r="L584" s="32">
        <f>COUNTIFS($K$2:K584,K584)</f>
        <v>2</v>
      </c>
      <c r="M584" s="32" t="str">
        <f t="shared" si="245"/>
        <v>PIN-081|MO|2</v>
      </c>
      <c r="N584" s="121">
        <f>IFERROR(VLOOKUP(A584,PARTIDAS!A:F,6,FALSE()),0)</f>
        <v>380</v>
      </c>
      <c r="O584" s="123">
        <f t="shared" si="248"/>
        <v>2.631578947368421E-3</v>
      </c>
      <c r="P584" s="123" t="str">
        <f>+_xlfn.XLOOKUP(A584,PPTO_GENERADOR!Q:Q,PPTO_GENERADOR!E:E,"-",0)</f>
        <v>-</v>
      </c>
      <c r="Q584" s="123">
        <f t="shared" si="249"/>
        <v>0</v>
      </c>
      <c r="R584" s="125" t="str">
        <f>+_xlfn.XLOOKUP(A584,PPTO_GENERADOR!$Q:$Q,PPTO_GENERADOR!A:A,"-",0)</f>
        <v>-</v>
      </c>
    </row>
    <row r="585" spans="1:18" ht="14.25" customHeight="1" x14ac:dyDescent="0.35">
      <c r="A585" s="105" t="s">
        <v>1928</v>
      </c>
      <c r="B585" s="105" t="s">
        <v>1979</v>
      </c>
      <c r="C585" s="105" t="s">
        <v>1980</v>
      </c>
      <c r="D585" s="105" t="s">
        <v>1288</v>
      </c>
      <c r="E585" s="95" t="str">
        <f>IFERROR(VLOOKUP(D585,MANO_DE_OBRA!A:B,2,FALSE()),"?")</f>
        <v>MEDIO OFICIAL</v>
      </c>
      <c r="F585" s="129" t="s">
        <v>2042</v>
      </c>
      <c r="G585" s="119">
        <v>2</v>
      </c>
      <c r="H585" s="120">
        <v>0</v>
      </c>
      <c r="I585" s="96">
        <f>IFERROR(VLOOKUP(D585,MANO_DE_OBRA!A:C,3,FALSE()),0)</f>
        <v>72132.138365590101</v>
      </c>
      <c r="J585" s="31">
        <f t="shared" si="251"/>
        <v>144264.2767311802</v>
      </c>
      <c r="K585" s="32" t="str">
        <f t="shared" si="243"/>
        <v>PIN-081|MO</v>
      </c>
      <c r="L585" s="32">
        <f>COUNTIFS($K$2:K585,K585)</f>
        <v>3</v>
      </c>
      <c r="M585" s="32" t="str">
        <f t="shared" si="245"/>
        <v>PIN-081|MO|3</v>
      </c>
      <c r="N585" s="121">
        <f>IFERROR(VLOOKUP(A585,PARTIDAS!A:F,6,FALSE()),0)</f>
        <v>380</v>
      </c>
      <c r="O585" s="123">
        <f t="shared" si="248"/>
        <v>5.263157894736842E-3</v>
      </c>
      <c r="P585" s="123" t="str">
        <f>+_xlfn.XLOOKUP(A585,PPTO_GENERADOR!Q:Q,PPTO_GENERADOR!E:E,"-",0)</f>
        <v>-</v>
      </c>
      <c r="Q585" s="123">
        <f t="shared" si="249"/>
        <v>0</v>
      </c>
      <c r="R585" s="125" t="str">
        <f>+_xlfn.XLOOKUP(A585,PPTO_GENERADOR!$Q:$Q,PPTO_GENERADOR!A:A,"-",0)</f>
        <v>-</v>
      </c>
    </row>
    <row r="586" spans="1:18" ht="14.25" customHeight="1" x14ac:dyDescent="0.35">
      <c r="A586" s="105" t="s">
        <v>1931</v>
      </c>
      <c r="B586" s="105" t="s">
        <v>1981</v>
      </c>
      <c r="C586" s="105" t="s">
        <v>1982</v>
      </c>
      <c r="D586" s="105" t="s">
        <v>551</v>
      </c>
      <c r="E586" s="95" t="str">
        <f>IFERROR(VLOOKUP(D586,MATERIALES!A:B,2,FALSE()),"?")</f>
        <v>Alambre de fardo</v>
      </c>
      <c r="F586" s="129">
        <f>IFERROR(VLOOKUP(D586,MATERIALES!A:C,3,FALSE()),"?")</f>
        <v>0</v>
      </c>
      <c r="G586" s="119">
        <v>6.9230399999999997E-2</v>
      </c>
      <c r="H586" s="120">
        <v>0.15</v>
      </c>
      <c r="I586" s="96">
        <f>IFERROR(VLOOKUP(D586,MATERIALES!A:D,4,FALSE()),0)</f>
        <v>2660.68</v>
      </c>
      <c r="J586" s="31">
        <f t="shared" ref="J586:J587" si="252">G586*I586*(1+H586)</f>
        <v>211.82993177279994</v>
      </c>
      <c r="K586" s="32" t="str">
        <f t="shared" si="243"/>
        <v>PIN-082|MAT</v>
      </c>
      <c r="L586" s="32">
        <f>COUNTIFS($K$2:K586,K586)</f>
        <v>1</v>
      </c>
      <c r="M586" s="32" t="str">
        <f t="shared" si="245"/>
        <v>PIN-082|MAT|1</v>
      </c>
      <c r="N586" s="121">
        <f>IFERROR(VLOOKUP(A586,PARTIDAS!A:F,6,FALSE()),0)</f>
        <v>420</v>
      </c>
      <c r="O586" s="123">
        <f t="shared" si="248"/>
        <v>0</v>
      </c>
      <c r="P586" s="123" t="str">
        <f>+_xlfn.XLOOKUP(A586,PPTO_GENERADOR!Q:Q,PPTO_GENERADOR!E:E,"-",0)</f>
        <v>-</v>
      </c>
      <c r="Q586" s="123">
        <f t="shared" si="249"/>
        <v>0</v>
      </c>
      <c r="R586" s="125" t="str">
        <f>+_xlfn.XLOOKUP(A586,PPTO_GENERADOR!$Q:$Q,PPTO_GENERADOR!A:A,"-",0)</f>
        <v>-</v>
      </c>
    </row>
    <row r="587" spans="1:18" ht="14.25" customHeight="1" x14ac:dyDescent="0.35">
      <c r="A587" s="105" t="s">
        <v>1931</v>
      </c>
      <c r="B587" s="105" t="s">
        <v>1981</v>
      </c>
      <c r="C587" s="105" t="s">
        <v>1982</v>
      </c>
      <c r="D587" s="105" t="s">
        <v>536</v>
      </c>
      <c r="E587" s="95" t="str">
        <f>IFERROR(VLOOKUP(D587,MATERIALES!A:B,2,FALSE()),"?")</f>
        <v>ACERO ESTRUCTURAL POR KILO</v>
      </c>
      <c r="F587" s="129">
        <f>IFERROR(VLOOKUP(D587,MATERIALES!A:C,3,FALSE()),"?")</f>
        <v>0</v>
      </c>
      <c r="G587" s="119">
        <v>0.99807159999999995</v>
      </c>
      <c r="H587" s="120">
        <v>7.0000000000000007E-2</v>
      </c>
      <c r="I587" s="96">
        <f>IFERROR(VLOOKUP(D587,MATERIALES!A:D,4,FALSE()),0)</f>
        <v>1338.79</v>
      </c>
      <c r="J587" s="31">
        <f t="shared" si="252"/>
        <v>1429.74285677948</v>
      </c>
      <c r="K587" s="32" t="str">
        <f t="shared" si="243"/>
        <v>PIN-082|MAT</v>
      </c>
      <c r="L587" s="32">
        <f>COUNTIFS($K$2:K587,K587)</f>
        <v>2</v>
      </c>
      <c r="M587" s="32" t="str">
        <f t="shared" si="245"/>
        <v>PIN-082|MAT|2</v>
      </c>
      <c r="N587" s="121">
        <f>IFERROR(VLOOKUP(A587,PARTIDAS!A:F,6,FALSE()),0)</f>
        <v>420</v>
      </c>
      <c r="O587" s="123">
        <f t="shared" si="248"/>
        <v>0</v>
      </c>
      <c r="P587" s="123" t="str">
        <f>+_xlfn.XLOOKUP(A587,PPTO_GENERADOR!Q:Q,PPTO_GENERADOR!E:E,"-",0)</f>
        <v>-</v>
      </c>
      <c r="Q587" s="123">
        <f t="shared" si="249"/>
        <v>0</v>
      </c>
      <c r="R587" s="125" t="str">
        <f>+_xlfn.XLOOKUP(A587,PPTO_GENERADOR!$Q:$Q,PPTO_GENERADOR!A:A,"-",0)</f>
        <v>-</v>
      </c>
    </row>
    <row r="588" spans="1:18" ht="14.25" customHeight="1" x14ac:dyDescent="0.35">
      <c r="A588" s="105" t="s">
        <v>1931</v>
      </c>
      <c r="B588" s="105" t="s">
        <v>1979</v>
      </c>
      <c r="C588" s="105" t="s">
        <v>1980</v>
      </c>
      <c r="D588" s="105" t="s">
        <v>1292</v>
      </c>
      <c r="E588" s="95" t="str">
        <f>IFERROR(VLOOKUP(D588,MANO_DE_OBRA!A:B,2,FALSE()),"?")</f>
        <v>ESPECIALIZADO</v>
      </c>
      <c r="F588" s="129" t="s">
        <v>2042</v>
      </c>
      <c r="G588" s="119">
        <v>2</v>
      </c>
      <c r="H588" s="120">
        <v>0</v>
      </c>
      <c r="I588" s="96">
        <f>IFERROR(VLOOKUP(D588,MANO_DE_OBRA!A:C,3,FALSE()),0)</f>
        <v>94177.137883538904</v>
      </c>
      <c r="J588" s="31">
        <f t="shared" ref="J588:J590" si="253">G588*I588</f>
        <v>188354.27576707781</v>
      </c>
      <c r="K588" s="32" t="str">
        <f t="shared" si="243"/>
        <v>PIN-082|MO</v>
      </c>
      <c r="L588" s="32">
        <f>COUNTIFS($K$2:K588,K588)</f>
        <v>1</v>
      </c>
      <c r="M588" s="32" t="str">
        <f t="shared" si="245"/>
        <v>PIN-082|MO|1</v>
      </c>
      <c r="N588" s="121">
        <f>IFERROR(VLOOKUP(A588,PARTIDAS!A:F,6,FALSE()),0)</f>
        <v>420</v>
      </c>
      <c r="O588" s="123">
        <f t="shared" si="248"/>
        <v>4.7619047619047623E-3</v>
      </c>
      <c r="P588" s="123" t="str">
        <f>+_xlfn.XLOOKUP(A588,PPTO_GENERADOR!Q:Q,PPTO_GENERADOR!E:E,"-",0)</f>
        <v>-</v>
      </c>
      <c r="Q588" s="123">
        <f t="shared" si="249"/>
        <v>0</v>
      </c>
      <c r="R588" s="125" t="str">
        <f>+_xlfn.XLOOKUP(A588,PPTO_GENERADOR!$Q:$Q,PPTO_GENERADOR!A:A,"-",0)</f>
        <v>-</v>
      </c>
    </row>
    <row r="589" spans="1:18" ht="14.25" customHeight="1" x14ac:dyDescent="0.35">
      <c r="A589" s="105" t="s">
        <v>1931</v>
      </c>
      <c r="B589" s="105" t="s">
        <v>1979</v>
      </c>
      <c r="C589" s="105" t="s">
        <v>1980</v>
      </c>
      <c r="D589" s="105" t="s">
        <v>2038</v>
      </c>
      <c r="E589" s="95" t="str">
        <f>IFERROR(VLOOKUP(D589,MANO_DE_OBRA!A:B,2,FALSE()),"?")</f>
        <v>AYUDANTE</v>
      </c>
      <c r="F589" s="129" t="s">
        <v>2042</v>
      </c>
      <c r="G589" s="119">
        <v>1</v>
      </c>
      <c r="H589" s="120">
        <v>0</v>
      </c>
      <c r="I589" s="96">
        <f>IFERROR(VLOOKUP(D589,MANO_DE_OBRA!A:C,3,FALSE()),0)</f>
        <v>67240.498860267602</v>
      </c>
      <c r="J589" s="31">
        <f t="shared" si="253"/>
        <v>67240.498860267602</v>
      </c>
      <c r="K589" s="32" t="str">
        <f t="shared" si="243"/>
        <v>PIN-082|MO</v>
      </c>
      <c r="L589" s="32">
        <f>COUNTIFS($K$2:K589,K589)</f>
        <v>2</v>
      </c>
      <c r="M589" s="32" t="str">
        <f t="shared" si="245"/>
        <v>PIN-082|MO|2</v>
      </c>
      <c r="N589" s="121">
        <f>IFERROR(VLOOKUP(A589,PARTIDAS!A:F,6,FALSE()),0)</f>
        <v>420</v>
      </c>
      <c r="O589" s="123">
        <f t="shared" si="248"/>
        <v>2.3809523809523812E-3</v>
      </c>
      <c r="P589" s="123" t="str">
        <f>+_xlfn.XLOOKUP(A589,PPTO_GENERADOR!Q:Q,PPTO_GENERADOR!E:E,"-",0)</f>
        <v>-</v>
      </c>
      <c r="Q589" s="123">
        <f t="shared" si="249"/>
        <v>0</v>
      </c>
      <c r="R589" s="125" t="str">
        <f>+_xlfn.XLOOKUP(A589,PPTO_GENERADOR!$Q:$Q,PPTO_GENERADOR!A:A,"-",0)</f>
        <v>-</v>
      </c>
    </row>
    <row r="590" spans="1:18" ht="14.25" customHeight="1" x14ac:dyDescent="0.35">
      <c r="A590" s="105" t="s">
        <v>1931</v>
      </c>
      <c r="B590" s="105" t="s">
        <v>1979</v>
      </c>
      <c r="C590" s="105" t="s">
        <v>1980</v>
      </c>
      <c r="D590" s="105" t="s">
        <v>1288</v>
      </c>
      <c r="E590" s="95" t="str">
        <f>IFERROR(VLOOKUP(D590,MANO_DE_OBRA!A:B,2,FALSE()),"?")</f>
        <v>MEDIO OFICIAL</v>
      </c>
      <c r="F590" s="129" t="s">
        <v>2042</v>
      </c>
      <c r="G590" s="119">
        <v>2</v>
      </c>
      <c r="H590" s="120">
        <v>0</v>
      </c>
      <c r="I590" s="96">
        <f>IFERROR(VLOOKUP(D590,MANO_DE_OBRA!A:C,3,FALSE()),0)</f>
        <v>72132.138365590101</v>
      </c>
      <c r="J590" s="31">
        <f t="shared" si="253"/>
        <v>144264.2767311802</v>
      </c>
      <c r="K590" s="32" t="str">
        <f t="shared" si="243"/>
        <v>PIN-082|MO</v>
      </c>
      <c r="L590" s="32">
        <f>COUNTIFS($K$2:K590,K590)</f>
        <v>3</v>
      </c>
      <c r="M590" s="32" t="str">
        <f t="shared" si="245"/>
        <v>PIN-082|MO|3</v>
      </c>
      <c r="N590" s="121">
        <f>IFERROR(VLOOKUP(A590,PARTIDAS!A:F,6,FALSE()),0)</f>
        <v>420</v>
      </c>
      <c r="O590" s="123">
        <f t="shared" si="248"/>
        <v>4.7619047619047623E-3</v>
      </c>
      <c r="P590" s="123" t="str">
        <f>+_xlfn.XLOOKUP(A590,PPTO_GENERADOR!Q:Q,PPTO_GENERADOR!E:E,"-",0)</f>
        <v>-</v>
      </c>
      <c r="Q590" s="123">
        <f t="shared" si="249"/>
        <v>0</v>
      </c>
      <c r="R590" s="125" t="str">
        <f>+_xlfn.XLOOKUP(A590,PPTO_GENERADOR!$Q:$Q,PPTO_GENERADOR!A:A,"-",0)</f>
        <v>-</v>
      </c>
    </row>
    <row r="591" spans="1:18" ht="14.25" customHeight="1" x14ac:dyDescent="0.35">
      <c r="A591" s="105" t="s">
        <v>1934</v>
      </c>
      <c r="B591" s="105" t="s">
        <v>1981</v>
      </c>
      <c r="C591" s="105" t="s">
        <v>1982</v>
      </c>
      <c r="D591" s="105" t="s">
        <v>551</v>
      </c>
      <c r="E591" s="95" t="str">
        <f>IFERROR(VLOOKUP(D591,MATERIALES!A:B,2,FALSE()),"?")</f>
        <v>Alambre de fardo</v>
      </c>
      <c r="F591" s="129">
        <f>IFERROR(VLOOKUP(D591,MATERIALES!A:C,3,FALSE()),"?")</f>
        <v>0</v>
      </c>
      <c r="G591" s="119">
        <v>6.57528E-2</v>
      </c>
      <c r="H591" s="120">
        <v>0.15</v>
      </c>
      <c r="I591" s="96">
        <f>IFERROR(VLOOKUP(D591,MATERIALES!A:D,4,FALSE()),0)</f>
        <v>2660.68</v>
      </c>
      <c r="J591" s="31">
        <f t="shared" ref="J591:J592" si="254">G591*I591*(1+H591)</f>
        <v>201.18923388959996</v>
      </c>
      <c r="K591" s="32" t="str">
        <f t="shared" si="243"/>
        <v>PIN-083|MAT</v>
      </c>
      <c r="L591" s="32">
        <f>COUNTIFS($K$2:K591,K591)</f>
        <v>1</v>
      </c>
      <c r="M591" s="32" t="str">
        <f t="shared" si="245"/>
        <v>PIN-083|MAT|1</v>
      </c>
      <c r="N591" s="121">
        <f>IFERROR(VLOOKUP(A591,PARTIDAS!A:F,6,FALSE()),0)</f>
        <v>400</v>
      </c>
      <c r="O591" s="123">
        <f t="shared" si="248"/>
        <v>0</v>
      </c>
      <c r="P591" s="123" t="str">
        <f>+_xlfn.XLOOKUP(A591,PPTO_GENERADOR!Q:Q,PPTO_GENERADOR!E:E,"-",0)</f>
        <v>-</v>
      </c>
      <c r="Q591" s="123">
        <f t="shared" si="249"/>
        <v>0</v>
      </c>
      <c r="R591" s="125" t="str">
        <f>+_xlfn.XLOOKUP(A591,PPTO_GENERADOR!$Q:$Q,PPTO_GENERADOR!A:A,"-",0)</f>
        <v>-</v>
      </c>
    </row>
    <row r="592" spans="1:18" ht="14.25" customHeight="1" x14ac:dyDescent="0.35">
      <c r="A592" s="105" t="s">
        <v>1934</v>
      </c>
      <c r="B592" s="105" t="s">
        <v>1981</v>
      </c>
      <c r="C592" s="105" t="s">
        <v>1982</v>
      </c>
      <c r="D592" s="105" t="s">
        <v>536</v>
      </c>
      <c r="E592" s="95" t="str">
        <f>IFERROR(VLOOKUP(D592,MATERIALES!A:B,2,FALSE()),"?")</f>
        <v>ACERO ESTRUCTURAL POR KILO</v>
      </c>
      <c r="F592" s="129">
        <f>IFERROR(VLOOKUP(D592,MATERIALES!A:C,3,FALSE()),"?")</f>
        <v>0</v>
      </c>
      <c r="G592" s="119">
        <v>1.0027302</v>
      </c>
      <c r="H592" s="120">
        <v>7.0000000000000007E-2</v>
      </c>
      <c r="I592" s="96">
        <f>IFERROR(VLOOKUP(D592,MATERIALES!A:D,4,FALSE()),0)</f>
        <v>1338.79</v>
      </c>
      <c r="J592" s="31">
        <f t="shared" si="254"/>
        <v>1436.4163259700599</v>
      </c>
      <c r="K592" s="32" t="str">
        <f t="shared" si="243"/>
        <v>PIN-083|MAT</v>
      </c>
      <c r="L592" s="32">
        <f>COUNTIFS($K$2:K592,K592)</f>
        <v>2</v>
      </c>
      <c r="M592" s="32" t="str">
        <f t="shared" si="245"/>
        <v>PIN-083|MAT|2</v>
      </c>
      <c r="N592" s="121">
        <f>IFERROR(VLOOKUP(A592,PARTIDAS!A:F,6,FALSE()),0)</f>
        <v>400</v>
      </c>
      <c r="O592" s="123">
        <f t="shared" si="248"/>
        <v>0</v>
      </c>
      <c r="P592" s="123" t="str">
        <f>+_xlfn.XLOOKUP(A592,PPTO_GENERADOR!Q:Q,PPTO_GENERADOR!E:E,"-",0)</f>
        <v>-</v>
      </c>
      <c r="Q592" s="123">
        <f t="shared" si="249"/>
        <v>0</v>
      </c>
      <c r="R592" s="125" t="str">
        <f>+_xlfn.XLOOKUP(A592,PPTO_GENERADOR!$Q:$Q,PPTO_GENERADOR!A:A,"-",0)</f>
        <v>-</v>
      </c>
    </row>
    <row r="593" spans="1:18" ht="14.25" customHeight="1" x14ac:dyDescent="0.35">
      <c r="A593" s="105" t="s">
        <v>1934</v>
      </c>
      <c r="B593" s="105" t="s">
        <v>1979</v>
      </c>
      <c r="C593" s="105" t="s">
        <v>1980</v>
      </c>
      <c r="D593" s="105" t="s">
        <v>1292</v>
      </c>
      <c r="E593" s="95" t="str">
        <f>IFERROR(VLOOKUP(D593,MANO_DE_OBRA!A:B,2,FALSE()),"?")</f>
        <v>ESPECIALIZADO</v>
      </c>
      <c r="F593" s="129" t="s">
        <v>2042</v>
      </c>
      <c r="G593" s="119">
        <v>2</v>
      </c>
      <c r="H593" s="120">
        <v>0</v>
      </c>
      <c r="I593" s="96">
        <f>IFERROR(VLOOKUP(D593,MANO_DE_OBRA!A:C,3,FALSE()),0)</f>
        <v>94177.137883538904</v>
      </c>
      <c r="J593" s="31">
        <f t="shared" ref="J593:J595" si="255">G593*I593</f>
        <v>188354.27576707781</v>
      </c>
      <c r="K593" s="32" t="str">
        <f t="shared" si="243"/>
        <v>PIN-083|MO</v>
      </c>
      <c r="L593" s="32">
        <f>COUNTIFS($K$2:K593,K593)</f>
        <v>1</v>
      </c>
      <c r="M593" s="32" t="str">
        <f t="shared" si="245"/>
        <v>PIN-083|MO|1</v>
      </c>
      <c r="N593" s="121">
        <f>IFERROR(VLOOKUP(A593,PARTIDAS!A:F,6,FALSE()),0)</f>
        <v>400</v>
      </c>
      <c r="O593" s="123">
        <f t="shared" si="248"/>
        <v>5.0000000000000001E-3</v>
      </c>
      <c r="P593" s="123" t="str">
        <f>+_xlfn.XLOOKUP(A593,PPTO_GENERADOR!Q:Q,PPTO_GENERADOR!E:E,"-",0)</f>
        <v>-</v>
      </c>
      <c r="Q593" s="123">
        <f t="shared" si="249"/>
        <v>0</v>
      </c>
      <c r="R593" s="125" t="str">
        <f>+_xlfn.XLOOKUP(A593,PPTO_GENERADOR!$Q:$Q,PPTO_GENERADOR!A:A,"-",0)</f>
        <v>-</v>
      </c>
    </row>
    <row r="594" spans="1:18" ht="14.25" customHeight="1" x14ac:dyDescent="0.35">
      <c r="A594" s="105" t="s">
        <v>1934</v>
      </c>
      <c r="B594" s="105" t="s">
        <v>1979</v>
      </c>
      <c r="C594" s="105" t="s">
        <v>1980</v>
      </c>
      <c r="D594" s="105" t="s">
        <v>2038</v>
      </c>
      <c r="E594" s="95" t="str">
        <f>IFERROR(VLOOKUP(D594,MANO_DE_OBRA!A:B,2,FALSE()),"?")</f>
        <v>AYUDANTE</v>
      </c>
      <c r="F594" s="129" t="s">
        <v>2042</v>
      </c>
      <c r="G594" s="119">
        <v>1</v>
      </c>
      <c r="H594" s="120">
        <v>0</v>
      </c>
      <c r="I594" s="96">
        <f>IFERROR(VLOOKUP(D594,MANO_DE_OBRA!A:C,3,FALSE()),0)</f>
        <v>67240.498860267602</v>
      </c>
      <c r="J594" s="31">
        <f t="shared" si="255"/>
        <v>67240.498860267602</v>
      </c>
      <c r="K594" s="32" t="str">
        <f t="shared" si="243"/>
        <v>PIN-083|MO</v>
      </c>
      <c r="L594" s="32">
        <f>COUNTIFS($K$2:K594,K594)</f>
        <v>2</v>
      </c>
      <c r="M594" s="32" t="str">
        <f t="shared" si="245"/>
        <v>PIN-083|MO|2</v>
      </c>
      <c r="N594" s="121">
        <f>IFERROR(VLOOKUP(A594,PARTIDAS!A:F,6,FALSE()),0)</f>
        <v>400</v>
      </c>
      <c r="O594" s="123">
        <f t="shared" si="248"/>
        <v>2.5000000000000001E-3</v>
      </c>
      <c r="P594" s="123" t="str">
        <f>+_xlfn.XLOOKUP(A594,PPTO_GENERADOR!Q:Q,PPTO_GENERADOR!E:E,"-",0)</f>
        <v>-</v>
      </c>
      <c r="Q594" s="123">
        <f t="shared" si="249"/>
        <v>0</v>
      </c>
      <c r="R594" s="125" t="str">
        <f>+_xlfn.XLOOKUP(A594,PPTO_GENERADOR!$Q:$Q,PPTO_GENERADOR!A:A,"-",0)</f>
        <v>-</v>
      </c>
    </row>
    <row r="595" spans="1:18" ht="14.25" customHeight="1" x14ac:dyDescent="0.35">
      <c r="A595" s="105" t="s">
        <v>1934</v>
      </c>
      <c r="B595" s="105" t="s">
        <v>1979</v>
      </c>
      <c r="C595" s="105" t="s">
        <v>1980</v>
      </c>
      <c r="D595" s="105" t="s">
        <v>1288</v>
      </c>
      <c r="E595" s="95" t="str">
        <f>IFERROR(VLOOKUP(D595,MANO_DE_OBRA!A:B,2,FALSE()),"?")</f>
        <v>MEDIO OFICIAL</v>
      </c>
      <c r="F595" s="129" t="s">
        <v>2042</v>
      </c>
      <c r="G595" s="119">
        <v>2</v>
      </c>
      <c r="H595" s="120">
        <v>0</v>
      </c>
      <c r="I595" s="96">
        <f>IFERROR(VLOOKUP(D595,MANO_DE_OBRA!A:C,3,FALSE()),0)</f>
        <v>72132.138365590101</v>
      </c>
      <c r="J595" s="31">
        <f t="shared" si="255"/>
        <v>144264.2767311802</v>
      </c>
      <c r="K595" s="32" t="str">
        <f t="shared" si="243"/>
        <v>PIN-083|MO</v>
      </c>
      <c r="L595" s="32">
        <f>COUNTIFS($K$2:K595,K595)</f>
        <v>3</v>
      </c>
      <c r="M595" s="32" t="str">
        <f t="shared" si="245"/>
        <v>PIN-083|MO|3</v>
      </c>
      <c r="N595" s="121">
        <f>IFERROR(VLOOKUP(A595,PARTIDAS!A:F,6,FALSE()),0)</f>
        <v>400</v>
      </c>
      <c r="O595" s="123">
        <f t="shared" si="248"/>
        <v>5.0000000000000001E-3</v>
      </c>
      <c r="P595" s="123" t="str">
        <f>+_xlfn.XLOOKUP(A595,PPTO_GENERADOR!Q:Q,PPTO_GENERADOR!E:E,"-",0)</f>
        <v>-</v>
      </c>
      <c r="Q595" s="123">
        <f t="shared" si="249"/>
        <v>0</v>
      </c>
      <c r="R595" s="125" t="str">
        <f>+_xlfn.XLOOKUP(A595,PPTO_GENERADOR!$Q:$Q,PPTO_GENERADOR!A:A,"-",0)</f>
        <v>-</v>
      </c>
    </row>
    <row r="596" spans="1:18" ht="14.25" customHeight="1" x14ac:dyDescent="0.35">
      <c r="A596" s="105" t="s">
        <v>1937</v>
      </c>
      <c r="B596" s="105" t="s">
        <v>1981</v>
      </c>
      <c r="C596" s="105" t="s">
        <v>1982</v>
      </c>
      <c r="D596" s="105" t="s">
        <v>551</v>
      </c>
      <c r="E596" s="95" t="str">
        <f>IFERROR(VLOOKUP(D596,MATERIALES!A:B,2,FALSE()),"?")</f>
        <v>Alambre de fardo</v>
      </c>
      <c r="F596" s="129">
        <f>IFERROR(VLOOKUP(D596,MATERIALES!A:C,3,FALSE()),"?")</f>
        <v>0</v>
      </c>
      <c r="G596" s="119">
        <v>6.5081799999999995E-2</v>
      </c>
      <c r="H596" s="120">
        <v>0.15</v>
      </c>
      <c r="I596" s="96">
        <f>IFERROR(VLOOKUP(D596,MATERIALES!A:D,4,FALSE()),0)</f>
        <v>2660.68</v>
      </c>
      <c r="J596" s="31">
        <f t="shared" ref="J596:J597" si="256">G596*I596*(1+H596)</f>
        <v>199.13612016759996</v>
      </c>
      <c r="K596" s="32" t="str">
        <f t="shared" si="243"/>
        <v>PIN-084|MAT</v>
      </c>
      <c r="L596" s="32">
        <f>COUNTIFS($K$2:K596,K596)</f>
        <v>1</v>
      </c>
      <c r="M596" s="32" t="str">
        <f t="shared" si="245"/>
        <v>PIN-084|MAT|1</v>
      </c>
      <c r="N596" s="121">
        <f>IFERROR(VLOOKUP(A596,PARTIDAS!A:F,6,FALSE()),0)</f>
        <v>150</v>
      </c>
      <c r="O596" s="123">
        <f t="shared" si="248"/>
        <v>0</v>
      </c>
      <c r="P596" s="123" t="str">
        <f>+_xlfn.XLOOKUP(A596,PPTO_GENERADOR!Q:Q,PPTO_GENERADOR!E:E,"-",0)</f>
        <v>-</v>
      </c>
      <c r="Q596" s="123">
        <f t="shared" si="249"/>
        <v>0</v>
      </c>
      <c r="R596" s="125" t="str">
        <f>+_xlfn.XLOOKUP(A596,PPTO_GENERADOR!$Q:$Q,PPTO_GENERADOR!A:A,"-",0)</f>
        <v>-</v>
      </c>
    </row>
    <row r="597" spans="1:18" ht="14.25" customHeight="1" x14ac:dyDescent="0.35">
      <c r="A597" s="105" t="s">
        <v>1937</v>
      </c>
      <c r="B597" s="105" t="s">
        <v>1981</v>
      </c>
      <c r="C597" s="105" t="s">
        <v>1982</v>
      </c>
      <c r="D597" s="105" t="s">
        <v>536</v>
      </c>
      <c r="E597" s="95" t="str">
        <f>IFERROR(VLOOKUP(D597,MATERIALES!A:B,2,FALSE()),"?")</f>
        <v>ACERO ESTRUCTURAL POR KILO</v>
      </c>
      <c r="F597" s="129">
        <f>IFERROR(VLOOKUP(D597,MATERIALES!A:C,3,FALSE()),"?")</f>
        <v>0</v>
      </c>
      <c r="G597" s="119">
        <v>8.3676600000000004E-2</v>
      </c>
      <c r="H597" s="120">
        <v>7.0000000000000007E-2</v>
      </c>
      <c r="I597" s="96">
        <f>IFERROR(VLOOKUP(D597,MATERIALES!A:D,4,FALSE()),0)</f>
        <v>1338.79</v>
      </c>
      <c r="J597" s="31">
        <f t="shared" si="256"/>
        <v>119.86717298598002</v>
      </c>
      <c r="K597" s="32" t="str">
        <f t="shared" si="243"/>
        <v>PIN-084|MAT</v>
      </c>
      <c r="L597" s="32">
        <f>COUNTIFS($K$2:K597,K597)</f>
        <v>2</v>
      </c>
      <c r="M597" s="32" t="str">
        <f t="shared" si="245"/>
        <v>PIN-084|MAT|2</v>
      </c>
      <c r="N597" s="121">
        <f>IFERROR(VLOOKUP(A597,PARTIDAS!A:F,6,FALSE()),0)</f>
        <v>150</v>
      </c>
      <c r="O597" s="123">
        <f t="shared" si="248"/>
        <v>0</v>
      </c>
      <c r="P597" s="123" t="str">
        <f>+_xlfn.XLOOKUP(A597,PPTO_GENERADOR!Q:Q,PPTO_GENERADOR!E:E,"-",0)</f>
        <v>-</v>
      </c>
      <c r="Q597" s="123">
        <f t="shared" si="249"/>
        <v>0</v>
      </c>
      <c r="R597" s="125" t="str">
        <f>+_xlfn.XLOOKUP(A597,PPTO_GENERADOR!$Q:$Q,PPTO_GENERADOR!A:A,"-",0)</f>
        <v>-</v>
      </c>
    </row>
    <row r="598" spans="1:18" ht="14.25" customHeight="1" x14ac:dyDescent="0.35">
      <c r="A598" s="105" t="s">
        <v>1937</v>
      </c>
      <c r="B598" s="105" t="s">
        <v>1979</v>
      </c>
      <c r="C598" s="105" t="s">
        <v>1980</v>
      </c>
      <c r="D598" s="105" t="s">
        <v>1292</v>
      </c>
      <c r="E598" s="95" t="str">
        <f>IFERROR(VLOOKUP(D598,MANO_DE_OBRA!A:B,2,FALSE()),"?")</f>
        <v>ESPECIALIZADO</v>
      </c>
      <c r="F598" s="129" t="s">
        <v>2042</v>
      </c>
      <c r="G598" s="119">
        <v>3</v>
      </c>
      <c r="H598" s="120">
        <v>0</v>
      </c>
      <c r="I598" s="96">
        <f>IFERROR(VLOOKUP(D598,MANO_DE_OBRA!A:C,3,FALSE()),0)</f>
        <v>94177.137883538904</v>
      </c>
      <c r="J598" s="31">
        <f t="shared" ref="J598:J599" si="257">G598*I598</f>
        <v>282531.41365061671</v>
      </c>
      <c r="K598" s="32" t="str">
        <f t="shared" si="243"/>
        <v>PIN-084|MO</v>
      </c>
      <c r="L598" s="32">
        <f>COUNTIFS($K$2:K598,K598)</f>
        <v>1</v>
      </c>
      <c r="M598" s="32" t="str">
        <f t="shared" si="245"/>
        <v>PIN-084|MO|1</v>
      </c>
      <c r="N598" s="121">
        <f>IFERROR(VLOOKUP(A598,PARTIDAS!A:F,6,FALSE()),0)</f>
        <v>150</v>
      </c>
      <c r="O598" s="123">
        <f t="shared" si="248"/>
        <v>0.02</v>
      </c>
      <c r="P598" s="123" t="str">
        <f>+_xlfn.XLOOKUP(A598,PPTO_GENERADOR!Q:Q,PPTO_GENERADOR!E:E,"-",0)</f>
        <v>-</v>
      </c>
      <c r="Q598" s="123">
        <f t="shared" si="249"/>
        <v>0</v>
      </c>
      <c r="R598" s="125" t="str">
        <f>+_xlfn.XLOOKUP(A598,PPTO_GENERADOR!$Q:$Q,PPTO_GENERADOR!A:A,"-",0)</f>
        <v>-</v>
      </c>
    </row>
    <row r="599" spans="1:18" ht="14.25" customHeight="1" x14ac:dyDescent="0.35">
      <c r="A599" s="105" t="s">
        <v>1937</v>
      </c>
      <c r="B599" s="105" t="s">
        <v>1979</v>
      </c>
      <c r="C599" s="105" t="s">
        <v>1980</v>
      </c>
      <c r="D599" s="105" t="s">
        <v>1288</v>
      </c>
      <c r="E599" s="95" t="str">
        <f>IFERROR(VLOOKUP(D599,MANO_DE_OBRA!A:B,2,FALSE()),"?")</f>
        <v>MEDIO OFICIAL</v>
      </c>
      <c r="F599" s="129" t="s">
        <v>2042</v>
      </c>
      <c r="G599" s="119">
        <v>2</v>
      </c>
      <c r="H599" s="120">
        <v>0</v>
      </c>
      <c r="I599" s="96">
        <f>IFERROR(VLOOKUP(D599,MANO_DE_OBRA!A:C,3,FALSE()),0)</f>
        <v>72132.138365590101</v>
      </c>
      <c r="J599" s="31">
        <f t="shared" si="257"/>
        <v>144264.2767311802</v>
      </c>
      <c r="K599" s="32" t="str">
        <f t="shared" si="243"/>
        <v>PIN-084|MO</v>
      </c>
      <c r="L599" s="32">
        <f>COUNTIFS($K$2:K599,K599)</f>
        <v>2</v>
      </c>
      <c r="M599" s="32" t="str">
        <f t="shared" si="245"/>
        <v>PIN-084|MO|2</v>
      </c>
      <c r="N599" s="121">
        <f>IFERROR(VLOOKUP(A599,PARTIDAS!A:F,6,FALSE()),0)</f>
        <v>150</v>
      </c>
      <c r="O599" s="123">
        <f t="shared" si="248"/>
        <v>1.3333333333333334E-2</v>
      </c>
      <c r="P599" s="123" t="str">
        <f>+_xlfn.XLOOKUP(A599,PPTO_GENERADOR!Q:Q,PPTO_GENERADOR!E:E,"-",0)</f>
        <v>-</v>
      </c>
      <c r="Q599" s="123">
        <f t="shared" si="249"/>
        <v>0</v>
      </c>
      <c r="R599" s="125" t="str">
        <f>+_xlfn.XLOOKUP(A599,PPTO_GENERADOR!$Q:$Q,PPTO_GENERADOR!A:A,"-",0)</f>
        <v>-</v>
      </c>
    </row>
    <row r="600" spans="1:18" ht="14.25" customHeight="1" x14ac:dyDescent="0.35">
      <c r="A600" s="105" t="s">
        <v>1940</v>
      </c>
      <c r="B600" s="105" t="s">
        <v>1981</v>
      </c>
      <c r="C600" s="105" t="s">
        <v>1982</v>
      </c>
      <c r="D600" s="105" t="s">
        <v>551</v>
      </c>
      <c r="E600" s="95" t="str">
        <f>IFERROR(VLOOKUP(D600,MATERIALES!A:B,2,FALSE()),"?")</f>
        <v>Alambre de fardo</v>
      </c>
      <c r="F600" s="129">
        <f>IFERROR(VLOOKUP(D600,MATERIALES!A:C,3,FALSE()),"?")</f>
        <v>0</v>
      </c>
      <c r="G600" s="119">
        <v>6.8999999999999997E-5</v>
      </c>
      <c r="H600" s="120">
        <v>0.15</v>
      </c>
      <c r="I600" s="96">
        <f>IFERROR(VLOOKUP(D600,MATERIALES!A:D,4,FALSE()),0)</f>
        <v>2660.68</v>
      </c>
      <c r="J600" s="31">
        <f t="shared" ref="J600:J601" si="258">G600*I600*(1+H600)</f>
        <v>0.21112495799999997</v>
      </c>
      <c r="K600" s="32" t="str">
        <f t="shared" si="243"/>
        <v>APU-005|MAT</v>
      </c>
      <c r="L600" s="32">
        <f>COUNTIFS($K$2:K600,K600)</f>
        <v>1</v>
      </c>
      <c r="M600" s="32" t="str">
        <f t="shared" si="245"/>
        <v>APU-005|MAT|1</v>
      </c>
      <c r="N600" s="121">
        <f>IFERROR(VLOOKUP(A600,PARTIDAS!A:F,6,FALSE()),0)</f>
        <v>400</v>
      </c>
      <c r="O600" s="123">
        <f t="shared" si="248"/>
        <v>0</v>
      </c>
      <c r="P600" s="123" t="str">
        <f>+_xlfn.XLOOKUP(A600,PPTO_GENERADOR!Q:Q,PPTO_GENERADOR!E:E,"-",0)</f>
        <v>-</v>
      </c>
      <c r="Q600" s="123">
        <f t="shared" si="249"/>
        <v>0</v>
      </c>
      <c r="R600" s="125" t="str">
        <f>+_xlfn.XLOOKUP(A600,PPTO_GENERADOR!$Q:$Q,PPTO_GENERADOR!A:A,"-",0)</f>
        <v>-</v>
      </c>
    </row>
    <row r="601" spans="1:18" ht="14.25" customHeight="1" x14ac:dyDescent="0.35">
      <c r="A601" s="105" t="s">
        <v>1940</v>
      </c>
      <c r="B601" s="105" t="s">
        <v>1981</v>
      </c>
      <c r="C601" s="105" t="s">
        <v>1982</v>
      </c>
      <c r="D601" s="105" t="s">
        <v>536</v>
      </c>
      <c r="E601" s="95" t="str">
        <f>IFERROR(VLOOKUP(D601,MATERIALES!A:B,2,FALSE()),"?")</f>
        <v>ACERO ESTRUCTURAL POR KILO</v>
      </c>
      <c r="F601" s="129">
        <f>IFERROR(VLOOKUP(D601,MATERIALES!A:C,3,FALSE()),"?")</f>
        <v>0</v>
      </c>
      <c r="G601" s="119">
        <v>1.0319999999999999E-3</v>
      </c>
      <c r="H601" s="120">
        <v>7.0000000000000007E-2</v>
      </c>
      <c r="I601" s="96">
        <f>IFERROR(VLOOKUP(D601,MATERIALES!A:D,4,FALSE()),0)</f>
        <v>1338.79</v>
      </c>
      <c r="J601" s="31">
        <f t="shared" si="258"/>
        <v>1.4783454696</v>
      </c>
      <c r="K601" s="32" t="str">
        <f t="shared" si="243"/>
        <v>APU-005|MAT</v>
      </c>
      <c r="L601" s="32">
        <f>COUNTIFS($K$2:K601,K601)</f>
        <v>2</v>
      </c>
      <c r="M601" s="32" t="str">
        <f t="shared" si="245"/>
        <v>APU-005|MAT|2</v>
      </c>
      <c r="N601" s="121">
        <f>IFERROR(VLOOKUP(A601,PARTIDAS!A:F,6,FALSE()),0)</f>
        <v>400</v>
      </c>
      <c r="O601" s="123">
        <f t="shared" si="248"/>
        <v>0</v>
      </c>
      <c r="P601" s="123" t="str">
        <f>+_xlfn.XLOOKUP(A601,PPTO_GENERADOR!Q:Q,PPTO_GENERADOR!E:E,"-",0)</f>
        <v>-</v>
      </c>
      <c r="Q601" s="123">
        <f t="shared" si="249"/>
        <v>0</v>
      </c>
      <c r="R601" s="125" t="str">
        <f>+_xlfn.XLOOKUP(A601,PPTO_GENERADOR!$Q:$Q,PPTO_GENERADOR!A:A,"-",0)</f>
        <v>-</v>
      </c>
    </row>
    <row r="602" spans="1:18" ht="14.25" customHeight="1" x14ac:dyDescent="0.35">
      <c r="A602" s="105" t="s">
        <v>1940</v>
      </c>
      <c r="B602" s="105" t="s">
        <v>1979</v>
      </c>
      <c r="C602" s="105" t="s">
        <v>1980</v>
      </c>
      <c r="D602" s="105" t="s">
        <v>1292</v>
      </c>
      <c r="E602" s="95" t="str">
        <f>IFERROR(VLOOKUP(D602,MANO_DE_OBRA!A:B,2,FALSE()),"?")</f>
        <v>ESPECIALIZADO</v>
      </c>
      <c r="F602" s="129" t="s">
        <v>2042</v>
      </c>
      <c r="G602" s="119">
        <v>2</v>
      </c>
      <c r="H602" s="120">
        <v>0</v>
      </c>
      <c r="I602" s="96">
        <f>IFERROR(VLOOKUP(D602,MANO_DE_OBRA!A:C,3,FALSE()),0)</f>
        <v>94177.137883538904</v>
      </c>
      <c r="J602" s="31">
        <f t="shared" ref="J602:J604" si="259">G602*I602</f>
        <v>188354.27576707781</v>
      </c>
      <c r="K602" s="32" t="str">
        <f t="shared" si="243"/>
        <v>APU-005|MO</v>
      </c>
      <c r="L602" s="32">
        <f>COUNTIFS($K$2:K602,K602)</f>
        <v>1</v>
      </c>
      <c r="M602" s="32" t="str">
        <f t="shared" si="245"/>
        <v>APU-005|MO|1</v>
      </c>
      <c r="N602" s="121">
        <f>IFERROR(VLOOKUP(A602,PARTIDAS!A:F,6,FALSE()),0)</f>
        <v>400</v>
      </c>
      <c r="O602" s="123">
        <f t="shared" si="248"/>
        <v>5.0000000000000001E-3</v>
      </c>
      <c r="P602" s="123" t="str">
        <f>+_xlfn.XLOOKUP(A602,PPTO_GENERADOR!Q:Q,PPTO_GENERADOR!E:E,"-",0)</f>
        <v>-</v>
      </c>
      <c r="Q602" s="123">
        <f t="shared" si="249"/>
        <v>0</v>
      </c>
      <c r="R602" s="125" t="str">
        <f>+_xlfn.XLOOKUP(A602,PPTO_GENERADOR!$Q:$Q,PPTO_GENERADOR!A:A,"-",0)</f>
        <v>-</v>
      </c>
    </row>
    <row r="603" spans="1:18" ht="14.25" customHeight="1" x14ac:dyDescent="0.35">
      <c r="A603" s="105" t="s">
        <v>1940</v>
      </c>
      <c r="B603" s="105" t="s">
        <v>1979</v>
      </c>
      <c r="C603" s="105" t="s">
        <v>1980</v>
      </c>
      <c r="D603" s="105" t="s">
        <v>2038</v>
      </c>
      <c r="E603" s="95" t="str">
        <f>IFERROR(VLOOKUP(D603,MANO_DE_OBRA!A:B,2,FALSE()),"?")</f>
        <v>AYUDANTE</v>
      </c>
      <c r="F603" s="129" t="s">
        <v>2042</v>
      </c>
      <c r="G603" s="119">
        <v>1</v>
      </c>
      <c r="H603" s="120">
        <v>0</v>
      </c>
      <c r="I603" s="96">
        <f>IFERROR(VLOOKUP(D603,MANO_DE_OBRA!A:C,3,FALSE()),0)</f>
        <v>67240.498860267602</v>
      </c>
      <c r="J603" s="31">
        <f t="shared" si="259"/>
        <v>67240.498860267602</v>
      </c>
      <c r="K603" s="32" t="str">
        <f t="shared" si="243"/>
        <v>APU-005|MO</v>
      </c>
      <c r="L603" s="32">
        <f>COUNTIFS($K$2:K603,K603)</f>
        <v>2</v>
      </c>
      <c r="M603" s="32" t="str">
        <f t="shared" si="245"/>
        <v>APU-005|MO|2</v>
      </c>
      <c r="N603" s="121">
        <f>IFERROR(VLOOKUP(A603,PARTIDAS!A:F,6,FALSE()),0)</f>
        <v>400</v>
      </c>
      <c r="O603" s="123">
        <f t="shared" si="248"/>
        <v>2.5000000000000001E-3</v>
      </c>
      <c r="P603" s="123" t="str">
        <f>+_xlfn.XLOOKUP(A603,PPTO_GENERADOR!Q:Q,PPTO_GENERADOR!E:E,"-",0)</f>
        <v>-</v>
      </c>
      <c r="Q603" s="123">
        <f t="shared" si="249"/>
        <v>0</v>
      </c>
      <c r="R603" s="125" t="str">
        <f>+_xlfn.XLOOKUP(A603,PPTO_GENERADOR!$Q:$Q,PPTO_GENERADOR!A:A,"-",0)</f>
        <v>-</v>
      </c>
    </row>
    <row r="604" spans="1:18" ht="14.25" customHeight="1" x14ac:dyDescent="0.35">
      <c r="A604" s="105" t="s">
        <v>1940</v>
      </c>
      <c r="B604" s="105" t="s">
        <v>1979</v>
      </c>
      <c r="C604" s="105" t="s">
        <v>1980</v>
      </c>
      <c r="D604" s="105" t="s">
        <v>1288</v>
      </c>
      <c r="E604" s="95" t="str">
        <f>IFERROR(VLOOKUP(D604,MANO_DE_OBRA!A:B,2,FALSE()),"?")</f>
        <v>MEDIO OFICIAL</v>
      </c>
      <c r="F604" s="129" t="s">
        <v>2042</v>
      </c>
      <c r="G604" s="119">
        <v>2</v>
      </c>
      <c r="H604" s="120">
        <v>0</v>
      </c>
      <c r="I604" s="96">
        <f>IFERROR(VLOOKUP(D604,MANO_DE_OBRA!A:C,3,FALSE()),0)</f>
        <v>72132.138365590101</v>
      </c>
      <c r="J604" s="31">
        <f t="shared" si="259"/>
        <v>144264.2767311802</v>
      </c>
      <c r="K604" s="32" t="str">
        <f t="shared" si="243"/>
        <v>APU-005|MO</v>
      </c>
      <c r="L604" s="32">
        <f>COUNTIFS($K$2:K604,K604)</f>
        <v>3</v>
      </c>
      <c r="M604" s="32" t="str">
        <f t="shared" si="245"/>
        <v>APU-005|MO|3</v>
      </c>
      <c r="N604" s="121">
        <f>IFERROR(VLOOKUP(A604,PARTIDAS!A:F,6,FALSE()),0)</f>
        <v>400</v>
      </c>
      <c r="O604" s="123">
        <f t="shared" si="248"/>
        <v>5.0000000000000001E-3</v>
      </c>
      <c r="P604" s="123" t="str">
        <f>+_xlfn.XLOOKUP(A604,PPTO_GENERADOR!Q:Q,PPTO_GENERADOR!E:E,"-",0)</f>
        <v>-</v>
      </c>
      <c r="Q604" s="123">
        <f t="shared" si="249"/>
        <v>0</v>
      </c>
      <c r="R604" s="125" t="str">
        <f>+_xlfn.XLOOKUP(A604,PPTO_GENERADOR!$Q:$Q,PPTO_GENERADOR!A:A,"-",0)</f>
        <v>-</v>
      </c>
    </row>
    <row r="605" spans="1:18" ht="14.25" customHeight="1" x14ac:dyDescent="0.35">
      <c r="A605" s="105" t="s">
        <v>1943</v>
      </c>
      <c r="B605" s="105" t="s">
        <v>1981</v>
      </c>
      <c r="C605" s="105" t="s">
        <v>1982</v>
      </c>
      <c r="D605" s="105" t="s">
        <v>551</v>
      </c>
      <c r="E605" s="95" t="str">
        <f>IFERROR(VLOOKUP(D605,MATERIALES!A:B,2,FALSE()),"?")</f>
        <v>Alambre de fardo</v>
      </c>
      <c r="F605" s="129">
        <f>IFERROR(VLOOKUP(D605,MATERIALES!A:C,3,FALSE()),"?")</f>
        <v>0</v>
      </c>
      <c r="G605" s="119">
        <v>6.6538420000000001E-2</v>
      </c>
      <c r="H605" s="120">
        <v>0.15</v>
      </c>
      <c r="I605" s="96">
        <f>IFERROR(VLOOKUP(D605,MATERIALES!A:D,4,FALSE()),0)</f>
        <v>2660.68</v>
      </c>
      <c r="J605" s="31">
        <f t="shared" ref="J605:J606" si="260">G605*I605*(1+H605)</f>
        <v>203.59305982443996</v>
      </c>
      <c r="K605" s="32" t="str">
        <f t="shared" si="243"/>
        <v>PIN-086|MAT</v>
      </c>
      <c r="L605" s="32">
        <f>COUNTIFS($K$2:K605,K605)</f>
        <v>1</v>
      </c>
      <c r="M605" s="32" t="str">
        <f t="shared" si="245"/>
        <v>PIN-086|MAT|1</v>
      </c>
      <c r="N605" s="121">
        <f>IFERROR(VLOOKUP(A605,PARTIDAS!A:F,6,FALSE()),0)</f>
        <v>400</v>
      </c>
      <c r="O605" s="123">
        <f t="shared" si="248"/>
        <v>0</v>
      </c>
      <c r="P605" s="123" t="str">
        <f>+_xlfn.XLOOKUP(A605,PPTO_GENERADOR!Q:Q,PPTO_GENERADOR!E:E,"-",0)</f>
        <v>-</v>
      </c>
      <c r="Q605" s="123">
        <f t="shared" si="249"/>
        <v>0</v>
      </c>
      <c r="R605" s="125" t="str">
        <f>+_xlfn.XLOOKUP(A605,PPTO_GENERADOR!$Q:$Q,PPTO_GENERADOR!A:A,"-",0)</f>
        <v>-</v>
      </c>
    </row>
    <row r="606" spans="1:18" ht="14.25" customHeight="1" x14ac:dyDescent="0.35">
      <c r="A606" s="105" t="s">
        <v>1943</v>
      </c>
      <c r="B606" s="105" t="s">
        <v>1981</v>
      </c>
      <c r="C606" s="105" t="s">
        <v>1982</v>
      </c>
      <c r="D606" s="105" t="s">
        <v>536</v>
      </c>
      <c r="E606" s="95" t="str">
        <f>IFERROR(VLOOKUP(D606,MATERIALES!A:B,2,FALSE()),"?")</f>
        <v>ACERO ESTRUCTURAL POR KILO</v>
      </c>
      <c r="F606" s="129">
        <f>IFERROR(VLOOKUP(D606,MATERIALES!A:C,3,FALSE()),"?")</f>
        <v>0</v>
      </c>
      <c r="G606" s="119">
        <v>1.00063547</v>
      </c>
      <c r="H606" s="120">
        <v>7.0000000000000007E-2</v>
      </c>
      <c r="I606" s="96">
        <f>IFERROR(VLOOKUP(D606,MATERIALES!A:D,4,FALSE()),0)</f>
        <v>1338.79</v>
      </c>
      <c r="J606" s="31">
        <f t="shared" si="260"/>
        <v>1433.415614142991</v>
      </c>
      <c r="K606" s="32" t="str">
        <f t="shared" si="243"/>
        <v>PIN-086|MAT</v>
      </c>
      <c r="L606" s="32">
        <f>COUNTIFS($K$2:K606,K606)</f>
        <v>2</v>
      </c>
      <c r="M606" s="32" t="str">
        <f t="shared" si="245"/>
        <v>PIN-086|MAT|2</v>
      </c>
      <c r="N606" s="121">
        <f>IFERROR(VLOOKUP(A606,PARTIDAS!A:F,6,FALSE()),0)</f>
        <v>400</v>
      </c>
      <c r="O606" s="123">
        <f t="shared" si="248"/>
        <v>0</v>
      </c>
      <c r="P606" s="123" t="str">
        <f>+_xlfn.XLOOKUP(A606,PPTO_GENERADOR!Q:Q,PPTO_GENERADOR!E:E,"-",0)</f>
        <v>-</v>
      </c>
      <c r="Q606" s="123">
        <f t="shared" si="249"/>
        <v>0</v>
      </c>
      <c r="R606" s="125" t="str">
        <f>+_xlfn.XLOOKUP(A606,PPTO_GENERADOR!$Q:$Q,PPTO_GENERADOR!A:A,"-",0)</f>
        <v>-</v>
      </c>
    </row>
    <row r="607" spans="1:18" ht="14.25" customHeight="1" x14ac:dyDescent="0.35">
      <c r="A607" s="105" t="s">
        <v>1943</v>
      </c>
      <c r="B607" s="105" t="s">
        <v>1979</v>
      </c>
      <c r="C607" s="105" t="s">
        <v>1980</v>
      </c>
      <c r="D607" s="105" t="s">
        <v>1292</v>
      </c>
      <c r="E607" s="95" t="str">
        <f>IFERROR(VLOOKUP(D607,MANO_DE_OBRA!A:B,2,FALSE()),"?")</f>
        <v>ESPECIALIZADO</v>
      </c>
      <c r="F607" s="129" t="s">
        <v>2042</v>
      </c>
      <c r="G607" s="119">
        <v>2</v>
      </c>
      <c r="H607" s="120">
        <v>0</v>
      </c>
      <c r="I607" s="96">
        <f>IFERROR(VLOOKUP(D607,MANO_DE_OBRA!A:C,3,FALSE()),0)</f>
        <v>94177.137883538904</v>
      </c>
      <c r="J607" s="31">
        <f t="shared" ref="J607:J609" si="261">G607*I607</f>
        <v>188354.27576707781</v>
      </c>
      <c r="K607" s="32" t="str">
        <f t="shared" si="243"/>
        <v>PIN-086|MO</v>
      </c>
      <c r="L607" s="32">
        <f>COUNTIFS($K$2:K607,K607)</f>
        <v>1</v>
      </c>
      <c r="M607" s="32" t="str">
        <f t="shared" si="245"/>
        <v>PIN-086|MO|1</v>
      </c>
      <c r="N607" s="121">
        <f>IFERROR(VLOOKUP(A607,PARTIDAS!A:F,6,FALSE()),0)</f>
        <v>400</v>
      </c>
      <c r="O607" s="123">
        <f t="shared" si="248"/>
        <v>5.0000000000000001E-3</v>
      </c>
      <c r="P607" s="123" t="str">
        <f>+_xlfn.XLOOKUP(A607,PPTO_GENERADOR!Q:Q,PPTO_GENERADOR!E:E,"-",0)</f>
        <v>-</v>
      </c>
      <c r="Q607" s="123">
        <f t="shared" si="249"/>
        <v>0</v>
      </c>
      <c r="R607" s="125" t="str">
        <f>+_xlfn.XLOOKUP(A607,PPTO_GENERADOR!$Q:$Q,PPTO_GENERADOR!A:A,"-",0)</f>
        <v>-</v>
      </c>
    </row>
    <row r="608" spans="1:18" ht="14.25" customHeight="1" x14ac:dyDescent="0.35">
      <c r="A608" s="105" t="s">
        <v>1943</v>
      </c>
      <c r="B608" s="105" t="s">
        <v>1979</v>
      </c>
      <c r="C608" s="105" t="s">
        <v>1980</v>
      </c>
      <c r="D608" s="105" t="s">
        <v>2038</v>
      </c>
      <c r="E608" s="95" t="str">
        <f>IFERROR(VLOOKUP(D608,MANO_DE_OBRA!A:B,2,FALSE()),"?")</f>
        <v>AYUDANTE</v>
      </c>
      <c r="F608" s="129" t="s">
        <v>2042</v>
      </c>
      <c r="G608" s="119">
        <v>1</v>
      </c>
      <c r="H608" s="120">
        <v>0</v>
      </c>
      <c r="I608" s="96">
        <f>IFERROR(VLOOKUP(D608,MANO_DE_OBRA!A:C,3,FALSE()),0)</f>
        <v>67240.498860267602</v>
      </c>
      <c r="J608" s="31">
        <f t="shared" si="261"/>
        <v>67240.498860267602</v>
      </c>
      <c r="K608" s="32" t="str">
        <f t="shared" si="243"/>
        <v>PIN-086|MO</v>
      </c>
      <c r="L608" s="32">
        <f>COUNTIFS($K$2:K608,K608)</f>
        <v>2</v>
      </c>
      <c r="M608" s="32" t="str">
        <f t="shared" si="245"/>
        <v>PIN-086|MO|2</v>
      </c>
      <c r="N608" s="121">
        <f>IFERROR(VLOOKUP(A608,PARTIDAS!A:F,6,FALSE()),0)</f>
        <v>400</v>
      </c>
      <c r="O608" s="123">
        <f t="shared" si="248"/>
        <v>2.5000000000000001E-3</v>
      </c>
      <c r="P608" s="123" t="str">
        <f>+_xlfn.XLOOKUP(A608,PPTO_GENERADOR!Q:Q,PPTO_GENERADOR!E:E,"-",0)</f>
        <v>-</v>
      </c>
      <c r="Q608" s="123">
        <f t="shared" si="249"/>
        <v>0</v>
      </c>
      <c r="R608" s="125" t="str">
        <f>+_xlfn.XLOOKUP(A608,PPTO_GENERADOR!$Q:$Q,PPTO_GENERADOR!A:A,"-",0)</f>
        <v>-</v>
      </c>
    </row>
    <row r="609" spans="1:18" ht="14.25" customHeight="1" x14ac:dyDescent="0.35">
      <c r="A609" s="105" t="s">
        <v>1943</v>
      </c>
      <c r="B609" s="105" t="s">
        <v>1979</v>
      </c>
      <c r="C609" s="105" t="s">
        <v>1980</v>
      </c>
      <c r="D609" s="105" t="s">
        <v>1288</v>
      </c>
      <c r="E609" s="95" t="str">
        <f>IFERROR(VLOOKUP(D609,MANO_DE_OBRA!A:B,2,FALSE()),"?")</f>
        <v>MEDIO OFICIAL</v>
      </c>
      <c r="F609" s="129" t="s">
        <v>2042</v>
      </c>
      <c r="G609" s="119">
        <v>2</v>
      </c>
      <c r="H609" s="120">
        <v>0</v>
      </c>
      <c r="I609" s="96">
        <f>IFERROR(VLOOKUP(D609,MANO_DE_OBRA!A:C,3,FALSE()),0)</f>
        <v>72132.138365590101</v>
      </c>
      <c r="J609" s="31">
        <f t="shared" si="261"/>
        <v>144264.2767311802</v>
      </c>
      <c r="K609" s="32" t="str">
        <f t="shared" si="243"/>
        <v>PIN-086|MO</v>
      </c>
      <c r="L609" s="32">
        <f>COUNTIFS($K$2:K609,K609)</f>
        <v>3</v>
      </c>
      <c r="M609" s="32" t="str">
        <f t="shared" si="245"/>
        <v>PIN-086|MO|3</v>
      </c>
      <c r="N609" s="121">
        <f>IFERROR(VLOOKUP(A609,PARTIDAS!A:F,6,FALSE()),0)</f>
        <v>400</v>
      </c>
      <c r="O609" s="123">
        <f t="shared" si="248"/>
        <v>5.0000000000000001E-3</v>
      </c>
      <c r="P609" s="123" t="str">
        <f>+_xlfn.XLOOKUP(A609,PPTO_GENERADOR!Q:Q,PPTO_GENERADOR!E:E,"-",0)</f>
        <v>-</v>
      </c>
      <c r="Q609" s="123">
        <f t="shared" si="249"/>
        <v>0</v>
      </c>
      <c r="R609" s="125" t="str">
        <f>+_xlfn.XLOOKUP(A609,PPTO_GENERADOR!$Q:$Q,PPTO_GENERADOR!A:A,"-",0)</f>
        <v>-</v>
      </c>
    </row>
    <row r="610" spans="1:18" ht="14.25" customHeight="1" x14ac:dyDescent="0.35">
      <c r="A610" s="105" t="s">
        <v>1946</v>
      </c>
      <c r="B610" s="105" t="s">
        <v>1981</v>
      </c>
      <c r="C610" s="105" t="s">
        <v>1982</v>
      </c>
      <c r="D610" s="105" t="s">
        <v>549</v>
      </c>
      <c r="E610" s="95" t="str">
        <f>IFERROR(VLOOKUP(D610,MATERIALES!A:B,2,FALSE()),"?")</f>
        <v>CLAVOS DE 21/2" X 12</v>
      </c>
      <c r="F610" s="129">
        <f>IFERROR(VLOOKUP(D610,MATERIALES!A:C,3,FALSE()),"?")</f>
        <v>0</v>
      </c>
      <c r="G610" s="119">
        <v>0.12502094</v>
      </c>
      <c r="H610" s="120">
        <v>0.05</v>
      </c>
      <c r="I610" s="96">
        <f>IFERROR(VLOOKUP(D610,MATERIALES!A:D,4,FALSE()),0)</f>
        <v>2647.2224999999999</v>
      </c>
      <c r="J610" s="31">
        <f t="shared" ref="J610:J611" si="262">G610*I610*(1+H610)</f>
        <v>347.50615760610748</v>
      </c>
      <c r="K610" s="32" t="str">
        <f t="shared" si="243"/>
        <v>ENC-087|MAT</v>
      </c>
      <c r="L610" s="32">
        <f>COUNTIFS($K$2:K610,K610)</f>
        <v>1</v>
      </c>
      <c r="M610" s="32" t="str">
        <f t="shared" si="245"/>
        <v>ENC-087|MAT|1</v>
      </c>
      <c r="N610" s="121">
        <f>IFERROR(VLOOKUP(A610,PARTIDAS!A:F,6,FALSE()),0)</f>
        <v>24</v>
      </c>
      <c r="O610" s="123">
        <f t="shared" si="248"/>
        <v>0</v>
      </c>
      <c r="P610" s="123" t="str">
        <f>+_xlfn.XLOOKUP(A610,PPTO_GENERADOR!Q:Q,PPTO_GENERADOR!E:E,"-",0)</f>
        <v>-</v>
      </c>
      <c r="Q610" s="123">
        <f t="shared" si="249"/>
        <v>0</v>
      </c>
      <c r="R610" s="125" t="str">
        <f>+_xlfn.XLOOKUP(A610,PPTO_GENERADOR!$Q:$Q,PPTO_GENERADOR!A:A,"-",0)</f>
        <v>-</v>
      </c>
    </row>
    <row r="611" spans="1:18" ht="14.25" customHeight="1" x14ac:dyDescent="0.35">
      <c r="A611" s="105" t="s">
        <v>1946</v>
      </c>
      <c r="B611" s="105" t="s">
        <v>1981</v>
      </c>
      <c r="C611" s="105" t="s">
        <v>1982</v>
      </c>
      <c r="D611" s="105" t="s">
        <v>551</v>
      </c>
      <c r="E611" s="95" t="str">
        <f>IFERROR(VLOOKUP(D611,MATERIALES!A:B,2,FALSE()),"?")</f>
        <v>Alambre de fardo</v>
      </c>
      <c r="F611" s="129">
        <f>IFERROR(VLOOKUP(D611,MATERIALES!A:C,3,FALSE()),"?")</f>
        <v>0</v>
      </c>
      <c r="G611" s="119">
        <v>1.245373E-2</v>
      </c>
      <c r="H611" s="120">
        <v>0.15</v>
      </c>
      <c r="I611" s="96">
        <f>IFERROR(VLOOKUP(D611,MATERIALES!A:D,4,FALSE()),0)</f>
        <v>2660.68</v>
      </c>
      <c r="J611" s="31">
        <f t="shared" si="262"/>
        <v>38.105698886859997</v>
      </c>
      <c r="K611" s="32" t="str">
        <f t="shared" si="243"/>
        <v>ENC-087|MAT</v>
      </c>
      <c r="L611" s="32">
        <f>COUNTIFS($K$2:K611,K611)</f>
        <v>2</v>
      </c>
      <c r="M611" s="32" t="str">
        <f t="shared" si="245"/>
        <v>ENC-087|MAT|2</v>
      </c>
      <c r="N611" s="121">
        <f>IFERROR(VLOOKUP(A611,PARTIDAS!A:F,6,FALSE()),0)</f>
        <v>24</v>
      </c>
      <c r="O611" s="123">
        <f t="shared" si="248"/>
        <v>0</v>
      </c>
      <c r="P611" s="123" t="str">
        <f>+_xlfn.XLOOKUP(A611,PPTO_GENERADOR!Q:Q,PPTO_GENERADOR!E:E,"-",0)</f>
        <v>-</v>
      </c>
      <c r="Q611" s="123">
        <f t="shared" si="249"/>
        <v>0</v>
      </c>
      <c r="R611" s="125" t="str">
        <f>+_xlfn.XLOOKUP(A611,PPTO_GENERADOR!$Q:$Q,PPTO_GENERADOR!A:A,"-",0)</f>
        <v>-</v>
      </c>
    </row>
    <row r="612" spans="1:18" ht="14.25" customHeight="1" x14ac:dyDescent="0.35">
      <c r="A612" s="105" t="s">
        <v>1946</v>
      </c>
      <c r="B612" s="105" t="s">
        <v>1979</v>
      </c>
      <c r="C612" s="105" t="s">
        <v>1980</v>
      </c>
      <c r="D612" s="105" t="s">
        <v>1292</v>
      </c>
      <c r="E612" s="95" t="str">
        <f>IFERROR(VLOOKUP(D612,MANO_DE_OBRA!A:B,2,FALSE()),"?")</f>
        <v>ESPECIALIZADO</v>
      </c>
      <c r="F612" s="129" t="s">
        <v>2042</v>
      </c>
      <c r="G612" s="119">
        <v>1</v>
      </c>
      <c r="H612" s="120">
        <v>0</v>
      </c>
      <c r="I612" s="96">
        <f>IFERROR(VLOOKUP(D612,MANO_DE_OBRA!A:C,3,FALSE()),0)</f>
        <v>94177.137883538904</v>
      </c>
      <c r="J612" s="31">
        <f t="shared" ref="J612:J613" si="263">G612*I612</f>
        <v>94177.137883538904</v>
      </c>
      <c r="K612" s="32" t="str">
        <f t="shared" si="243"/>
        <v>ENC-087|MO</v>
      </c>
      <c r="L612" s="32">
        <f>COUNTIFS($K$2:K612,K612)</f>
        <v>1</v>
      </c>
      <c r="M612" s="32" t="str">
        <f t="shared" si="245"/>
        <v>ENC-087|MO|1</v>
      </c>
      <c r="N612" s="121">
        <f>IFERROR(VLOOKUP(A612,PARTIDAS!A:F,6,FALSE()),0)</f>
        <v>24</v>
      </c>
      <c r="O612" s="123">
        <f t="shared" si="248"/>
        <v>4.1666666666666664E-2</v>
      </c>
      <c r="P612" s="123" t="str">
        <f>+_xlfn.XLOOKUP(A612,PPTO_GENERADOR!Q:Q,PPTO_GENERADOR!E:E,"-",0)</f>
        <v>-</v>
      </c>
      <c r="Q612" s="123">
        <f t="shared" si="249"/>
        <v>0</v>
      </c>
      <c r="R612" s="125" t="str">
        <f>+_xlfn.XLOOKUP(A612,PPTO_GENERADOR!$Q:$Q,PPTO_GENERADOR!A:A,"-",0)</f>
        <v>-</v>
      </c>
    </row>
    <row r="613" spans="1:18" ht="14.25" customHeight="1" x14ac:dyDescent="0.35">
      <c r="A613" s="105" t="s">
        <v>1946</v>
      </c>
      <c r="B613" s="105" t="s">
        <v>1979</v>
      </c>
      <c r="C613" s="105" t="s">
        <v>1980</v>
      </c>
      <c r="D613" s="105" t="s">
        <v>1288</v>
      </c>
      <c r="E613" s="95" t="str">
        <f>IFERROR(VLOOKUP(D613,MANO_DE_OBRA!A:B,2,FALSE()),"?")</f>
        <v>MEDIO OFICIAL</v>
      </c>
      <c r="F613" s="129" t="s">
        <v>2042</v>
      </c>
      <c r="G613" s="119">
        <v>1</v>
      </c>
      <c r="H613" s="120">
        <v>0</v>
      </c>
      <c r="I613" s="96">
        <f>IFERROR(VLOOKUP(D613,MANO_DE_OBRA!A:C,3,FALSE()),0)</f>
        <v>72132.138365590101</v>
      </c>
      <c r="J613" s="31">
        <f t="shared" si="263"/>
        <v>72132.138365590101</v>
      </c>
      <c r="K613" s="32" t="str">
        <f t="shared" si="243"/>
        <v>ENC-087|MO</v>
      </c>
      <c r="L613" s="32">
        <f>COUNTIFS($K$2:K613,K613)</f>
        <v>2</v>
      </c>
      <c r="M613" s="32" t="str">
        <f t="shared" si="245"/>
        <v>ENC-087|MO|2</v>
      </c>
      <c r="N613" s="121">
        <f>IFERROR(VLOOKUP(A613,PARTIDAS!A:F,6,FALSE()),0)</f>
        <v>24</v>
      </c>
      <c r="O613" s="123">
        <f t="shared" si="248"/>
        <v>4.1666666666666664E-2</v>
      </c>
      <c r="P613" s="123" t="str">
        <f>+_xlfn.XLOOKUP(A613,PPTO_GENERADOR!Q:Q,PPTO_GENERADOR!E:E,"-",0)</f>
        <v>-</v>
      </c>
      <c r="Q613" s="123">
        <f t="shared" si="249"/>
        <v>0</v>
      </c>
      <c r="R613" s="125" t="str">
        <f>+_xlfn.XLOOKUP(A613,PPTO_GENERADOR!$Q:$Q,PPTO_GENERADOR!A:A,"-",0)</f>
        <v>-</v>
      </c>
    </row>
    <row r="614" spans="1:18" ht="14.25" customHeight="1" x14ac:dyDescent="0.35">
      <c r="A614" s="105" t="s">
        <v>1949</v>
      </c>
      <c r="B614" s="105" t="s">
        <v>1981</v>
      </c>
      <c r="C614" s="105" t="s">
        <v>1982</v>
      </c>
      <c r="D614" s="105" t="s">
        <v>555</v>
      </c>
      <c r="E614" s="95" t="str">
        <f>IFERROR(VLOOKUP(D614,MATERIALES!A:B,2,FALSE()),"?")</f>
        <v>tirante 3x3 para puntal 3.66</v>
      </c>
      <c r="F614" s="129">
        <f>IFERROR(VLOOKUP(D614,MATERIALES!A:C,3,FALSE()),"?")</f>
        <v>0</v>
      </c>
      <c r="G614" s="119">
        <v>1.0054840000000001E-2</v>
      </c>
      <c r="H614" s="120">
        <v>0.02</v>
      </c>
      <c r="I614" s="96">
        <f>IFERROR(VLOOKUP(D614,MATERIALES!A:D,4,FALSE()),0)</f>
        <v>1270.4831999999999</v>
      </c>
      <c r="J614" s="31">
        <f t="shared" ref="J614:J618" si="264">G614*I614*(1+H614)</f>
        <v>13.02999540466176</v>
      </c>
      <c r="K614" s="32" t="str">
        <f t="shared" si="243"/>
        <v>ENC-088|MAT</v>
      </c>
      <c r="L614" s="32">
        <f>COUNTIFS($K$2:K614,K614)</f>
        <v>1</v>
      </c>
      <c r="M614" s="32" t="str">
        <f t="shared" si="245"/>
        <v>ENC-088|MAT|1</v>
      </c>
      <c r="N614" s="121">
        <f>IFERROR(VLOOKUP(A614,PARTIDAS!A:F,6,FALSE()),0)</f>
        <v>28</v>
      </c>
      <c r="O614" s="123">
        <f t="shared" si="248"/>
        <v>0</v>
      </c>
      <c r="P614" s="123" t="str">
        <f>+_xlfn.XLOOKUP(A614,PPTO_GENERADOR!Q:Q,PPTO_GENERADOR!E:E,"-",0)</f>
        <v>-</v>
      </c>
      <c r="Q614" s="123">
        <f t="shared" si="249"/>
        <v>0</v>
      </c>
      <c r="R614" s="125" t="str">
        <f>+_xlfn.XLOOKUP(A614,PPTO_GENERADOR!$Q:$Q,PPTO_GENERADOR!A:A,"-",0)</f>
        <v>-</v>
      </c>
    </row>
    <row r="615" spans="1:18" ht="14.25" customHeight="1" x14ac:dyDescent="0.35">
      <c r="A615" s="105" t="s">
        <v>1949</v>
      </c>
      <c r="B615" s="105" t="s">
        <v>1981</v>
      </c>
      <c r="C615" s="105" t="s">
        <v>1982</v>
      </c>
      <c r="D615" s="105" t="s">
        <v>557</v>
      </c>
      <c r="E615" s="95" t="str">
        <f>IFERROR(VLOOKUP(D615,MATERIALES!A:B,2,FALSE()),"?")</f>
        <v>tirante 3x6 3.66</v>
      </c>
      <c r="F615" s="129">
        <f>IFERROR(VLOOKUP(D615,MATERIALES!A:C,3,FALSE()),"?")</f>
        <v>0</v>
      </c>
      <c r="G615" s="119">
        <v>1.201676E-2</v>
      </c>
      <c r="H615" s="120">
        <v>0.02</v>
      </c>
      <c r="I615" s="96">
        <f>IFERROR(VLOOKUP(D615,MATERIALES!A:D,4,FALSE()),0)</f>
        <v>4649.9685120000004</v>
      </c>
      <c r="J615" s="31">
        <f t="shared" si="264"/>
        <v>56.995106728586343</v>
      </c>
      <c r="K615" s="32" t="str">
        <f t="shared" si="243"/>
        <v>ENC-088|MAT</v>
      </c>
      <c r="L615" s="32">
        <f>COUNTIFS($K$2:K615,K615)</f>
        <v>2</v>
      </c>
      <c r="M615" s="32" t="str">
        <f t="shared" si="245"/>
        <v>ENC-088|MAT|2</v>
      </c>
      <c r="N615" s="121">
        <f>IFERROR(VLOOKUP(A615,PARTIDAS!A:F,6,FALSE()),0)</f>
        <v>28</v>
      </c>
      <c r="O615" s="123">
        <f t="shared" si="248"/>
        <v>0</v>
      </c>
      <c r="P615" s="123" t="str">
        <f>+_xlfn.XLOOKUP(A615,PPTO_GENERADOR!Q:Q,PPTO_GENERADOR!E:E,"-",0)</f>
        <v>-</v>
      </c>
      <c r="Q615" s="123">
        <f t="shared" si="249"/>
        <v>0</v>
      </c>
      <c r="R615" s="125" t="str">
        <f>+_xlfn.XLOOKUP(A615,PPTO_GENERADOR!$Q:$Q,PPTO_GENERADOR!A:A,"-",0)</f>
        <v>-</v>
      </c>
    </row>
    <row r="616" spans="1:18" ht="14.25" customHeight="1" x14ac:dyDescent="0.35">
      <c r="A616" s="105" t="s">
        <v>1949</v>
      </c>
      <c r="B616" s="105" t="s">
        <v>1981</v>
      </c>
      <c r="C616" s="105" t="s">
        <v>1982</v>
      </c>
      <c r="D616" s="105" t="s">
        <v>553</v>
      </c>
      <c r="E616" s="95" t="str">
        <f>IFERROR(VLOOKUP(D616,MATERIALES!A:B,2,FALSE()),"?")</f>
        <v>FENOLICO 18MM. COMUN 1.22 x 2.40</v>
      </c>
      <c r="F616" s="129">
        <f>IFERROR(VLOOKUP(D616,MATERIALES!A:C,3,FALSE()),"?")</f>
        <v>0</v>
      </c>
      <c r="G616" s="119">
        <v>0.32997041999999999</v>
      </c>
      <c r="H616" s="120">
        <v>0.05</v>
      </c>
      <c r="I616" s="96">
        <f>IFERROR(VLOOKUP(D616,MATERIALES!A:D,4,FALSE()),0)</f>
        <v>20401.25</v>
      </c>
      <c r="J616" s="31">
        <f t="shared" si="264"/>
        <v>7068.3994825762502</v>
      </c>
      <c r="K616" s="32" t="str">
        <f t="shared" si="243"/>
        <v>ENC-088|MAT</v>
      </c>
      <c r="L616" s="32">
        <f>COUNTIFS($K$2:K616,K616)</f>
        <v>3</v>
      </c>
      <c r="M616" s="32" t="str">
        <f t="shared" si="245"/>
        <v>ENC-088|MAT|3</v>
      </c>
      <c r="N616" s="121">
        <f>IFERROR(VLOOKUP(A616,PARTIDAS!A:F,6,FALSE()),0)</f>
        <v>28</v>
      </c>
      <c r="O616" s="123">
        <f t="shared" si="248"/>
        <v>0</v>
      </c>
      <c r="P616" s="123" t="str">
        <f>+_xlfn.XLOOKUP(A616,PPTO_GENERADOR!Q:Q,PPTO_GENERADOR!E:E,"-",0)</f>
        <v>-</v>
      </c>
      <c r="Q616" s="123">
        <f t="shared" si="249"/>
        <v>0</v>
      </c>
      <c r="R616" s="125" t="str">
        <f>+_xlfn.XLOOKUP(A616,PPTO_GENERADOR!$Q:$Q,PPTO_GENERADOR!A:A,"-",0)</f>
        <v>-</v>
      </c>
    </row>
    <row r="617" spans="1:18" ht="14.25" customHeight="1" x14ac:dyDescent="0.35">
      <c r="A617" s="105" t="s">
        <v>1949</v>
      </c>
      <c r="B617" s="105" t="s">
        <v>1981</v>
      </c>
      <c r="C617" s="105" t="s">
        <v>1982</v>
      </c>
      <c r="D617" s="105" t="s">
        <v>549</v>
      </c>
      <c r="E617" s="95" t="str">
        <f>IFERROR(VLOOKUP(D617,MATERIALES!A:B,2,FALSE()),"?")</f>
        <v>CLAVOS DE 21/2" X 12</v>
      </c>
      <c r="F617" s="129">
        <f>IFERROR(VLOOKUP(D617,MATERIALES!A:C,3,FALSE()),"?")</f>
        <v>0</v>
      </c>
      <c r="G617" s="119">
        <v>0.12494978</v>
      </c>
      <c r="H617" s="120">
        <v>0.05</v>
      </c>
      <c r="I617" s="96">
        <f>IFERROR(VLOOKUP(D617,MATERIALES!A:D,4,FALSE()),0)</f>
        <v>2647.2224999999999</v>
      </c>
      <c r="J617" s="31">
        <f t="shared" si="264"/>
        <v>347.30836243535248</v>
      </c>
      <c r="K617" s="32" t="str">
        <f t="shared" si="243"/>
        <v>ENC-088|MAT</v>
      </c>
      <c r="L617" s="32">
        <f>COUNTIFS($K$2:K617,K617)</f>
        <v>4</v>
      </c>
      <c r="M617" s="32" t="str">
        <f t="shared" si="245"/>
        <v>ENC-088|MAT|4</v>
      </c>
      <c r="N617" s="121">
        <f>IFERROR(VLOOKUP(A617,PARTIDAS!A:F,6,FALSE()),0)</f>
        <v>28</v>
      </c>
      <c r="O617" s="123">
        <f t="shared" si="248"/>
        <v>0</v>
      </c>
      <c r="P617" s="123" t="str">
        <f>+_xlfn.XLOOKUP(A617,PPTO_GENERADOR!Q:Q,PPTO_GENERADOR!E:E,"-",0)</f>
        <v>-</v>
      </c>
      <c r="Q617" s="123">
        <f t="shared" si="249"/>
        <v>0</v>
      </c>
      <c r="R617" s="125" t="str">
        <f>+_xlfn.XLOOKUP(A617,PPTO_GENERADOR!$Q:$Q,PPTO_GENERADOR!A:A,"-",0)</f>
        <v>-</v>
      </c>
    </row>
    <row r="618" spans="1:18" ht="14.25" customHeight="1" x14ac:dyDescent="0.35">
      <c r="A618" s="105" t="s">
        <v>1949</v>
      </c>
      <c r="B618" s="105" t="s">
        <v>1981</v>
      </c>
      <c r="C618" s="105" t="s">
        <v>1982</v>
      </c>
      <c r="D618" s="105" t="s">
        <v>551</v>
      </c>
      <c r="E618" s="95" t="str">
        <f>IFERROR(VLOOKUP(D618,MATERIALES!A:B,2,FALSE()),"?")</f>
        <v>Alambre de fardo</v>
      </c>
      <c r="F618" s="129">
        <f>IFERROR(VLOOKUP(D618,MATERIALES!A:C,3,FALSE()),"?")</f>
        <v>0</v>
      </c>
      <c r="G618" s="119">
        <v>1.2507239999999999E-2</v>
      </c>
      <c r="H618" s="120">
        <v>0.15</v>
      </c>
      <c r="I618" s="96">
        <f>IFERROR(VLOOKUP(D618,MATERIALES!A:D,4,FALSE()),0)</f>
        <v>2660.68</v>
      </c>
      <c r="J618" s="31">
        <f t="shared" si="264"/>
        <v>38.269427821679997</v>
      </c>
      <c r="K618" s="32" t="str">
        <f t="shared" si="243"/>
        <v>ENC-088|MAT</v>
      </c>
      <c r="L618" s="32">
        <f>COUNTIFS($K$2:K618,K618)</f>
        <v>5</v>
      </c>
      <c r="M618" s="32" t="str">
        <f t="shared" si="245"/>
        <v>ENC-088|MAT|5</v>
      </c>
      <c r="N618" s="121">
        <f>IFERROR(VLOOKUP(A618,PARTIDAS!A:F,6,FALSE()),0)</f>
        <v>28</v>
      </c>
      <c r="O618" s="123">
        <f t="shared" si="248"/>
        <v>0</v>
      </c>
      <c r="P618" s="123" t="str">
        <f>+_xlfn.XLOOKUP(A618,PPTO_GENERADOR!Q:Q,PPTO_GENERADOR!E:E,"-",0)</f>
        <v>-</v>
      </c>
      <c r="Q618" s="123">
        <f t="shared" si="249"/>
        <v>0</v>
      </c>
      <c r="R618" s="125" t="str">
        <f>+_xlfn.XLOOKUP(A618,PPTO_GENERADOR!$Q:$Q,PPTO_GENERADOR!A:A,"-",0)</f>
        <v>-</v>
      </c>
    </row>
    <row r="619" spans="1:18" ht="14.25" customHeight="1" x14ac:dyDescent="0.35">
      <c r="A619" s="105" t="s">
        <v>1949</v>
      </c>
      <c r="B619" s="105" t="s">
        <v>1979</v>
      </c>
      <c r="C619" s="105" t="s">
        <v>1980</v>
      </c>
      <c r="D619" s="105" t="s">
        <v>2038</v>
      </c>
      <c r="E619" s="95" t="str">
        <f>IFERROR(VLOOKUP(D619,MANO_DE_OBRA!A:B,2,FALSE()),"?")</f>
        <v>AYUDANTE</v>
      </c>
      <c r="F619" s="129" t="s">
        <v>2042</v>
      </c>
      <c r="G619" s="119">
        <v>1</v>
      </c>
      <c r="H619" s="120">
        <v>0</v>
      </c>
      <c r="I619" s="96">
        <f>IFERROR(VLOOKUP(D619,MANO_DE_OBRA!A:C,3,FALSE()),0)</f>
        <v>67240.498860267602</v>
      </c>
      <c r="J619" s="31">
        <f t="shared" ref="J619:J621" si="265">G619*I619</f>
        <v>67240.498860267602</v>
      </c>
      <c r="K619" s="32" t="str">
        <f t="shared" si="243"/>
        <v>ENC-088|MO</v>
      </c>
      <c r="L619" s="32">
        <f>COUNTIFS($K$2:K619,K619)</f>
        <v>1</v>
      </c>
      <c r="M619" s="32" t="str">
        <f t="shared" si="245"/>
        <v>ENC-088|MO|1</v>
      </c>
      <c r="N619" s="121">
        <f>IFERROR(VLOOKUP(A619,PARTIDAS!A:F,6,FALSE()),0)</f>
        <v>28</v>
      </c>
      <c r="O619" s="123">
        <f t="shared" si="248"/>
        <v>3.5714285714285712E-2</v>
      </c>
      <c r="P619" s="123" t="str">
        <f>+_xlfn.XLOOKUP(A619,PPTO_GENERADOR!Q:Q,PPTO_GENERADOR!E:E,"-",0)</f>
        <v>-</v>
      </c>
      <c r="Q619" s="123">
        <f t="shared" si="249"/>
        <v>0</v>
      </c>
      <c r="R619" s="125" t="str">
        <f>+_xlfn.XLOOKUP(A619,PPTO_GENERADOR!$Q:$Q,PPTO_GENERADOR!A:A,"-",0)</f>
        <v>-</v>
      </c>
    </row>
    <row r="620" spans="1:18" ht="14.25" customHeight="1" x14ac:dyDescent="0.35">
      <c r="A620" s="105" t="s">
        <v>1949</v>
      </c>
      <c r="B620" s="105" t="s">
        <v>1979</v>
      </c>
      <c r="C620" s="105" t="s">
        <v>1980</v>
      </c>
      <c r="D620" s="105" t="s">
        <v>1292</v>
      </c>
      <c r="E620" s="95" t="str">
        <f>IFERROR(VLOOKUP(D620,MANO_DE_OBRA!A:B,2,FALSE()),"?")</f>
        <v>ESPECIALIZADO</v>
      </c>
      <c r="F620" s="129" t="s">
        <v>2042</v>
      </c>
      <c r="G620" s="119">
        <v>1</v>
      </c>
      <c r="H620" s="120">
        <v>0</v>
      </c>
      <c r="I620" s="96">
        <f>IFERROR(VLOOKUP(D620,MANO_DE_OBRA!A:C,3,FALSE()),0)</f>
        <v>94177.137883538904</v>
      </c>
      <c r="J620" s="31">
        <f t="shared" si="265"/>
        <v>94177.137883538904</v>
      </c>
      <c r="K620" s="32" t="str">
        <f t="shared" si="243"/>
        <v>ENC-088|MO</v>
      </c>
      <c r="L620" s="32">
        <f>COUNTIFS($K$2:K620,K620)</f>
        <v>2</v>
      </c>
      <c r="M620" s="32" t="str">
        <f t="shared" si="245"/>
        <v>ENC-088|MO|2</v>
      </c>
      <c r="N620" s="121">
        <f>IFERROR(VLOOKUP(A620,PARTIDAS!A:F,6,FALSE()),0)</f>
        <v>28</v>
      </c>
      <c r="O620" s="123">
        <f t="shared" si="248"/>
        <v>3.5714285714285712E-2</v>
      </c>
      <c r="P620" s="123" t="str">
        <f>+_xlfn.XLOOKUP(A620,PPTO_GENERADOR!Q:Q,PPTO_GENERADOR!E:E,"-",0)</f>
        <v>-</v>
      </c>
      <c r="Q620" s="123">
        <f t="shared" si="249"/>
        <v>0</v>
      </c>
      <c r="R620" s="125" t="str">
        <f>+_xlfn.XLOOKUP(A620,PPTO_GENERADOR!$Q:$Q,PPTO_GENERADOR!A:A,"-",0)</f>
        <v>-</v>
      </c>
    </row>
    <row r="621" spans="1:18" ht="14.25" customHeight="1" x14ac:dyDescent="0.35">
      <c r="A621" s="105" t="s">
        <v>1949</v>
      </c>
      <c r="B621" s="105" t="s">
        <v>1979</v>
      </c>
      <c r="C621" s="105" t="s">
        <v>1980</v>
      </c>
      <c r="D621" s="105" t="s">
        <v>1288</v>
      </c>
      <c r="E621" s="95" t="str">
        <f>IFERROR(VLOOKUP(D621,MANO_DE_OBRA!A:B,2,FALSE()),"?")</f>
        <v>MEDIO OFICIAL</v>
      </c>
      <c r="F621" s="129" t="s">
        <v>2042</v>
      </c>
      <c r="G621" s="119">
        <v>1</v>
      </c>
      <c r="H621" s="120">
        <v>0</v>
      </c>
      <c r="I621" s="96">
        <f>IFERROR(VLOOKUP(D621,MANO_DE_OBRA!A:C,3,FALSE()),0)</f>
        <v>72132.138365590101</v>
      </c>
      <c r="J621" s="31">
        <f t="shared" si="265"/>
        <v>72132.138365590101</v>
      </c>
      <c r="K621" s="32" t="str">
        <f t="shared" si="243"/>
        <v>ENC-088|MO</v>
      </c>
      <c r="L621" s="32">
        <f>COUNTIFS($K$2:K621,K621)</f>
        <v>3</v>
      </c>
      <c r="M621" s="32" t="str">
        <f t="shared" si="245"/>
        <v>ENC-088|MO|3</v>
      </c>
      <c r="N621" s="121">
        <f>IFERROR(VLOOKUP(A621,PARTIDAS!A:F,6,FALSE()),0)</f>
        <v>28</v>
      </c>
      <c r="O621" s="123">
        <f t="shared" si="248"/>
        <v>3.5714285714285712E-2</v>
      </c>
      <c r="P621" s="123" t="str">
        <f>+_xlfn.XLOOKUP(A621,PPTO_GENERADOR!Q:Q,PPTO_GENERADOR!E:E,"-",0)</f>
        <v>-</v>
      </c>
      <c r="Q621" s="123">
        <f t="shared" si="249"/>
        <v>0</v>
      </c>
      <c r="R621" s="125" t="str">
        <f>+_xlfn.XLOOKUP(A621,PPTO_GENERADOR!$Q:$Q,PPTO_GENERADOR!A:A,"-",0)</f>
        <v>-</v>
      </c>
    </row>
    <row r="622" spans="1:18" ht="14.25" customHeight="1" x14ac:dyDescent="0.35">
      <c r="A622" s="105" t="s">
        <v>1952</v>
      </c>
      <c r="B622" s="105" t="s">
        <v>1981</v>
      </c>
      <c r="C622" s="105" t="s">
        <v>1982</v>
      </c>
      <c r="D622" s="105" t="s">
        <v>555</v>
      </c>
      <c r="E622" s="95" t="str">
        <f>IFERROR(VLOOKUP(D622,MATERIALES!A:B,2,FALSE()),"?")</f>
        <v>tirante 3x3 para puntal 3.66</v>
      </c>
      <c r="F622" s="129">
        <f>IFERROR(VLOOKUP(D622,MATERIALES!A:C,3,FALSE()),"?")</f>
        <v>0</v>
      </c>
      <c r="G622" s="119">
        <v>1.00284E-2</v>
      </c>
      <c r="H622" s="120">
        <v>0.02</v>
      </c>
      <c r="I622" s="96">
        <f>IFERROR(VLOOKUP(D622,MATERIALES!A:D,4,FALSE()),0)</f>
        <v>1270.4831999999999</v>
      </c>
      <c r="J622" s="31">
        <f t="shared" ref="J622:J626" si="266">G622*I622*(1+H622)</f>
        <v>12.995731997337598</v>
      </c>
      <c r="K622" s="32" t="str">
        <f t="shared" si="243"/>
        <v>ENC-089|MAT</v>
      </c>
      <c r="L622" s="32">
        <f>COUNTIFS($K$2:K622,K622)</f>
        <v>1</v>
      </c>
      <c r="M622" s="32" t="str">
        <f t="shared" si="245"/>
        <v>ENC-089|MAT|1</v>
      </c>
      <c r="N622" s="121">
        <f>IFERROR(VLOOKUP(A622,PARTIDAS!A:F,6,FALSE()),0)</f>
        <v>25</v>
      </c>
      <c r="O622" s="123">
        <f t="shared" si="248"/>
        <v>0</v>
      </c>
      <c r="P622" s="123" t="str">
        <f>+_xlfn.XLOOKUP(A622,PPTO_GENERADOR!Q:Q,PPTO_GENERADOR!E:E,"-",0)</f>
        <v>-</v>
      </c>
      <c r="Q622" s="123">
        <f t="shared" si="249"/>
        <v>0</v>
      </c>
      <c r="R622" s="125" t="str">
        <f>+_xlfn.XLOOKUP(A622,PPTO_GENERADOR!$Q:$Q,PPTO_GENERADOR!A:A,"-",0)</f>
        <v>-</v>
      </c>
    </row>
    <row r="623" spans="1:18" ht="14.25" customHeight="1" x14ac:dyDescent="0.35">
      <c r="A623" s="105" t="s">
        <v>1952</v>
      </c>
      <c r="B623" s="105" t="s">
        <v>1981</v>
      </c>
      <c r="C623" s="105" t="s">
        <v>1982</v>
      </c>
      <c r="D623" s="105" t="s">
        <v>557</v>
      </c>
      <c r="E623" s="95" t="str">
        <f>IFERROR(VLOOKUP(D623,MATERIALES!A:B,2,FALSE()),"?")</f>
        <v>tirante 3x6 3.66</v>
      </c>
      <c r="F623" s="129">
        <f>IFERROR(VLOOKUP(D623,MATERIALES!A:C,3,FALSE()),"?")</f>
        <v>0</v>
      </c>
      <c r="G623" s="119">
        <v>1.2004799999999999E-2</v>
      </c>
      <c r="H623" s="120">
        <v>0.02</v>
      </c>
      <c r="I623" s="96">
        <f>IFERROR(VLOOKUP(D623,MATERIALES!A:D,4,FALSE()),0)</f>
        <v>4649.9685120000004</v>
      </c>
      <c r="J623" s="31">
        <f t="shared" si="266"/>
        <v>56.938380832714756</v>
      </c>
      <c r="K623" s="32" t="str">
        <f t="shared" si="243"/>
        <v>ENC-089|MAT</v>
      </c>
      <c r="L623" s="32">
        <f>COUNTIFS($K$2:K623,K623)</f>
        <v>2</v>
      </c>
      <c r="M623" s="32" t="str">
        <f t="shared" si="245"/>
        <v>ENC-089|MAT|2</v>
      </c>
      <c r="N623" s="121">
        <f>IFERROR(VLOOKUP(A623,PARTIDAS!A:F,6,FALSE()),0)</f>
        <v>25</v>
      </c>
      <c r="O623" s="123">
        <f t="shared" si="248"/>
        <v>0</v>
      </c>
      <c r="P623" s="123" t="str">
        <f>+_xlfn.XLOOKUP(A623,PPTO_GENERADOR!Q:Q,PPTO_GENERADOR!E:E,"-",0)</f>
        <v>-</v>
      </c>
      <c r="Q623" s="123">
        <f t="shared" si="249"/>
        <v>0</v>
      </c>
      <c r="R623" s="125" t="str">
        <f>+_xlfn.XLOOKUP(A623,PPTO_GENERADOR!$Q:$Q,PPTO_GENERADOR!A:A,"-",0)</f>
        <v>-</v>
      </c>
    </row>
    <row r="624" spans="1:18" ht="14.25" customHeight="1" x14ac:dyDescent="0.35">
      <c r="A624" s="105" t="s">
        <v>1952</v>
      </c>
      <c r="B624" s="105" t="s">
        <v>1981</v>
      </c>
      <c r="C624" s="105" t="s">
        <v>1982</v>
      </c>
      <c r="D624" s="105" t="s">
        <v>553</v>
      </c>
      <c r="E624" s="95" t="str">
        <f>IFERROR(VLOOKUP(D624,MATERIALES!A:B,2,FALSE()),"?")</f>
        <v>FENOLICO 18MM. COMUN 1.22 x 2.40</v>
      </c>
      <c r="F624" s="129">
        <f>IFERROR(VLOOKUP(D624,MATERIALES!A:C,3,FALSE()),"?")</f>
        <v>0</v>
      </c>
      <c r="G624" s="119">
        <v>0.32998559999999999</v>
      </c>
      <c r="H624" s="120">
        <v>0.05</v>
      </c>
      <c r="I624" s="96">
        <f>IFERROR(VLOOKUP(D624,MATERIALES!A:D,4,FALSE()),0)</f>
        <v>20401.25</v>
      </c>
      <c r="J624" s="31">
        <f t="shared" si="266"/>
        <v>7068.7246581000009</v>
      </c>
      <c r="K624" s="32" t="str">
        <f t="shared" si="243"/>
        <v>ENC-089|MAT</v>
      </c>
      <c r="L624" s="32">
        <f>COUNTIFS($K$2:K624,K624)</f>
        <v>3</v>
      </c>
      <c r="M624" s="32" t="str">
        <f t="shared" si="245"/>
        <v>ENC-089|MAT|3</v>
      </c>
      <c r="N624" s="121">
        <f>IFERROR(VLOOKUP(A624,PARTIDAS!A:F,6,FALSE()),0)</f>
        <v>25</v>
      </c>
      <c r="O624" s="123">
        <f t="shared" si="248"/>
        <v>0</v>
      </c>
      <c r="P624" s="123" t="str">
        <f>+_xlfn.XLOOKUP(A624,PPTO_GENERADOR!Q:Q,PPTO_GENERADOR!E:E,"-",0)</f>
        <v>-</v>
      </c>
      <c r="Q624" s="123">
        <f t="shared" si="249"/>
        <v>0</v>
      </c>
      <c r="R624" s="125" t="str">
        <f>+_xlfn.XLOOKUP(A624,PPTO_GENERADOR!$Q:$Q,PPTO_GENERADOR!A:A,"-",0)</f>
        <v>-</v>
      </c>
    </row>
    <row r="625" spans="1:18" ht="14.25" customHeight="1" x14ac:dyDescent="0.35">
      <c r="A625" s="105" t="s">
        <v>1952</v>
      </c>
      <c r="B625" s="105" t="s">
        <v>1981</v>
      </c>
      <c r="C625" s="105" t="s">
        <v>1982</v>
      </c>
      <c r="D625" s="105" t="s">
        <v>549</v>
      </c>
      <c r="E625" s="95" t="str">
        <f>IFERROR(VLOOKUP(D625,MATERIALES!A:B,2,FALSE()),"?")</f>
        <v>CLAVOS DE 21/2" X 12</v>
      </c>
      <c r="F625" s="129">
        <f>IFERROR(VLOOKUP(D625,MATERIALES!A:C,3,FALSE()),"?")</f>
        <v>0</v>
      </c>
      <c r="G625" s="119">
        <v>0.12502559999999999</v>
      </c>
      <c r="H625" s="120">
        <v>0.05</v>
      </c>
      <c r="I625" s="96">
        <f>IFERROR(VLOOKUP(D625,MATERIALES!A:D,4,FALSE()),0)</f>
        <v>2647.2224999999999</v>
      </c>
      <c r="J625" s="31">
        <f t="shared" si="266"/>
        <v>347.51911046579994</v>
      </c>
      <c r="K625" s="32" t="str">
        <f t="shared" si="243"/>
        <v>ENC-089|MAT</v>
      </c>
      <c r="L625" s="32">
        <f>COUNTIFS($K$2:K625,K625)</f>
        <v>4</v>
      </c>
      <c r="M625" s="32" t="str">
        <f t="shared" si="245"/>
        <v>ENC-089|MAT|4</v>
      </c>
      <c r="N625" s="121">
        <f>IFERROR(VLOOKUP(A625,PARTIDAS!A:F,6,FALSE()),0)</f>
        <v>25</v>
      </c>
      <c r="O625" s="123">
        <f t="shared" si="248"/>
        <v>0</v>
      </c>
      <c r="P625" s="123" t="str">
        <f>+_xlfn.XLOOKUP(A625,PPTO_GENERADOR!Q:Q,PPTO_GENERADOR!E:E,"-",0)</f>
        <v>-</v>
      </c>
      <c r="Q625" s="123">
        <f t="shared" si="249"/>
        <v>0</v>
      </c>
      <c r="R625" s="125" t="str">
        <f>+_xlfn.XLOOKUP(A625,PPTO_GENERADOR!$Q:$Q,PPTO_GENERADOR!A:A,"-",0)</f>
        <v>-</v>
      </c>
    </row>
    <row r="626" spans="1:18" ht="14.25" customHeight="1" x14ac:dyDescent="0.35">
      <c r="A626" s="105" t="s">
        <v>1952</v>
      </c>
      <c r="B626" s="105" t="s">
        <v>1981</v>
      </c>
      <c r="C626" s="105" t="s">
        <v>1982</v>
      </c>
      <c r="D626" s="105" t="s">
        <v>551</v>
      </c>
      <c r="E626" s="95" t="str">
        <f>IFERROR(VLOOKUP(D626,MATERIALES!A:B,2,FALSE()),"?")</f>
        <v>Alambre de fardo</v>
      </c>
      <c r="F626" s="129">
        <f>IFERROR(VLOOKUP(D626,MATERIALES!A:C,3,FALSE()),"?")</f>
        <v>0</v>
      </c>
      <c r="G626" s="119">
        <v>1.2517199999999999E-2</v>
      </c>
      <c r="H626" s="120">
        <v>0.15</v>
      </c>
      <c r="I626" s="96">
        <f>IFERROR(VLOOKUP(D626,MATERIALES!A:D,4,FALSE()),0)</f>
        <v>2660.68</v>
      </c>
      <c r="J626" s="31">
        <f t="shared" si="266"/>
        <v>38.299903250399986</v>
      </c>
      <c r="K626" s="32" t="str">
        <f t="shared" si="243"/>
        <v>ENC-089|MAT</v>
      </c>
      <c r="L626" s="32">
        <f>COUNTIFS($K$2:K626,K626)</f>
        <v>5</v>
      </c>
      <c r="M626" s="32" t="str">
        <f t="shared" si="245"/>
        <v>ENC-089|MAT|5</v>
      </c>
      <c r="N626" s="121">
        <f>IFERROR(VLOOKUP(A626,PARTIDAS!A:F,6,FALSE()),0)</f>
        <v>25</v>
      </c>
      <c r="O626" s="123">
        <f t="shared" si="248"/>
        <v>0</v>
      </c>
      <c r="P626" s="123" t="str">
        <f>+_xlfn.XLOOKUP(A626,PPTO_GENERADOR!Q:Q,PPTO_GENERADOR!E:E,"-",0)</f>
        <v>-</v>
      </c>
      <c r="Q626" s="123">
        <f t="shared" si="249"/>
        <v>0</v>
      </c>
      <c r="R626" s="125" t="str">
        <f>+_xlfn.XLOOKUP(A626,PPTO_GENERADOR!$Q:$Q,PPTO_GENERADOR!A:A,"-",0)</f>
        <v>-</v>
      </c>
    </row>
    <row r="627" spans="1:18" ht="14.25" customHeight="1" x14ac:dyDescent="0.35">
      <c r="A627" s="105" t="s">
        <v>1952</v>
      </c>
      <c r="B627" s="105" t="s">
        <v>1979</v>
      </c>
      <c r="C627" s="105" t="s">
        <v>1980</v>
      </c>
      <c r="D627" s="105" t="s">
        <v>2038</v>
      </c>
      <c r="E627" s="95" t="str">
        <f>IFERROR(VLOOKUP(D627,MANO_DE_OBRA!A:B,2,FALSE()),"?")</f>
        <v>AYUDANTE</v>
      </c>
      <c r="F627" s="129" t="s">
        <v>2042</v>
      </c>
      <c r="G627" s="119">
        <v>1</v>
      </c>
      <c r="H627" s="120">
        <v>0</v>
      </c>
      <c r="I627" s="96">
        <f>IFERROR(VLOOKUP(D627,MANO_DE_OBRA!A:C,3,FALSE()),0)</f>
        <v>67240.498860267602</v>
      </c>
      <c r="J627" s="31">
        <f t="shared" ref="J627:J629" si="267">G627*I627</f>
        <v>67240.498860267602</v>
      </c>
      <c r="K627" s="32" t="str">
        <f t="shared" si="243"/>
        <v>ENC-089|MO</v>
      </c>
      <c r="L627" s="32">
        <f>COUNTIFS($K$2:K627,K627)</f>
        <v>1</v>
      </c>
      <c r="M627" s="32" t="str">
        <f t="shared" si="245"/>
        <v>ENC-089|MO|1</v>
      </c>
      <c r="N627" s="121">
        <f>IFERROR(VLOOKUP(A627,PARTIDAS!A:F,6,FALSE()),0)</f>
        <v>25</v>
      </c>
      <c r="O627" s="123">
        <f t="shared" si="248"/>
        <v>0.04</v>
      </c>
      <c r="P627" s="123" t="str">
        <f>+_xlfn.XLOOKUP(A627,PPTO_GENERADOR!Q:Q,PPTO_GENERADOR!E:E,"-",0)</f>
        <v>-</v>
      </c>
      <c r="Q627" s="123">
        <f t="shared" si="249"/>
        <v>0</v>
      </c>
      <c r="R627" s="125" t="str">
        <f>+_xlfn.XLOOKUP(A627,PPTO_GENERADOR!$Q:$Q,PPTO_GENERADOR!A:A,"-",0)</f>
        <v>-</v>
      </c>
    </row>
    <row r="628" spans="1:18" ht="14.25" customHeight="1" x14ac:dyDescent="0.35">
      <c r="A628" s="105" t="s">
        <v>1952</v>
      </c>
      <c r="B628" s="105" t="s">
        <v>1979</v>
      </c>
      <c r="C628" s="105" t="s">
        <v>1980</v>
      </c>
      <c r="D628" s="105" t="s">
        <v>1292</v>
      </c>
      <c r="E628" s="95" t="str">
        <f>IFERROR(VLOOKUP(D628,MANO_DE_OBRA!A:B,2,FALSE()),"?")</f>
        <v>ESPECIALIZADO</v>
      </c>
      <c r="F628" s="129" t="s">
        <v>2042</v>
      </c>
      <c r="G628" s="119">
        <v>1</v>
      </c>
      <c r="H628" s="120">
        <v>0</v>
      </c>
      <c r="I628" s="96">
        <f>IFERROR(VLOOKUP(D628,MANO_DE_OBRA!A:C,3,FALSE()),0)</f>
        <v>94177.137883538904</v>
      </c>
      <c r="J628" s="31">
        <f t="shared" si="267"/>
        <v>94177.137883538904</v>
      </c>
      <c r="K628" s="32" t="str">
        <f t="shared" si="243"/>
        <v>ENC-089|MO</v>
      </c>
      <c r="L628" s="32">
        <f>COUNTIFS($K$2:K628,K628)</f>
        <v>2</v>
      </c>
      <c r="M628" s="32" t="str">
        <f t="shared" si="245"/>
        <v>ENC-089|MO|2</v>
      </c>
      <c r="N628" s="121">
        <f>IFERROR(VLOOKUP(A628,PARTIDAS!A:F,6,FALSE()),0)</f>
        <v>25</v>
      </c>
      <c r="O628" s="123">
        <f t="shared" si="248"/>
        <v>0.04</v>
      </c>
      <c r="P628" s="123" t="str">
        <f>+_xlfn.XLOOKUP(A628,PPTO_GENERADOR!Q:Q,PPTO_GENERADOR!E:E,"-",0)</f>
        <v>-</v>
      </c>
      <c r="Q628" s="123">
        <f t="shared" si="249"/>
        <v>0</v>
      </c>
      <c r="R628" s="125" t="str">
        <f>+_xlfn.XLOOKUP(A628,PPTO_GENERADOR!$Q:$Q,PPTO_GENERADOR!A:A,"-",0)</f>
        <v>-</v>
      </c>
    </row>
    <row r="629" spans="1:18" ht="14.25" customHeight="1" x14ac:dyDescent="0.35">
      <c r="A629" s="105" t="s">
        <v>1952</v>
      </c>
      <c r="B629" s="105" t="s">
        <v>1979</v>
      </c>
      <c r="C629" s="105" t="s">
        <v>1980</v>
      </c>
      <c r="D629" s="105" t="s">
        <v>1288</v>
      </c>
      <c r="E629" s="95" t="str">
        <f>IFERROR(VLOOKUP(D629,MANO_DE_OBRA!A:B,2,FALSE()),"?")</f>
        <v>MEDIO OFICIAL</v>
      </c>
      <c r="F629" s="129" t="s">
        <v>2042</v>
      </c>
      <c r="G629" s="119">
        <v>1</v>
      </c>
      <c r="H629" s="120">
        <v>0</v>
      </c>
      <c r="I629" s="96">
        <f>IFERROR(VLOOKUP(D629,MANO_DE_OBRA!A:C,3,FALSE()),0)</f>
        <v>72132.138365590101</v>
      </c>
      <c r="J629" s="31">
        <f t="shared" si="267"/>
        <v>72132.138365590101</v>
      </c>
      <c r="K629" s="32" t="str">
        <f t="shared" ref="K629:K634" si="268">A629&amp;"|"&amp;B629</f>
        <v>ENC-089|MO</v>
      </c>
      <c r="L629" s="32">
        <f>COUNTIFS($K$2:K629,K629)</f>
        <v>3</v>
      </c>
      <c r="M629" s="32" t="str">
        <f t="shared" si="245"/>
        <v>ENC-089|MO|3</v>
      </c>
      <c r="N629" s="121">
        <f>IFERROR(VLOOKUP(A629,PARTIDAS!A:F,6,FALSE()),0)</f>
        <v>25</v>
      </c>
      <c r="O629" s="123">
        <f t="shared" si="248"/>
        <v>0.04</v>
      </c>
      <c r="P629" s="123" t="str">
        <f>+_xlfn.XLOOKUP(A629,PPTO_GENERADOR!Q:Q,PPTO_GENERADOR!E:E,"-",0)</f>
        <v>-</v>
      </c>
      <c r="Q629" s="123">
        <f t="shared" si="249"/>
        <v>0</v>
      </c>
      <c r="R629" s="125" t="str">
        <f>+_xlfn.XLOOKUP(A629,PPTO_GENERADOR!$Q:$Q,PPTO_GENERADOR!A:A,"-",0)</f>
        <v>-</v>
      </c>
    </row>
    <row r="630" spans="1:18" ht="14.25" customHeight="1" x14ac:dyDescent="0.35">
      <c r="A630" s="105" t="s">
        <v>1955</v>
      </c>
      <c r="B630" s="105" t="s">
        <v>1981</v>
      </c>
      <c r="C630" s="105" t="s">
        <v>1982</v>
      </c>
      <c r="D630" s="105" t="s">
        <v>555</v>
      </c>
      <c r="E630" s="95" t="str">
        <f>IFERROR(VLOOKUP(D630,MATERIALES!A:B,2,FALSE()),"?")</f>
        <v>tirante 3x3 para puntal 3.66</v>
      </c>
      <c r="F630" s="129">
        <f>IFERROR(VLOOKUP(D630,MATERIALES!A:C,3,FALSE()),"?")</f>
        <v>0</v>
      </c>
      <c r="G630" s="119">
        <v>9.68544E-3</v>
      </c>
      <c r="H630" s="120">
        <v>0.02</v>
      </c>
      <c r="I630" s="96">
        <f>IFERROR(VLOOKUP(D630,MATERIALES!A:D,4,FALSE()),0)</f>
        <v>1270.4831999999999</v>
      </c>
      <c r="J630" s="31">
        <f t="shared" ref="J630:J634" si="269">G630*I630*(1+H630)</f>
        <v>12.55129258070016</v>
      </c>
      <c r="K630" s="32" t="str">
        <f t="shared" si="268"/>
        <v>ENC-090|MAT</v>
      </c>
      <c r="L630" s="32">
        <f>COUNTIFS($K$2:K630,K630)</f>
        <v>1</v>
      </c>
      <c r="M630" s="32" t="str">
        <f t="shared" si="245"/>
        <v>ENC-090|MAT|1</v>
      </c>
      <c r="N630" s="121">
        <f>IFERROR(VLOOKUP(A630,PARTIDAS!A:F,6,FALSE()),0)</f>
        <v>28</v>
      </c>
      <c r="O630" s="123">
        <f t="shared" si="248"/>
        <v>0</v>
      </c>
      <c r="P630" s="123" t="str">
        <f>+_xlfn.XLOOKUP(A630,PPTO_GENERADOR!Q:Q,PPTO_GENERADOR!E:E,"-",0)</f>
        <v>-</v>
      </c>
      <c r="Q630" s="123">
        <f t="shared" si="249"/>
        <v>0</v>
      </c>
      <c r="R630" s="125" t="str">
        <f>+_xlfn.XLOOKUP(A630,PPTO_GENERADOR!$Q:$Q,PPTO_GENERADOR!A:A,"-",0)</f>
        <v>-</v>
      </c>
    </row>
    <row r="631" spans="1:18" ht="14.25" customHeight="1" x14ac:dyDescent="0.35">
      <c r="A631" s="105" t="s">
        <v>1955</v>
      </c>
      <c r="B631" s="105" t="s">
        <v>1981</v>
      </c>
      <c r="C631" s="105" t="s">
        <v>1982</v>
      </c>
      <c r="D631" s="105" t="s">
        <v>562</v>
      </c>
      <c r="E631" s="95" t="str">
        <f>IFERROR(VLOOKUP(D631,MATERIALES!A:B,2,FALSE()),"?")</f>
        <v>FENOLICO 18MM. LAMINADO MELAMINICO</v>
      </c>
      <c r="F631" s="129">
        <f>IFERROR(VLOOKUP(D631,MATERIALES!A:C,3,FALSE()),"?")</f>
        <v>0</v>
      </c>
      <c r="G631" s="119">
        <v>0.49960727999999999</v>
      </c>
      <c r="H631" s="120">
        <v>0.02</v>
      </c>
      <c r="I631" s="96">
        <f>IFERROR(VLOOKUP(D631,MATERIALES!A:D,4,FALSE()),0)</f>
        <v>49748.25</v>
      </c>
      <c r="J631" s="31">
        <f t="shared" si="269"/>
        <v>25351.6796246052</v>
      </c>
      <c r="K631" s="32" t="str">
        <f t="shared" si="268"/>
        <v>ENC-090|MAT</v>
      </c>
      <c r="L631" s="32">
        <f>COUNTIFS($K$2:K631,K631)</f>
        <v>2</v>
      </c>
      <c r="M631" s="32" t="str">
        <f t="shared" si="245"/>
        <v>ENC-090|MAT|2</v>
      </c>
      <c r="N631" s="121">
        <f>IFERROR(VLOOKUP(A631,PARTIDAS!A:F,6,FALSE()),0)</f>
        <v>28</v>
      </c>
      <c r="O631" s="123">
        <f t="shared" si="248"/>
        <v>0</v>
      </c>
      <c r="P631" s="123" t="str">
        <f>+_xlfn.XLOOKUP(A631,PPTO_GENERADOR!Q:Q,PPTO_GENERADOR!E:E,"-",0)</f>
        <v>-</v>
      </c>
      <c r="Q631" s="123">
        <f t="shared" si="249"/>
        <v>0</v>
      </c>
      <c r="R631" s="125" t="str">
        <f>+_xlfn.XLOOKUP(A631,PPTO_GENERADOR!$Q:$Q,PPTO_GENERADOR!A:A,"-",0)</f>
        <v>-</v>
      </c>
    </row>
    <row r="632" spans="1:18" ht="14.25" customHeight="1" x14ac:dyDescent="0.35">
      <c r="A632" s="105" t="s">
        <v>1955</v>
      </c>
      <c r="B632" s="105" t="s">
        <v>1981</v>
      </c>
      <c r="C632" s="105" t="s">
        <v>1982</v>
      </c>
      <c r="D632" s="105" t="s">
        <v>557</v>
      </c>
      <c r="E632" s="95" t="str">
        <f>IFERROR(VLOOKUP(D632,MATERIALES!A:B,2,FALSE()),"?")</f>
        <v>tirante 3x6 3.66</v>
      </c>
      <c r="F632" s="129">
        <f>IFERROR(VLOOKUP(D632,MATERIALES!A:C,3,FALSE()),"?")</f>
        <v>0</v>
      </c>
      <c r="G632" s="119">
        <v>1.2106799999999999E-2</v>
      </c>
      <c r="H632" s="120">
        <v>0.05</v>
      </c>
      <c r="I632" s="96">
        <f>IFERROR(VLOOKUP(D632,MATERIALES!A:D,4,FALSE()),0)</f>
        <v>4649.9685120000004</v>
      </c>
      <c r="J632" s="31">
        <f t="shared" si="269"/>
        <v>59.11105072013568</v>
      </c>
      <c r="K632" s="32" t="str">
        <f t="shared" si="268"/>
        <v>ENC-090|MAT</v>
      </c>
      <c r="L632" s="32">
        <f>COUNTIFS($K$2:K632,K632)</f>
        <v>3</v>
      </c>
      <c r="M632" s="32" t="str">
        <f t="shared" si="245"/>
        <v>ENC-090|MAT|3</v>
      </c>
      <c r="N632" s="121">
        <f>IFERROR(VLOOKUP(A632,PARTIDAS!A:F,6,FALSE()),0)</f>
        <v>28</v>
      </c>
      <c r="O632" s="123">
        <f t="shared" si="248"/>
        <v>0</v>
      </c>
      <c r="P632" s="123" t="str">
        <f>+_xlfn.XLOOKUP(A632,PPTO_GENERADOR!Q:Q,PPTO_GENERADOR!E:E,"-",0)</f>
        <v>-</v>
      </c>
      <c r="Q632" s="123">
        <f t="shared" si="249"/>
        <v>0</v>
      </c>
      <c r="R632" s="125" t="str">
        <f>+_xlfn.XLOOKUP(A632,PPTO_GENERADOR!$Q:$Q,PPTO_GENERADOR!A:A,"-",0)</f>
        <v>-</v>
      </c>
    </row>
    <row r="633" spans="1:18" ht="14.25" customHeight="1" x14ac:dyDescent="0.35">
      <c r="A633" s="105" t="s">
        <v>1955</v>
      </c>
      <c r="B633" s="105" t="s">
        <v>1981</v>
      </c>
      <c r="C633" s="105" t="s">
        <v>1982</v>
      </c>
      <c r="D633" s="105" t="s">
        <v>549</v>
      </c>
      <c r="E633" s="95" t="str">
        <f>IFERROR(VLOOKUP(D633,MATERIALES!A:B,2,FALSE()),"?")</f>
        <v>CLAVOS DE 21/2" X 12</v>
      </c>
      <c r="F633" s="129">
        <f>IFERROR(VLOOKUP(D633,MATERIALES!A:C,3,FALSE()),"?")</f>
        <v>0</v>
      </c>
      <c r="G633" s="119">
        <v>0.12510360000000001</v>
      </c>
      <c r="H633" s="120">
        <v>0.05</v>
      </c>
      <c r="I633" s="96">
        <f>IFERROR(VLOOKUP(D633,MATERIALES!A:D,4,FALSE()),0)</f>
        <v>2647.2224999999999</v>
      </c>
      <c r="J633" s="31">
        <f t="shared" si="269"/>
        <v>347.73591798855</v>
      </c>
      <c r="K633" s="32" t="str">
        <f t="shared" si="268"/>
        <v>ENC-090|MAT</v>
      </c>
      <c r="L633" s="32">
        <f>COUNTIFS($K$2:K633,K633)</f>
        <v>4</v>
      </c>
      <c r="M633" s="32" t="str">
        <f t="shared" si="245"/>
        <v>ENC-090|MAT|4</v>
      </c>
      <c r="N633" s="121">
        <f>IFERROR(VLOOKUP(A633,PARTIDAS!A:F,6,FALSE()),0)</f>
        <v>28</v>
      </c>
      <c r="O633" s="123">
        <f t="shared" si="248"/>
        <v>0</v>
      </c>
      <c r="P633" s="123" t="str">
        <f>+_xlfn.XLOOKUP(A633,PPTO_GENERADOR!Q:Q,PPTO_GENERADOR!E:E,"-",0)</f>
        <v>-</v>
      </c>
      <c r="Q633" s="123">
        <f t="shared" si="249"/>
        <v>0</v>
      </c>
      <c r="R633" s="125" t="str">
        <f>+_xlfn.XLOOKUP(A633,PPTO_GENERADOR!$Q:$Q,PPTO_GENERADOR!A:A,"-",0)</f>
        <v>-</v>
      </c>
    </row>
    <row r="634" spans="1:18" ht="14.25" customHeight="1" x14ac:dyDescent="0.35">
      <c r="A634" s="105" t="s">
        <v>1955</v>
      </c>
      <c r="B634" s="105" t="s">
        <v>1981</v>
      </c>
      <c r="C634" s="105" t="s">
        <v>1982</v>
      </c>
      <c r="D634" s="105" t="s">
        <v>551</v>
      </c>
      <c r="E634" s="95" t="str">
        <f>IFERROR(VLOOKUP(D634,MATERIALES!A:B,2,FALSE()),"?")</f>
        <v>Alambre de fardo</v>
      </c>
      <c r="F634" s="129">
        <f>IFERROR(VLOOKUP(D634,MATERIALES!A:C,3,FALSE()),"?")</f>
        <v>0</v>
      </c>
      <c r="G634" s="119">
        <v>1.2106799999999999E-2</v>
      </c>
      <c r="H634" s="120">
        <v>0.15</v>
      </c>
      <c r="I634" s="96">
        <f>IFERROR(VLOOKUP(D634,MATERIALES!A:D,4,FALSE()),0)</f>
        <v>2660.68</v>
      </c>
      <c r="J634" s="31">
        <f t="shared" si="269"/>
        <v>37.044168717599987</v>
      </c>
      <c r="K634" s="32" t="str">
        <f t="shared" si="268"/>
        <v>ENC-090|MAT</v>
      </c>
      <c r="L634" s="32">
        <f>COUNTIFS($K$2:K634,K634)</f>
        <v>5</v>
      </c>
      <c r="M634" s="32" t="str">
        <f t="shared" si="245"/>
        <v>ENC-090|MAT|5</v>
      </c>
      <c r="N634" s="121">
        <f>IFERROR(VLOOKUP(A634,PARTIDAS!A:F,6,FALSE()),0)</f>
        <v>28</v>
      </c>
      <c r="O634" s="123">
        <f t="shared" si="248"/>
        <v>0</v>
      </c>
      <c r="P634" s="123" t="str">
        <f>+_xlfn.XLOOKUP(A634,PPTO_GENERADOR!Q:Q,PPTO_GENERADOR!E:E,"-",0)</f>
        <v>-</v>
      </c>
      <c r="Q634" s="123">
        <f t="shared" si="249"/>
        <v>0</v>
      </c>
      <c r="R634" s="125" t="str">
        <f>+_xlfn.XLOOKUP(A634,PPTO_GENERADOR!$Q:$Q,PPTO_GENERADOR!A:A,"-",0)</f>
        <v>-</v>
      </c>
    </row>
    <row r="635" spans="1:18" ht="14.25" customHeight="1" x14ac:dyDescent="0.35">
      <c r="A635" s="105" t="s">
        <v>1955</v>
      </c>
      <c r="B635" s="105" t="s">
        <v>1979</v>
      </c>
      <c r="C635" s="105" t="s">
        <v>1980</v>
      </c>
      <c r="D635" s="105" t="s">
        <v>2038</v>
      </c>
      <c r="E635" s="95" t="str">
        <f>IFERROR(VLOOKUP(D635,MANO_DE_OBRA!A:B,2,FALSE()),"?")</f>
        <v>AYUDANTE</v>
      </c>
      <c r="F635" s="129" t="s">
        <v>2042</v>
      </c>
      <c r="G635" s="119">
        <v>1</v>
      </c>
      <c r="H635" s="120">
        <v>0</v>
      </c>
      <c r="I635" s="96">
        <f>IFERROR(VLOOKUP(D635,MANO_DE_OBRA!A:C,3,FALSE()),0)</f>
        <v>67240.498860267602</v>
      </c>
      <c r="J635" s="31">
        <f t="shared" ref="J635:J637" si="270">G635*I635</f>
        <v>67240.498860267602</v>
      </c>
      <c r="K635" s="32" t="str">
        <f t="shared" ref="K635:K692" si="271">A635&amp;"|"&amp;B635</f>
        <v>ENC-090|MO</v>
      </c>
      <c r="L635" s="32">
        <f>COUNTIFS($K$2:K635,K635)</f>
        <v>1</v>
      </c>
      <c r="M635" s="32" t="str">
        <f t="shared" ref="M635:M642" si="272">K635&amp;"|"&amp;L635</f>
        <v>ENC-090|MO|1</v>
      </c>
      <c r="N635" s="121">
        <f>IFERROR(VLOOKUP(A635,PARTIDAS!A:F,6,FALSE()),0)</f>
        <v>28</v>
      </c>
      <c r="O635" s="123">
        <f t="shared" si="248"/>
        <v>3.5714285714285712E-2</v>
      </c>
      <c r="P635" s="123" t="str">
        <f>+_xlfn.XLOOKUP(A635,PPTO_GENERADOR!Q:Q,PPTO_GENERADOR!E:E,"-",0)</f>
        <v>-</v>
      </c>
      <c r="Q635" s="123">
        <f t="shared" si="249"/>
        <v>0</v>
      </c>
      <c r="R635" s="125" t="str">
        <f>+_xlfn.XLOOKUP(A635,PPTO_GENERADOR!$Q:$Q,PPTO_GENERADOR!A:A,"-",0)</f>
        <v>-</v>
      </c>
    </row>
    <row r="636" spans="1:18" ht="14.25" customHeight="1" x14ac:dyDescent="0.35">
      <c r="A636" s="105" t="s">
        <v>1955</v>
      </c>
      <c r="B636" s="105" t="s">
        <v>1979</v>
      </c>
      <c r="C636" s="105" t="s">
        <v>1980</v>
      </c>
      <c r="D636" s="105" t="s">
        <v>1292</v>
      </c>
      <c r="E636" s="95" t="str">
        <f>IFERROR(VLOOKUP(D636,MANO_DE_OBRA!A:B,2,FALSE()),"?")</f>
        <v>ESPECIALIZADO</v>
      </c>
      <c r="F636" s="129" t="s">
        <v>2042</v>
      </c>
      <c r="G636" s="119">
        <v>1</v>
      </c>
      <c r="H636" s="120">
        <v>0</v>
      </c>
      <c r="I636" s="96">
        <f>IFERROR(VLOOKUP(D636,MANO_DE_OBRA!A:C,3,FALSE()),0)</f>
        <v>94177.137883538904</v>
      </c>
      <c r="J636" s="31">
        <f t="shared" si="270"/>
        <v>94177.137883538904</v>
      </c>
      <c r="K636" s="32" t="str">
        <f t="shared" si="271"/>
        <v>ENC-090|MO</v>
      </c>
      <c r="L636" s="32">
        <f>COUNTIFS($K$2:K636,K636)</f>
        <v>2</v>
      </c>
      <c r="M636" s="32" t="str">
        <f t="shared" si="272"/>
        <v>ENC-090|MO|2</v>
      </c>
      <c r="N636" s="121">
        <f>IFERROR(VLOOKUP(A636,PARTIDAS!A:F,6,FALSE()),0)</f>
        <v>28</v>
      </c>
      <c r="O636" s="123">
        <f t="shared" si="248"/>
        <v>3.5714285714285712E-2</v>
      </c>
      <c r="P636" s="123" t="str">
        <f>+_xlfn.XLOOKUP(A636,PPTO_GENERADOR!Q:Q,PPTO_GENERADOR!E:E,"-",0)</f>
        <v>-</v>
      </c>
      <c r="Q636" s="123">
        <f t="shared" si="249"/>
        <v>0</v>
      </c>
      <c r="R636" s="125" t="str">
        <f>+_xlfn.XLOOKUP(A636,PPTO_GENERADOR!$Q:$Q,PPTO_GENERADOR!A:A,"-",0)</f>
        <v>-</v>
      </c>
    </row>
    <row r="637" spans="1:18" ht="14.25" customHeight="1" x14ac:dyDescent="0.35">
      <c r="A637" s="105" t="s">
        <v>1955</v>
      </c>
      <c r="B637" s="105" t="s">
        <v>1979</v>
      </c>
      <c r="C637" s="105" t="s">
        <v>1980</v>
      </c>
      <c r="D637" s="105" t="s">
        <v>1288</v>
      </c>
      <c r="E637" s="95" t="str">
        <f>IFERROR(VLOOKUP(D637,MANO_DE_OBRA!A:B,2,FALSE()),"?")</f>
        <v>MEDIO OFICIAL</v>
      </c>
      <c r="F637" s="129" t="s">
        <v>2042</v>
      </c>
      <c r="G637" s="119">
        <v>1</v>
      </c>
      <c r="H637" s="120">
        <v>0</v>
      </c>
      <c r="I637" s="96">
        <f>IFERROR(VLOOKUP(D637,MANO_DE_OBRA!A:C,3,FALSE()),0)</f>
        <v>72132.138365590101</v>
      </c>
      <c r="J637" s="31">
        <f t="shared" si="270"/>
        <v>72132.138365590101</v>
      </c>
      <c r="K637" s="32" t="str">
        <f t="shared" si="271"/>
        <v>ENC-090|MO</v>
      </c>
      <c r="L637" s="32">
        <f>COUNTIFS($K$2:K637,K637)</f>
        <v>3</v>
      </c>
      <c r="M637" s="32" t="str">
        <f t="shared" si="272"/>
        <v>ENC-090|MO|3</v>
      </c>
      <c r="N637" s="121">
        <f>IFERROR(VLOOKUP(A637,PARTIDAS!A:F,6,FALSE()),0)</f>
        <v>28</v>
      </c>
      <c r="O637" s="123">
        <f t="shared" si="248"/>
        <v>3.5714285714285712E-2</v>
      </c>
      <c r="P637" s="123" t="str">
        <f>+_xlfn.XLOOKUP(A637,PPTO_GENERADOR!Q:Q,PPTO_GENERADOR!E:E,"-",0)</f>
        <v>-</v>
      </c>
      <c r="Q637" s="123">
        <f t="shared" si="249"/>
        <v>0</v>
      </c>
      <c r="R637" s="125" t="str">
        <f>+_xlfn.XLOOKUP(A637,PPTO_GENERADOR!$Q:$Q,PPTO_GENERADOR!A:A,"-",0)</f>
        <v>-</v>
      </c>
    </row>
    <row r="638" spans="1:18" ht="14.25" customHeight="1" x14ac:dyDescent="0.35">
      <c r="A638" s="105" t="s">
        <v>1958</v>
      </c>
      <c r="B638" s="105" t="s">
        <v>1981</v>
      </c>
      <c r="C638" s="105" t="s">
        <v>1982</v>
      </c>
      <c r="D638" s="105" t="s">
        <v>555</v>
      </c>
      <c r="E638" s="95" t="str">
        <f>IFERROR(VLOOKUP(D638,MATERIALES!A:B,2,FALSE()),"?")</f>
        <v>tirante 3x3 para puntal 3.66</v>
      </c>
      <c r="F638" s="129">
        <f>IFERROR(VLOOKUP(D638,MATERIALES!A:C,3,FALSE()),"?")</f>
        <v>0</v>
      </c>
      <c r="G638" s="119">
        <v>1.0134799999999999E-2</v>
      </c>
      <c r="H638" s="120">
        <v>0.02</v>
      </c>
      <c r="I638" s="96">
        <f>IFERROR(VLOOKUP(D638,MATERIALES!A:D,4,FALSE()),0)</f>
        <v>1270.4831999999999</v>
      </c>
      <c r="J638" s="31">
        <f t="shared" ref="J638:J642" si="273">G638*I638*(1+H638)</f>
        <v>13.133614998067198</v>
      </c>
      <c r="K638" s="32" t="str">
        <f t="shared" si="271"/>
        <v>ENC-091|MAT</v>
      </c>
      <c r="L638" s="32">
        <f>COUNTIFS($K$2:K638,K638)</f>
        <v>1</v>
      </c>
      <c r="M638" s="32" t="str">
        <f t="shared" si="272"/>
        <v>ENC-091|MAT|1</v>
      </c>
      <c r="N638" s="121">
        <f>IFERROR(VLOOKUP(A638,PARTIDAS!A:F,6,FALSE()),0)</f>
        <v>26</v>
      </c>
      <c r="O638" s="123">
        <f t="shared" si="248"/>
        <v>0</v>
      </c>
      <c r="P638" s="123" t="str">
        <f>+_xlfn.XLOOKUP(A638,PPTO_GENERADOR!Q:Q,PPTO_GENERADOR!E:E,"-",0)</f>
        <v>-</v>
      </c>
      <c r="Q638" s="123">
        <f t="shared" si="249"/>
        <v>0</v>
      </c>
      <c r="R638" s="125" t="str">
        <f>+_xlfn.XLOOKUP(A638,PPTO_GENERADOR!$Q:$Q,PPTO_GENERADOR!A:A,"-",0)</f>
        <v>-</v>
      </c>
    </row>
    <row r="639" spans="1:18" ht="14.25" customHeight="1" x14ac:dyDescent="0.35">
      <c r="A639" s="105" t="s">
        <v>1958</v>
      </c>
      <c r="B639" s="105" t="s">
        <v>1981</v>
      </c>
      <c r="C639" s="105" t="s">
        <v>1982</v>
      </c>
      <c r="D639" s="105" t="s">
        <v>557</v>
      </c>
      <c r="E639" s="95" t="str">
        <f>IFERROR(VLOOKUP(D639,MATERIALES!A:B,2,FALSE()),"?")</f>
        <v>tirante 3x6 3.66</v>
      </c>
      <c r="F639" s="129">
        <f>IFERROR(VLOOKUP(D639,MATERIALES!A:C,3,FALSE()),"?")</f>
        <v>0</v>
      </c>
      <c r="G639" s="119">
        <v>2.4167600000000001E-2</v>
      </c>
      <c r="H639" s="120">
        <v>0.02</v>
      </c>
      <c r="I639" s="96">
        <f>IFERROR(VLOOKUP(D639,MATERIALES!A:D,4,FALSE()),0)</f>
        <v>4649.9685120000004</v>
      </c>
      <c r="J639" s="31">
        <f t="shared" si="273"/>
        <v>114.62615059082344</v>
      </c>
      <c r="K639" s="32" t="str">
        <f t="shared" si="271"/>
        <v>ENC-091|MAT</v>
      </c>
      <c r="L639" s="32">
        <f>COUNTIFS($K$2:K639,K639)</f>
        <v>2</v>
      </c>
      <c r="M639" s="32" t="str">
        <f t="shared" si="272"/>
        <v>ENC-091|MAT|2</v>
      </c>
      <c r="N639" s="121">
        <f>IFERROR(VLOOKUP(A639,PARTIDAS!A:F,6,FALSE()),0)</f>
        <v>26</v>
      </c>
      <c r="O639" s="123">
        <f t="shared" si="248"/>
        <v>0</v>
      </c>
      <c r="P639" s="123" t="str">
        <f>+_xlfn.XLOOKUP(A639,PPTO_GENERADOR!Q:Q,PPTO_GENERADOR!E:E,"-",0)</f>
        <v>-</v>
      </c>
      <c r="Q639" s="123">
        <f t="shared" si="249"/>
        <v>0</v>
      </c>
      <c r="R639" s="125" t="str">
        <f>+_xlfn.XLOOKUP(A639,PPTO_GENERADOR!$Q:$Q,PPTO_GENERADOR!A:A,"-",0)</f>
        <v>-</v>
      </c>
    </row>
    <row r="640" spans="1:18" ht="14.25" customHeight="1" x14ac:dyDescent="0.35">
      <c r="A640" s="105" t="s">
        <v>1958</v>
      </c>
      <c r="B640" s="105" t="s">
        <v>1981</v>
      </c>
      <c r="C640" s="105" t="s">
        <v>1982</v>
      </c>
      <c r="D640" s="105" t="s">
        <v>553</v>
      </c>
      <c r="E640" s="95" t="str">
        <f>IFERROR(VLOOKUP(D640,MATERIALES!A:B,2,FALSE()),"?")</f>
        <v>FENOLICO 18MM. COMUN 1.22 x 2.40</v>
      </c>
      <c r="F640" s="129">
        <f>IFERROR(VLOOKUP(D640,MATERIALES!A:C,3,FALSE()),"?")</f>
        <v>0</v>
      </c>
      <c r="G640" s="119">
        <v>0.50011340000000004</v>
      </c>
      <c r="H640" s="120">
        <v>0.05</v>
      </c>
      <c r="I640" s="96">
        <f>IFERROR(VLOOKUP(D640,MATERIALES!A:D,4,FALSE()),0)</f>
        <v>20401.25</v>
      </c>
      <c r="J640" s="31">
        <f t="shared" si="273"/>
        <v>10713.085426837501</v>
      </c>
      <c r="K640" s="32" t="str">
        <f t="shared" si="271"/>
        <v>ENC-091|MAT</v>
      </c>
      <c r="L640" s="32">
        <f>COUNTIFS($K$2:K640,K640)</f>
        <v>3</v>
      </c>
      <c r="M640" s="32" t="str">
        <f t="shared" si="272"/>
        <v>ENC-091|MAT|3</v>
      </c>
      <c r="N640" s="121">
        <f>IFERROR(VLOOKUP(A640,PARTIDAS!A:F,6,FALSE()),0)</f>
        <v>26</v>
      </c>
      <c r="O640" s="123">
        <f t="shared" si="248"/>
        <v>0</v>
      </c>
      <c r="P640" s="123" t="str">
        <f>+_xlfn.XLOOKUP(A640,PPTO_GENERADOR!Q:Q,PPTO_GENERADOR!E:E,"-",0)</f>
        <v>-</v>
      </c>
      <c r="Q640" s="123">
        <f t="shared" si="249"/>
        <v>0</v>
      </c>
      <c r="R640" s="125" t="str">
        <f>+_xlfn.XLOOKUP(A640,PPTO_GENERADOR!$Q:$Q,PPTO_GENERADOR!A:A,"-",0)</f>
        <v>-</v>
      </c>
    </row>
    <row r="641" spans="1:18" ht="14.25" customHeight="1" x14ac:dyDescent="0.35">
      <c r="A641" s="105" t="s">
        <v>1958</v>
      </c>
      <c r="B641" s="105" t="s">
        <v>1981</v>
      </c>
      <c r="C641" s="105" t="s">
        <v>1982</v>
      </c>
      <c r="D641" s="105" t="s">
        <v>549</v>
      </c>
      <c r="E641" s="95" t="str">
        <f>IFERROR(VLOOKUP(D641,MATERIALES!A:B,2,FALSE()),"?")</f>
        <v>CLAVOS DE 21/2" X 12</v>
      </c>
      <c r="F641" s="129">
        <f>IFERROR(VLOOKUP(D641,MATERIALES!A:C,3,FALSE()),"?")</f>
        <v>0</v>
      </c>
      <c r="G641" s="119">
        <v>0.12512580000000001</v>
      </c>
      <c r="H641" s="120">
        <v>0.05</v>
      </c>
      <c r="I641" s="96">
        <f>IFERROR(VLOOKUP(D641,MATERIALES!A:D,4,FALSE()),0)</f>
        <v>2647.2224999999999</v>
      </c>
      <c r="J641" s="31">
        <f t="shared" si="273"/>
        <v>347.79762474502502</v>
      </c>
      <c r="K641" s="32" t="str">
        <f t="shared" si="271"/>
        <v>ENC-091|MAT</v>
      </c>
      <c r="L641" s="32">
        <f>COUNTIFS($K$2:K641,K641)</f>
        <v>4</v>
      </c>
      <c r="M641" s="32" t="str">
        <f t="shared" si="272"/>
        <v>ENC-091|MAT|4</v>
      </c>
      <c r="N641" s="121">
        <f>IFERROR(VLOOKUP(A641,PARTIDAS!A:F,6,FALSE()),0)</f>
        <v>26</v>
      </c>
      <c r="O641" s="123">
        <f t="shared" si="248"/>
        <v>0</v>
      </c>
      <c r="P641" s="123" t="str">
        <f>+_xlfn.XLOOKUP(A641,PPTO_GENERADOR!Q:Q,PPTO_GENERADOR!E:E,"-",0)</f>
        <v>-</v>
      </c>
      <c r="Q641" s="123">
        <f t="shared" si="249"/>
        <v>0</v>
      </c>
      <c r="R641" s="125" t="str">
        <f>+_xlfn.XLOOKUP(A641,PPTO_GENERADOR!$Q:$Q,PPTO_GENERADOR!A:A,"-",0)</f>
        <v>-</v>
      </c>
    </row>
    <row r="642" spans="1:18" ht="14.25" customHeight="1" x14ac:dyDescent="0.35">
      <c r="A642" s="105" t="s">
        <v>1958</v>
      </c>
      <c r="B642" s="105" t="s">
        <v>1981</v>
      </c>
      <c r="C642" s="105" t="s">
        <v>1982</v>
      </c>
      <c r="D642" s="105" t="s">
        <v>551</v>
      </c>
      <c r="E642" s="95" t="str">
        <f>IFERROR(VLOOKUP(D642,MATERIALES!A:B,2,FALSE()),"?")</f>
        <v>Alambre de fardo</v>
      </c>
      <c r="F642" s="129">
        <f>IFERROR(VLOOKUP(D642,MATERIALES!A:C,3,FALSE()),"?")</f>
        <v>0</v>
      </c>
      <c r="G642" s="119">
        <v>1.24736E-2</v>
      </c>
      <c r="H642" s="120">
        <v>0.15</v>
      </c>
      <c r="I642" s="96">
        <f>IFERROR(VLOOKUP(D642,MATERIALES!A:D,4,FALSE()),0)</f>
        <v>2660.68</v>
      </c>
      <c r="J642" s="31">
        <f t="shared" si="273"/>
        <v>38.166496755199994</v>
      </c>
      <c r="K642" s="32" t="str">
        <f t="shared" si="271"/>
        <v>ENC-091|MAT</v>
      </c>
      <c r="L642" s="32">
        <f>COUNTIFS($K$2:K642,K642)</f>
        <v>5</v>
      </c>
      <c r="M642" s="32" t="str">
        <f t="shared" si="272"/>
        <v>ENC-091|MAT|5</v>
      </c>
      <c r="N642" s="121">
        <f>IFERROR(VLOOKUP(A642,PARTIDAS!A:F,6,FALSE()),0)</f>
        <v>26</v>
      </c>
      <c r="O642" s="123">
        <f t="shared" si="248"/>
        <v>0</v>
      </c>
      <c r="P642" s="123" t="str">
        <f>+_xlfn.XLOOKUP(A642,PPTO_GENERADOR!Q:Q,PPTO_GENERADOR!E:E,"-",0)</f>
        <v>-</v>
      </c>
      <c r="Q642" s="123">
        <f t="shared" si="249"/>
        <v>0</v>
      </c>
      <c r="R642" s="125" t="str">
        <f>+_xlfn.XLOOKUP(A642,PPTO_GENERADOR!$Q:$Q,PPTO_GENERADOR!A:A,"-",0)</f>
        <v>-</v>
      </c>
    </row>
    <row r="643" spans="1:18" ht="14.25" customHeight="1" x14ac:dyDescent="0.35">
      <c r="A643" s="105" t="s">
        <v>1958</v>
      </c>
      <c r="B643" s="105" t="s">
        <v>1979</v>
      </c>
      <c r="C643" s="105" t="s">
        <v>1980</v>
      </c>
      <c r="D643" s="105" t="s">
        <v>2038</v>
      </c>
      <c r="E643" s="95" t="str">
        <f>IFERROR(VLOOKUP(D643,MANO_DE_OBRA!A:B,2,FALSE()),"?")</f>
        <v>AYUDANTE</v>
      </c>
      <c r="F643" s="129" t="s">
        <v>2042</v>
      </c>
      <c r="G643" s="119">
        <v>1</v>
      </c>
      <c r="H643" s="120">
        <v>0</v>
      </c>
      <c r="I643" s="96">
        <f>IFERROR(VLOOKUP(D643,MANO_DE_OBRA!A:C,3,FALSE()),0)</f>
        <v>67240.498860267602</v>
      </c>
      <c r="J643" s="31">
        <f t="shared" ref="J643:J645" si="274">G643*I643</f>
        <v>67240.498860267602</v>
      </c>
      <c r="K643" s="32" t="str">
        <f t="shared" si="271"/>
        <v>ENC-091|MO</v>
      </c>
      <c r="L643" s="32">
        <f>COUNTIFS($K$2:K643,K643)</f>
        <v>1</v>
      </c>
      <c r="M643" s="32" t="str">
        <f t="shared" ref="M643:M698" si="275">K643&amp;"|"&amp;L643</f>
        <v>ENC-091|MO|1</v>
      </c>
      <c r="N643" s="121">
        <f>IFERROR(VLOOKUP(A643,PARTIDAS!A:F,6,FALSE()),0)</f>
        <v>26</v>
      </c>
      <c r="O643" s="123">
        <f t="shared" ref="O643:O706" si="276">+IF(C643="ALB",G643/N643,0)</f>
        <v>3.8461538461538464E-2</v>
      </c>
      <c r="P643" s="123" t="str">
        <f>+_xlfn.XLOOKUP(A643,PPTO_GENERADOR!Q:Q,PPTO_GENERADOR!E:E,"-",0)</f>
        <v>-</v>
      </c>
      <c r="Q643" s="123">
        <f t="shared" ref="Q643:Q706" si="277">IFERROR(P643*O643,0)</f>
        <v>0</v>
      </c>
      <c r="R643" s="125" t="str">
        <f>+_xlfn.XLOOKUP(A643,PPTO_GENERADOR!$Q:$Q,PPTO_GENERADOR!A:A,"-",0)</f>
        <v>-</v>
      </c>
    </row>
    <row r="644" spans="1:18" ht="14.25" customHeight="1" x14ac:dyDescent="0.35">
      <c r="A644" s="105" t="s">
        <v>1958</v>
      </c>
      <c r="B644" s="105" t="s">
        <v>1979</v>
      </c>
      <c r="C644" s="105" t="s">
        <v>1980</v>
      </c>
      <c r="D644" s="105" t="s">
        <v>1292</v>
      </c>
      <c r="E644" s="95" t="str">
        <f>IFERROR(VLOOKUP(D644,MANO_DE_OBRA!A:B,2,FALSE()),"?")</f>
        <v>ESPECIALIZADO</v>
      </c>
      <c r="F644" s="129" t="s">
        <v>2042</v>
      </c>
      <c r="G644" s="119">
        <v>1</v>
      </c>
      <c r="H644" s="120">
        <v>0</v>
      </c>
      <c r="I644" s="96">
        <f>IFERROR(VLOOKUP(D644,MANO_DE_OBRA!A:C,3,FALSE()),0)</f>
        <v>94177.137883538904</v>
      </c>
      <c r="J644" s="31">
        <f t="shared" si="274"/>
        <v>94177.137883538904</v>
      </c>
      <c r="K644" s="32" t="str">
        <f t="shared" si="271"/>
        <v>ENC-091|MO</v>
      </c>
      <c r="L644" s="32">
        <f>COUNTIFS($K$2:K644,K644)</f>
        <v>2</v>
      </c>
      <c r="M644" s="32" t="str">
        <f t="shared" si="275"/>
        <v>ENC-091|MO|2</v>
      </c>
      <c r="N644" s="121">
        <f>IFERROR(VLOOKUP(A644,PARTIDAS!A:F,6,FALSE()),0)</f>
        <v>26</v>
      </c>
      <c r="O644" s="123">
        <f t="shared" si="276"/>
        <v>3.8461538461538464E-2</v>
      </c>
      <c r="P644" s="123" t="str">
        <f>+_xlfn.XLOOKUP(A644,PPTO_GENERADOR!Q:Q,PPTO_GENERADOR!E:E,"-",0)</f>
        <v>-</v>
      </c>
      <c r="Q644" s="123">
        <f t="shared" si="277"/>
        <v>0</v>
      </c>
      <c r="R644" s="125" t="str">
        <f>+_xlfn.XLOOKUP(A644,PPTO_GENERADOR!$Q:$Q,PPTO_GENERADOR!A:A,"-",0)</f>
        <v>-</v>
      </c>
    </row>
    <row r="645" spans="1:18" ht="14.25" customHeight="1" x14ac:dyDescent="0.35">
      <c r="A645" s="105" t="s">
        <v>1958</v>
      </c>
      <c r="B645" s="105" t="s">
        <v>1979</v>
      </c>
      <c r="C645" s="105" t="s">
        <v>1980</v>
      </c>
      <c r="D645" s="105" t="s">
        <v>1288</v>
      </c>
      <c r="E645" s="95" t="str">
        <f>IFERROR(VLOOKUP(D645,MANO_DE_OBRA!A:B,2,FALSE()),"?")</f>
        <v>MEDIO OFICIAL</v>
      </c>
      <c r="F645" s="129" t="s">
        <v>2042</v>
      </c>
      <c r="G645" s="119">
        <v>1</v>
      </c>
      <c r="H645" s="120">
        <v>0</v>
      </c>
      <c r="I645" s="96">
        <f>IFERROR(VLOOKUP(D645,MANO_DE_OBRA!A:C,3,FALSE()),0)</f>
        <v>72132.138365590101</v>
      </c>
      <c r="J645" s="31">
        <f t="shared" si="274"/>
        <v>72132.138365590101</v>
      </c>
      <c r="K645" s="32" t="str">
        <f t="shared" si="271"/>
        <v>ENC-091|MO</v>
      </c>
      <c r="L645" s="32">
        <f>COUNTIFS($K$2:K645,K645)</f>
        <v>3</v>
      </c>
      <c r="M645" s="32" t="str">
        <f t="shared" si="275"/>
        <v>ENC-091|MO|3</v>
      </c>
      <c r="N645" s="121">
        <f>IFERROR(VLOOKUP(A645,PARTIDAS!A:F,6,FALSE()),0)</f>
        <v>26</v>
      </c>
      <c r="O645" s="123">
        <f t="shared" si="276"/>
        <v>3.8461538461538464E-2</v>
      </c>
      <c r="P645" s="123" t="str">
        <f>+_xlfn.XLOOKUP(A645,PPTO_GENERADOR!Q:Q,PPTO_GENERADOR!E:E,"-",0)</f>
        <v>-</v>
      </c>
      <c r="Q645" s="123">
        <f t="shared" si="277"/>
        <v>0</v>
      </c>
      <c r="R645" s="125" t="str">
        <f>+_xlfn.XLOOKUP(A645,PPTO_GENERADOR!$Q:$Q,PPTO_GENERADOR!A:A,"-",0)</f>
        <v>-</v>
      </c>
    </row>
    <row r="646" spans="1:18" ht="14.25" customHeight="1" x14ac:dyDescent="0.35">
      <c r="A646" s="105" t="s">
        <v>31</v>
      </c>
      <c r="B646" s="105" t="s">
        <v>1979</v>
      </c>
      <c r="C646" s="105" t="s">
        <v>1982</v>
      </c>
      <c r="D646" s="105" t="s">
        <v>1519</v>
      </c>
      <c r="E646" s="95" t="str">
        <f>IFERROR(VLOOKUP(D646,SUBCONTRATOS_PRY!A:B,2,FALSE()),"?")</f>
        <v>M.Obra topografo</v>
      </c>
      <c r="F646" s="129" t="s">
        <v>2042</v>
      </c>
      <c r="G646" s="119">
        <v>1</v>
      </c>
      <c r="H646" s="120">
        <v>0</v>
      </c>
      <c r="I646" s="96">
        <f>IFERROR(VLOOKUP(D646,SUBCONTRATOS_PRY!A:D,4,FALSE()),0)</f>
        <v>214394.06177409799</v>
      </c>
      <c r="J646" s="31">
        <f>G646*I646</f>
        <v>214394.06177409799</v>
      </c>
      <c r="K646" s="32" t="str">
        <f t="shared" si="271"/>
        <v>PTO-0102|MO</v>
      </c>
      <c r="L646" s="32">
        <f>COUNTIFS($K$2:K646,K646)</f>
        <v>1</v>
      </c>
      <c r="M646" s="32" t="str">
        <f t="shared" si="275"/>
        <v>PTO-0102|MO|1</v>
      </c>
      <c r="N646" s="121">
        <f>IFERROR(VLOOKUP(A646,PARTIDAS!A:F,6,FALSE()),0)</f>
        <v>1</v>
      </c>
      <c r="O646" s="123">
        <f t="shared" si="276"/>
        <v>0</v>
      </c>
      <c r="P646" s="123">
        <f>+_xlfn.XLOOKUP(A646,PPTO_GENERADOR!Q:Q,PPTO_GENERADOR!E:E,"-",0)</f>
        <v>4</v>
      </c>
      <c r="Q646" s="123">
        <f t="shared" si="277"/>
        <v>0</v>
      </c>
      <c r="R646" s="125">
        <f>+_xlfn.XLOOKUP(A646,PPTO_GENERADOR!$Q:$Q,PPTO_GENERADOR!A:A,"-",0)</f>
        <v>1.02</v>
      </c>
    </row>
    <row r="647" spans="1:18" ht="14.25" customHeight="1" x14ac:dyDescent="0.35">
      <c r="A647" s="105" t="s">
        <v>31</v>
      </c>
      <c r="B647" s="105" t="s">
        <v>1979</v>
      </c>
      <c r="C647" s="105" t="s">
        <v>1980</v>
      </c>
      <c r="D647" s="105" t="s">
        <v>2038</v>
      </c>
      <c r="E647" s="95" t="str">
        <f>IFERROR(VLOOKUP(D647,MANO_DE_OBRA!A:B,2,FALSE()),"?")</f>
        <v>AYUDANTE</v>
      </c>
      <c r="F647" s="129" t="s">
        <v>2042</v>
      </c>
      <c r="G647" s="119">
        <v>1</v>
      </c>
      <c r="H647" s="120">
        <v>0</v>
      </c>
      <c r="I647" s="96">
        <f>IFERROR(VLOOKUP(D647,MANO_DE_OBRA!A:C,3,FALSE()),0)</f>
        <v>67240.498860267602</v>
      </c>
      <c r="J647" s="31">
        <f t="shared" ref="J647" si="278">G647*I647</f>
        <v>67240.498860267602</v>
      </c>
      <c r="K647" s="32" t="str">
        <f t="shared" si="271"/>
        <v>PTO-0102|MO</v>
      </c>
      <c r="L647" s="32">
        <f>COUNTIFS($K$2:K647,K647)</f>
        <v>2</v>
      </c>
      <c r="M647" s="32" t="str">
        <f t="shared" si="275"/>
        <v>PTO-0102|MO|2</v>
      </c>
      <c r="N647" s="121">
        <f>IFERROR(VLOOKUP(A647,PARTIDAS!A:F,6,FALSE()),0)</f>
        <v>1</v>
      </c>
      <c r="O647" s="123">
        <f t="shared" si="276"/>
        <v>1</v>
      </c>
      <c r="P647" s="123">
        <f>+_xlfn.XLOOKUP(A647,PPTO_GENERADOR!Q:Q,PPTO_GENERADOR!E:E,"-",0)</f>
        <v>4</v>
      </c>
      <c r="Q647" s="123">
        <f t="shared" si="277"/>
        <v>4</v>
      </c>
      <c r="R647" s="125">
        <f>+_xlfn.XLOOKUP(A647,PPTO_GENERADOR!$Q:$Q,PPTO_GENERADOR!A:A,"-",0)</f>
        <v>1.02</v>
      </c>
    </row>
    <row r="648" spans="1:18" ht="14.25" customHeight="1" x14ac:dyDescent="0.35">
      <c r="A648" s="105" t="s">
        <v>31</v>
      </c>
      <c r="B648" s="105" t="s">
        <v>1981</v>
      </c>
      <c r="C648" s="105" t="s">
        <v>1982</v>
      </c>
      <c r="D648" s="105" t="s">
        <v>559</v>
      </c>
      <c r="E648" s="95" t="str">
        <f>IFERROR(VLOOKUP(D648,MATERIALES!A:B,2,FALSE()),"?")</f>
        <v>CONSUMIBLES (varios)</v>
      </c>
      <c r="F648" s="129" t="str">
        <f>IFERROR(VLOOKUP(D648,MATERIALES!A:C,3,FALSE()),"?")</f>
        <v>gl</v>
      </c>
      <c r="G648" s="119">
        <v>25000</v>
      </c>
      <c r="H648" s="120">
        <v>0</v>
      </c>
      <c r="I648" s="96">
        <f>IFERROR(VLOOKUP(D648,MATERIALES!A:D,4,FALSE()),0)</f>
        <v>1</v>
      </c>
      <c r="J648" s="31">
        <f>G648*I648*(1+H648)</f>
        <v>25000</v>
      </c>
      <c r="K648" s="32" t="str">
        <f t="shared" si="271"/>
        <v>PTO-0102|MAT</v>
      </c>
      <c r="L648" s="32">
        <f>COUNTIFS($K$2:K648,K648)</f>
        <v>1</v>
      </c>
      <c r="M648" s="32" t="str">
        <f t="shared" si="275"/>
        <v>PTO-0102|MAT|1</v>
      </c>
      <c r="N648" s="121">
        <f>IFERROR(VLOOKUP(A648,PARTIDAS!A:F,6,FALSE()),0)</f>
        <v>1</v>
      </c>
      <c r="O648" s="123">
        <f t="shared" si="276"/>
        <v>0</v>
      </c>
      <c r="P648" s="123">
        <f>+_xlfn.XLOOKUP(A648,PPTO_GENERADOR!Q:Q,PPTO_GENERADOR!E:E,"-",0)</f>
        <v>4</v>
      </c>
      <c r="Q648" s="123">
        <f t="shared" si="277"/>
        <v>0</v>
      </c>
      <c r="R648" s="125">
        <f>+_xlfn.XLOOKUP(A648,PPTO_GENERADOR!$Q:$Q,PPTO_GENERADOR!A:A,"-",0)</f>
        <v>1.02</v>
      </c>
    </row>
    <row r="649" spans="1:18" ht="14.25" customHeight="1" x14ac:dyDescent="0.35">
      <c r="A649" s="105" t="s">
        <v>31</v>
      </c>
      <c r="B649" s="105" t="s">
        <v>1983</v>
      </c>
      <c r="C649" s="105"/>
      <c r="D649" s="105" t="s">
        <v>1331</v>
      </c>
      <c r="E649" s="95" t="str">
        <f>IFERROR(VLOOKUP(D649,EQUIPOS!A:B,2,FALSE()),"?")</f>
        <v>Herramientas — Topógrafo - Visita de obra replanteo</v>
      </c>
      <c r="F649" s="129"/>
      <c r="G649" s="119">
        <v>1</v>
      </c>
      <c r="H649" s="120">
        <v>0</v>
      </c>
      <c r="I649" s="96">
        <f>IFERROR(VLOOKUP(D649,EQUIPOS!A:F,6,FALSE()),0)</f>
        <v>4599.51840951549</v>
      </c>
      <c r="J649" s="31">
        <f>G649*I649</f>
        <v>4599.51840951549</v>
      </c>
      <c r="K649" s="32" t="str">
        <f t="shared" si="271"/>
        <v>PTO-0102|EQ</v>
      </c>
      <c r="L649" s="32">
        <f>COUNTIFS($K$2:K649,K649)</f>
        <v>1</v>
      </c>
      <c r="M649" s="32" t="str">
        <f t="shared" si="275"/>
        <v>PTO-0102|EQ|1</v>
      </c>
      <c r="N649" s="121">
        <f>IFERROR(VLOOKUP(A649,PARTIDAS!A:F,6,FALSE()),0)</f>
        <v>1</v>
      </c>
      <c r="O649" s="123">
        <f t="shared" si="276"/>
        <v>0</v>
      </c>
      <c r="P649" s="123">
        <f>+_xlfn.XLOOKUP(A649,PPTO_GENERADOR!Q:Q,PPTO_GENERADOR!E:E,"-",0)</f>
        <v>4</v>
      </c>
      <c r="Q649" s="123">
        <f t="shared" si="277"/>
        <v>0</v>
      </c>
      <c r="R649" s="125">
        <f>+_xlfn.XLOOKUP(A649,PPTO_GENERADOR!$Q:$Q,PPTO_GENERADOR!A:A,"-",0)</f>
        <v>1.02</v>
      </c>
    </row>
    <row r="650" spans="1:18" ht="14.25" customHeight="1" x14ac:dyDescent="0.35">
      <c r="A650" s="105" t="s">
        <v>37</v>
      </c>
      <c r="B650" s="105" t="s">
        <v>1981</v>
      </c>
      <c r="C650" s="105" t="s">
        <v>1982</v>
      </c>
      <c r="D650" s="105" t="s">
        <v>595</v>
      </c>
      <c r="E650" s="95" t="str">
        <f>IFERROR(VLOOKUP(D650,MATERIALES!A:B,2,FALSE()),"?")</f>
        <v>Chapa acanalada C25</v>
      </c>
      <c r="F650" s="129" t="str">
        <f>IFERROR(VLOOKUP(D650,MATERIALES!A:C,3,FALSE()),"?")</f>
        <v>u</v>
      </c>
      <c r="G650" s="119">
        <v>2.5</v>
      </c>
      <c r="H650" s="120">
        <v>0</v>
      </c>
      <c r="I650" s="96">
        <f>IFERROR(VLOOKUP(D650,MATERIALES!A:D,4,FALSE()),0)</f>
        <v>10861.7685950413</v>
      </c>
      <c r="J650" s="31">
        <f t="shared" ref="J650:J658" si="279">G650*I650*(1+H650)</f>
        <v>27154.421487603249</v>
      </c>
      <c r="K650" s="32" t="str">
        <f t="shared" si="271"/>
        <v>PTO-0104|MAT</v>
      </c>
      <c r="L650" s="32">
        <f>COUNTIFS($K$2:K650,K650)</f>
        <v>1</v>
      </c>
      <c r="M650" s="32" t="str">
        <f t="shared" si="275"/>
        <v>PTO-0104|MAT|1</v>
      </c>
      <c r="N650" s="121">
        <f>IFERROR(VLOOKUP(A650,PARTIDAS!A:F,6,FALSE()),0)</f>
        <v>1</v>
      </c>
      <c r="O650" s="123">
        <f t="shared" si="276"/>
        <v>0</v>
      </c>
      <c r="P650" s="123">
        <f>+_xlfn.XLOOKUP(A650,PPTO_GENERADOR!Q:Q,PPTO_GENERADOR!E:E,"-",0)</f>
        <v>10</v>
      </c>
      <c r="Q650" s="123">
        <f t="shared" si="277"/>
        <v>0</v>
      </c>
      <c r="R650" s="125">
        <f>+_xlfn.XLOOKUP(A650,PPTO_GENERADOR!$Q:$Q,PPTO_GENERADOR!A:A,"-",0)</f>
        <v>1.04</v>
      </c>
    </row>
    <row r="651" spans="1:18" ht="14.25" customHeight="1" x14ac:dyDescent="0.35">
      <c r="A651" s="105" t="s">
        <v>37</v>
      </c>
      <c r="B651" s="105" t="s">
        <v>1981</v>
      </c>
      <c r="C651" s="105" t="s">
        <v>1982</v>
      </c>
      <c r="D651" s="105" t="s">
        <v>598</v>
      </c>
      <c r="E651" s="95" t="str">
        <f>IFERROR(VLOOKUP(D651,MATERIALES!A:B,2,FALSE()),"?")</f>
        <v>Perfiles UPN 100</v>
      </c>
      <c r="F651" s="129" t="str">
        <f>IFERROR(VLOOKUP(D651,MATERIALES!A:C,3,FALSE()),"?")</f>
        <v>u</v>
      </c>
      <c r="G651" s="119">
        <v>0.1</v>
      </c>
      <c r="H651" s="120">
        <v>0</v>
      </c>
      <c r="I651" s="96">
        <f>IFERROR(VLOOKUP(D651,MATERIALES!A:D,4,FALSE()),0)</f>
        <v>271144.89256198402</v>
      </c>
      <c r="J651" s="31">
        <f t="shared" si="279"/>
        <v>27114.489256198402</v>
      </c>
      <c r="K651" s="32" t="str">
        <f t="shared" si="271"/>
        <v>PTO-0104|MAT</v>
      </c>
      <c r="L651" s="32">
        <f>COUNTIFS($K$2:K651,K651)</f>
        <v>2</v>
      </c>
      <c r="M651" s="32" t="str">
        <f t="shared" si="275"/>
        <v>PTO-0104|MAT|2</v>
      </c>
      <c r="N651" s="121">
        <f>IFERROR(VLOOKUP(A651,PARTIDAS!A:F,6,FALSE()),0)</f>
        <v>1</v>
      </c>
      <c r="O651" s="123">
        <f t="shared" si="276"/>
        <v>0</v>
      </c>
      <c r="P651" s="123">
        <f>+_xlfn.XLOOKUP(A651,PPTO_GENERADOR!Q:Q,PPTO_GENERADOR!E:E,"-",0)</f>
        <v>10</v>
      </c>
      <c r="Q651" s="123">
        <f t="shared" si="277"/>
        <v>0</v>
      </c>
      <c r="R651" s="125">
        <f>+_xlfn.XLOOKUP(A651,PPTO_GENERADOR!$Q:$Q,PPTO_GENERADOR!A:A,"-",0)</f>
        <v>1.04</v>
      </c>
    </row>
    <row r="652" spans="1:18" ht="14.25" customHeight="1" x14ac:dyDescent="0.35">
      <c r="A652" s="105" t="s">
        <v>37</v>
      </c>
      <c r="B652" s="105" t="s">
        <v>1981</v>
      </c>
      <c r="C652" s="105" t="s">
        <v>1982</v>
      </c>
      <c r="D652" s="105" t="s">
        <v>600</v>
      </c>
      <c r="E652" s="95" t="str">
        <f>IFERROR(VLOOKUP(D652,MATERIALES!A:B,2,FALSE()),"?")</f>
        <v>Bastidor para porton corredizo - Perfil 40 x 40 x 2</v>
      </c>
      <c r="F652" s="129" t="str">
        <f>IFERROR(VLOOKUP(D652,MATERIALES!A:C,3,FALSE()),"?")</f>
        <v>u</v>
      </c>
      <c r="G652" s="119">
        <v>0.2</v>
      </c>
      <c r="H652" s="120">
        <v>0</v>
      </c>
      <c r="I652" s="96">
        <f>IFERROR(VLOOKUP(D652,MATERIALES!A:D,4,FALSE()),0)</f>
        <v>23523.7520661157</v>
      </c>
      <c r="J652" s="31">
        <f t="shared" si="279"/>
        <v>4704.7504132231397</v>
      </c>
      <c r="K652" s="32" t="str">
        <f t="shared" si="271"/>
        <v>PTO-0104|MAT</v>
      </c>
      <c r="L652" s="32">
        <f>COUNTIFS($K$2:K652,K652)</f>
        <v>3</v>
      </c>
      <c r="M652" s="32" t="str">
        <f t="shared" si="275"/>
        <v>PTO-0104|MAT|3</v>
      </c>
      <c r="N652" s="121">
        <f>IFERROR(VLOOKUP(A652,PARTIDAS!A:F,6,FALSE()),0)</f>
        <v>1</v>
      </c>
      <c r="O652" s="123">
        <f t="shared" si="276"/>
        <v>0</v>
      </c>
      <c r="P652" s="123">
        <f>+_xlfn.XLOOKUP(A652,PPTO_GENERADOR!Q:Q,PPTO_GENERADOR!E:E,"-",0)</f>
        <v>10</v>
      </c>
      <c r="Q652" s="123">
        <f t="shared" si="277"/>
        <v>0</v>
      </c>
      <c r="R652" s="125">
        <f>+_xlfn.XLOOKUP(A652,PPTO_GENERADOR!$Q:$Q,PPTO_GENERADOR!A:A,"-",0)</f>
        <v>1.04</v>
      </c>
    </row>
    <row r="653" spans="1:18" ht="14.25" customHeight="1" x14ac:dyDescent="0.35">
      <c r="A653" s="105" t="s">
        <v>37</v>
      </c>
      <c r="B653" s="105" t="s">
        <v>1981</v>
      </c>
      <c r="C653" s="105" t="s">
        <v>1982</v>
      </c>
      <c r="D653" s="105" t="s">
        <v>602</v>
      </c>
      <c r="E653" s="95" t="str">
        <f>IFERROR(VLOOKUP(D653,MATERIALES!A:B,2,FALSE()),"?")</f>
        <v>Riel Roma 174 e: 2,1 mm. 53 x 60 x 6000</v>
      </c>
      <c r="F653" s="129" t="str">
        <f>IFERROR(VLOOKUP(D653,MATERIALES!A:C,3,FALSE()),"?")</f>
        <v>u</v>
      </c>
      <c r="G653" s="119">
        <v>0.1</v>
      </c>
      <c r="H653" s="120">
        <v>0</v>
      </c>
      <c r="I653" s="96">
        <f>IFERROR(VLOOKUP(D653,MATERIALES!A:D,4,FALSE()),0)</f>
        <v>85391.380165289302</v>
      </c>
      <c r="J653" s="31">
        <f t="shared" si="279"/>
        <v>8539.1380165289302</v>
      </c>
      <c r="K653" s="32" t="str">
        <f t="shared" si="271"/>
        <v>PTO-0104|MAT</v>
      </c>
      <c r="L653" s="32">
        <f>COUNTIFS($K$2:K653,K653)</f>
        <v>4</v>
      </c>
      <c r="M653" s="32" t="str">
        <f t="shared" si="275"/>
        <v>PTO-0104|MAT|4</v>
      </c>
      <c r="N653" s="121">
        <f>IFERROR(VLOOKUP(A653,PARTIDAS!A:F,6,FALSE()),0)</f>
        <v>1</v>
      </c>
      <c r="O653" s="123">
        <f t="shared" si="276"/>
        <v>0</v>
      </c>
      <c r="P653" s="123">
        <f>+_xlfn.XLOOKUP(A653,PPTO_GENERADOR!Q:Q,PPTO_GENERADOR!E:E,"-",0)</f>
        <v>10</v>
      </c>
      <c r="Q653" s="123">
        <f t="shared" si="277"/>
        <v>0</v>
      </c>
      <c r="R653" s="125">
        <f>+_xlfn.XLOOKUP(A653,PPTO_GENERADOR!$Q:$Q,PPTO_GENERADOR!A:A,"-",0)</f>
        <v>1.04</v>
      </c>
    </row>
    <row r="654" spans="1:18" ht="14.25" customHeight="1" x14ac:dyDescent="0.35">
      <c r="A654" s="105" t="s">
        <v>37</v>
      </c>
      <c r="B654" s="105" t="s">
        <v>1981</v>
      </c>
      <c r="C654" s="105" t="s">
        <v>1982</v>
      </c>
      <c r="D654" s="105" t="s">
        <v>604</v>
      </c>
      <c r="E654" s="95" t="str">
        <f>IFERROR(VLOOKUP(D654,MATERIALES!A:B,2,FALSE()),"?")</f>
        <v>Carro acero 174 4 ruedas puertas portones Ø45mm</v>
      </c>
      <c r="F654" s="129" t="str">
        <f>IFERROR(VLOOKUP(D654,MATERIALES!A:C,3,FALSE()),"?")</f>
        <v>u</v>
      </c>
      <c r="G654" s="119">
        <v>0.2</v>
      </c>
      <c r="H654" s="120">
        <v>0</v>
      </c>
      <c r="I654" s="96">
        <f>IFERROR(VLOOKUP(D654,MATERIALES!A:D,4,FALSE()),0)</f>
        <v>11534.743801652899</v>
      </c>
      <c r="J654" s="31">
        <f t="shared" si="279"/>
        <v>2306.9487603305802</v>
      </c>
      <c r="K654" s="32" t="str">
        <f t="shared" si="271"/>
        <v>PTO-0104|MAT</v>
      </c>
      <c r="L654" s="32">
        <f>COUNTIFS($K$2:K654,K654)</f>
        <v>5</v>
      </c>
      <c r="M654" s="32" t="str">
        <f t="shared" si="275"/>
        <v>PTO-0104|MAT|5</v>
      </c>
      <c r="N654" s="121">
        <f>IFERROR(VLOOKUP(A654,PARTIDAS!A:F,6,FALSE()),0)</f>
        <v>1</v>
      </c>
      <c r="O654" s="123">
        <f t="shared" si="276"/>
        <v>0</v>
      </c>
      <c r="P654" s="123">
        <f>+_xlfn.XLOOKUP(A654,PPTO_GENERADOR!Q:Q,PPTO_GENERADOR!E:E,"-",0)</f>
        <v>10</v>
      </c>
      <c r="Q654" s="123">
        <f t="shared" si="277"/>
        <v>0</v>
      </c>
      <c r="R654" s="125">
        <f>+_xlfn.XLOOKUP(A654,PPTO_GENERADOR!$Q:$Q,PPTO_GENERADOR!A:A,"-",0)</f>
        <v>1.04</v>
      </c>
    </row>
    <row r="655" spans="1:18" ht="14.25" customHeight="1" x14ac:dyDescent="0.35">
      <c r="A655" s="105" t="s">
        <v>37</v>
      </c>
      <c r="B655" s="105" t="s">
        <v>1981</v>
      </c>
      <c r="C655" s="105" t="s">
        <v>1982</v>
      </c>
      <c r="D655" s="105" t="s">
        <v>606</v>
      </c>
      <c r="E655" s="95" t="str">
        <f>IFERROR(VLOOKUP(D655,MATERIALES!A:B,2,FALSE()),"?")</f>
        <v>Autoperforantes punta mecha 14 x 2</v>
      </c>
      <c r="F655" s="129" t="str">
        <f>IFERROR(VLOOKUP(D655,MATERIALES!A:C,3,FALSE()),"?")</f>
        <v>u</v>
      </c>
      <c r="G655" s="119">
        <v>11.25</v>
      </c>
      <c r="H655" s="120">
        <v>0</v>
      </c>
      <c r="I655" s="96">
        <f>IFERROR(VLOOKUP(D655,MATERIALES!A:D,4,FALSE()),0)</f>
        <v>120</v>
      </c>
      <c r="J655" s="31">
        <f t="shared" si="279"/>
        <v>1350</v>
      </c>
      <c r="K655" s="32" t="str">
        <f t="shared" si="271"/>
        <v>PTO-0104|MAT</v>
      </c>
      <c r="L655" s="32">
        <f>COUNTIFS($K$2:K655,K655)</f>
        <v>6</v>
      </c>
      <c r="M655" s="32" t="str">
        <f t="shared" si="275"/>
        <v>PTO-0104|MAT|6</v>
      </c>
      <c r="N655" s="121">
        <f>IFERROR(VLOOKUP(A655,PARTIDAS!A:F,6,FALSE()),0)</f>
        <v>1</v>
      </c>
      <c r="O655" s="123">
        <f t="shared" si="276"/>
        <v>0</v>
      </c>
      <c r="P655" s="123">
        <f>+_xlfn.XLOOKUP(A655,PPTO_GENERADOR!Q:Q,PPTO_GENERADOR!E:E,"-",0)</f>
        <v>10</v>
      </c>
      <c r="Q655" s="123">
        <f t="shared" si="277"/>
        <v>0</v>
      </c>
      <c r="R655" s="125">
        <f>+_xlfn.XLOOKUP(A655,PPTO_GENERADOR!$Q:$Q,PPTO_GENERADOR!A:A,"-",0)</f>
        <v>1.04</v>
      </c>
    </row>
    <row r="656" spans="1:18" ht="14.25" customHeight="1" x14ac:dyDescent="0.35">
      <c r="A656" s="105" t="s">
        <v>37</v>
      </c>
      <c r="B656" s="105" t="s">
        <v>1981</v>
      </c>
      <c r="C656" s="105" t="s">
        <v>1982</v>
      </c>
      <c r="D656" s="105" t="s">
        <v>609</v>
      </c>
      <c r="E656" s="95" t="str">
        <f>IFERROR(VLOOKUP(D656,MATERIALES!A:B,2,FALSE()),"?")</f>
        <v>Rollo Concertina</v>
      </c>
      <c r="F656" s="129" t="str">
        <f>IFERROR(VLOOKUP(D656,MATERIALES!A:C,3,FALSE()),"?")</f>
        <v>u</v>
      </c>
      <c r="G656" s="119">
        <v>0.2</v>
      </c>
      <c r="H656" s="120">
        <v>0</v>
      </c>
      <c r="I656" s="96">
        <f>IFERROR(VLOOKUP(D656,MATERIALES!A:D,4,FALSE()),0)</f>
        <v>41322.314049586799</v>
      </c>
      <c r="J656" s="31">
        <f t="shared" si="279"/>
        <v>8264.4628099173606</v>
      </c>
      <c r="K656" s="32" t="str">
        <f t="shared" si="271"/>
        <v>PTO-0104|MAT</v>
      </c>
      <c r="L656" s="32">
        <f>COUNTIFS($K$2:K656,K656)</f>
        <v>7</v>
      </c>
      <c r="M656" s="32" t="str">
        <f t="shared" si="275"/>
        <v>PTO-0104|MAT|7</v>
      </c>
      <c r="N656" s="121">
        <f>IFERROR(VLOOKUP(A656,PARTIDAS!A:F,6,FALSE()),0)</f>
        <v>1</v>
      </c>
      <c r="O656" s="123">
        <f t="shared" si="276"/>
        <v>0</v>
      </c>
      <c r="P656" s="123">
        <f>+_xlfn.XLOOKUP(A656,PPTO_GENERADOR!Q:Q,PPTO_GENERADOR!E:E,"-",0)</f>
        <v>10</v>
      </c>
      <c r="Q656" s="123">
        <f t="shared" si="277"/>
        <v>0</v>
      </c>
      <c r="R656" s="125">
        <f>+_xlfn.XLOOKUP(A656,PPTO_GENERADOR!$Q:$Q,PPTO_GENERADOR!A:A,"-",0)</f>
        <v>1.04</v>
      </c>
    </row>
    <row r="657" spans="1:18" ht="14.25" customHeight="1" x14ac:dyDescent="0.35">
      <c r="A657" s="105" t="s">
        <v>37</v>
      </c>
      <c r="B657" s="105" t="s">
        <v>1981</v>
      </c>
      <c r="C657" s="105" t="s">
        <v>1982</v>
      </c>
      <c r="D657" s="105" t="s">
        <v>611</v>
      </c>
      <c r="E657" s="95" t="str">
        <f>IFERROR(VLOOKUP(D657,MATERIALES!A:B,2,FALSE()),"?")</f>
        <v>Puntales 3 x 3 x 3,7</v>
      </c>
      <c r="F657" s="129" t="str">
        <f>IFERROR(VLOOKUP(D657,MATERIALES!A:C,3,FALSE()),"?")</f>
        <v>u</v>
      </c>
      <c r="G657" s="119">
        <v>0.7</v>
      </c>
      <c r="H657" s="120">
        <v>0</v>
      </c>
      <c r="I657" s="96">
        <f>IFERROR(VLOOKUP(D657,MATERIALES!A:D,4,FALSE()),0)</f>
        <v>4992.1646666666702</v>
      </c>
      <c r="J657" s="31">
        <f t="shared" si="279"/>
        <v>3494.515266666669</v>
      </c>
      <c r="K657" s="32" t="str">
        <f t="shared" si="271"/>
        <v>PTO-0104|MAT</v>
      </c>
      <c r="L657" s="32">
        <f>COUNTIFS($K$2:K657,K657)</f>
        <v>8</v>
      </c>
      <c r="M657" s="32" t="str">
        <f t="shared" si="275"/>
        <v>PTO-0104|MAT|8</v>
      </c>
      <c r="N657" s="121">
        <f>IFERROR(VLOOKUP(A657,PARTIDAS!A:F,6,FALSE()),0)</f>
        <v>1</v>
      </c>
      <c r="O657" s="123">
        <f t="shared" si="276"/>
        <v>0</v>
      </c>
      <c r="P657" s="123">
        <f>+_xlfn.XLOOKUP(A657,PPTO_GENERADOR!Q:Q,PPTO_GENERADOR!E:E,"-",0)</f>
        <v>10</v>
      </c>
      <c r="Q657" s="123">
        <f t="shared" si="277"/>
        <v>0</v>
      </c>
      <c r="R657" s="125">
        <f>+_xlfn.XLOOKUP(A657,PPTO_GENERADOR!$Q:$Q,PPTO_GENERADOR!A:A,"-",0)</f>
        <v>1.04</v>
      </c>
    </row>
    <row r="658" spans="1:18" ht="14.25" customHeight="1" x14ac:dyDescent="0.35">
      <c r="A658" s="105" t="s">
        <v>37</v>
      </c>
      <c r="B658" s="105" t="s">
        <v>1981</v>
      </c>
      <c r="C658" s="105" t="s">
        <v>1982</v>
      </c>
      <c r="D658" s="105" t="s">
        <v>559</v>
      </c>
      <c r="E658" s="95" t="str">
        <f>IFERROR(VLOOKUP(D658,MATERIALES!A:B,2,FALSE()),"?")</f>
        <v>CONSUMIBLES (varios)</v>
      </c>
      <c r="F658" s="129" t="str">
        <f>IFERROR(VLOOKUP(D658,MATERIALES!A:C,3,FALSE()),"?")</f>
        <v>gl</v>
      </c>
      <c r="G658" s="119">
        <v>15886.842148760299</v>
      </c>
      <c r="H658" s="120">
        <v>0</v>
      </c>
      <c r="I658" s="96">
        <f>IFERROR(VLOOKUP(D658,MATERIALES!A:D,4,FALSE()),0)</f>
        <v>1</v>
      </c>
      <c r="J658" s="31">
        <f t="shared" si="279"/>
        <v>15886.842148760299</v>
      </c>
      <c r="K658" s="32" t="str">
        <f t="shared" si="271"/>
        <v>PTO-0104|MAT</v>
      </c>
      <c r="L658" s="32">
        <f>COUNTIFS($K$2:K658,K658)</f>
        <v>9</v>
      </c>
      <c r="M658" s="32" t="str">
        <f t="shared" si="275"/>
        <v>PTO-0104|MAT|9</v>
      </c>
      <c r="N658" s="121">
        <f>IFERROR(VLOOKUP(A658,PARTIDAS!A:F,6,FALSE()),0)</f>
        <v>1</v>
      </c>
      <c r="O658" s="123">
        <f t="shared" si="276"/>
        <v>0</v>
      </c>
      <c r="P658" s="123">
        <f>+_xlfn.XLOOKUP(A658,PPTO_GENERADOR!Q:Q,PPTO_GENERADOR!E:E,"-",0)</f>
        <v>10</v>
      </c>
      <c r="Q658" s="123">
        <f t="shared" si="277"/>
        <v>0</v>
      </c>
      <c r="R658" s="125">
        <f>+_xlfn.XLOOKUP(A658,PPTO_GENERADOR!$Q:$Q,PPTO_GENERADOR!A:A,"-",0)</f>
        <v>1.04</v>
      </c>
    </row>
    <row r="659" spans="1:18" ht="14.25" customHeight="1" x14ac:dyDescent="0.35">
      <c r="A659" s="105" t="s">
        <v>37</v>
      </c>
      <c r="B659" s="105" t="s">
        <v>1979</v>
      </c>
      <c r="C659" s="105" t="s">
        <v>1980</v>
      </c>
      <c r="D659" s="105" t="s">
        <v>1290</v>
      </c>
      <c r="E659" s="95" t="str">
        <f>IFERROR(VLOOKUP(D659,MANO_DE_OBRA!A:B,2,FALSE()),"?")</f>
        <v>OFICIAL</v>
      </c>
      <c r="F659" s="129" t="s">
        <v>2042</v>
      </c>
      <c r="G659" s="119">
        <v>0.5</v>
      </c>
      <c r="H659" s="120">
        <v>0</v>
      </c>
      <c r="I659" s="96">
        <f>IFERROR(VLOOKUP(D659,MANO_DE_OBRA!A:C,3,FALSE()),0)</f>
        <v>84612.512709566407</v>
      </c>
      <c r="J659" s="31">
        <f t="shared" ref="J659:J661" si="280">G659*I659</f>
        <v>42306.256354783203</v>
      </c>
      <c r="K659" s="32" t="str">
        <f t="shared" si="271"/>
        <v>PTO-0104|MO</v>
      </c>
      <c r="L659" s="32">
        <f>COUNTIFS($K$2:K659,K659)</f>
        <v>1</v>
      </c>
      <c r="M659" s="32" t="str">
        <f t="shared" si="275"/>
        <v>PTO-0104|MO|1</v>
      </c>
      <c r="N659" s="121">
        <f>IFERROR(VLOOKUP(A659,PARTIDAS!A:F,6,FALSE()),0)</f>
        <v>1</v>
      </c>
      <c r="O659" s="123">
        <f t="shared" si="276"/>
        <v>0.5</v>
      </c>
      <c r="P659" s="123">
        <f>+_xlfn.XLOOKUP(A659,PPTO_GENERADOR!Q:Q,PPTO_GENERADOR!E:E,"-",0)</f>
        <v>10</v>
      </c>
      <c r="Q659" s="123">
        <f t="shared" si="277"/>
        <v>5</v>
      </c>
      <c r="R659" s="125">
        <f>+_xlfn.XLOOKUP(A659,PPTO_GENERADOR!$Q:$Q,PPTO_GENERADOR!A:A,"-",0)</f>
        <v>1.04</v>
      </c>
    </row>
    <row r="660" spans="1:18" ht="14.25" customHeight="1" x14ac:dyDescent="0.35">
      <c r="A660" s="105" t="s">
        <v>37</v>
      </c>
      <c r="B660" s="105" t="s">
        <v>1979</v>
      </c>
      <c r="C660" s="105" t="s">
        <v>1980</v>
      </c>
      <c r="D660" s="105" t="s">
        <v>1288</v>
      </c>
      <c r="E660" s="95" t="str">
        <f>IFERROR(VLOOKUP(D660,MANO_DE_OBRA!A:B,2,FALSE()),"?")</f>
        <v>MEDIO OFICIAL</v>
      </c>
      <c r="F660" s="129" t="s">
        <v>2042</v>
      </c>
      <c r="G660" s="119">
        <v>0.5</v>
      </c>
      <c r="H660" s="120">
        <v>0</v>
      </c>
      <c r="I660" s="96">
        <f>IFERROR(VLOOKUP(D660,MANO_DE_OBRA!A:C,3,FALSE()),0)</f>
        <v>72132.138365590101</v>
      </c>
      <c r="J660" s="31">
        <f t="shared" si="280"/>
        <v>36066.06918279505</v>
      </c>
      <c r="K660" s="32" t="str">
        <f t="shared" si="271"/>
        <v>PTO-0104|MO</v>
      </c>
      <c r="L660" s="32">
        <f>COUNTIFS($K$2:K660,K660)</f>
        <v>2</v>
      </c>
      <c r="M660" s="32" t="str">
        <f t="shared" si="275"/>
        <v>PTO-0104|MO|2</v>
      </c>
      <c r="N660" s="121">
        <f>IFERROR(VLOOKUP(A660,PARTIDAS!A:F,6,FALSE()),0)</f>
        <v>1</v>
      </c>
      <c r="O660" s="123">
        <f t="shared" si="276"/>
        <v>0.5</v>
      </c>
      <c r="P660" s="123">
        <f>+_xlfn.XLOOKUP(A660,PPTO_GENERADOR!Q:Q,PPTO_GENERADOR!E:E,"-",0)</f>
        <v>10</v>
      </c>
      <c r="Q660" s="123">
        <f t="shared" si="277"/>
        <v>5</v>
      </c>
      <c r="R660" s="125">
        <f>+_xlfn.XLOOKUP(A660,PPTO_GENERADOR!$Q:$Q,PPTO_GENERADOR!A:A,"-",0)</f>
        <v>1.04</v>
      </c>
    </row>
    <row r="661" spans="1:18" ht="14.25" customHeight="1" x14ac:dyDescent="0.35">
      <c r="A661" s="105" t="s">
        <v>37</v>
      </c>
      <c r="B661" s="105" t="s">
        <v>1979</v>
      </c>
      <c r="C661" s="105" t="s">
        <v>1980</v>
      </c>
      <c r="D661" s="105" t="s">
        <v>2038</v>
      </c>
      <c r="E661" s="95" t="str">
        <f>IFERROR(VLOOKUP(D661,MANO_DE_OBRA!A:B,2,FALSE()),"?")</f>
        <v>AYUDANTE</v>
      </c>
      <c r="F661" s="129" t="s">
        <v>2042</v>
      </c>
      <c r="G661" s="119">
        <v>0.5</v>
      </c>
      <c r="H661" s="120">
        <v>0</v>
      </c>
      <c r="I661" s="96">
        <f>IFERROR(VLOOKUP(D661,MANO_DE_OBRA!A:C,3,FALSE()),0)</f>
        <v>67240.498860267602</v>
      </c>
      <c r="J661" s="31">
        <f t="shared" si="280"/>
        <v>33620.249430133801</v>
      </c>
      <c r="K661" s="32" t="str">
        <f t="shared" si="271"/>
        <v>PTO-0104|MO</v>
      </c>
      <c r="L661" s="32">
        <f>COUNTIFS($K$2:K661,K661)</f>
        <v>3</v>
      </c>
      <c r="M661" s="32" t="str">
        <f t="shared" si="275"/>
        <v>PTO-0104|MO|3</v>
      </c>
      <c r="N661" s="121">
        <f>IFERROR(VLOOKUP(A661,PARTIDAS!A:F,6,FALSE()),0)</f>
        <v>1</v>
      </c>
      <c r="O661" s="123">
        <f t="shared" si="276"/>
        <v>0.5</v>
      </c>
      <c r="P661" s="123">
        <f>+_xlfn.XLOOKUP(A661,PPTO_GENERADOR!Q:Q,PPTO_GENERADOR!E:E,"-",0)</f>
        <v>10</v>
      </c>
      <c r="Q661" s="123">
        <f t="shared" si="277"/>
        <v>5</v>
      </c>
      <c r="R661" s="125">
        <f>+_xlfn.XLOOKUP(A661,PPTO_GENERADOR!$Q:$Q,PPTO_GENERADOR!A:A,"-",0)</f>
        <v>1.04</v>
      </c>
    </row>
    <row r="662" spans="1:18" ht="14.25" customHeight="1" x14ac:dyDescent="0.35">
      <c r="A662" s="105" t="s">
        <v>37</v>
      </c>
      <c r="B662" s="105" t="s">
        <v>1983</v>
      </c>
      <c r="C662" s="105"/>
      <c r="D662" s="105" t="s">
        <v>1333</v>
      </c>
      <c r="E662" s="95" t="str">
        <f>IFERROR(VLOOKUP(D662,EQUIPOS!A:B,2,FALSE()),"?")</f>
        <v xml:space="preserve">Herramientas — Cerco de obra perimetral - En chapa C25 </v>
      </c>
      <c r="F662" s="129"/>
      <c r="G662" s="119">
        <v>1</v>
      </c>
      <c r="H662" s="120">
        <v>0</v>
      </c>
      <c r="I662" s="96">
        <f>IFERROR(VLOOKUP(D662,EQUIPOS!A:F,6,FALSE()),0)</f>
        <v>3162.1221469041102</v>
      </c>
      <c r="J662" s="31">
        <f>G662*I662</f>
        <v>3162.1221469041102</v>
      </c>
      <c r="K662" s="32" t="str">
        <f t="shared" si="271"/>
        <v>PTO-0104|EQ</v>
      </c>
      <c r="L662" s="32">
        <f>COUNTIFS($K$2:K662,K662)</f>
        <v>1</v>
      </c>
      <c r="M662" s="32" t="str">
        <f t="shared" si="275"/>
        <v>PTO-0104|EQ|1</v>
      </c>
      <c r="N662" s="121">
        <f>IFERROR(VLOOKUP(A662,PARTIDAS!A:F,6,FALSE()),0)</f>
        <v>1</v>
      </c>
      <c r="O662" s="123">
        <f t="shared" si="276"/>
        <v>0</v>
      </c>
      <c r="P662" s="123">
        <f>+_xlfn.XLOOKUP(A662,PPTO_GENERADOR!Q:Q,PPTO_GENERADOR!E:E,"-",0)</f>
        <v>10</v>
      </c>
      <c r="Q662" s="123">
        <f t="shared" si="277"/>
        <v>0</v>
      </c>
      <c r="R662" s="125">
        <f>+_xlfn.XLOOKUP(A662,PPTO_GENERADOR!$Q:$Q,PPTO_GENERADOR!A:A,"-",0)</f>
        <v>1.04</v>
      </c>
    </row>
    <row r="663" spans="1:18" ht="14.25" customHeight="1" x14ac:dyDescent="0.35">
      <c r="A663" s="105" t="s">
        <v>39</v>
      </c>
      <c r="B663" s="105" t="s">
        <v>1981</v>
      </c>
      <c r="C663" s="105" t="s">
        <v>1982</v>
      </c>
      <c r="D663" s="105" t="s">
        <v>614</v>
      </c>
      <c r="E663" s="95" t="str">
        <f>IFERROR(VLOOKUP(D663,MATERIALES!A:B,2,FALSE()),"?")</f>
        <v>Chapa acanalada C25 - Reutilizado (estimado 3 usos)</v>
      </c>
      <c r="F663" s="129" t="str">
        <f>IFERROR(VLOOKUP(D663,MATERIALES!A:C,3,FALSE()),"?")</f>
        <v>u</v>
      </c>
      <c r="G663" s="119">
        <v>30</v>
      </c>
      <c r="H663" s="120">
        <v>0</v>
      </c>
      <c r="I663" s="96">
        <f>IFERROR(VLOOKUP(D663,MATERIALES!A:D,4,FALSE()),0)</f>
        <v>5430.8842975206599</v>
      </c>
      <c r="J663" s="31">
        <f t="shared" ref="J663:J668" si="281">G663*I663*(1+H663)</f>
        <v>162926.52892561979</v>
      </c>
      <c r="K663" s="32" t="str">
        <f t="shared" si="271"/>
        <v>PTO-0105|MAT</v>
      </c>
      <c r="L663" s="32">
        <f>COUNTIFS($K$2:K663,K663)</f>
        <v>1</v>
      </c>
      <c r="M663" s="32" t="str">
        <f t="shared" si="275"/>
        <v>PTO-0105|MAT|1</v>
      </c>
      <c r="N663" s="121">
        <f>IFERROR(VLOOKUP(A663,PARTIDAS!A:F,6,FALSE()),0)</f>
        <v>1</v>
      </c>
      <c r="O663" s="123">
        <f t="shared" si="276"/>
        <v>0</v>
      </c>
      <c r="P663" s="123">
        <f>+_xlfn.XLOOKUP(A663,PPTO_GENERADOR!Q:Q,PPTO_GENERADOR!E:E,"-",0)</f>
        <v>1</v>
      </c>
      <c r="Q663" s="123">
        <f t="shared" si="277"/>
        <v>0</v>
      </c>
      <c r="R663" s="125">
        <f>+_xlfn.XLOOKUP(A663,PPTO_GENERADOR!$Q:$Q,PPTO_GENERADOR!A:A,"-",0)</f>
        <v>1.05</v>
      </c>
    </row>
    <row r="664" spans="1:18" ht="14.25" customHeight="1" x14ac:dyDescent="0.35">
      <c r="A664" s="105" t="s">
        <v>39</v>
      </c>
      <c r="B664" s="105" t="s">
        <v>1981</v>
      </c>
      <c r="C664" s="105" t="s">
        <v>1982</v>
      </c>
      <c r="D664" s="105" t="s">
        <v>616</v>
      </c>
      <c r="E664" s="95" t="str">
        <f>IFERROR(VLOOKUP(D664,MATERIALES!A:B,2,FALSE()),"?")</f>
        <v>Fenolico 1,22 x 2,44 - Reutilizado (estimado 3 usos)</v>
      </c>
      <c r="F664" s="129" t="str">
        <f>IFERROR(VLOOKUP(D664,MATERIALES!A:C,3,FALSE()),"?")</f>
        <v>u</v>
      </c>
      <c r="G664" s="119">
        <v>30</v>
      </c>
      <c r="H664" s="120">
        <v>0</v>
      </c>
      <c r="I664" s="96">
        <f>IFERROR(VLOOKUP(D664,MATERIALES!A:D,4,FALSE()),0)</f>
        <v>13196.9</v>
      </c>
      <c r="J664" s="31">
        <f t="shared" si="281"/>
        <v>395907</v>
      </c>
      <c r="K664" s="32" t="str">
        <f t="shared" si="271"/>
        <v>PTO-0105|MAT</v>
      </c>
      <c r="L664" s="32">
        <f>COUNTIFS($K$2:K664,K664)</f>
        <v>2</v>
      </c>
      <c r="M664" s="32" t="str">
        <f t="shared" si="275"/>
        <v>PTO-0105|MAT|2</v>
      </c>
      <c r="N664" s="121">
        <f>IFERROR(VLOOKUP(A664,PARTIDAS!A:F,6,FALSE()),0)</f>
        <v>1</v>
      </c>
      <c r="O664" s="123">
        <f t="shared" si="276"/>
        <v>0</v>
      </c>
      <c r="P664" s="123">
        <f>+_xlfn.XLOOKUP(A664,PPTO_GENERADOR!Q:Q,PPTO_GENERADOR!E:E,"-",0)</f>
        <v>1</v>
      </c>
      <c r="Q664" s="123">
        <f t="shared" si="277"/>
        <v>0</v>
      </c>
      <c r="R664" s="125">
        <f>+_xlfn.XLOOKUP(A664,PPTO_GENERADOR!$Q:$Q,PPTO_GENERADOR!A:A,"-",0)</f>
        <v>1.05</v>
      </c>
    </row>
    <row r="665" spans="1:18" ht="14.25" customHeight="1" x14ac:dyDescent="0.35">
      <c r="A665" s="105" t="s">
        <v>39</v>
      </c>
      <c r="B665" s="105" t="s">
        <v>1981</v>
      </c>
      <c r="C665" s="105" t="s">
        <v>1982</v>
      </c>
      <c r="D665" s="105" t="s">
        <v>618</v>
      </c>
      <c r="E665" s="95" t="str">
        <f>IFERROR(VLOOKUP(D665,MATERIALES!A:B,2,FALSE()),"?")</f>
        <v>Puntales 1 x 4 x 3,7 - Reutilizado (estimado 3 usos)</v>
      </c>
      <c r="F665" s="129" t="str">
        <f>IFERROR(VLOOKUP(D665,MATERIALES!A:C,3,FALSE()),"?")</f>
        <v>u</v>
      </c>
      <c r="G665" s="119">
        <v>74</v>
      </c>
      <c r="H665" s="120">
        <v>0</v>
      </c>
      <c r="I665" s="96">
        <f>IFERROR(VLOOKUP(D665,MATERIALES!A:D,4,FALSE()),0)</f>
        <v>1109.3689999999999</v>
      </c>
      <c r="J665" s="31">
        <f t="shared" si="281"/>
        <v>82093.305999999997</v>
      </c>
      <c r="K665" s="32" t="str">
        <f t="shared" si="271"/>
        <v>PTO-0105|MAT</v>
      </c>
      <c r="L665" s="32">
        <f>COUNTIFS($K$2:K665,K665)</f>
        <v>3</v>
      </c>
      <c r="M665" s="32" t="str">
        <f t="shared" si="275"/>
        <v>PTO-0105|MAT|3</v>
      </c>
      <c r="N665" s="121">
        <f>IFERROR(VLOOKUP(A665,PARTIDAS!A:F,6,FALSE()),0)</f>
        <v>1</v>
      </c>
      <c r="O665" s="123">
        <f t="shared" si="276"/>
        <v>0</v>
      </c>
      <c r="P665" s="123">
        <f>+_xlfn.XLOOKUP(A665,PPTO_GENERADOR!Q:Q,PPTO_GENERADOR!E:E,"-",0)</f>
        <v>1</v>
      </c>
      <c r="Q665" s="123">
        <f t="shared" si="277"/>
        <v>0</v>
      </c>
      <c r="R665" s="125">
        <f>+_xlfn.XLOOKUP(A665,PPTO_GENERADOR!$Q:$Q,PPTO_GENERADOR!A:A,"-",0)</f>
        <v>1.05</v>
      </c>
    </row>
    <row r="666" spans="1:18" ht="14.25" customHeight="1" x14ac:dyDescent="0.35">
      <c r="A666" s="105" t="s">
        <v>39</v>
      </c>
      <c r="B666" s="105" t="s">
        <v>1981</v>
      </c>
      <c r="C666" s="105" t="s">
        <v>1982</v>
      </c>
      <c r="D666" s="105" t="s">
        <v>620</v>
      </c>
      <c r="E666" s="95" t="str">
        <f>IFERROR(VLOOKUP(D666,MATERIALES!A:B,2,FALSE()),"?")</f>
        <v>Puntales 3 x 3 x 3,7 - Reutilizado (estimado 3 usos)</v>
      </c>
      <c r="F666" s="129" t="str">
        <f>IFERROR(VLOOKUP(D666,MATERIALES!A:C,3,FALSE()),"?")</f>
        <v>u</v>
      </c>
      <c r="G666" s="119">
        <v>37</v>
      </c>
      <c r="H666" s="120">
        <v>0</v>
      </c>
      <c r="I666" s="96">
        <f>IFERROR(VLOOKUP(D666,MATERIALES!A:D,4,FALSE()),0)</f>
        <v>2496.0823333333301</v>
      </c>
      <c r="J666" s="31">
        <f t="shared" si="281"/>
        <v>92355.046333333215</v>
      </c>
      <c r="K666" s="32" t="str">
        <f t="shared" si="271"/>
        <v>PTO-0105|MAT</v>
      </c>
      <c r="L666" s="32">
        <f>COUNTIFS($K$2:K666,K666)</f>
        <v>4</v>
      </c>
      <c r="M666" s="32" t="str">
        <f t="shared" si="275"/>
        <v>PTO-0105|MAT|4</v>
      </c>
      <c r="N666" s="121">
        <f>IFERROR(VLOOKUP(A666,PARTIDAS!A:F,6,FALSE()),0)</f>
        <v>1</v>
      </c>
      <c r="O666" s="123">
        <f t="shared" si="276"/>
        <v>0</v>
      </c>
      <c r="P666" s="123">
        <f>+_xlfn.XLOOKUP(A666,PPTO_GENERADOR!Q:Q,PPTO_GENERADOR!E:E,"-",0)</f>
        <v>1</v>
      </c>
      <c r="Q666" s="123">
        <f t="shared" si="277"/>
        <v>0</v>
      </c>
      <c r="R666" s="125">
        <f>+_xlfn.XLOOKUP(A666,PPTO_GENERADOR!$Q:$Q,PPTO_GENERADOR!A:A,"-",0)</f>
        <v>1.05</v>
      </c>
    </row>
    <row r="667" spans="1:18" ht="14.25" customHeight="1" x14ac:dyDescent="0.35">
      <c r="A667" s="105" t="s">
        <v>39</v>
      </c>
      <c r="B667" s="105" t="s">
        <v>1981</v>
      </c>
      <c r="C667" s="105" t="s">
        <v>1982</v>
      </c>
      <c r="D667" s="105" t="s">
        <v>622</v>
      </c>
      <c r="E667" s="95" t="str">
        <f>IFERROR(VLOOKUP(D667,MATERIALES!A:B,2,FALSE()),"?")</f>
        <v>Flechas 3 x 6 x 3,7 - Reutilizado (estimado 3 usos)</v>
      </c>
      <c r="F667" s="129" t="str">
        <f>IFERROR(VLOOKUP(D667,MATERIALES!A:C,3,FALSE()),"?")</f>
        <v>u</v>
      </c>
      <c r="G667" s="119">
        <v>20</v>
      </c>
      <c r="H667" s="120">
        <v>0</v>
      </c>
      <c r="I667" s="96">
        <f>IFERROR(VLOOKUP(D667,MATERIALES!A:D,4,FALSE()),0)</f>
        <v>4992.1646666666702</v>
      </c>
      <c r="J667" s="31">
        <f t="shared" si="281"/>
        <v>99843.293333333408</v>
      </c>
      <c r="K667" s="32" t="str">
        <f t="shared" si="271"/>
        <v>PTO-0105|MAT</v>
      </c>
      <c r="L667" s="32">
        <f>COUNTIFS($K$2:K667,K667)</f>
        <v>5</v>
      </c>
      <c r="M667" s="32" t="str">
        <f t="shared" si="275"/>
        <v>PTO-0105|MAT|5</v>
      </c>
      <c r="N667" s="121">
        <f>IFERROR(VLOOKUP(A667,PARTIDAS!A:F,6,FALSE()),0)</f>
        <v>1</v>
      </c>
      <c r="O667" s="123">
        <f t="shared" si="276"/>
        <v>0</v>
      </c>
      <c r="P667" s="123">
        <f>+_xlfn.XLOOKUP(A667,PPTO_GENERADOR!Q:Q,PPTO_GENERADOR!E:E,"-",0)</f>
        <v>1</v>
      </c>
      <c r="Q667" s="123">
        <f t="shared" si="277"/>
        <v>0</v>
      </c>
      <c r="R667" s="125">
        <f>+_xlfn.XLOOKUP(A667,PPTO_GENERADOR!$Q:$Q,PPTO_GENERADOR!A:A,"-",0)</f>
        <v>1.05</v>
      </c>
    </row>
    <row r="668" spans="1:18" ht="14.25" customHeight="1" x14ac:dyDescent="0.35">
      <c r="A668" s="105" t="s">
        <v>39</v>
      </c>
      <c r="B668" s="105" t="s">
        <v>1981</v>
      </c>
      <c r="C668" s="105" t="s">
        <v>1982</v>
      </c>
      <c r="D668" s="105" t="s">
        <v>624</v>
      </c>
      <c r="E668" s="95" t="str">
        <f>IFERROR(VLOOKUP(D668,MATERIALES!A:B,2,FALSE()),"?")</f>
        <v>Escalera</v>
      </c>
      <c r="F668" s="129" t="str">
        <f>IFERROR(VLOOKUP(D668,MATERIALES!A:C,3,FALSE()),"?")</f>
        <v>u</v>
      </c>
      <c r="G668" s="119">
        <v>0</v>
      </c>
      <c r="H668" s="120">
        <v>0</v>
      </c>
      <c r="I668" s="96">
        <f>IFERROR(VLOOKUP(D668,MATERIALES!A:D,4,FALSE()),0)</f>
        <v>274291.64566666703</v>
      </c>
      <c r="J668" s="31">
        <f t="shared" si="281"/>
        <v>0</v>
      </c>
      <c r="K668" s="32" t="str">
        <f t="shared" si="271"/>
        <v>PTO-0105|MAT</v>
      </c>
      <c r="L668" s="32">
        <f>COUNTIFS($K$2:K668,K668)</f>
        <v>6</v>
      </c>
      <c r="M668" s="32" t="str">
        <f t="shared" si="275"/>
        <v>PTO-0105|MAT|6</v>
      </c>
      <c r="N668" s="121">
        <f>IFERROR(VLOOKUP(A668,PARTIDAS!A:F,6,FALSE()),0)</f>
        <v>1</v>
      </c>
      <c r="O668" s="123">
        <f t="shared" si="276"/>
        <v>0</v>
      </c>
      <c r="P668" s="123">
        <f>+_xlfn.XLOOKUP(A668,PPTO_GENERADOR!Q:Q,PPTO_GENERADOR!E:E,"-",0)</f>
        <v>1</v>
      </c>
      <c r="Q668" s="123">
        <f t="shared" si="277"/>
        <v>0</v>
      </c>
      <c r="R668" s="125">
        <f>+_xlfn.XLOOKUP(A668,PPTO_GENERADOR!$Q:$Q,PPTO_GENERADOR!A:A,"-",0)</f>
        <v>1.05</v>
      </c>
    </row>
    <row r="669" spans="1:18" ht="14.25" customHeight="1" x14ac:dyDescent="0.35">
      <c r="A669" s="105" t="s">
        <v>39</v>
      </c>
      <c r="B669" s="105" t="s">
        <v>1979</v>
      </c>
      <c r="C669" s="105" t="s">
        <v>1982</v>
      </c>
      <c r="D669" s="105" t="s">
        <v>1522</v>
      </c>
      <c r="E669" s="95" t="str">
        <f>IFERROR(VLOOKUP(D669,SUBCONTRATOS_PRY!A:B,2,FALSE()),"?")</f>
        <v>Flete madera</v>
      </c>
      <c r="F669" s="129" t="s">
        <v>2042</v>
      </c>
      <c r="G669" s="119">
        <v>4</v>
      </c>
      <c r="H669" s="120">
        <v>0</v>
      </c>
      <c r="I669" s="96">
        <f>IFERROR(VLOOKUP(D669,SUBCONTRATOS_PRY!A:D,4,FALSE()),0)</f>
        <v>250000</v>
      </c>
      <c r="J669" s="31">
        <f>G669*I669</f>
        <v>1000000</v>
      </c>
      <c r="K669" s="32" t="str">
        <f t="shared" ref="K669:K670" si="282">A669&amp;"|"&amp;B669</f>
        <v>PTO-0105|MO</v>
      </c>
      <c r="L669" s="32">
        <f>COUNTIFS($K$2:K669,K669)</f>
        <v>1</v>
      </c>
      <c r="M669" s="32" t="str">
        <f t="shared" ref="M669:M670" si="283">K669&amp;"|"&amp;L669</f>
        <v>PTO-0105|MO|1</v>
      </c>
      <c r="N669" s="121">
        <f>IFERROR(VLOOKUP(A669,PARTIDAS!A:F,6,FALSE()),0)</f>
        <v>1</v>
      </c>
      <c r="O669" s="123">
        <f t="shared" si="276"/>
        <v>0</v>
      </c>
      <c r="P669" s="123">
        <f>+_xlfn.XLOOKUP(A669,PPTO_GENERADOR!Q:Q,PPTO_GENERADOR!E:E,"-",0)</f>
        <v>1</v>
      </c>
      <c r="Q669" s="123">
        <f t="shared" si="277"/>
        <v>0</v>
      </c>
      <c r="R669" s="125">
        <f>+_xlfn.XLOOKUP(A669,PPTO_GENERADOR!$Q:$Q,PPTO_GENERADOR!A:A,"-",0)</f>
        <v>1.05</v>
      </c>
    </row>
    <row r="670" spans="1:18" ht="14.25" customHeight="1" x14ac:dyDescent="0.35">
      <c r="A670" s="105" t="s">
        <v>39</v>
      </c>
      <c r="B670" s="105" t="s">
        <v>1981</v>
      </c>
      <c r="C670" s="105" t="s">
        <v>1984</v>
      </c>
      <c r="D670" s="105" t="s">
        <v>626</v>
      </c>
      <c r="E670" s="95" t="str">
        <f>IFERROR(VLOOKUP(D670,MATERIALES!A:B,2,FALSE()),"?")</f>
        <v>Materiales varios</v>
      </c>
      <c r="F670" s="129" t="str">
        <f>IFERROR(VLOOKUP(D670,MATERIALES!A:C,3,FALSE()),"?")</f>
        <v>u</v>
      </c>
      <c r="G670" s="119">
        <v>1</v>
      </c>
      <c r="H670" s="120">
        <v>0</v>
      </c>
      <c r="I670" s="96">
        <f>IFERROR(VLOOKUP(D670,MATERIALES!A:D,4,FALSE()),0)</f>
        <v>300000</v>
      </c>
      <c r="J670" s="31">
        <f>G670*I670*(1+H670)</f>
        <v>300000</v>
      </c>
      <c r="K670" s="32" t="str">
        <f t="shared" si="282"/>
        <v>PTO-0105|MAT</v>
      </c>
      <c r="L670" s="32">
        <f>COUNTIFS($K$2:K670,K670)</f>
        <v>7</v>
      </c>
      <c r="M670" s="32" t="str">
        <f t="shared" si="283"/>
        <v>PTO-0105|MAT|7</v>
      </c>
      <c r="N670" s="121">
        <f>IFERROR(VLOOKUP(A670,PARTIDAS!A:F,6,FALSE()),0)</f>
        <v>1</v>
      </c>
      <c r="O670" s="123">
        <f t="shared" si="276"/>
        <v>0</v>
      </c>
      <c r="P670" s="123">
        <f>+_xlfn.XLOOKUP(A670,PPTO_GENERADOR!Q:Q,PPTO_GENERADOR!E:E,"-",0)</f>
        <v>1</v>
      </c>
      <c r="Q670" s="123">
        <f t="shared" si="277"/>
        <v>0</v>
      </c>
      <c r="R670" s="125">
        <f>+_xlfn.XLOOKUP(A670,PPTO_GENERADOR!$Q:$Q,PPTO_GENERADOR!A:A,"-",0)</f>
        <v>1.05</v>
      </c>
    </row>
    <row r="671" spans="1:18" ht="14.25" customHeight="1" x14ac:dyDescent="0.35">
      <c r="A671" s="105" t="s">
        <v>39</v>
      </c>
      <c r="B671" s="105" t="s">
        <v>1979</v>
      </c>
      <c r="C671" s="105" t="s">
        <v>1980</v>
      </c>
      <c r="D671" s="105" t="s">
        <v>1290</v>
      </c>
      <c r="E671" s="95" t="str">
        <f>IFERROR(VLOOKUP(D671,MANO_DE_OBRA!A:B,2,FALSE()),"?")</f>
        <v>OFICIAL</v>
      </c>
      <c r="F671" s="129" t="s">
        <v>2042</v>
      </c>
      <c r="G671" s="119">
        <v>24.5</v>
      </c>
      <c r="H671" s="120">
        <v>0</v>
      </c>
      <c r="I671" s="96">
        <f>IFERROR(VLOOKUP(D671,MANO_DE_OBRA!A:C,3,FALSE()),0)</f>
        <v>84612.512709566407</v>
      </c>
      <c r="J671" s="31">
        <f t="shared" ref="J671:J673" si="284">G671*I671</f>
        <v>2073006.5613843771</v>
      </c>
      <c r="K671" s="32" t="str">
        <f t="shared" si="271"/>
        <v>PTO-0105|MO</v>
      </c>
      <c r="L671" s="32">
        <f>COUNTIFS($K$2:K671,K671)</f>
        <v>2</v>
      </c>
      <c r="M671" s="32" t="str">
        <f t="shared" si="275"/>
        <v>PTO-0105|MO|2</v>
      </c>
      <c r="N671" s="121">
        <f>IFERROR(VLOOKUP(A671,PARTIDAS!A:F,6,FALSE()),0)</f>
        <v>1</v>
      </c>
      <c r="O671" s="123">
        <f t="shared" si="276"/>
        <v>24.5</v>
      </c>
      <c r="P671" s="123">
        <f>+_xlfn.XLOOKUP(A671,PPTO_GENERADOR!Q:Q,PPTO_GENERADOR!E:E,"-",0)</f>
        <v>1</v>
      </c>
      <c r="Q671" s="123">
        <f t="shared" si="277"/>
        <v>24.5</v>
      </c>
      <c r="R671" s="125">
        <f>+_xlfn.XLOOKUP(A671,PPTO_GENERADOR!$Q:$Q,PPTO_GENERADOR!A:A,"-",0)</f>
        <v>1.05</v>
      </c>
    </row>
    <row r="672" spans="1:18" ht="14.25" customHeight="1" x14ac:dyDescent="0.35">
      <c r="A672" s="105" t="s">
        <v>39</v>
      </c>
      <c r="B672" s="105" t="s">
        <v>1979</v>
      </c>
      <c r="C672" s="105" t="s">
        <v>1980</v>
      </c>
      <c r="D672" s="105" t="s">
        <v>1288</v>
      </c>
      <c r="E672" s="95" t="str">
        <f>IFERROR(VLOOKUP(D672,MANO_DE_OBRA!A:B,2,FALSE()),"?")</f>
        <v>MEDIO OFICIAL</v>
      </c>
      <c r="F672" s="129" t="s">
        <v>2042</v>
      </c>
      <c r="G672" s="119">
        <v>8</v>
      </c>
      <c r="H672" s="120">
        <v>0</v>
      </c>
      <c r="I672" s="96">
        <f>IFERROR(VLOOKUP(D672,MANO_DE_OBRA!A:C,3,FALSE()),0)</f>
        <v>72132.138365590101</v>
      </c>
      <c r="J672" s="31">
        <f t="shared" si="284"/>
        <v>577057.10692472081</v>
      </c>
      <c r="K672" s="32" t="str">
        <f t="shared" si="271"/>
        <v>PTO-0105|MO</v>
      </c>
      <c r="L672" s="32">
        <f>COUNTIFS($K$2:K672,K672)</f>
        <v>3</v>
      </c>
      <c r="M672" s="32" t="str">
        <f t="shared" si="275"/>
        <v>PTO-0105|MO|3</v>
      </c>
      <c r="N672" s="121">
        <f>IFERROR(VLOOKUP(A672,PARTIDAS!A:F,6,FALSE()),0)</f>
        <v>1</v>
      </c>
      <c r="O672" s="123">
        <f t="shared" si="276"/>
        <v>8</v>
      </c>
      <c r="P672" s="123">
        <f>+_xlfn.XLOOKUP(A672,PPTO_GENERADOR!Q:Q,PPTO_GENERADOR!E:E,"-",0)</f>
        <v>1</v>
      </c>
      <c r="Q672" s="123">
        <f t="shared" si="277"/>
        <v>8</v>
      </c>
      <c r="R672" s="125">
        <f>+_xlfn.XLOOKUP(A672,PPTO_GENERADOR!$Q:$Q,PPTO_GENERADOR!A:A,"-",0)</f>
        <v>1.05</v>
      </c>
    </row>
    <row r="673" spans="1:18" ht="14.25" customHeight="1" x14ac:dyDescent="0.35">
      <c r="A673" s="105" t="s">
        <v>39</v>
      </c>
      <c r="B673" s="105" t="s">
        <v>1979</v>
      </c>
      <c r="C673" s="105" t="s">
        <v>1980</v>
      </c>
      <c r="D673" s="105" t="s">
        <v>2038</v>
      </c>
      <c r="E673" s="95" t="str">
        <f>IFERROR(VLOOKUP(D673,MANO_DE_OBRA!A:B,2,FALSE()),"?")</f>
        <v>AYUDANTE</v>
      </c>
      <c r="F673" s="129" t="s">
        <v>2042</v>
      </c>
      <c r="G673" s="119">
        <v>25.5</v>
      </c>
      <c r="H673" s="120">
        <v>0</v>
      </c>
      <c r="I673" s="96">
        <f>IFERROR(VLOOKUP(D673,MANO_DE_OBRA!A:C,3,FALSE()),0)</f>
        <v>67240.498860267602</v>
      </c>
      <c r="J673" s="31">
        <f t="shared" si="284"/>
        <v>1714632.7209368239</v>
      </c>
      <c r="K673" s="32" t="str">
        <f t="shared" si="271"/>
        <v>PTO-0105|MO</v>
      </c>
      <c r="L673" s="32">
        <f>COUNTIFS($K$2:K673,K673)</f>
        <v>4</v>
      </c>
      <c r="M673" s="32" t="str">
        <f t="shared" si="275"/>
        <v>PTO-0105|MO|4</v>
      </c>
      <c r="N673" s="121">
        <f>IFERROR(VLOOKUP(A673,PARTIDAS!A:F,6,FALSE()),0)</f>
        <v>1</v>
      </c>
      <c r="O673" s="123">
        <f t="shared" si="276"/>
        <v>25.5</v>
      </c>
      <c r="P673" s="123">
        <f>+_xlfn.XLOOKUP(A673,PPTO_GENERADOR!Q:Q,PPTO_GENERADOR!E:E,"-",0)</f>
        <v>1</v>
      </c>
      <c r="Q673" s="123">
        <f t="shared" si="277"/>
        <v>25.5</v>
      </c>
      <c r="R673" s="125">
        <f>+_xlfn.XLOOKUP(A673,PPTO_GENERADOR!$Q:$Q,PPTO_GENERADOR!A:A,"-",0)</f>
        <v>1.05</v>
      </c>
    </row>
    <row r="674" spans="1:18" ht="14.25" customHeight="1" x14ac:dyDescent="0.35">
      <c r="A674" s="105" t="s">
        <v>39</v>
      </c>
      <c r="B674" s="105" t="s">
        <v>1981</v>
      </c>
      <c r="C674" s="105" t="s">
        <v>1982</v>
      </c>
      <c r="D674" s="105" t="s">
        <v>628</v>
      </c>
      <c r="E674" s="95" t="str">
        <f>IFERROR(VLOOKUP(D674,MATERIALES!A:B,2,FALSE()),"?")</f>
        <v>Rollo de cable TPR 3 x 2,5</v>
      </c>
      <c r="F674" s="129" t="str">
        <f>IFERROR(VLOOKUP(D674,MATERIALES!A:C,3,FALSE()),"?")</f>
        <v>u</v>
      </c>
      <c r="G674" s="119">
        <v>1</v>
      </c>
      <c r="H674" s="120">
        <v>0</v>
      </c>
      <c r="I674" s="96">
        <f>IFERROR(VLOOKUP(D674,MATERIALES!A:D,4,FALSE()),0)</f>
        <v>250000</v>
      </c>
      <c r="J674" s="31">
        <f t="shared" ref="J674:J677" si="285">G674*I674*(1+H674)</f>
        <v>250000</v>
      </c>
      <c r="K674" s="32" t="str">
        <f t="shared" si="271"/>
        <v>PTO-0105|MAT</v>
      </c>
      <c r="L674" s="32">
        <f>COUNTIFS($K$2:K674,K674)</f>
        <v>8</v>
      </c>
      <c r="M674" s="32" t="str">
        <f t="shared" si="275"/>
        <v>PTO-0105|MAT|8</v>
      </c>
      <c r="N674" s="121">
        <f>IFERROR(VLOOKUP(A674,PARTIDAS!A:F,6,FALSE()),0)</f>
        <v>1</v>
      </c>
      <c r="O674" s="123">
        <f t="shared" si="276"/>
        <v>0</v>
      </c>
      <c r="P674" s="123">
        <f>+_xlfn.XLOOKUP(A674,PPTO_GENERADOR!Q:Q,PPTO_GENERADOR!E:E,"-",0)</f>
        <v>1</v>
      </c>
      <c r="Q674" s="123">
        <f t="shared" si="277"/>
        <v>0</v>
      </c>
      <c r="R674" s="125">
        <f>+_xlfn.XLOOKUP(A674,PPTO_GENERADOR!$Q:$Q,PPTO_GENERADOR!A:A,"-",0)</f>
        <v>1.05</v>
      </c>
    </row>
    <row r="675" spans="1:18" ht="14.25" customHeight="1" x14ac:dyDescent="0.35">
      <c r="A675" s="105" t="s">
        <v>39</v>
      </c>
      <c r="B675" s="105" t="s">
        <v>1981</v>
      </c>
      <c r="C675" s="105" t="s">
        <v>1982</v>
      </c>
      <c r="D675" s="105" t="s">
        <v>630</v>
      </c>
      <c r="E675" s="95" t="str">
        <f>IFERROR(VLOOKUP(D675,MATERIALES!A:B,2,FALSE()),"?")</f>
        <v>Zocalo E27</v>
      </c>
      <c r="F675" s="129" t="str">
        <f>IFERROR(VLOOKUP(D675,MATERIALES!A:C,3,FALSE()),"?")</f>
        <v>u</v>
      </c>
      <c r="G675" s="119">
        <v>10</v>
      </c>
      <c r="H675" s="120">
        <v>0</v>
      </c>
      <c r="I675" s="96">
        <f>IFERROR(VLOOKUP(D675,MATERIALES!A:D,4,FALSE()),0)</f>
        <v>500</v>
      </c>
      <c r="J675" s="31">
        <f t="shared" si="285"/>
        <v>5000</v>
      </c>
      <c r="K675" s="32" t="str">
        <f t="shared" si="271"/>
        <v>PTO-0105|MAT</v>
      </c>
      <c r="L675" s="32">
        <f>COUNTIFS($K$2:K675,K675)</f>
        <v>9</v>
      </c>
      <c r="M675" s="32" t="str">
        <f t="shared" si="275"/>
        <v>PTO-0105|MAT|9</v>
      </c>
      <c r="N675" s="121">
        <f>IFERROR(VLOOKUP(A675,PARTIDAS!A:F,6,FALSE()),0)</f>
        <v>1</v>
      </c>
      <c r="O675" s="123">
        <f t="shared" si="276"/>
        <v>0</v>
      </c>
      <c r="P675" s="123">
        <f>+_xlfn.XLOOKUP(A675,PPTO_GENERADOR!Q:Q,PPTO_GENERADOR!E:E,"-",0)</f>
        <v>1</v>
      </c>
      <c r="Q675" s="123">
        <f t="shared" si="277"/>
        <v>0</v>
      </c>
      <c r="R675" s="125">
        <f>+_xlfn.XLOOKUP(A675,PPTO_GENERADOR!$Q:$Q,PPTO_GENERADOR!A:A,"-",0)</f>
        <v>1.05</v>
      </c>
    </row>
    <row r="676" spans="1:18" ht="14.25" customHeight="1" x14ac:dyDescent="0.35">
      <c r="A676" s="105" t="s">
        <v>39</v>
      </c>
      <c r="B676" s="105" t="s">
        <v>1981</v>
      </c>
      <c r="C676" s="105" t="s">
        <v>1982</v>
      </c>
      <c r="D676" s="105" t="s">
        <v>632</v>
      </c>
      <c r="E676" s="95" t="str">
        <f>IFERROR(VLOOKUP(D676,MATERIALES!A:B,2,FALSE()),"?")</f>
        <v>Lampara Led 12 w</v>
      </c>
      <c r="F676" s="129" t="str">
        <f>IFERROR(VLOOKUP(D676,MATERIALES!A:C,3,FALSE()),"?")</f>
        <v>u</v>
      </c>
      <c r="G676" s="119">
        <v>10</v>
      </c>
      <c r="H676" s="120">
        <v>0</v>
      </c>
      <c r="I676" s="96">
        <f>IFERROR(VLOOKUP(D676,MATERIALES!A:D,4,FALSE()),0)</f>
        <v>3000</v>
      </c>
      <c r="J676" s="31">
        <f t="shared" si="285"/>
        <v>30000</v>
      </c>
      <c r="K676" s="32" t="str">
        <f t="shared" si="271"/>
        <v>PTO-0105|MAT</v>
      </c>
      <c r="L676" s="32">
        <f>COUNTIFS($K$2:K676,K676)</f>
        <v>10</v>
      </c>
      <c r="M676" s="32" t="str">
        <f t="shared" si="275"/>
        <v>PTO-0105|MAT|10</v>
      </c>
      <c r="N676" s="121">
        <f>IFERROR(VLOOKUP(A676,PARTIDAS!A:F,6,FALSE()),0)</f>
        <v>1</v>
      </c>
      <c r="O676" s="123">
        <f t="shared" si="276"/>
        <v>0</v>
      </c>
      <c r="P676" s="123">
        <f>+_xlfn.XLOOKUP(A676,PPTO_GENERADOR!Q:Q,PPTO_GENERADOR!E:E,"-",0)</f>
        <v>1</v>
      </c>
      <c r="Q676" s="123">
        <f t="shared" si="277"/>
        <v>0</v>
      </c>
      <c r="R676" s="125">
        <f>+_xlfn.XLOOKUP(A676,PPTO_GENERADOR!$Q:$Q,PPTO_GENERADOR!A:A,"-",0)</f>
        <v>1.05</v>
      </c>
    </row>
    <row r="677" spans="1:18" ht="14.25" customHeight="1" x14ac:dyDescent="0.35">
      <c r="A677" s="105" t="s">
        <v>39</v>
      </c>
      <c r="B677" s="105" t="s">
        <v>1981</v>
      </c>
      <c r="C677" s="105" t="s">
        <v>1982</v>
      </c>
      <c r="D677" s="105" t="s">
        <v>634</v>
      </c>
      <c r="E677" s="95" t="str">
        <f>IFERROR(VLOOKUP(D677,MATERIALES!A:B,2,FALSE()),"?")</f>
        <v>Mat. Elect. (tomas, enchufes, etc.)</v>
      </c>
      <c r="F677" s="129" t="str">
        <f>IFERROR(VLOOKUP(D677,MATERIALES!A:C,3,FALSE()),"?")</f>
        <v>u</v>
      </c>
      <c r="G677" s="119">
        <v>0.5</v>
      </c>
      <c r="H677" s="120">
        <v>0</v>
      </c>
      <c r="I677" s="96">
        <f>IFERROR(VLOOKUP(D677,MATERIALES!A:D,4,FALSE()),0)</f>
        <v>285000</v>
      </c>
      <c r="J677" s="31">
        <f t="shared" si="285"/>
        <v>142500</v>
      </c>
      <c r="K677" s="32" t="str">
        <f t="shared" si="271"/>
        <v>PTO-0105|MAT</v>
      </c>
      <c r="L677" s="32">
        <f>COUNTIFS($K$2:K677,K677)</f>
        <v>11</v>
      </c>
      <c r="M677" s="32" t="str">
        <f t="shared" si="275"/>
        <v>PTO-0105|MAT|11</v>
      </c>
      <c r="N677" s="121">
        <f>IFERROR(VLOOKUP(A677,PARTIDAS!A:F,6,FALSE()),0)</f>
        <v>1</v>
      </c>
      <c r="O677" s="123">
        <f t="shared" si="276"/>
        <v>0</v>
      </c>
      <c r="P677" s="123">
        <f>+_xlfn.XLOOKUP(A677,PPTO_GENERADOR!Q:Q,PPTO_GENERADOR!E:E,"-",0)</f>
        <v>1</v>
      </c>
      <c r="Q677" s="123">
        <f t="shared" si="277"/>
        <v>0</v>
      </c>
      <c r="R677" s="125">
        <f>+_xlfn.XLOOKUP(A677,PPTO_GENERADOR!$Q:$Q,PPTO_GENERADOR!A:A,"-",0)</f>
        <v>1.05</v>
      </c>
    </row>
    <row r="678" spans="1:18" ht="14.25" customHeight="1" x14ac:dyDescent="0.35">
      <c r="A678" s="105" t="s">
        <v>39</v>
      </c>
      <c r="B678" s="105" t="s">
        <v>1979</v>
      </c>
      <c r="C678" s="105" t="s">
        <v>1980</v>
      </c>
      <c r="D678" s="105" t="s">
        <v>1292</v>
      </c>
      <c r="E678" s="95" t="str">
        <f>IFERROR(VLOOKUP(D678,MANO_DE_OBRA!A:B,2,FALSE()),"?")</f>
        <v>ESPECIALIZADO</v>
      </c>
      <c r="F678" s="129" t="s">
        <v>2042</v>
      </c>
      <c r="G678" s="119">
        <v>7</v>
      </c>
      <c r="H678" s="120">
        <v>0</v>
      </c>
      <c r="I678" s="96">
        <f>IFERROR(VLOOKUP(D678,MANO_DE_OBRA!A:C,3,FALSE()),0)</f>
        <v>94177.137883538904</v>
      </c>
      <c r="J678" s="31">
        <f t="shared" ref="J678" si="286">G678*I678</f>
        <v>659239.96518477239</v>
      </c>
      <c r="K678" s="32" t="str">
        <f t="shared" si="271"/>
        <v>PTO-0105|MO</v>
      </c>
      <c r="L678" s="32">
        <f>COUNTIFS($K$2:K678,K678)</f>
        <v>5</v>
      </c>
      <c r="M678" s="32" t="str">
        <f t="shared" si="275"/>
        <v>PTO-0105|MO|5</v>
      </c>
      <c r="N678" s="121">
        <f>IFERROR(VLOOKUP(A678,PARTIDAS!A:F,6,FALSE()),0)</f>
        <v>1</v>
      </c>
      <c r="O678" s="123">
        <f t="shared" si="276"/>
        <v>7</v>
      </c>
      <c r="P678" s="123">
        <f>+_xlfn.XLOOKUP(A678,PPTO_GENERADOR!Q:Q,PPTO_GENERADOR!E:E,"-",0)</f>
        <v>1</v>
      </c>
      <c r="Q678" s="123">
        <f t="shared" si="277"/>
        <v>7</v>
      </c>
      <c r="R678" s="125">
        <f>+_xlfn.XLOOKUP(A678,PPTO_GENERADOR!$Q:$Q,PPTO_GENERADOR!A:A,"-",0)</f>
        <v>1.05</v>
      </c>
    </row>
    <row r="679" spans="1:18" ht="14.25" customHeight="1" x14ac:dyDescent="0.35">
      <c r="A679" s="105" t="s">
        <v>39</v>
      </c>
      <c r="B679" s="105" t="s">
        <v>1981</v>
      </c>
      <c r="C679" s="105" t="s">
        <v>1982</v>
      </c>
      <c r="D679" s="105" t="s">
        <v>636</v>
      </c>
      <c r="E679" s="95" t="str">
        <f>IFERROR(VLOOKUP(D679,MATERIALES!A:B,2,FALSE()),"?")</f>
        <v>Materiales Sanit</v>
      </c>
      <c r="F679" s="129" t="str">
        <f>IFERROR(VLOOKUP(D679,MATERIALES!A:C,3,FALSE()),"?")</f>
        <v>u</v>
      </c>
      <c r="G679" s="119">
        <v>1</v>
      </c>
      <c r="H679" s="120">
        <v>0</v>
      </c>
      <c r="I679" s="96">
        <f>IFERROR(VLOOKUP(D679,MATERIALES!A:D,4,FALSE()),0)</f>
        <v>300000</v>
      </c>
      <c r="J679" s="31">
        <f t="shared" ref="J679:J683" si="287">G679*I679*(1+H679)</f>
        <v>300000</v>
      </c>
      <c r="K679" s="32" t="str">
        <f t="shared" si="271"/>
        <v>PTO-0105|MAT</v>
      </c>
      <c r="L679" s="32">
        <f>COUNTIFS($K$2:K679,K679)</f>
        <v>12</v>
      </c>
      <c r="M679" s="32" t="str">
        <f t="shared" si="275"/>
        <v>PTO-0105|MAT|12</v>
      </c>
      <c r="N679" s="121">
        <f>IFERROR(VLOOKUP(A679,PARTIDAS!A:F,6,FALSE()),0)</f>
        <v>1</v>
      </c>
      <c r="O679" s="123">
        <f t="shared" si="276"/>
        <v>0</v>
      </c>
      <c r="P679" s="123">
        <f>+_xlfn.XLOOKUP(A679,PPTO_GENERADOR!Q:Q,PPTO_GENERADOR!E:E,"-",0)</f>
        <v>1</v>
      </c>
      <c r="Q679" s="123">
        <f t="shared" si="277"/>
        <v>0</v>
      </c>
      <c r="R679" s="125">
        <f>+_xlfn.XLOOKUP(A679,PPTO_GENERADOR!$Q:$Q,PPTO_GENERADOR!A:A,"-",0)</f>
        <v>1.05</v>
      </c>
    </row>
    <row r="680" spans="1:18" ht="14.25" customHeight="1" x14ac:dyDescent="0.35">
      <c r="A680" s="105" t="s">
        <v>39</v>
      </c>
      <c r="B680" s="105" t="s">
        <v>1981</v>
      </c>
      <c r="C680" s="105" t="s">
        <v>1982</v>
      </c>
      <c r="D680" s="105" t="s">
        <v>639</v>
      </c>
      <c r="E680" s="95" t="str">
        <f>IFERROR(VLOOKUP(D680,MATERIALES!A:B,2,FALSE()),"?")</f>
        <v>Inodoro</v>
      </c>
      <c r="F680" s="129" t="str">
        <f>IFERROR(VLOOKUP(D680,MATERIALES!A:C,3,FALSE()),"?")</f>
        <v>u</v>
      </c>
      <c r="G680" s="119">
        <v>2</v>
      </c>
      <c r="H680" s="120">
        <v>0</v>
      </c>
      <c r="I680" s="96">
        <f>IFERROR(VLOOKUP(D680,MATERIALES!A:D,4,FALSE()),0)</f>
        <v>150000</v>
      </c>
      <c r="J680" s="31">
        <f t="shared" si="287"/>
        <v>300000</v>
      </c>
      <c r="K680" s="32" t="str">
        <f t="shared" si="271"/>
        <v>PTO-0105|MAT</v>
      </c>
      <c r="L680" s="32">
        <f>COUNTIFS($K$2:K680,K680)</f>
        <v>13</v>
      </c>
      <c r="M680" s="32" t="str">
        <f t="shared" si="275"/>
        <v>PTO-0105|MAT|13</v>
      </c>
      <c r="N680" s="121">
        <f>IFERROR(VLOOKUP(A680,PARTIDAS!A:F,6,FALSE()),0)</f>
        <v>1</v>
      </c>
      <c r="O680" s="123">
        <f t="shared" si="276"/>
        <v>0</v>
      </c>
      <c r="P680" s="123">
        <f>+_xlfn.XLOOKUP(A680,PPTO_GENERADOR!Q:Q,PPTO_GENERADOR!E:E,"-",0)</f>
        <v>1</v>
      </c>
      <c r="Q680" s="123">
        <f t="shared" si="277"/>
        <v>0</v>
      </c>
      <c r="R680" s="125">
        <f>+_xlfn.XLOOKUP(A680,PPTO_GENERADOR!$Q:$Q,PPTO_GENERADOR!A:A,"-",0)</f>
        <v>1.05</v>
      </c>
    </row>
    <row r="681" spans="1:18" ht="14.25" customHeight="1" x14ac:dyDescent="0.35">
      <c r="A681" s="105" t="s">
        <v>39</v>
      </c>
      <c r="B681" s="105" t="s">
        <v>1981</v>
      </c>
      <c r="C681" s="105" t="s">
        <v>1982</v>
      </c>
      <c r="D681" s="105" t="s">
        <v>641</v>
      </c>
      <c r="E681" s="95" t="str">
        <f>IFERROR(VLOOKUP(D681,MATERIALES!A:B,2,FALSE()),"?")</f>
        <v>Mochila plastico</v>
      </c>
      <c r="F681" s="129" t="str">
        <f>IFERROR(VLOOKUP(D681,MATERIALES!A:C,3,FALSE()),"?")</f>
        <v>u</v>
      </c>
      <c r="G681" s="119">
        <v>2</v>
      </c>
      <c r="H681" s="120">
        <v>0</v>
      </c>
      <c r="I681" s="96">
        <f>IFERROR(VLOOKUP(D681,MATERIALES!A:D,4,FALSE()),0)</f>
        <v>25000</v>
      </c>
      <c r="J681" s="31">
        <f t="shared" si="287"/>
        <v>50000</v>
      </c>
      <c r="K681" s="32" t="str">
        <f t="shared" si="271"/>
        <v>PTO-0105|MAT</v>
      </c>
      <c r="L681" s="32">
        <f>COUNTIFS($K$2:K681,K681)</f>
        <v>14</v>
      </c>
      <c r="M681" s="32" t="str">
        <f t="shared" si="275"/>
        <v>PTO-0105|MAT|14</v>
      </c>
      <c r="N681" s="121">
        <f>IFERROR(VLOOKUP(A681,PARTIDAS!A:F,6,FALSE()),0)</f>
        <v>1</v>
      </c>
      <c r="O681" s="123">
        <f t="shared" si="276"/>
        <v>0</v>
      </c>
      <c r="P681" s="123">
        <f>+_xlfn.XLOOKUP(A681,PPTO_GENERADOR!Q:Q,PPTO_GENERADOR!E:E,"-",0)</f>
        <v>1</v>
      </c>
      <c r="Q681" s="123">
        <f t="shared" si="277"/>
        <v>0</v>
      </c>
      <c r="R681" s="125">
        <f>+_xlfn.XLOOKUP(A681,PPTO_GENERADOR!$Q:$Q,PPTO_GENERADOR!A:A,"-",0)</f>
        <v>1.05</v>
      </c>
    </row>
    <row r="682" spans="1:18" ht="14.25" customHeight="1" x14ac:dyDescent="0.35">
      <c r="A682" s="105" t="s">
        <v>39</v>
      </c>
      <c r="B682" s="105" t="s">
        <v>1981</v>
      </c>
      <c r="C682" s="105" t="s">
        <v>1982</v>
      </c>
      <c r="D682" s="105" t="s">
        <v>643</v>
      </c>
      <c r="E682" s="95" t="str">
        <f>IFERROR(VLOOKUP(D682,MATERIALES!A:B,2,FALSE()),"?")</f>
        <v>Bacha</v>
      </c>
      <c r="F682" s="129" t="str">
        <f>IFERROR(VLOOKUP(D682,MATERIALES!A:C,3,FALSE()),"?")</f>
        <v>u</v>
      </c>
      <c r="G682" s="119">
        <v>2</v>
      </c>
      <c r="H682" s="120">
        <v>0</v>
      </c>
      <c r="I682" s="96">
        <f>IFERROR(VLOOKUP(D682,MATERIALES!A:D,4,FALSE()),0)</f>
        <v>30000</v>
      </c>
      <c r="J682" s="31">
        <f t="shared" si="287"/>
        <v>60000</v>
      </c>
      <c r="K682" s="32" t="str">
        <f t="shared" si="271"/>
        <v>PTO-0105|MAT</v>
      </c>
      <c r="L682" s="32">
        <f>COUNTIFS($K$2:K682,K682)</f>
        <v>15</v>
      </c>
      <c r="M682" s="32" t="str">
        <f t="shared" si="275"/>
        <v>PTO-0105|MAT|15</v>
      </c>
      <c r="N682" s="121">
        <f>IFERROR(VLOOKUP(A682,PARTIDAS!A:F,6,FALSE()),0)</f>
        <v>1</v>
      </c>
      <c r="O682" s="123">
        <f t="shared" si="276"/>
        <v>0</v>
      </c>
      <c r="P682" s="123">
        <f>+_xlfn.XLOOKUP(A682,PPTO_GENERADOR!Q:Q,PPTO_GENERADOR!E:E,"-",0)</f>
        <v>1</v>
      </c>
      <c r="Q682" s="123">
        <f t="shared" si="277"/>
        <v>0</v>
      </c>
      <c r="R682" s="125">
        <f>+_xlfn.XLOOKUP(A682,PPTO_GENERADOR!$Q:$Q,PPTO_GENERADOR!A:A,"-",0)</f>
        <v>1.05</v>
      </c>
    </row>
    <row r="683" spans="1:18" ht="14.25" customHeight="1" x14ac:dyDescent="0.35">
      <c r="A683" s="105" t="s">
        <v>39</v>
      </c>
      <c r="B683" s="105" t="s">
        <v>1981</v>
      </c>
      <c r="C683" s="105" t="s">
        <v>1982</v>
      </c>
      <c r="D683" s="105" t="s">
        <v>645</v>
      </c>
      <c r="E683" s="95" t="str">
        <f>IFERROR(VLOOKUP(D683,MATERIALES!A:B,2,FALSE()),"?")</f>
        <v>Termo electrico 40 lts</v>
      </c>
      <c r="F683" s="129" t="str">
        <f>IFERROR(VLOOKUP(D683,MATERIALES!A:C,3,FALSE()),"?")</f>
        <v>u</v>
      </c>
      <c r="G683" s="119">
        <v>1</v>
      </c>
      <c r="H683" s="120">
        <v>0</v>
      </c>
      <c r="I683" s="96">
        <f>IFERROR(VLOOKUP(D683,MATERIALES!A:D,4,FALSE()),0)</f>
        <v>300000</v>
      </c>
      <c r="J683" s="31">
        <f t="shared" si="287"/>
        <v>300000</v>
      </c>
      <c r="K683" s="32" t="str">
        <f t="shared" si="271"/>
        <v>PTO-0105|MAT</v>
      </c>
      <c r="L683" s="32">
        <f>COUNTIFS($K$2:K683,K683)</f>
        <v>16</v>
      </c>
      <c r="M683" s="32" t="str">
        <f t="shared" si="275"/>
        <v>PTO-0105|MAT|16</v>
      </c>
      <c r="N683" s="121">
        <f>IFERROR(VLOOKUP(A683,PARTIDAS!A:F,6,FALSE()),0)</f>
        <v>1</v>
      </c>
      <c r="O683" s="123">
        <f t="shared" si="276"/>
        <v>0</v>
      </c>
      <c r="P683" s="123">
        <f>+_xlfn.XLOOKUP(A683,PPTO_GENERADOR!Q:Q,PPTO_GENERADOR!E:E,"-",0)</f>
        <v>1</v>
      </c>
      <c r="Q683" s="123">
        <f t="shared" si="277"/>
        <v>0</v>
      </c>
      <c r="R683" s="125">
        <f>+_xlfn.XLOOKUP(A683,PPTO_GENERADOR!$Q:$Q,PPTO_GENERADOR!A:A,"-",0)</f>
        <v>1.05</v>
      </c>
    </row>
    <row r="684" spans="1:18" ht="14.25" customHeight="1" x14ac:dyDescent="0.35">
      <c r="A684" s="105" t="s">
        <v>39</v>
      </c>
      <c r="B684" s="105" t="s">
        <v>1983</v>
      </c>
      <c r="C684" s="105"/>
      <c r="D684" s="105" t="s">
        <v>1335</v>
      </c>
      <c r="E684" s="95" t="str">
        <f>IFERROR(VLOOKUP(D684,EQUIPOS!A:B,2,FALSE()),"?")</f>
        <v>Herramientas — Obrador, pañol y ducha</v>
      </c>
      <c r="F684" s="129"/>
      <c r="G684" s="119">
        <v>1</v>
      </c>
      <c r="H684" s="120">
        <v>0</v>
      </c>
      <c r="I684" s="96">
        <f>IFERROR(VLOOKUP(D684,EQUIPOS!A:F,6,FALSE()),0)</f>
        <v>128918.42293534501</v>
      </c>
      <c r="J684" s="31">
        <f>G684*I684</f>
        <v>128918.42293534501</v>
      </c>
      <c r="K684" s="32" t="str">
        <f t="shared" si="271"/>
        <v>PTO-0105|EQ</v>
      </c>
      <c r="L684" s="32">
        <f>COUNTIFS($K$2:K684,K684)</f>
        <v>1</v>
      </c>
      <c r="M684" s="32" t="str">
        <f t="shared" si="275"/>
        <v>PTO-0105|EQ|1</v>
      </c>
      <c r="N684" s="121">
        <f>IFERROR(VLOOKUP(A684,PARTIDAS!A:F,6,FALSE()),0)</f>
        <v>1</v>
      </c>
      <c r="O684" s="123">
        <f t="shared" si="276"/>
        <v>0</v>
      </c>
      <c r="P684" s="123">
        <f>+_xlfn.XLOOKUP(A684,PPTO_GENERADOR!Q:Q,PPTO_GENERADOR!E:E,"-",0)</f>
        <v>1</v>
      </c>
      <c r="Q684" s="123">
        <f t="shared" si="277"/>
        <v>0</v>
      </c>
      <c r="R684" s="125">
        <f>+_xlfn.XLOOKUP(A684,PPTO_GENERADOR!$Q:$Q,PPTO_GENERADOR!A:A,"-",0)</f>
        <v>1.05</v>
      </c>
    </row>
    <row r="685" spans="1:18" ht="14.25" customHeight="1" x14ac:dyDescent="0.35">
      <c r="A685" s="105" t="s">
        <v>42</v>
      </c>
      <c r="B685" s="105" t="s">
        <v>1979</v>
      </c>
      <c r="C685" s="105" t="s">
        <v>1982</v>
      </c>
      <c r="D685" s="105" t="s">
        <v>1524</v>
      </c>
      <c r="E685" s="95" t="str">
        <f>IFERROR(VLOOKUP(D685,SUBCONTRATOS_PRY!A:B,2,FALSE()),"?")</f>
        <v>Alquiler de baños quimico</v>
      </c>
      <c r="F685" s="129" t="s">
        <v>2042</v>
      </c>
      <c r="G685" s="119">
        <v>1</v>
      </c>
      <c r="H685" s="120">
        <v>0</v>
      </c>
      <c r="I685" s="96">
        <f>IFERROR(VLOOKUP(D685,SUBCONTRATOS_PRY!A:D,4,FALSE()),0)</f>
        <v>80000</v>
      </c>
      <c r="J685" s="31">
        <f t="shared" ref="J685:J688" si="288">G685*I685</f>
        <v>80000</v>
      </c>
      <c r="K685" s="32" t="str">
        <f t="shared" ref="K685:K689" si="289">A685&amp;"|"&amp;B685</f>
        <v>PTO-0106|MO</v>
      </c>
      <c r="L685" s="32">
        <f>COUNTIFS($K$2:K685,K685)</f>
        <v>1</v>
      </c>
      <c r="M685" s="32" t="str">
        <f t="shared" ref="M685:M689" si="290">K685&amp;"|"&amp;L685</f>
        <v>PTO-0106|MO|1</v>
      </c>
      <c r="N685" s="121">
        <f>IFERROR(VLOOKUP(A685,PARTIDAS!A:F,6,FALSE()),0)</f>
        <v>1</v>
      </c>
      <c r="O685" s="123">
        <f t="shared" si="276"/>
        <v>0</v>
      </c>
      <c r="P685" s="123">
        <f>+_xlfn.XLOOKUP(A685,PPTO_GENERADOR!Q:Q,PPTO_GENERADOR!E:E,"-",0)</f>
        <v>4</v>
      </c>
      <c r="Q685" s="123">
        <f t="shared" si="277"/>
        <v>0</v>
      </c>
      <c r="R685" s="125">
        <f>+_xlfn.XLOOKUP(A685,PPTO_GENERADOR!$Q:$Q,PPTO_GENERADOR!A:A,"-",0)</f>
        <v>1.06</v>
      </c>
    </row>
    <row r="686" spans="1:18" ht="14.25" customHeight="1" x14ac:dyDescent="0.35">
      <c r="A686" s="105" t="s">
        <v>42</v>
      </c>
      <c r="B686" s="105" t="s">
        <v>1979</v>
      </c>
      <c r="C686" s="105" t="s">
        <v>1982</v>
      </c>
      <c r="D686" s="105" t="s">
        <v>1526</v>
      </c>
      <c r="E686" s="95" t="str">
        <f>IFERROR(VLOOKUP(D686,SUBCONTRATOS_PRY!A:B,2,FALSE()),"?")</f>
        <v>Limpieza adicional</v>
      </c>
      <c r="F686" s="129" t="s">
        <v>2042</v>
      </c>
      <c r="G686" s="119">
        <v>1</v>
      </c>
      <c r="H686" s="120">
        <v>0</v>
      </c>
      <c r="I686" s="96">
        <f>IFERROR(VLOOKUP(D686,SUBCONTRATOS_PRY!A:D,4,FALSE()),0)</f>
        <v>80000</v>
      </c>
      <c r="J686" s="31">
        <f t="shared" si="288"/>
        <v>80000</v>
      </c>
      <c r="K686" s="32" t="str">
        <f t="shared" si="289"/>
        <v>PTO-0106|MO</v>
      </c>
      <c r="L686" s="32">
        <f>COUNTIFS($K$2:K686,K686)</f>
        <v>2</v>
      </c>
      <c r="M686" s="32" t="str">
        <f t="shared" si="290"/>
        <v>PTO-0106|MO|2</v>
      </c>
      <c r="N686" s="121">
        <f>IFERROR(VLOOKUP(A686,PARTIDAS!A:F,6,FALSE()),0)</f>
        <v>1</v>
      </c>
      <c r="O686" s="123">
        <f t="shared" si="276"/>
        <v>0</v>
      </c>
      <c r="P686" s="123">
        <f>+_xlfn.XLOOKUP(A686,PPTO_GENERADOR!Q:Q,PPTO_GENERADOR!E:E,"-",0)</f>
        <v>4</v>
      </c>
      <c r="Q686" s="123">
        <f t="shared" si="277"/>
        <v>0</v>
      </c>
      <c r="R686" s="125">
        <f>+_xlfn.XLOOKUP(A686,PPTO_GENERADOR!$Q:$Q,PPTO_GENERADOR!A:A,"-",0)</f>
        <v>1.06</v>
      </c>
    </row>
    <row r="687" spans="1:18" ht="14.25" customHeight="1" x14ac:dyDescent="0.35">
      <c r="A687" s="105" t="s">
        <v>42</v>
      </c>
      <c r="B687" s="105" t="s">
        <v>1979</v>
      </c>
      <c r="C687" s="105" t="s">
        <v>1982</v>
      </c>
      <c r="D687" s="105" t="s">
        <v>1528</v>
      </c>
      <c r="E687" s="95" t="str">
        <f>IFERROR(VLOOKUP(D687,SUBCONTRATOS_PRY!A:B,2,FALSE()),"?")</f>
        <v>Alquiler de modulo de ducha</v>
      </c>
      <c r="F687" s="129" t="s">
        <v>2042</v>
      </c>
      <c r="G687" s="119">
        <v>1</v>
      </c>
      <c r="H687" s="120">
        <v>0</v>
      </c>
      <c r="I687" s="96">
        <f>IFERROR(VLOOKUP(D687,SUBCONTRATOS_PRY!A:D,4,FALSE()),0)</f>
        <v>80000</v>
      </c>
      <c r="J687" s="31">
        <f t="shared" si="288"/>
        <v>80000</v>
      </c>
      <c r="K687" s="32" t="str">
        <f t="shared" si="289"/>
        <v>PTO-0106|MO</v>
      </c>
      <c r="L687" s="32">
        <f>COUNTIFS($K$2:K687,K687)</f>
        <v>3</v>
      </c>
      <c r="M687" s="32" t="str">
        <f t="shared" si="290"/>
        <v>PTO-0106|MO|3</v>
      </c>
      <c r="N687" s="121">
        <f>IFERROR(VLOOKUP(A687,PARTIDAS!A:F,6,FALSE()),0)</f>
        <v>1</v>
      </c>
      <c r="O687" s="123">
        <f t="shared" si="276"/>
        <v>0</v>
      </c>
      <c r="P687" s="123">
        <f>+_xlfn.XLOOKUP(A687,PPTO_GENERADOR!Q:Q,PPTO_GENERADOR!E:E,"-",0)</f>
        <v>4</v>
      </c>
      <c r="Q687" s="123">
        <f t="shared" si="277"/>
        <v>0</v>
      </c>
      <c r="R687" s="125">
        <f>+_xlfn.XLOOKUP(A687,PPTO_GENERADOR!$Q:$Q,PPTO_GENERADOR!A:A,"-",0)</f>
        <v>1.06</v>
      </c>
    </row>
    <row r="688" spans="1:18" ht="14.25" customHeight="1" x14ac:dyDescent="0.35">
      <c r="A688" s="105" t="s">
        <v>42</v>
      </c>
      <c r="B688" s="105" t="s">
        <v>1979</v>
      </c>
      <c r="C688" s="105" t="s">
        <v>1982</v>
      </c>
      <c r="D688" s="105" t="s">
        <v>1530</v>
      </c>
      <c r="E688" s="95" t="str">
        <f>IFERROR(VLOOKUP(D688,SUBCONTRATOS_PRY!A:B,2,FALSE()),"?")</f>
        <v>Fletes de entrega y retiro</v>
      </c>
      <c r="F688" s="129" t="s">
        <v>2042</v>
      </c>
      <c r="G688" s="119">
        <v>1</v>
      </c>
      <c r="H688" s="120">
        <v>0</v>
      </c>
      <c r="I688" s="96">
        <f>IFERROR(VLOOKUP(D688,SUBCONTRATOS_PRY!A:D,4,FALSE()),0)</f>
        <v>20000</v>
      </c>
      <c r="J688" s="31">
        <f t="shared" si="288"/>
        <v>20000</v>
      </c>
      <c r="K688" s="32" t="str">
        <f t="shared" si="289"/>
        <v>PTO-0106|MO</v>
      </c>
      <c r="L688" s="32">
        <f>COUNTIFS($K$2:K688,K688)</f>
        <v>4</v>
      </c>
      <c r="M688" s="32" t="str">
        <f t="shared" si="290"/>
        <v>PTO-0106|MO|4</v>
      </c>
      <c r="N688" s="121">
        <f>IFERROR(VLOOKUP(A688,PARTIDAS!A:F,6,FALSE()),0)</f>
        <v>1</v>
      </c>
      <c r="O688" s="123">
        <f t="shared" si="276"/>
        <v>0</v>
      </c>
      <c r="P688" s="123">
        <f>+_xlfn.XLOOKUP(A688,PPTO_GENERADOR!Q:Q,PPTO_GENERADOR!E:E,"-",0)</f>
        <v>4</v>
      </c>
      <c r="Q688" s="123">
        <f t="shared" si="277"/>
        <v>0</v>
      </c>
      <c r="R688" s="125">
        <f>+_xlfn.XLOOKUP(A688,PPTO_GENERADOR!$Q:$Q,PPTO_GENERADOR!A:A,"-",0)</f>
        <v>1.06</v>
      </c>
    </row>
    <row r="689" spans="1:18" ht="14.25" customHeight="1" x14ac:dyDescent="0.35">
      <c r="A689" s="105" t="s">
        <v>44</v>
      </c>
      <c r="B689" s="105" t="s">
        <v>1981</v>
      </c>
      <c r="C689" s="105" t="s">
        <v>1984</v>
      </c>
      <c r="D689" s="105" t="s">
        <v>647</v>
      </c>
      <c r="E689" s="95" t="str">
        <f>IFERROR(VLOOKUP(D689,MATERIALES!A:B,2,FALSE()),"?")</f>
        <v>Pilar de obra, albañileria</v>
      </c>
      <c r="F689" s="129" t="str">
        <f>IFERROR(VLOOKUP(D689,MATERIALES!A:C,3,FALSE()),"?")</f>
        <v>u</v>
      </c>
      <c r="G689" s="119">
        <v>2</v>
      </c>
      <c r="H689" s="120">
        <v>0</v>
      </c>
      <c r="I689" s="96">
        <f>IFERROR(VLOOKUP(D689,MATERIALES!A:D,4,FALSE()),0)</f>
        <v>50000</v>
      </c>
      <c r="J689" s="31">
        <f>G689*I689*(1+H689)</f>
        <v>100000</v>
      </c>
      <c r="K689" s="32" t="str">
        <f t="shared" si="289"/>
        <v>PTO-0107|MAT</v>
      </c>
      <c r="L689" s="32">
        <f>COUNTIFS($K$2:K689,K689)</f>
        <v>1</v>
      </c>
      <c r="M689" s="32" t="str">
        <f t="shared" si="290"/>
        <v>PTO-0107|MAT|1</v>
      </c>
      <c r="N689" s="121">
        <f>IFERROR(VLOOKUP(A689,PARTIDAS!A:F,6,FALSE()),0)</f>
        <v>1</v>
      </c>
      <c r="O689" s="123">
        <f t="shared" si="276"/>
        <v>0</v>
      </c>
      <c r="P689" s="123">
        <f>+_xlfn.XLOOKUP(A689,PPTO_GENERADOR!Q:Q,PPTO_GENERADOR!E:E,"-",0)</f>
        <v>1</v>
      </c>
      <c r="Q689" s="123">
        <f t="shared" si="277"/>
        <v>0</v>
      </c>
      <c r="R689" s="125">
        <f>+_xlfn.XLOOKUP(A689,PPTO_GENERADOR!$Q:$Q,PPTO_GENERADOR!A:A,"-",0)</f>
        <v>1.07</v>
      </c>
    </row>
    <row r="690" spans="1:18" ht="14.25" customHeight="1" x14ac:dyDescent="0.35">
      <c r="A690" s="105" t="s">
        <v>44</v>
      </c>
      <c r="B690" s="105" t="s">
        <v>1979</v>
      </c>
      <c r="C690" s="105" t="s">
        <v>1980</v>
      </c>
      <c r="D690" s="105" t="s">
        <v>1290</v>
      </c>
      <c r="E690" s="95" t="str">
        <f>IFERROR(VLOOKUP(D690,MANO_DE_OBRA!A:B,2,FALSE()),"?")</f>
        <v>OFICIAL</v>
      </c>
      <c r="F690" s="129" t="s">
        <v>2042</v>
      </c>
      <c r="G690" s="119">
        <v>4</v>
      </c>
      <c r="H690" s="120">
        <v>0</v>
      </c>
      <c r="I690" s="96">
        <f>IFERROR(VLOOKUP(D690,MANO_DE_OBRA!A:C,3,FALSE()),0)</f>
        <v>84612.512709566407</v>
      </c>
      <c r="J690" s="31">
        <f t="shared" ref="J690:J691" si="291">G690*I690</f>
        <v>338450.05083826563</v>
      </c>
      <c r="K690" s="32" t="str">
        <f t="shared" si="271"/>
        <v>PTO-0107|MO</v>
      </c>
      <c r="L690" s="32">
        <f>COUNTIFS($K$2:K690,K690)</f>
        <v>1</v>
      </c>
      <c r="M690" s="32" t="str">
        <f t="shared" si="275"/>
        <v>PTO-0107|MO|1</v>
      </c>
      <c r="N690" s="121">
        <f>IFERROR(VLOOKUP(A690,PARTIDAS!A:F,6,FALSE()),0)</f>
        <v>1</v>
      </c>
      <c r="O690" s="123">
        <f t="shared" si="276"/>
        <v>4</v>
      </c>
      <c r="P690" s="123">
        <f>+_xlfn.XLOOKUP(A690,PPTO_GENERADOR!Q:Q,PPTO_GENERADOR!E:E,"-",0)</f>
        <v>1</v>
      </c>
      <c r="Q690" s="123">
        <f t="shared" si="277"/>
        <v>4</v>
      </c>
      <c r="R690" s="125">
        <f>+_xlfn.XLOOKUP(A690,PPTO_GENERADOR!$Q:$Q,PPTO_GENERADOR!A:A,"-",0)</f>
        <v>1.07</v>
      </c>
    </row>
    <row r="691" spans="1:18" ht="14.25" customHeight="1" x14ac:dyDescent="0.35">
      <c r="A691" s="105" t="s">
        <v>44</v>
      </c>
      <c r="B691" s="105" t="s">
        <v>1979</v>
      </c>
      <c r="C691" s="105" t="s">
        <v>1980</v>
      </c>
      <c r="D691" s="105" t="s">
        <v>2038</v>
      </c>
      <c r="E691" s="95" t="str">
        <f>IFERROR(VLOOKUP(D691,MANO_DE_OBRA!A:B,2,FALSE()),"?")</f>
        <v>AYUDANTE</v>
      </c>
      <c r="F691" s="129" t="s">
        <v>2042</v>
      </c>
      <c r="G691" s="119">
        <v>2</v>
      </c>
      <c r="H691" s="120">
        <v>0</v>
      </c>
      <c r="I691" s="96">
        <f>IFERROR(VLOOKUP(D691,MANO_DE_OBRA!A:C,3,FALSE()),0)</f>
        <v>67240.498860267602</v>
      </c>
      <c r="J691" s="31">
        <f t="shared" si="291"/>
        <v>134480.9977205352</v>
      </c>
      <c r="K691" s="32" t="str">
        <f t="shared" si="271"/>
        <v>PTO-0107|MO</v>
      </c>
      <c r="L691" s="32">
        <f>COUNTIFS($K$2:K691,K691)</f>
        <v>2</v>
      </c>
      <c r="M691" s="32" t="str">
        <f t="shared" si="275"/>
        <v>PTO-0107|MO|2</v>
      </c>
      <c r="N691" s="121">
        <f>IFERROR(VLOOKUP(A691,PARTIDAS!A:F,6,FALSE()),0)</f>
        <v>1</v>
      </c>
      <c r="O691" s="123">
        <f t="shared" si="276"/>
        <v>2</v>
      </c>
      <c r="P691" s="123">
        <f>+_xlfn.XLOOKUP(A691,PPTO_GENERADOR!Q:Q,PPTO_GENERADOR!E:E,"-",0)</f>
        <v>1</v>
      </c>
      <c r="Q691" s="123">
        <f t="shared" si="277"/>
        <v>2</v>
      </c>
      <c r="R691" s="125">
        <f>+_xlfn.XLOOKUP(A691,PPTO_GENERADOR!$Q:$Q,PPTO_GENERADOR!A:A,"-",0)</f>
        <v>1.07</v>
      </c>
    </row>
    <row r="692" spans="1:18" ht="14.25" customHeight="1" x14ac:dyDescent="0.35">
      <c r="A692" s="105" t="s">
        <v>44</v>
      </c>
      <c r="B692" s="105" t="s">
        <v>1981</v>
      </c>
      <c r="C692" s="105" t="s">
        <v>1982</v>
      </c>
      <c r="D692" s="105" t="s">
        <v>649</v>
      </c>
      <c r="E692" s="95" t="str">
        <f>IFERROR(VLOOKUP(D692,MATERIALES!A:B,2,FALSE()),"?")</f>
        <v>Kit medidor pilar Edenor Conextube</v>
      </c>
      <c r="F692" s="129" t="str">
        <f>IFERROR(VLOOKUP(D692,MATERIALES!A:C,3,FALSE()),"?")</f>
        <v>u</v>
      </c>
      <c r="G692" s="119">
        <v>1</v>
      </c>
      <c r="H692" s="120">
        <v>0</v>
      </c>
      <c r="I692" s="96">
        <f>IFERROR(VLOOKUP(D692,MATERIALES!A:D,4,FALSE()),0)</f>
        <v>150000</v>
      </c>
      <c r="J692" s="31">
        <f t="shared" ref="J692:J695" si="292">G692*I692*(1+H692)</f>
        <v>150000</v>
      </c>
      <c r="K692" s="32" t="str">
        <f t="shared" si="271"/>
        <v>PTO-0107|MAT</v>
      </c>
      <c r="L692" s="32">
        <f>COUNTIFS($K$2:K692,K692)</f>
        <v>2</v>
      </c>
      <c r="M692" s="32" t="str">
        <f t="shared" si="275"/>
        <v>PTO-0107|MAT|2</v>
      </c>
      <c r="N692" s="121">
        <f>IFERROR(VLOOKUP(A692,PARTIDAS!A:F,6,FALSE()),0)</f>
        <v>1</v>
      </c>
      <c r="O692" s="123">
        <f t="shared" si="276"/>
        <v>0</v>
      </c>
      <c r="P692" s="123">
        <f>+_xlfn.XLOOKUP(A692,PPTO_GENERADOR!Q:Q,PPTO_GENERADOR!E:E,"-",0)</f>
        <v>1</v>
      </c>
      <c r="Q692" s="123">
        <f t="shared" si="277"/>
        <v>0</v>
      </c>
      <c r="R692" s="125">
        <f>+_xlfn.XLOOKUP(A692,PPTO_GENERADOR!$Q:$Q,PPTO_GENERADOR!A:A,"-",0)</f>
        <v>1.07</v>
      </c>
    </row>
    <row r="693" spans="1:18" ht="14.25" customHeight="1" x14ac:dyDescent="0.35">
      <c r="A693" s="105" t="s">
        <v>44</v>
      </c>
      <c r="B693" s="105" t="s">
        <v>1981</v>
      </c>
      <c r="C693" s="105" t="s">
        <v>1982</v>
      </c>
      <c r="D693" s="105" t="s">
        <v>651</v>
      </c>
      <c r="E693" s="95" t="str">
        <f>IFERROR(VLOOKUP(D693,MATERIALES!A:B,2,FALSE()),"?")</f>
        <v>Kit jabalina + caja + toma cable</v>
      </c>
      <c r="F693" s="129" t="str">
        <f>IFERROR(VLOOKUP(D693,MATERIALES!A:C,3,FALSE()),"?")</f>
        <v>u</v>
      </c>
      <c r="G693" s="119">
        <v>1</v>
      </c>
      <c r="H693" s="120">
        <v>0</v>
      </c>
      <c r="I693" s="96">
        <f>IFERROR(VLOOKUP(D693,MATERIALES!A:D,4,FALSE()),0)</f>
        <v>15000</v>
      </c>
      <c r="J693" s="31">
        <f t="shared" si="292"/>
        <v>15000</v>
      </c>
      <c r="K693" s="32" t="str">
        <f t="shared" ref="K693:K695" si="293">A693&amp;"|"&amp;B693</f>
        <v>PTO-0107|MAT</v>
      </c>
      <c r="L693" s="32">
        <f>COUNTIFS($K$2:K693,K693)</f>
        <v>3</v>
      </c>
      <c r="M693" s="32" t="str">
        <f t="shared" si="275"/>
        <v>PTO-0107|MAT|3</v>
      </c>
      <c r="N693" s="121">
        <f>IFERROR(VLOOKUP(A693,PARTIDAS!A:F,6,FALSE()),0)</f>
        <v>1</v>
      </c>
      <c r="O693" s="123">
        <f t="shared" si="276"/>
        <v>0</v>
      </c>
      <c r="P693" s="123">
        <f>+_xlfn.XLOOKUP(A693,PPTO_GENERADOR!Q:Q,PPTO_GENERADOR!E:E,"-",0)</f>
        <v>1</v>
      </c>
      <c r="Q693" s="123">
        <f t="shared" si="277"/>
        <v>0</v>
      </c>
      <c r="R693" s="125">
        <f>+_xlfn.XLOOKUP(A693,PPTO_GENERADOR!$Q:$Q,PPTO_GENERADOR!A:A,"-",0)</f>
        <v>1.07</v>
      </c>
    </row>
    <row r="694" spans="1:18" ht="14.25" customHeight="1" x14ac:dyDescent="0.35">
      <c r="A694" s="105" t="s">
        <v>44</v>
      </c>
      <c r="B694" s="105" t="s">
        <v>1981</v>
      </c>
      <c r="C694" s="105" t="s">
        <v>1982</v>
      </c>
      <c r="D694" s="105" t="s">
        <v>653</v>
      </c>
      <c r="E694" s="95" t="str">
        <f>IFERROR(VLOOKUP(D694,MATERIALES!A:B,2,FALSE()),"?")</f>
        <v>Cable subterraneo 5 x 10 mm2</v>
      </c>
      <c r="F694" s="129" t="str">
        <f>IFERROR(VLOOKUP(D694,MATERIALES!A:C,3,FALSE()),"?")</f>
        <v>u</v>
      </c>
      <c r="G694" s="119">
        <v>50</v>
      </c>
      <c r="H694" s="120">
        <v>0</v>
      </c>
      <c r="I694" s="96">
        <f>IFERROR(VLOOKUP(D694,MATERIALES!A:D,4,FALSE()),0)</f>
        <v>16500</v>
      </c>
      <c r="J694" s="31">
        <f t="shared" si="292"/>
        <v>825000</v>
      </c>
      <c r="K694" s="32" t="str">
        <f t="shared" si="293"/>
        <v>PTO-0107|MAT</v>
      </c>
      <c r="L694" s="32">
        <f>COUNTIFS($K$2:K694,K694)</f>
        <v>4</v>
      </c>
      <c r="M694" s="32" t="str">
        <f t="shared" si="275"/>
        <v>PTO-0107|MAT|4</v>
      </c>
      <c r="N694" s="121">
        <f>IFERROR(VLOOKUP(A694,PARTIDAS!A:F,6,FALSE()),0)</f>
        <v>1</v>
      </c>
      <c r="O694" s="123">
        <f t="shared" si="276"/>
        <v>0</v>
      </c>
      <c r="P694" s="123">
        <f>+_xlfn.XLOOKUP(A694,PPTO_GENERADOR!Q:Q,PPTO_GENERADOR!E:E,"-",0)</f>
        <v>1</v>
      </c>
      <c r="Q694" s="123">
        <f t="shared" si="277"/>
        <v>0</v>
      </c>
      <c r="R694" s="125">
        <f>+_xlfn.XLOOKUP(A694,PPTO_GENERADOR!$Q:$Q,PPTO_GENERADOR!A:A,"-",0)</f>
        <v>1.07</v>
      </c>
    </row>
    <row r="695" spans="1:18" ht="14.25" customHeight="1" x14ac:dyDescent="0.35">
      <c r="A695" s="105" t="s">
        <v>44</v>
      </c>
      <c r="B695" s="105" t="s">
        <v>1981</v>
      </c>
      <c r="C695" s="105" t="s">
        <v>1982</v>
      </c>
      <c r="D695" s="105" t="s">
        <v>655</v>
      </c>
      <c r="E695" s="95" t="str">
        <f>IFERROR(VLOOKUP(D695,MATERIALES!A:B,2,FALSE()),"?")</f>
        <v>Tablero de obra</v>
      </c>
      <c r="F695" s="129" t="str">
        <f>IFERROR(VLOOKUP(D695,MATERIALES!A:C,3,FALSE()),"?")</f>
        <v>u</v>
      </c>
      <c r="G695" s="119">
        <v>1</v>
      </c>
      <c r="H695" s="120">
        <v>0</v>
      </c>
      <c r="I695" s="96">
        <f>IFERROR(VLOOKUP(D695,MATERIALES!A:D,4,FALSE()),0)</f>
        <v>300000</v>
      </c>
      <c r="J695" s="31">
        <f t="shared" si="292"/>
        <v>300000</v>
      </c>
      <c r="K695" s="32" t="str">
        <f t="shared" si="293"/>
        <v>PTO-0107|MAT</v>
      </c>
      <c r="L695" s="32">
        <f>COUNTIFS($K$2:K695,K695)</f>
        <v>5</v>
      </c>
      <c r="M695" s="32" t="str">
        <f t="shared" si="275"/>
        <v>PTO-0107|MAT|5</v>
      </c>
      <c r="N695" s="121">
        <f>IFERROR(VLOOKUP(A695,PARTIDAS!A:F,6,FALSE()),0)</f>
        <v>1</v>
      </c>
      <c r="O695" s="123">
        <f t="shared" si="276"/>
        <v>0</v>
      </c>
      <c r="P695" s="123">
        <f>+_xlfn.XLOOKUP(A695,PPTO_GENERADOR!Q:Q,PPTO_GENERADOR!E:E,"-",0)</f>
        <v>1</v>
      </c>
      <c r="Q695" s="123">
        <f t="shared" si="277"/>
        <v>0</v>
      </c>
      <c r="R695" s="125">
        <f>+_xlfn.XLOOKUP(A695,PPTO_GENERADOR!$Q:$Q,PPTO_GENERADOR!A:A,"-",0)</f>
        <v>1.07</v>
      </c>
    </row>
    <row r="696" spans="1:18" ht="14.25" customHeight="1" x14ac:dyDescent="0.35">
      <c r="A696" s="105" t="s">
        <v>44</v>
      </c>
      <c r="B696" s="105" t="s">
        <v>1979</v>
      </c>
      <c r="C696" s="105" t="s">
        <v>1980</v>
      </c>
      <c r="D696" s="105" t="s">
        <v>1292</v>
      </c>
      <c r="E696" s="95" t="str">
        <f>IFERROR(VLOOKUP(D696,MANO_DE_OBRA!A:B,2,FALSE()),"?")</f>
        <v>ESPECIALIZADO</v>
      </c>
      <c r="F696" s="129" t="s">
        <v>2042</v>
      </c>
      <c r="G696" s="119">
        <v>2</v>
      </c>
      <c r="H696" s="120">
        <v>0</v>
      </c>
      <c r="I696" s="96">
        <f>IFERROR(VLOOKUP(D696,MANO_DE_OBRA!A:C,3,FALSE()),0)</f>
        <v>94177.137883538904</v>
      </c>
      <c r="J696" s="31">
        <f t="shared" ref="J696" si="294">G696*I696</f>
        <v>188354.27576707781</v>
      </c>
      <c r="K696" s="32" t="str">
        <f t="shared" ref="K696:K756" si="295">A696&amp;"|"&amp;B696</f>
        <v>PTO-0107|MO</v>
      </c>
      <c r="L696" s="32">
        <f>COUNTIFS($K$2:K696,K696)</f>
        <v>3</v>
      </c>
      <c r="M696" s="32" t="str">
        <f t="shared" si="275"/>
        <v>PTO-0107|MO|3</v>
      </c>
      <c r="N696" s="121">
        <f>IFERROR(VLOOKUP(A696,PARTIDAS!A:F,6,FALSE()),0)</f>
        <v>1</v>
      </c>
      <c r="O696" s="123">
        <f t="shared" si="276"/>
        <v>2</v>
      </c>
      <c r="P696" s="123">
        <f>+_xlfn.XLOOKUP(A696,PPTO_GENERADOR!Q:Q,PPTO_GENERADOR!E:E,"-",0)</f>
        <v>1</v>
      </c>
      <c r="Q696" s="123">
        <f t="shared" si="277"/>
        <v>2</v>
      </c>
      <c r="R696" s="125">
        <f>+_xlfn.XLOOKUP(A696,PPTO_GENERADOR!$Q:$Q,PPTO_GENERADOR!A:A,"-",0)</f>
        <v>1.07</v>
      </c>
    </row>
    <row r="697" spans="1:18" ht="14.25" customHeight="1" x14ac:dyDescent="0.35">
      <c r="A697" s="105" t="s">
        <v>44</v>
      </c>
      <c r="B697" s="105" t="s">
        <v>1983</v>
      </c>
      <c r="C697" s="105"/>
      <c r="D697" s="105" t="s">
        <v>1337</v>
      </c>
      <c r="E697" s="95" t="str">
        <f>IFERROR(VLOOKUP(D697,EQUIPOS!A:B,2,FALSE()),"?")</f>
        <v>Herramientas — Conexión pilar y luz de obra + Tablero d</v>
      </c>
      <c r="F697" s="129"/>
      <c r="G697" s="119">
        <v>1</v>
      </c>
      <c r="H697" s="120">
        <v>0</v>
      </c>
      <c r="I697" s="96">
        <f>IFERROR(VLOOKUP(D697,EQUIPOS!A:F,6,FALSE()),0)</f>
        <v>30769.279864888202</v>
      </c>
      <c r="J697" s="31">
        <f>G697*I697</f>
        <v>30769.279864888202</v>
      </c>
      <c r="K697" s="32" t="str">
        <f t="shared" si="295"/>
        <v>PTO-0107|EQ</v>
      </c>
      <c r="L697" s="32">
        <f>COUNTIFS($K$2:K697,K697)</f>
        <v>1</v>
      </c>
      <c r="M697" s="32" t="str">
        <f t="shared" si="275"/>
        <v>PTO-0107|EQ|1</v>
      </c>
      <c r="N697" s="121">
        <f>IFERROR(VLOOKUP(A697,PARTIDAS!A:F,6,FALSE()),0)</f>
        <v>1</v>
      </c>
      <c r="O697" s="123">
        <f t="shared" si="276"/>
        <v>0</v>
      </c>
      <c r="P697" s="123">
        <f>+_xlfn.XLOOKUP(A697,PPTO_GENERADOR!Q:Q,PPTO_GENERADOR!E:E,"-",0)</f>
        <v>1</v>
      </c>
      <c r="Q697" s="123">
        <f t="shared" si="277"/>
        <v>0</v>
      </c>
      <c r="R697" s="125">
        <f>+_xlfn.XLOOKUP(A697,PPTO_GENERADOR!$Q:$Q,PPTO_GENERADOR!A:A,"-",0)</f>
        <v>1.07</v>
      </c>
    </row>
    <row r="698" spans="1:18" ht="14.25" customHeight="1" x14ac:dyDescent="0.35">
      <c r="A698" s="105" t="s">
        <v>46</v>
      </c>
      <c r="B698" s="105" t="s">
        <v>1981</v>
      </c>
      <c r="C698" s="105" t="s">
        <v>1982</v>
      </c>
      <c r="D698" s="105" t="s">
        <v>657</v>
      </c>
      <c r="E698" s="95" t="str">
        <f>IFERROR(VLOOKUP(D698,MATERIALES!A:B,2,FALSE()),"?")</f>
        <v>Tanque de Bombeo 500 lts (reutilizado)</v>
      </c>
      <c r="F698" s="129" t="str">
        <f>IFERROR(VLOOKUP(D698,MATERIALES!A:C,3,FALSE()),"?")</f>
        <v>u</v>
      </c>
      <c r="G698" s="119">
        <v>1</v>
      </c>
      <c r="H698" s="120">
        <v>0</v>
      </c>
      <c r="I698" s="96">
        <f>IFERROR(VLOOKUP(D698,MATERIALES!A:D,4,FALSE()),0)</f>
        <v>200000</v>
      </c>
      <c r="J698" s="31">
        <f t="shared" ref="J698:J705" si="296">G698*I698*(1+H698)</f>
        <v>200000</v>
      </c>
      <c r="K698" s="32" t="str">
        <f t="shared" si="295"/>
        <v>PTO-0108|MAT</v>
      </c>
      <c r="L698" s="32">
        <f>COUNTIFS($K$2:K698,K698)</f>
        <v>1</v>
      </c>
      <c r="M698" s="32" t="str">
        <f t="shared" si="275"/>
        <v>PTO-0108|MAT|1</v>
      </c>
      <c r="N698" s="121">
        <f>IFERROR(VLOOKUP(A698,PARTIDAS!A:F,6,FALSE()),0)</f>
        <v>1</v>
      </c>
      <c r="O698" s="123">
        <f t="shared" si="276"/>
        <v>0</v>
      </c>
      <c r="P698" s="123">
        <f>+_xlfn.XLOOKUP(A698,PPTO_GENERADOR!Q:Q,PPTO_GENERADOR!E:E,"-",0)</f>
        <v>1</v>
      </c>
      <c r="Q698" s="123">
        <f t="shared" si="277"/>
        <v>0</v>
      </c>
      <c r="R698" s="125">
        <f>+_xlfn.XLOOKUP(A698,PPTO_GENERADOR!$Q:$Q,PPTO_GENERADOR!A:A,"-",0)</f>
        <v>1.08</v>
      </c>
    </row>
    <row r="699" spans="1:18" ht="14.25" customHeight="1" x14ac:dyDescent="0.35">
      <c r="A699" s="105" t="s">
        <v>46</v>
      </c>
      <c r="B699" s="105" t="s">
        <v>1981</v>
      </c>
      <c r="C699" s="105" t="s">
        <v>1982</v>
      </c>
      <c r="D699" s="105" t="s">
        <v>659</v>
      </c>
      <c r="E699" s="95" t="str">
        <f>IFERROR(VLOOKUP(D699,MATERIALES!A:B,2,FALSE()),"?")</f>
        <v>Bomba pres (reutilizada)</v>
      </c>
      <c r="F699" s="129" t="str">
        <f>IFERROR(VLOOKUP(D699,MATERIALES!A:C,3,FALSE()),"?")</f>
        <v>u</v>
      </c>
      <c r="G699" s="119">
        <v>1</v>
      </c>
      <c r="H699" s="120">
        <v>0</v>
      </c>
      <c r="I699" s="96">
        <f>IFERROR(VLOOKUP(D699,MATERIALES!A:D,4,FALSE()),0)</f>
        <v>200000</v>
      </c>
      <c r="J699" s="31">
        <f t="shared" si="296"/>
        <v>200000</v>
      </c>
      <c r="K699" s="32" t="str">
        <f t="shared" si="295"/>
        <v>PTO-0108|MAT</v>
      </c>
      <c r="L699" s="32">
        <f>COUNTIFS($K$2:K699,K699)</f>
        <v>2</v>
      </c>
      <c r="M699" s="32" t="str">
        <f t="shared" ref="M699:M705" si="297">K699&amp;"|"&amp;L699</f>
        <v>PTO-0108|MAT|2</v>
      </c>
      <c r="N699" s="121">
        <f>IFERROR(VLOOKUP(A699,PARTIDAS!A:F,6,FALSE()),0)</f>
        <v>1</v>
      </c>
      <c r="O699" s="123">
        <f t="shared" si="276"/>
        <v>0</v>
      </c>
      <c r="P699" s="123">
        <f>+_xlfn.XLOOKUP(A699,PPTO_GENERADOR!Q:Q,PPTO_GENERADOR!E:E,"-",0)</f>
        <v>1</v>
      </c>
      <c r="Q699" s="123">
        <f t="shared" si="277"/>
        <v>0</v>
      </c>
      <c r="R699" s="125">
        <f>+_xlfn.XLOOKUP(A699,PPTO_GENERADOR!$Q:$Q,PPTO_GENERADOR!A:A,"-",0)</f>
        <v>1.08</v>
      </c>
    </row>
    <row r="700" spans="1:18" ht="14.25" customHeight="1" x14ac:dyDescent="0.35">
      <c r="A700" s="105" t="s">
        <v>46</v>
      </c>
      <c r="B700" s="105" t="s">
        <v>1981</v>
      </c>
      <c r="C700" s="105" t="s">
        <v>1982</v>
      </c>
      <c r="D700" s="105" t="s">
        <v>661</v>
      </c>
      <c r="E700" s="95" t="str">
        <f>IFERROR(VLOOKUP(D700,MATERIALES!A:B,2,FALSE()),"?")</f>
        <v>Flotante mecanico 1" + boya</v>
      </c>
      <c r="F700" s="129" t="str">
        <f>IFERROR(VLOOKUP(D700,MATERIALES!A:C,3,FALSE()),"?")</f>
        <v>u</v>
      </c>
      <c r="G700" s="119">
        <v>1</v>
      </c>
      <c r="H700" s="120">
        <v>0</v>
      </c>
      <c r="I700" s="96">
        <f>IFERROR(VLOOKUP(D700,MATERIALES!A:D,4,FALSE()),0)</f>
        <v>50000</v>
      </c>
      <c r="J700" s="31">
        <f t="shared" si="296"/>
        <v>50000</v>
      </c>
      <c r="K700" s="32" t="str">
        <f t="shared" si="295"/>
        <v>PTO-0108|MAT</v>
      </c>
      <c r="L700" s="32">
        <f>COUNTIFS($K$2:K700,K700)</f>
        <v>3</v>
      </c>
      <c r="M700" s="32" t="str">
        <f t="shared" si="297"/>
        <v>PTO-0108|MAT|3</v>
      </c>
      <c r="N700" s="121">
        <f>IFERROR(VLOOKUP(A700,PARTIDAS!A:F,6,FALSE()),0)</f>
        <v>1</v>
      </c>
      <c r="O700" s="123">
        <f t="shared" si="276"/>
        <v>0</v>
      </c>
      <c r="P700" s="123">
        <f>+_xlfn.XLOOKUP(A700,PPTO_GENERADOR!Q:Q,PPTO_GENERADOR!E:E,"-",0)</f>
        <v>1</v>
      </c>
      <c r="Q700" s="123">
        <f t="shared" si="277"/>
        <v>0</v>
      </c>
      <c r="R700" s="125">
        <f>+_xlfn.XLOOKUP(A700,PPTO_GENERADOR!$Q:$Q,PPTO_GENERADOR!A:A,"-",0)</f>
        <v>1.08</v>
      </c>
    </row>
    <row r="701" spans="1:18" ht="14.25" customHeight="1" x14ac:dyDescent="0.35">
      <c r="A701" s="105" t="s">
        <v>46</v>
      </c>
      <c r="B701" s="105" t="s">
        <v>1981</v>
      </c>
      <c r="C701" s="105" t="s">
        <v>1982</v>
      </c>
      <c r="D701" s="105" t="s">
        <v>663</v>
      </c>
      <c r="E701" s="95" t="str">
        <f>IFERROR(VLOOKUP(D701,MATERIALES!A:B,2,FALSE()),"?")</f>
        <v>Flotante automatico</v>
      </c>
      <c r="F701" s="129" t="str">
        <f>IFERROR(VLOOKUP(D701,MATERIALES!A:C,3,FALSE()),"?")</f>
        <v>u</v>
      </c>
      <c r="G701" s="119">
        <v>1</v>
      </c>
      <c r="H701" s="120">
        <v>0</v>
      </c>
      <c r="I701" s="96">
        <f>IFERROR(VLOOKUP(D701,MATERIALES!A:D,4,FALSE()),0)</f>
        <v>10000</v>
      </c>
      <c r="J701" s="31">
        <f t="shared" si="296"/>
        <v>10000</v>
      </c>
      <c r="K701" s="32" t="str">
        <f t="shared" si="295"/>
        <v>PTO-0108|MAT</v>
      </c>
      <c r="L701" s="32">
        <f>COUNTIFS($K$2:K701,K701)</f>
        <v>4</v>
      </c>
      <c r="M701" s="32" t="str">
        <f t="shared" si="297"/>
        <v>PTO-0108|MAT|4</v>
      </c>
      <c r="N701" s="121">
        <f>IFERROR(VLOOKUP(A701,PARTIDAS!A:F,6,FALSE()),0)</f>
        <v>1</v>
      </c>
      <c r="O701" s="123">
        <f t="shared" si="276"/>
        <v>0</v>
      </c>
      <c r="P701" s="123">
        <f>+_xlfn.XLOOKUP(A701,PPTO_GENERADOR!Q:Q,PPTO_GENERADOR!E:E,"-",0)</f>
        <v>1</v>
      </c>
      <c r="Q701" s="123">
        <f t="shared" si="277"/>
        <v>0</v>
      </c>
      <c r="R701" s="125">
        <f>+_xlfn.XLOOKUP(A701,PPTO_GENERADOR!$Q:$Q,PPTO_GENERADOR!A:A,"-",0)</f>
        <v>1.08</v>
      </c>
    </row>
    <row r="702" spans="1:18" ht="14.25" customHeight="1" x14ac:dyDescent="0.35">
      <c r="A702" s="105" t="s">
        <v>46</v>
      </c>
      <c r="B702" s="105" t="s">
        <v>1981</v>
      </c>
      <c r="C702" s="105" t="s">
        <v>1982</v>
      </c>
      <c r="D702" s="105" t="s">
        <v>665</v>
      </c>
      <c r="E702" s="95" t="str">
        <f>IFERROR(VLOOKUP(D702,MATERIALES!A:B,2,FALSE()),"?")</f>
        <v>Caño 3/4"</v>
      </c>
      <c r="F702" s="129" t="str">
        <f>IFERROR(VLOOKUP(D702,MATERIALES!A:C,3,FALSE()),"?")</f>
        <v>u</v>
      </c>
      <c r="G702" s="119">
        <v>12</v>
      </c>
      <c r="H702" s="120">
        <v>0</v>
      </c>
      <c r="I702" s="96">
        <f>IFERROR(VLOOKUP(D702,MATERIALES!A:D,4,FALSE()),0)</f>
        <v>15000</v>
      </c>
      <c r="J702" s="31">
        <f t="shared" si="296"/>
        <v>180000</v>
      </c>
      <c r="K702" s="32" t="str">
        <f t="shared" si="295"/>
        <v>PTO-0108|MAT</v>
      </c>
      <c r="L702" s="32">
        <f>COUNTIFS($K$2:K702,K702)</f>
        <v>5</v>
      </c>
      <c r="M702" s="32" t="str">
        <f t="shared" si="297"/>
        <v>PTO-0108|MAT|5</v>
      </c>
      <c r="N702" s="121">
        <f>IFERROR(VLOOKUP(A702,PARTIDAS!A:F,6,FALSE()),0)</f>
        <v>1</v>
      </c>
      <c r="O702" s="123">
        <f t="shared" si="276"/>
        <v>0</v>
      </c>
      <c r="P702" s="123">
        <f>+_xlfn.XLOOKUP(A702,PPTO_GENERADOR!Q:Q,PPTO_GENERADOR!E:E,"-",0)</f>
        <v>1</v>
      </c>
      <c r="Q702" s="123">
        <f t="shared" si="277"/>
        <v>0</v>
      </c>
      <c r="R702" s="125">
        <f>+_xlfn.XLOOKUP(A702,PPTO_GENERADOR!$Q:$Q,PPTO_GENERADOR!A:A,"-",0)</f>
        <v>1.08</v>
      </c>
    </row>
    <row r="703" spans="1:18" ht="14.25" customHeight="1" x14ac:dyDescent="0.35">
      <c r="A703" s="105" t="s">
        <v>46</v>
      </c>
      <c r="B703" s="105" t="s">
        <v>1981</v>
      </c>
      <c r="C703" s="105" t="s">
        <v>1982</v>
      </c>
      <c r="D703" s="105" t="s">
        <v>667</v>
      </c>
      <c r="E703" s="95" t="str">
        <f>IFERROR(VLOOKUP(D703,MATERIALES!A:B,2,FALSE()),"?")</f>
        <v>Val. esf doble media union 1"</v>
      </c>
      <c r="F703" s="129" t="str">
        <f>IFERROR(VLOOKUP(D703,MATERIALES!A:C,3,FALSE()),"?")</f>
        <v>u</v>
      </c>
      <c r="G703" s="119">
        <v>8</v>
      </c>
      <c r="H703" s="120">
        <v>0</v>
      </c>
      <c r="I703" s="96">
        <f>IFERROR(VLOOKUP(D703,MATERIALES!A:D,4,FALSE()),0)</f>
        <v>15000</v>
      </c>
      <c r="J703" s="31">
        <f t="shared" si="296"/>
        <v>120000</v>
      </c>
      <c r="K703" s="32" t="str">
        <f t="shared" si="295"/>
        <v>PTO-0108|MAT</v>
      </c>
      <c r="L703" s="32">
        <f>COUNTIFS($K$2:K703,K703)</f>
        <v>6</v>
      </c>
      <c r="M703" s="32" t="str">
        <f t="shared" si="297"/>
        <v>PTO-0108|MAT|6</v>
      </c>
      <c r="N703" s="121">
        <f>IFERROR(VLOOKUP(A703,PARTIDAS!A:F,6,FALSE()),0)</f>
        <v>1</v>
      </c>
      <c r="O703" s="123">
        <f t="shared" si="276"/>
        <v>0</v>
      </c>
      <c r="P703" s="123">
        <f>+_xlfn.XLOOKUP(A703,PPTO_GENERADOR!Q:Q,PPTO_GENERADOR!E:E,"-",0)</f>
        <v>1</v>
      </c>
      <c r="Q703" s="123">
        <f t="shared" si="277"/>
        <v>0</v>
      </c>
      <c r="R703" s="125">
        <f>+_xlfn.XLOOKUP(A703,PPTO_GENERADOR!$Q:$Q,PPTO_GENERADOR!A:A,"-",0)</f>
        <v>1.08</v>
      </c>
    </row>
    <row r="704" spans="1:18" ht="14.25" customHeight="1" x14ac:dyDescent="0.35">
      <c r="A704" s="105" t="s">
        <v>46</v>
      </c>
      <c r="B704" s="105" t="s">
        <v>1981</v>
      </c>
      <c r="C704" s="105" t="s">
        <v>1982</v>
      </c>
      <c r="D704" s="105" t="s">
        <v>669</v>
      </c>
      <c r="E704" s="95" t="str">
        <f>IFERROR(VLOOKUP(D704,MATERIALES!A:B,2,FALSE()),"?")</f>
        <v>Canilla de pvc</v>
      </c>
      <c r="F704" s="129" t="str">
        <f>IFERROR(VLOOKUP(D704,MATERIALES!A:C,3,FALSE()),"?")</f>
        <v>u</v>
      </c>
      <c r="G704" s="119">
        <v>10</v>
      </c>
      <c r="H704" s="120">
        <v>0</v>
      </c>
      <c r="I704" s="96">
        <f>IFERROR(VLOOKUP(D704,MATERIALES!A:D,4,FALSE()),0)</f>
        <v>2000</v>
      </c>
      <c r="J704" s="31">
        <f t="shared" si="296"/>
        <v>20000</v>
      </c>
      <c r="K704" s="32" t="str">
        <f t="shared" si="295"/>
        <v>PTO-0108|MAT</v>
      </c>
      <c r="L704" s="32">
        <f>COUNTIFS($K$2:K704,K704)</f>
        <v>7</v>
      </c>
      <c r="M704" s="32" t="str">
        <f t="shared" si="297"/>
        <v>PTO-0108|MAT|7</v>
      </c>
      <c r="N704" s="121">
        <f>IFERROR(VLOOKUP(A704,PARTIDAS!A:F,6,FALSE()),0)</f>
        <v>1</v>
      </c>
      <c r="O704" s="123">
        <f t="shared" si="276"/>
        <v>0</v>
      </c>
      <c r="P704" s="123">
        <f>+_xlfn.XLOOKUP(A704,PPTO_GENERADOR!Q:Q,PPTO_GENERADOR!E:E,"-",0)</f>
        <v>1</v>
      </c>
      <c r="Q704" s="123">
        <f t="shared" si="277"/>
        <v>0</v>
      </c>
      <c r="R704" s="125">
        <f>+_xlfn.XLOOKUP(A704,PPTO_GENERADOR!$Q:$Q,PPTO_GENERADOR!A:A,"-",0)</f>
        <v>1.08</v>
      </c>
    </row>
    <row r="705" spans="1:18" ht="14.25" customHeight="1" x14ac:dyDescent="0.35">
      <c r="A705" s="105" t="s">
        <v>46</v>
      </c>
      <c r="B705" s="105" t="s">
        <v>1981</v>
      </c>
      <c r="C705" s="105" t="s">
        <v>1982</v>
      </c>
      <c r="D705" s="105" t="s">
        <v>671</v>
      </c>
      <c r="E705" s="95" t="str">
        <f>IFERROR(VLOOKUP(D705,MATERIALES!A:B,2,FALSE()),"?")</f>
        <v>Desperdicio</v>
      </c>
      <c r="F705" s="129" t="str">
        <f>IFERROR(VLOOKUP(D705,MATERIALES!A:C,3,FALSE()),"?")</f>
        <v>u</v>
      </c>
      <c r="G705" s="119">
        <v>0.2</v>
      </c>
      <c r="H705" s="120">
        <v>0</v>
      </c>
      <c r="I705" s="96">
        <f>IFERROR(VLOOKUP(D705,MATERIALES!A:D,4,FALSE()),0)</f>
        <v>780000</v>
      </c>
      <c r="J705" s="31">
        <f t="shared" si="296"/>
        <v>156000</v>
      </c>
      <c r="K705" s="32" t="str">
        <f t="shared" si="295"/>
        <v>PTO-0108|MAT</v>
      </c>
      <c r="L705" s="32">
        <f>COUNTIFS($K$2:K705,K705)</f>
        <v>8</v>
      </c>
      <c r="M705" s="32" t="str">
        <f t="shared" si="297"/>
        <v>PTO-0108|MAT|8</v>
      </c>
      <c r="N705" s="121">
        <f>IFERROR(VLOOKUP(A705,PARTIDAS!A:F,6,FALSE()),0)</f>
        <v>1</v>
      </c>
      <c r="O705" s="123">
        <f t="shared" si="276"/>
        <v>0</v>
      </c>
      <c r="P705" s="123">
        <f>+_xlfn.XLOOKUP(A705,PPTO_GENERADOR!Q:Q,PPTO_GENERADOR!E:E,"-",0)</f>
        <v>1</v>
      </c>
      <c r="Q705" s="123">
        <f t="shared" si="277"/>
        <v>0</v>
      </c>
      <c r="R705" s="125">
        <f>+_xlfn.XLOOKUP(A705,PPTO_GENERADOR!$Q:$Q,PPTO_GENERADOR!A:A,"-",0)</f>
        <v>1.08</v>
      </c>
    </row>
    <row r="706" spans="1:18" ht="14.25" customHeight="1" x14ac:dyDescent="0.35">
      <c r="A706" s="105" t="s">
        <v>46</v>
      </c>
      <c r="B706" s="105" t="s">
        <v>1979</v>
      </c>
      <c r="C706" s="105" t="s">
        <v>1980</v>
      </c>
      <c r="D706" s="105" t="s">
        <v>1292</v>
      </c>
      <c r="E706" s="95" t="str">
        <f>IFERROR(VLOOKUP(D706,MANO_DE_OBRA!A:B,2,FALSE()),"?")</f>
        <v>ESPECIALIZADO</v>
      </c>
      <c r="F706" s="129" t="s">
        <v>2042</v>
      </c>
      <c r="G706" s="119">
        <v>3</v>
      </c>
      <c r="H706" s="120">
        <v>0</v>
      </c>
      <c r="I706" s="96">
        <f>IFERROR(VLOOKUP(D706,MANO_DE_OBRA!A:C,3,FALSE()),0)</f>
        <v>94177.137883538904</v>
      </c>
      <c r="J706" s="31">
        <f t="shared" ref="J706:J707" si="298">G706*I706</f>
        <v>282531.41365061671</v>
      </c>
      <c r="K706" s="32" t="str">
        <f t="shared" si="295"/>
        <v>PTO-0108|MO</v>
      </c>
      <c r="L706" s="32">
        <f>COUNTIFS($K$2:K706,K706)</f>
        <v>1</v>
      </c>
      <c r="M706" s="32" t="str">
        <f t="shared" ref="M706:M762" si="299">K706&amp;"|"&amp;L706</f>
        <v>PTO-0108|MO|1</v>
      </c>
      <c r="N706" s="121">
        <f>IFERROR(VLOOKUP(A706,PARTIDAS!A:F,6,FALSE()),0)</f>
        <v>1</v>
      </c>
      <c r="O706" s="123">
        <f t="shared" si="276"/>
        <v>3</v>
      </c>
      <c r="P706" s="123">
        <f>+_xlfn.XLOOKUP(A706,PPTO_GENERADOR!Q:Q,PPTO_GENERADOR!E:E,"-",0)</f>
        <v>1</v>
      </c>
      <c r="Q706" s="123">
        <f t="shared" si="277"/>
        <v>3</v>
      </c>
      <c r="R706" s="125">
        <f>+_xlfn.XLOOKUP(A706,PPTO_GENERADOR!$Q:$Q,PPTO_GENERADOR!A:A,"-",0)</f>
        <v>1.08</v>
      </c>
    </row>
    <row r="707" spans="1:18" ht="14.25" customHeight="1" x14ac:dyDescent="0.35">
      <c r="A707" s="105" t="s">
        <v>46</v>
      </c>
      <c r="B707" s="105" t="s">
        <v>1979</v>
      </c>
      <c r="C707" s="105" t="s">
        <v>1980</v>
      </c>
      <c r="D707" s="105" t="s">
        <v>1290</v>
      </c>
      <c r="E707" s="95" t="str">
        <f>IFERROR(VLOOKUP(D707,MANO_DE_OBRA!A:B,2,FALSE()),"?")</f>
        <v>OFICIAL</v>
      </c>
      <c r="F707" s="129" t="s">
        <v>2042</v>
      </c>
      <c r="G707" s="119">
        <v>3</v>
      </c>
      <c r="H707" s="120">
        <v>0</v>
      </c>
      <c r="I707" s="96">
        <f>IFERROR(VLOOKUP(D707,MANO_DE_OBRA!A:C,3,FALSE()),0)</f>
        <v>84612.512709566407</v>
      </c>
      <c r="J707" s="31">
        <f t="shared" si="298"/>
        <v>253837.53812869923</v>
      </c>
      <c r="K707" s="32" t="str">
        <f t="shared" si="295"/>
        <v>PTO-0108|MO</v>
      </c>
      <c r="L707" s="32">
        <f>COUNTIFS($K$2:K707,K707)</f>
        <v>2</v>
      </c>
      <c r="M707" s="32" t="str">
        <f t="shared" si="299"/>
        <v>PTO-0108|MO|2</v>
      </c>
      <c r="N707" s="121">
        <f>IFERROR(VLOOKUP(A707,PARTIDAS!A:F,6,FALSE()),0)</f>
        <v>1</v>
      </c>
      <c r="O707" s="123">
        <f t="shared" ref="O707:O770" si="300">+IF(C707="ALB",G707/N707,0)</f>
        <v>3</v>
      </c>
      <c r="P707" s="123">
        <f>+_xlfn.XLOOKUP(A707,PPTO_GENERADOR!Q:Q,PPTO_GENERADOR!E:E,"-",0)</f>
        <v>1</v>
      </c>
      <c r="Q707" s="123">
        <f t="shared" ref="Q707:Q770" si="301">IFERROR(P707*O707,0)</f>
        <v>3</v>
      </c>
      <c r="R707" s="125">
        <f>+_xlfn.XLOOKUP(A707,PPTO_GENERADOR!$Q:$Q,PPTO_GENERADOR!A:A,"-",0)</f>
        <v>1.08</v>
      </c>
    </row>
    <row r="708" spans="1:18" ht="14.25" customHeight="1" x14ac:dyDescent="0.35">
      <c r="A708" s="105" t="s">
        <v>46</v>
      </c>
      <c r="B708" s="105" t="s">
        <v>1983</v>
      </c>
      <c r="C708" s="105"/>
      <c r="D708" s="105" t="s">
        <v>1339</v>
      </c>
      <c r="E708" s="95" t="str">
        <f>IFERROR(VLOOKUP(D708,EQUIPOS!A:B,2,FALSE()),"?")</f>
        <v>Herramientas — Conexión agua de obra, tanque + bomba</v>
      </c>
      <c r="F708" s="129"/>
      <c r="G708" s="119">
        <v>1</v>
      </c>
      <c r="H708" s="120">
        <v>0</v>
      </c>
      <c r="I708" s="96">
        <f>IFERROR(VLOOKUP(D708,EQUIPOS!A:F,6,FALSE()),0)</f>
        <v>22085.534276689701</v>
      </c>
      <c r="J708" s="31">
        <f>G708*I708</f>
        <v>22085.534276689701</v>
      </c>
      <c r="K708" s="32" t="str">
        <f t="shared" si="295"/>
        <v>PTO-0108|EQ</v>
      </c>
      <c r="L708" s="32">
        <f>COUNTIFS($K$2:K708,K708)</f>
        <v>1</v>
      </c>
      <c r="M708" s="32" t="str">
        <f t="shared" si="299"/>
        <v>PTO-0108|EQ|1</v>
      </c>
      <c r="N708" s="121">
        <f>IFERROR(VLOOKUP(A708,PARTIDAS!A:F,6,FALSE()),0)</f>
        <v>1</v>
      </c>
      <c r="O708" s="123">
        <f t="shared" si="300"/>
        <v>0</v>
      </c>
      <c r="P708" s="123">
        <f>+_xlfn.XLOOKUP(A708,PPTO_GENERADOR!Q:Q,PPTO_GENERADOR!E:E,"-",0)</f>
        <v>1</v>
      </c>
      <c r="Q708" s="123">
        <f t="shared" si="301"/>
        <v>0</v>
      </c>
      <c r="R708" s="125">
        <f>+_xlfn.XLOOKUP(A708,PPTO_GENERADOR!$Q:$Q,PPTO_GENERADOR!A:A,"-",0)</f>
        <v>1.08</v>
      </c>
    </row>
    <row r="709" spans="1:18" ht="14.25" customHeight="1" x14ac:dyDescent="0.35">
      <c r="A709" s="105" t="s">
        <v>48</v>
      </c>
      <c r="B709" s="105" t="s">
        <v>1979</v>
      </c>
      <c r="C709" s="105" t="s">
        <v>1982</v>
      </c>
      <c r="D709" s="105" t="s">
        <v>1532</v>
      </c>
      <c r="E709" s="95" t="str">
        <f>IFERROR(VLOOKUP(D709,SUBCONTRATOS_PRY!A:B,2,FALSE()),"?")</f>
        <v>Gestion suministro luz de obra</v>
      </c>
      <c r="F709" s="129" t="s">
        <v>2042</v>
      </c>
      <c r="G709" s="119">
        <v>1</v>
      </c>
      <c r="H709" s="120">
        <v>0</v>
      </c>
      <c r="I709" s="96">
        <f>IFERROR(VLOOKUP(D709,SUBCONTRATOS_PRY!A:D,4,FALSE()),0)</f>
        <v>157327.46103959001</v>
      </c>
      <c r="J709" s="31">
        <f t="shared" ref="J709:J719" si="302">G709*I709</f>
        <v>157327.46103959001</v>
      </c>
      <c r="K709" s="32" t="str">
        <f t="shared" si="295"/>
        <v>PTO-0109|MO</v>
      </c>
      <c r="L709" s="32">
        <f>COUNTIFS($K$2:K709,K709)</f>
        <v>1</v>
      </c>
      <c r="M709" s="32" t="str">
        <f t="shared" si="299"/>
        <v>PTO-0109|MO|1</v>
      </c>
      <c r="N709" s="121">
        <f>IFERROR(VLOOKUP(A709,PARTIDAS!A:F,6,FALSE()),0)</f>
        <v>1</v>
      </c>
      <c r="O709" s="123">
        <f t="shared" si="300"/>
        <v>0</v>
      </c>
      <c r="P709" s="123">
        <f>+_xlfn.XLOOKUP(A709,PPTO_GENERADOR!Q:Q,PPTO_GENERADOR!E:E,"-",0)</f>
        <v>1</v>
      </c>
      <c r="Q709" s="123">
        <f t="shared" si="301"/>
        <v>0</v>
      </c>
      <c r="R709" s="125">
        <f>+_xlfn.XLOOKUP(A709,PPTO_GENERADOR!$Q:$Q,PPTO_GENERADOR!A:A,"-",0)</f>
        <v>1.0900000000000001</v>
      </c>
    </row>
    <row r="710" spans="1:18" ht="14.25" customHeight="1" x14ac:dyDescent="0.35">
      <c r="A710" s="105" t="s">
        <v>48</v>
      </c>
      <c r="B710" s="105" t="s">
        <v>1979</v>
      </c>
      <c r="C710" s="105" t="s">
        <v>1982</v>
      </c>
      <c r="D710" s="105" t="s">
        <v>1534</v>
      </c>
      <c r="E710" s="95" t="str">
        <f>IFERROR(VLOOKUP(D710,SUBCONTRATOS_PRY!A:B,2,FALSE()),"?")</f>
        <v>Luz de Obra</v>
      </c>
      <c r="F710" s="129" t="s">
        <v>2042</v>
      </c>
      <c r="G710" s="119">
        <v>2</v>
      </c>
      <c r="H710" s="120">
        <v>0</v>
      </c>
      <c r="I710" s="96">
        <f>IFERROR(VLOOKUP(D710,SUBCONTRATOS_PRY!A:D,4,FALSE()),0)</f>
        <v>113275.771948505</v>
      </c>
      <c r="J710" s="31">
        <f t="shared" si="302"/>
        <v>226551.54389701001</v>
      </c>
      <c r="K710" s="32" t="str">
        <f t="shared" si="295"/>
        <v>PTO-0109|MO</v>
      </c>
      <c r="L710" s="32">
        <f>COUNTIFS($K$2:K710,K710)</f>
        <v>2</v>
      </c>
      <c r="M710" s="32" t="str">
        <f t="shared" si="299"/>
        <v>PTO-0109|MO|2</v>
      </c>
      <c r="N710" s="121">
        <f>IFERROR(VLOOKUP(A710,PARTIDAS!A:F,6,FALSE()),0)</f>
        <v>1</v>
      </c>
      <c r="O710" s="123">
        <f t="shared" si="300"/>
        <v>0</v>
      </c>
      <c r="P710" s="123">
        <f>+_xlfn.XLOOKUP(A710,PPTO_GENERADOR!Q:Q,PPTO_GENERADOR!E:E,"-",0)</f>
        <v>1</v>
      </c>
      <c r="Q710" s="123">
        <f t="shared" si="301"/>
        <v>0</v>
      </c>
      <c r="R710" s="125">
        <f>+_xlfn.XLOOKUP(A710,PPTO_GENERADOR!$Q:$Q,PPTO_GENERADOR!A:A,"-",0)</f>
        <v>1.0900000000000001</v>
      </c>
    </row>
    <row r="711" spans="1:18" ht="14.25" customHeight="1" x14ac:dyDescent="0.35">
      <c r="A711" s="105" t="s">
        <v>48</v>
      </c>
      <c r="B711" s="105" t="s">
        <v>1979</v>
      </c>
      <c r="C711" s="105" t="s">
        <v>1982</v>
      </c>
      <c r="D711" s="105" t="s">
        <v>1536</v>
      </c>
      <c r="E711" s="95" t="str">
        <f>IFERROR(VLOOKUP(D711,SUBCONTRATOS_PRY!A:B,2,FALSE()),"?")</f>
        <v>Medicion PAT luz de obra</v>
      </c>
      <c r="F711" s="129" t="s">
        <v>2042</v>
      </c>
      <c r="G711" s="119">
        <v>1</v>
      </c>
      <c r="H711" s="120">
        <v>0</v>
      </c>
      <c r="I711" s="96">
        <f>IFERROR(VLOOKUP(D711,SUBCONTRATOS_PRY!A:D,4,FALSE()),0)</f>
        <v>99116.300454941505</v>
      </c>
      <c r="J711" s="31">
        <f t="shared" si="302"/>
        <v>99116.300454941505</v>
      </c>
      <c r="K711" s="32" t="str">
        <f t="shared" si="295"/>
        <v>PTO-0109|MO</v>
      </c>
      <c r="L711" s="32">
        <f>COUNTIFS($K$2:K711,K711)</f>
        <v>3</v>
      </c>
      <c r="M711" s="32" t="str">
        <f t="shared" si="299"/>
        <v>PTO-0109|MO|3</v>
      </c>
      <c r="N711" s="121">
        <f>IFERROR(VLOOKUP(A711,PARTIDAS!A:F,6,FALSE()),0)</f>
        <v>1</v>
      </c>
      <c r="O711" s="123">
        <f t="shared" si="300"/>
        <v>0</v>
      </c>
      <c r="P711" s="123">
        <f>+_xlfn.XLOOKUP(A711,PPTO_GENERADOR!Q:Q,PPTO_GENERADOR!E:E,"-",0)</f>
        <v>1</v>
      </c>
      <c r="Q711" s="123">
        <f t="shared" si="301"/>
        <v>0</v>
      </c>
      <c r="R711" s="125">
        <f>+_xlfn.XLOOKUP(A711,PPTO_GENERADOR!$Q:$Q,PPTO_GENERADOR!A:A,"-",0)</f>
        <v>1.0900000000000001</v>
      </c>
    </row>
    <row r="712" spans="1:18" ht="14.25" customHeight="1" x14ac:dyDescent="0.35">
      <c r="A712" s="105" t="s">
        <v>51</v>
      </c>
      <c r="B712" s="105" t="s">
        <v>1979</v>
      </c>
      <c r="C712" s="105" t="s">
        <v>1982</v>
      </c>
      <c r="D712" s="105" t="s">
        <v>1538</v>
      </c>
      <c r="E712" s="95" t="str">
        <f>IFERROR(VLOOKUP(D712,SUBCONTRATOS_PRY!A:B,2,FALSE()),"?")</f>
        <v>Desmonte y aporte de tosca</v>
      </c>
      <c r="F712" s="129" t="s">
        <v>2042</v>
      </c>
      <c r="G712" s="119">
        <v>1.1000000000000001</v>
      </c>
      <c r="H712" s="120">
        <v>0</v>
      </c>
      <c r="I712" s="96">
        <f>IFERROR(VLOOKUP(D712,SUBCONTRATOS_PRY!A:D,4,FALSE()),0)</f>
        <v>23552.222222222201</v>
      </c>
      <c r="J712" s="31">
        <f t="shared" si="302"/>
        <v>25907.444444444423</v>
      </c>
      <c r="K712" s="32" t="str">
        <f t="shared" si="295"/>
        <v>PTO-0201|MO</v>
      </c>
      <c r="L712" s="32">
        <f>COUNTIFS($K$2:K712,K712)</f>
        <v>1</v>
      </c>
      <c r="M712" s="32" t="str">
        <f t="shared" si="299"/>
        <v>PTO-0201|MO|1</v>
      </c>
      <c r="N712" s="121">
        <f>IFERROR(VLOOKUP(A712,PARTIDAS!A:F,6,FALSE()),0)</f>
        <v>1</v>
      </c>
      <c r="O712" s="123">
        <f t="shared" si="300"/>
        <v>0</v>
      </c>
      <c r="P712" s="123">
        <f>+_xlfn.XLOOKUP(A712,PPTO_GENERADOR!Q:Q,PPTO_GENERADOR!E:E,"-",0)</f>
        <v>219</v>
      </c>
      <c r="Q712" s="123">
        <f t="shared" si="301"/>
        <v>0</v>
      </c>
      <c r="R712" s="125">
        <f>+_xlfn.XLOOKUP(A712,PPTO_GENERADOR!$Q:$Q,PPTO_GENERADOR!A:A,"-",0)</f>
        <v>2.0099999999999998</v>
      </c>
    </row>
    <row r="713" spans="1:18" ht="14.25" customHeight="1" x14ac:dyDescent="0.35">
      <c r="A713" s="105" t="s">
        <v>51</v>
      </c>
      <c r="B713" s="105" t="s">
        <v>1979</v>
      </c>
      <c r="C713" s="105" t="s">
        <v>1980</v>
      </c>
      <c r="D713" s="105" t="s">
        <v>2038</v>
      </c>
      <c r="E713" s="95" t="str">
        <f>IFERROR(VLOOKUP(D713,MANO_DE_OBRA!A:B,2,FALSE()),"?")</f>
        <v>AYUDANTE</v>
      </c>
      <c r="F713" s="129" t="s">
        <v>2042</v>
      </c>
      <c r="G713" s="119">
        <v>4.5662000000000001E-2</v>
      </c>
      <c r="H713" s="120">
        <v>0</v>
      </c>
      <c r="I713" s="96">
        <f>IFERROR(VLOOKUP(D713,MANO_DE_OBRA!A:C,3,FALSE()),0)</f>
        <v>67240.498860267602</v>
      </c>
      <c r="J713" s="31">
        <f t="shared" si="302"/>
        <v>3070.3356589575392</v>
      </c>
      <c r="K713" s="32" t="str">
        <f t="shared" si="295"/>
        <v>PTO-0201|MO</v>
      </c>
      <c r="L713" s="32">
        <f>COUNTIFS($K$2:K713,K713)</f>
        <v>2</v>
      </c>
      <c r="M713" s="32" t="str">
        <f t="shared" si="299"/>
        <v>PTO-0201|MO|2</v>
      </c>
      <c r="N713" s="121">
        <f>IFERROR(VLOOKUP(A713,PARTIDAS!A:F,6,FALSE()),0)</f>
        <v>1</v>
      </c>
      <c r="O713" s="123">
        <f t="shared" si="300"/>
        <v>4.5662000000000001E-2</v>
      </c>
      <c r="P713" s="123">
        <f>+_xlfn.XLOOKUP(A713,PPTO_GENERADOR!Q:Q,PPTO_GENERADOR!E:E,"-",0)</f>
        <v>219</v>
      </c>
      <c r="Q713" s="123">
        <f t="shared" si="301"/>
        <v>9.9999780000000005</v>
      </c>
      <c r="R713" s="125">
        <f>+_xlfn.XLOOKUP(A713,PPTO_GENERADOR!$Q:$Q,PPTO_GENERADOR!A:A,"-",0)</f>
        <v>2.0099999999999998</v>
      </c>
    </row>
    <row r="714" spans="1:18" ht="14.25" customHeight="1" x14ac:dyDescent="0.35">
      <c r="A714" s="105" t="s">
        <v>54</v>
      </c>
      <c r="B714" s="105" t="s">
        <v>1979</v>
      </c>
      <c r="C714" s="105" t="s">
        <v>1982</v>
      </c>
      <c r="D714" s="105" t="s">
        <v>1540</v>
      </c>
      <c r="E714" s="95" t="str">
        <f>IFERROR(VLOOKUP(D714,SUBCONTRATOS_PRY!A:B,2,FALSE()),"?")</f>
        <v>Maquina 6 tn</v>
      </c>
      <c r="F714" s="129" t="s">
        <v>2042</v>
      </c>
      <c r="G714" s="119">
        <v>0.03</v>
      </c>
      <c r="H714" s="120">
        <v>0</v>
      </c>
      <c r="I714" s="96">
        <f>IFERROR(VLOOKUP(D714,SUBCONTRATOS_PRY!A:D,4,FALSE()),0)</f>
        <v>528000</v>
      </c>
      <c r="J714" s="31">
        <f t="shared" si="302"/>
        <v>15840</v>
      </c>
      <c r="K714" s="32" t="str">
        <f t="shared" si="295"/>
        <v>PTO-0202|MO</v>
      </c>
      <c r="L714" s="32">
        <f>COUNTIFS($K$2:K714,K714)</f>
        <v>1</v>
      </c>
      <c r="M714" s="32" t="str">
        <f t="shared" si="299"/>
        <v>PTO-0202|MO|1</v>
      </c>
      <c r="N714" s="121">
        <f>IFERROR(VLOOKUP(A714,PARTIDAS!A:F,6,FALSE()),0)</f>
        <v>1</v>
      </c>
      <c r="O714" s="123">
        <f t="shared" si="300"/>
        <v>0</v>
      </c>
      <c r="P714" s="123">
        <f>+_xlfn.XLOOKUP(A714,PPTO_GENERADOR!Q:Q,PPTO_GENERADOR!E:E,"-",0)</f>
        <v>100</v>
      </c>
      <c r="Q714" s="123">
        <f t="shared" si="301"/>
        <v>0</v>
      </c>
      <c r="R714" s="125">
        <f>+_xlfn.XLOOKUP(A714,PPTO_GENERADOR!$Q:$Q,PPTO_GENERADOR!A:A,"-",0)</f>
        <v>2.02</v>
      </c>
    </row>
    <row r="715" spans="1:18" ht="14.25" customHeight="1" x14ac:dyDescent="0.35">
      <c r="A715" s="105" t="s">
        <v>54</v>
      </c>
      <c r="B715" s="105" t="s">
        <v>1979</v>
      </c>
      <c r="C715" s="105" t="s">
        <v>1982</v>
      </c>
      <c r="D715" s="105" t="s">
        <v>1542</v>
      </c>
      <c r="E715" s="95" t="str">
        <f>IFERROR(VLOOKUP(D715,SUBCONTRATOS_PRY!A:B,2,FALSE()),"?")</f>
        <v>Viajes camión</v>
      </c>
      <c r="F715" s="129" t="s">
        <v>2042</v>
      </c>
      <c r="G715" s="119">
        <v>0.05</v>
      </c>
      <c r="H715" s="120">
        <v>0</v>
      </c>
      <c r="I715" s="96">
        <f>IFERROR(VLOOKUP(D715,SUBCONTRATOS_PRY!A:D,4,FALSE()),0)</f>
        <v>140000</v>
      </c>
      <c r="J715" s="31">
        <f t="shared" si="302"/>
        <v>7000</v>
      </c>
      <c r="K715" s="32" t="str">
        <f t="shared" si="295"/>
        <v>PTO-0202|MO</v>
      </c>
      <c r="L715" s="32">
        <f>COUNTIFS($K$2:K715,K715)</f>
        <v>2</v>
      </c>
      <c r="M715" s="32" t="str">
        <f t="shared" si="299"/>
        <v>PTO-0202|MO|2</v>
      </c>
      <c r="N715" s="121">
        <f>IFERROR(VLOOKUP(A715,PARTIDAS!A:F,6,FALSE()),0)</f>
        <v>1</v>
      </c>
      <c r="O715" s="123">
        <f t="shared" si="300"/>
        <v>0</v>
      </c>
      <c r="P715" s="123">
        <f>+_xlfn.XLOOKUP(A715,PPTO_GENERADOR!Q:Q,PPTO_GENERADOR!E:E,"-",0)</f>
        <v>100</v>
      </c>
      <c r="Q715" s="123">
        <f t="shared" si="301"/>
        <v>0</v>
      </c>
      <c r="R715" s="125">
        <f>+_xlfn.XLOOKUP(A715,PPTO_GENERADOR!$Q:$Q,PPTO_GENERADOR!A:A,"-",0)</f>
        <v>2.02</v>
      </c>
    </row>
    <row r="716" spans="1:18" ht="14.25" customHeight="1" x14ac:dyDescent="0.35">
      <c r="A716" s="105" t="s">
        <v>54</v>
      </c>
      <c r="B716" s="105" t="s">
        <v>1979</v>
      </c>
      <c r="C716" s="105" t="s">
        <v>1982</v>
      </c>
      <c r="D716" s="105" t="s">
        <v>1544</v>
      </c>
      <c r="E716" s="95" t="str">
        <f>IFERROR(VLOOKUP(D716,SUBCONTRATOS_PRY!A:B,2,FALSE()),"?")</f>
        <v>Traslado de maquina</v>
      </c>
      <c r="F716" s="129" t="s">
        <v>2042</v>
      </c>
      <c r="G716" s="119">
        <v>0.02</v>
      </c>
      <c r="H716" s="120">
        <v>0</v>
      </c>
      <c r="I716" s="96">
        <f>IFERROR(VLOOKUP(D716,SUBCONTRATOS_PRY!A:D,4,FALSE()),0)</f>
        <v>80000</v>
      </c>
      <c r="J716" s="31">
        <f t="shared" si="302"/>
        <v>1600</v>
      </c>
      <c r="K716" s="32" t="str">
        <f t="shared" si="295"/>
        <v>PTO-0202|MO</v>
      </c>
      <c r="L716" s="32">
        <f>COUNTIFS($K$2:K716,K716)</f>
        <v>3</v>
      </c>
      <c r="M716" s="32" t="str">
        <f t="shared" si="299"/>
        <v>PTO-0202|MO|3</v>
      </c>
      <c r="N716" s="121">
        <f>IFERROR(VLOOKUP(A716,PARTIDAS!A:F,6,FALSE()),0)</f>
        <v>1</v>
      </c>
      <c r="O716" s="123">
        <f t="shared" si="300"/>
        <v>0</v>
      </c>
      <c r="P716" s="123">
        <f>+_xlfn.XLOOKUP(A716,PPTO_GENERADOR!Q:Q,PPTO_GENERADOR!E:E,"-",0)</f>
        <v>100</v>
      </c>
      <c r="Q716" s="123">
        <f t="shared" si="301"/>
        <v>0</v>
      </c>
      <c r="R716" s="125">
        <f>+_xlfn.XLOOKUP(A716,PPTO_GENERADOR!$Q:$Q,PPTO_GENERADOR!A:A,"-",0)</f>
        <v>2.02</v>
      </c>
    </row>
    <row r="717" spans="1:18" ht="14.25" customHeight="1" x14ac:dyDescent="0.35">
      <c r="A717" s="105" t="s">
        <v>54</v>
      </c>
      <c r="B717" s="105" t="s">
        <v>1979</v>
      </c>
      <c r="C717" s="105" t="s">
        <v>1980</v>
      </c>
      <c r="D717" s="105" t="s">
        <v>2038</v>
      </c>
      <c r="E717" s="95" t="str">
        <f>IFERROR(VLOOKUP(D717,MANO_DE_OBRA!A:B,2,FALSE()),"?")</f>
        <v>AYUDANTE</v>
      </c>
      <c r="F717" s="129" t="s">
        <v>2042</v>
      </c>
      <c r="G717" s="119">
        <v>0.1</v>
      </c>
      <c r="H717" s="120">
        <v>0</v>
      </c>
      <c r="I717" s="96">
        <f>IFERROR(VLOOKUP(D717,MANO_DE_OBRA!A:C,3,FALSE()),0)</f>
        <v>67240.498860267602</v>
      </c>
      <c r="J717" s="31">
        <f t="shared" si="302"/>
        <v>6724.0498860267608</v>
      </c>
      <c r="K717" s="32" t="str">
        <f t="shared" si="295"/>
        <v>PTO-0202|MO</v>
      </c>
      <c r="L717" s="32">
        <f>COUNTIFS($K$2:K717,K717)</f>
        <v>4</v>
      </c>
      <c r="M717" s="32" t="str">
        <f t="shared" si="299"/>
        <v>PTO-0202|MO|4</v>
      </c>
      <c r="N717" s="121">
        <f>IFERROR(VLOOKUP(A717,PARTIDAS!A:F,6,FALSE()),0)</f>
        <v>1</v>
      </c>
      <c r="O717" s="123">
        <f t="shared" si="300"/>
        <v>0.1</v>
      </c>
      <c r="P717" s="123">
        <f>+_xlfn.XLOOKUP(A717,PPTO_GENERADOR!Q:Q,PPTO_GENERADOR!E:E,"-",0)</f>
        <v>100</v>
      </c>
      <c r="Q717" s="123">
        <f t="shared" si="301"/>
        <v>10</v>
      </c>
      <c r="R717" s="125">
        <f>+_xlfn.XLOOKUP(A717,PPTO_GENERADOR!$Q:$Q,PPTO_GENERADOR!A:A,"-",0)</f>
        <v>2.02</v>
      </c>
    </row>
    <row r="718" spans="1:18" ht="14.25" customHeight="1" x14ac:dyDescent="0.35">
      <c r="A718" s="105" t="s">
        <v>54</v>
      </c>
      <c r="B718" s="105" t="s">
        <v>1983</v>
      </c>
      <c r="C718" s="105"/>
      <c r="D718" s="105" t="s">
        <v>1341</v>
      </c>
      <c r="E718" s="95" t="str">
        <f>IFERROR(VLOOKUP(D718,EQUIPOS!A:B,2,FALSE()),"?")</f>
        <v>Herramientas — Excavación para cámara transformadora</v>
      </c>
      <c r="F718" s="129"/>
      <c r="G718" s="119">
        <v>1</v>
      </c>
      <c r="H718" s="120">
        <v>0</v>
      </c>
      <c r="I718" s="96">
        <f>IFERROR(VLOOKUP(D718,EQUIPOS!A:F,6,FALSE()),0)</f>
        <v>467.460748290401</v>
      </c>
      <c r="J718" s="31">
        <f>G718*I718</f>
        <v>467.460748290401</v>
      </c>
      <c r="K718" s="32" t="str">
        <f t="shared" si="295"/>
        <v>PTO-0202|EQ</v>
      </c>
      <c r="L718" s="32">
        <f>COUNTIFS($K$2:K718,K718)</f>
        <v>1</v>
      </c>
      <c r="M718" s="32" t="str">
        <f t="shared" si="299"/>
        <v>PTO-0202|EQ|1</v>
      </c>
      <c r="N718" s="121">
        <f>IFERROR(VLOOKUP(A718,PARTIDAS!A:F,6,FALSE()),0)</f>
        <v>1</v>
      </c>
      <c r="O718" s="123">
        <f t="shared" si="300"/>
        <v>0</v>
      </c>
      <c r="P718" s="123">
        <f>+_xlfn.XLOOKUP(A718,PPTO_GENERADOR!Q:Q,PPTO_GENERADOR!E:E,"-",0)</f>
        <v>100</v>
      </c>
      <c r="Q718" s="123">
        <f t="shared" si="301"/>
        <v>0</v>
      </c>
      <c r="R718" s="125">
        <f>+_xlfn.XLOOKUP(A718,PPTO_GENERADOR!$Q:$Q,PPTO_GENERADOR!A:A,"-",0)</f>
        <v>2.02</v>
      </c>
    </row>
    <row r="719" spans="1:18" ht="14.25" customHeight="1" x14ac:dyDescent="0.35">
      <c r="A719" s="105" t="s">
        <v>56</v>
      </c>
      <c r="B719" s="105" t="s">
        <v>1979</v>
      </c>
      <c r="C719" s="105" t="s">
        <v>1980</v>
      </c>
      <c r="D719" s="105" t="s">
        <v>2038</v>
      </c>
      <c r="E719" s="95" t="str">
        <f>IFERROR(VLOOKUP(D719,MANO_DE_OBRA!A:B,2,FALSE()),"?")</f>
        <v>AYUDANTE</v>
      </c>
      <c r="F719" s="129" t="s">
        <v>2042</v>
      </c>
      <c r="G719" s="119">
        <v>1</v>
      </c>
      <c r="H719" s="120">
        <v>0</v>
      </c>
      <c r="I719" s="96">
        <f>IFERROR(VLOOKUP(D719,MANO_DE_OBRA!A:C,3,FALSE()),0)</f>
        <v>67240.498860267602</v>
      </c>
      <c r="J719" s="31">
        <f t="shared" si="302"/>
        <v>67240.498860267602</v>
      </c>
      <c r="K719" s="32" t="str">
        <f t="shared" si="295"/>
        <v>PTO-0203|MO</v>
      </c>
      <c r="L719" s="32">
        <f>COUNTIFS($K$2:K719,K719)</f>
        <v>1</v>
      </c>
      <c r="M719" s="32" t="str">
        <f t="shared" si="299"/>
        <v>PTO-0203|MO|1</v>
      </c>
      <c r="N719" s="121">
        <f>IFERROR(VLOOKUP(A719,PARTIDAS!A:F,6,FALSE()),0)</f>
        <v>1</v>
      </c>
      <c r="O719" s="123">
        <f t="shared" si="300"/>
        <v>1</v>
      </c>
      <c r="P719" s="123">
        <f>+_xlfn.XLOOKUP(A719,PPTO_GENERADOR!Q:Q,PPTO_GENERADOR!E:E,"-",0)</f>
        <v>43</v>
      </c>
      <c r="Q719" s="123">
        <f t="shared" si="301"/>
        <v>43</v>
      </c>
      <c r="R719" s="125">
        <f>+_xlfn.XLOOKUP(A719,PPTO_GENERADOR!$Q:$Q,PPTO_GENERADOR!A:A,"-",0)</f>
        <v>2.0299999999999998</v>
      </c>
    </row>
    <row r="720" spans="1:18" ht="14.25" customHeight="1" x14ac:dyDescent="0.35">
      <c r="A720" s="105" t="s">
        <v>60</v>
      </c>
      <c r="B720" s="105" t="s">
        <v>1981</v>
      </c>
      <c r="C720" s="105" t="s">
        <v>1982</v>
      </c>
      <c r="D720" s="105" t="s">
        <v>674</v>
      </c>
      <c r="E720" s="95" t="str">
        <f>IFERROR(VLOOKUP(D720,MATERIALES!A:B,2,FALSE()),"?")</f>
        <v>H13</v>
      </c>
      <c r="F720" s="129" t="str">
        <f>IFERROR(VLOOKUP(D720,MATERIALES!A:C,3,FALSE()),"?")</f>
        <v>u</v>
      </c>
      <c r="G720" s="119">
        <v>1</v>
      </c>
      <c r="H720" s="120">
        <v>0</v>
      </c>
      <c r="I720" s="96">
        <f>IFERROR(VLOOKUP(D720,MATERIALES!A:D,4,FALSE()),0)</f>
        <v>115100</v>
      </c>
      <c r="J720" s="31">
        <f t="shared" ref="J720:J722" si="303">G720*I720*(1+H720)</f>
        <v>115100</v>
      </c>
      <c r="K720" s="32" t="str">
        <f t="shared" si="295"/>
        <v>PTO-0301|MAT</v>
      </c>
      <c r="L720" s="32">
        <f>COUNTIFS($K$2:K720,K720)</f>
        <v>1</v>
      </c>
      <c r="M720" s="32" t="str">
        <f t="shared" si="299"/>
        <v>PTO-0301|MAT|1</v>
      </c>
      <c r="N720" s="121">
        <f>IFERROR(VLOOKUP(A720,PARTIDAS!A:F,6,FALSE()),0)</f>
        <v>1</v>
      </c>
      <c r="O720" s="123">
        <f t="shared" si="300"/>
        <v>0</v>
      </c>
      <c r="P720" s="123">
        <f>+_xlfn.XLOOKUP(A720,PPTO_GENERADOR!Q:Q,PPTO_GENERADOR!E:E,"-",0)</f>
        <v>3</v>
      </c>
      <c r="Q720" s="123">
        <f t="shared" si="301"/>
        <v>0</v>
      </c>
      <c r="R720" s="125">
        <f>+_xlfn.XLOOKUP(A720,PPTO_GENERADOR!$Q:$Q,PPTO_GENERADOR!A:A,"-",0)</f>
        <v>3.01</v>
      </c>
    </row>
    <row r="721" spans="1:18" ht="14.25" customHeight="1" x14ac:dyDescent="0.35">
      <c r="A721" s="105" t="s">
        <v>60</v>
      </c>
      <c r="B721" s="105" t="s">
        <v>1981</v>
      </c>
      <c r="C721" s="105" t="s">
        <v>1982</v>
      </c>
      <c r="D721" s="105" t="s">
        <v>677</v>
      </c>
      <c r="E721" s="95" t="str">
        <f>IFERROR(VLOOKUP(D721,MATERIALES!A:B,2,FALSE()),"?")</f>
        <v>Bombeo</v>
      </c>
      <c r="F721" s="129" t="str">
        <f>IFERROR(VLOOKUP(D721,MATERIALES!A:C,3,FALSE()),"?")</f>
        <v>u</v>
      </c>
      <c r="G721" s="119">
        <v>1</v>
      </c>
      <c r="H721" s="120">
        <v>0</v>
      </c>
      <c r="I721" s="96">
        <f>IFERROR(VLOOKUP(D721,MATERIALES!A:D,4,FALSE()),0)</f>
        <v>5330</v>
      </c>
      <c r="J721" s="31">
        <f t="shared" si="303"/>
        <v>5330</v>
      </c>
      <c r="K721" s="32" t="str">
        <f t="shared" si="295"/>
        <v>PTO-0301|MAT</v>
      </c>
      <c r="L721" s="32">
        <f>COUNTIFS($K$2:K721,K721)</f>
        <v>2</v>
      </c>
      <c r="M721" s="32" t="str">
        <f t="shared" si="299"/>
        <v>PTO-0301|MAT|2</v>
      </c>
      <c r="N721" s="121">
        <f>IFERROR(VLOOKUP(A721,PARTIDAS!A:F,6,FALSE()),0)</f>
        <v>1</v>
      </c>
      <c r="O721" s="123">
        <f t="shared" si="300"/>
        <v>0</v>
      </c>
      <c r="P721" s="123">
        <f>+_xlfn.XLOOKUP(A721,PPTO_GENERADOR!Q:Q,PPTO_GENERADOR!E:E,"-",0)</f>
        <v>3</v>
      </c>
      <c r="Q721" s="123">
        <f t="shared" si="301"/>
        <v>0</v>
      </c>
      <c r="R721" s="125">
        <f>+_xlfn.XLOOKUP(A721,PPTO_GENERADOR!$Q:$Q,PPTO_GENERADOR!A:A,"-",0)</f>
        <v>3.01</v>
      </c>
    </row>
    <row r="722" spans="1:18" ht="14.25" customHeight="1" x14ac:dyDescent="0.35">
      <c r="A722" s="105" t="s">
        <v>60</v>
      </c>
      <c r="B722" s="105" t="s">
        <v>1981</v>
      </c>
      <c r="C722" s="105" t="s">
        <v>1982</v>
      </c>
      <c r="D722" s="105" t="s">
        <v>679</v>
      </c>
      <c r="E722" s="95" t="str">
        <f>IFERROR(VLOOKUP(D722,MATERIALES!A:B,2,FALSE()),"?")</f>
        <v>Bomba</v>
      </c>
      <c r="F722" s="129" t="str">
        <f>IFERROR(VLOOKUP(D722,MATERIALES!A:C,3,FALSE()),"?")</f>
        <v>u</v>
      </c>
      <c r="G722" s="119">
        <v>0</v>
      </c>
      <c r="H722" s="120">
        <v>0</v>
      </c>
      <c r="I722" s="96">
        <f>IFERROR(VLOOKUP(D722,MATERIALES!A:D,4,FALSE()),0)</f>
        <v>533000</v>
      </c>
      <c r="J722" s="31">
        <f t="shared" si="303"/>
        <v>0</v>
      </c>
      <c r="K722" s="32" t="str">
        <f t="shared" si="295"/>
        <v>PTO-0301|MAT</v>
      </c>
      <c r="L722" s="32">
        <f>COUNTIFS($K$2:K722,K722)</f>
        <v>3</v>
      </c>
      <c r="M722" s="32" t="str">
        <f t="shared" si="299"/>
        <v>PTO-0301|MAT|3</v>
      </c>
      <c r="N722" s="121">
        <f>IFERROR(VLOOKUP(A722,PARTIDAS!A:F,6,FALSE()),0)</f>
        <v>1</v>
      </c>
      <c r="O722" s="123">
        <f t="shared" si="300"/>
        <v>0</v>
      </c>
      <c r="P722" s="123">
        <f>+_xlfn.XLOOKUP(A722,PPTO_GENERADOR!Q:Q,PPTO_GENERADOR!E:E,"-",0)</f>
        <v>3</v>
      </c>
      <c r="Q722" s="123">
        <f t="shared" si="301"/>
        <v>0</v>
      </c>
      <c r="R722" s="125">
        <f>+_xlfn.XLOOKUP(A722,PPTO_GENERADOR!$Q:$Q,PPTO_GENERADOR!A:A,"-",0)</f>
        <v>3.01</v>
      </c>
    </row>
    <row r="723" spans="1:18" ht="14.25" customHeight="1" x14ac:dyDescent="0.35">
      <c r="A723" s="105" t="s">
        <v>60</v>
      </c>
      <c r="B723" s="105" t="s">
        <v>1979</v>
      </c>
      <c r="C723" s="105" t="s">
        <v>1980</v>
      </c>
      <c r="D723" s="105" t="s">
        <v>1292</v>
      </c>
      <c r="E723" s="95" t="str">
        <f>IFERROR(VLOOKUP(D723,MANO_DE_OBRA!A:B,2,FALSE()),"?")</f>
        <v>ESPECIALIZADO</v>
      </c>
      <c r="F723" s="129" t="s">
        <v>2042</v>
      </c>
      <c r="G723" s="119">
        <v>0.33333299999999999</v>
      </c>
      <c r="H723" s="120">
        <v>0</v>
      </c>
      <c r="I723" s="96">
        <f>IFERROR(VLOOKUP(D723,MANO_DE_OBRA!A:C,3,FALSE()),0)</f>
        <v>94177.137883538904</v>
      </c>
      <c r="J723" s="31">
        <f t="shared" ref="J723:J725" si="304">G723*I723</f>
        <v>31392.347902133672</v>
      </c>
      <c r="K723" s="32" t="str">
        <f t="shared" si="295"/>
        <v>PTO-0301|MO</v>
      </c>
      <c r="L723" s="32">
        <f>COUNTIFS($K$2:K723,K723)</f>
        <v>1</v>
      </c>
      <c r="M723" s="32" t="str">
        <f t="shared" si="299"/>
        <v>PTO-0301|MO|1</v>
      </c>
      <c r="N723" s="121">
        <f>IFERROR(VLOOKUP(A723,PARTIDAS!A:F,6,FALSE()),0)</f>
        <v>1</v>
      </c>
      <c r="O723" s="123">
        <f t="shared" si="300"/>
        <v>0.33333299999999999</v>
      </c>
      <c r="P723" s="123">
        <f>+_xlfn.XLOOKUP(A723,PPTO_GENERADOR!Q:Q,PPTO_GENERADOR!E:E,"-",0)</f>
        <v>3</v>
      </c>
      <c r="Q723" s="123">
        <f t="shared" si="301"/>
        <v>0.99999899999999997</v>
      </c>
      <c r="R723" s="125">
        <f>+_xlfn.XLOOKUP(A723,PPTO_GENERADOR!$Q:$Q,PPTO_GENERADOR!A:A,"-",0)</f>
        <v>3.01</v>
      </c>
    </row>
    <row r="724" spans="1:18" ht="14.25" customHeight="1" x14ac:dyDescent="0.35">
      <c r="A724" s="105" t="s">
        <v>60</v>
      </c>
      <c r="B724" s="105" t="s">
        <v>1979</v>
      </c>
      <c r="C724" s="105" t="s">
        <v>1980</v>
      </c>
      <c r="D724" s="105" t="s">
        <v>1290</v>
      </c>
      <c r="E724" s="95" t="str">
        <f>IFERROR(VLOOKUP(D724,MANO_DE_OBRA!A:B,2,FALSE()),"?")</f>
        <v>OFICIAL</v>
      </c>
      <c r="F724" s="129" t="s">
        <v>2042</v>
      </c>
      <c r="G724" s="119">
        <v>0.66666700000000001</v>
      </c>
      <c r="H724" s="120">
        <v>0</v>
      </c>
      <c r="I724" s="96">
        <f>IFERROR(VLOOKUP(D724,MANO_DE_OBRA!A:C,3,FALSE()),0)</f>
        <v>84612.512709566407</v>
      </c>
      <c r="J724" s="31">
        <f t="shared" si="304"/>
        <v>56408.370010548511</v>
      </c>
      <c r="K724" s="32" t="str">
        <f t="shared" si="295"/>
        <v>PTO-0301|MO</v>
      </c>
      <c r="L724" s="32">
        <f>COUNTIFS($K$2:K724,K724)</f>
        <v>2</v>
      </c>
      <c r="M724" s="32" t="str">
        <f t="shared" si="299"/>
        <v>PTO-0301|MO|2</v>
      </c>
      <c r="N724" s="121">
        <f>IFERROR(VLOOKUP(A724,PARTIDAS!A:F,6,FALSE()),0)</f>
        <v>1</v>
      </c>
      <c r="O724" s="123">
        <f t="shared" si="300"/>
        <v>0.66666700000000001</v>
      </c>
      <c r="P724" s="123">
        <f>+_xlfn.XLOOKUP(A724,PPTO_GENERADOR!Q:Q,PPTO_GENERADOR!E:E,"-",0)</f>
        <v>3</v>
      </c>
      <c r="Q724" s="123">
        <f t="shared" si="301"/>
        <v>2.0000010000000001</v>
      </c>
      <c r="R724" s="125">
        <f>+_xlfn.XLOOKUP(A724,PPTO_GENERADOR!$Q:$Q,PPTO_GENERADOR!A:A,"-",0)</f>
        <v>3.01</v>
      </c>
    </row>
    <row r="725" spans="1:18" ht="14.25" customHeight="1" x14ac:dyDescent="0.35">
      <c r="A725" s="105" t="s">
        <v>60</v>
      </c>
      <c r="B725" s="105" t="s">
        <v>1979</v>
      </c>
      <c r="C725" s="105" t="s">
        <v>1980</v>
      </c>
      <c r="D725" s="105" t="s">
        <v>2038</v>
      </c>
      <c r="E725" s="95" t="str">
        <f>IFERROR(VLOOKUP(D725,MANO_DE_OBRA!A:B,2,FALSE()),"?")</f>
        <v>AYUDANTE</v>
      </c>
      <c r="F725" s="129" t="s">
        <v>2042</v>
      </c>
      <c r="G725" s="119">
        <v>1</v>
      </c>
      <c r="H725" s="120">
        <v>0</v>
      </c>
      <c r="I725" s="96">
        <f>IFERROR(VLOOKUP(D725,MANO_DE_OBRA!A:C,3,FALSE()),0)</f>
        <v>67240.498860267602</v>
      </c>
      <c r="J725" s="31">
        <f t="shared" si="304"/>
        <v>67240.498860267602</v>
      </c>
      <c r="K725" s="32" t="str">
        <f t="shared" si="295"/>
        <v>PTO-0301|MO</v>
      </c>
      <c r="L725" s="32">
        <f>COUNTIFS($K$2:K725,K725)</f>
        <v>3</v>
      </c>
      <c r="M725" s="32" t="str">
        <f t="shared" si="299"/>
        <v>PTO-0301|MO|3</v>
      </c>
      <c r="N725" s="121">
        <f>IFERROR(VLOOKUP(A725,PARTIDAS!A:F,6,FALSE()),0)</f>
        <v>1</v>
      </c>
      <c r="O725" s="123">
        <f t="shared" si="300"/>
        <v>1</v>
      </c>
      <c r="P725" s="123">
        <f>+_xlfn.XLOOKUP(A725,PPTO_GENERADOR!Q:Q,PPTO_GENERADOR!E:E,"-",0)</f>
        <v>3</v>
      </c>
      <c r="Q725" s="123">
        <f t="shared" si="301"/>
        <v>3</v>
      </c>
      <c r="R725" s="125">
        <f>+_xlfn.XLOOKUP(A725,PPTO_GENERADOR!$Q:$Q,PPTO_GENERADOR!A:A,"-",0)</f>
        <v>3.01</v>
      </c>
    </row>
    <row r="726" spans="1:18" ht="14.25" customHeight="1" x14ac:dyDescent="0.35">
      <c r="A726" s="105" t="s">
        <v>60</v>
      </c>
      <c r="B726" s="105" t="s">
        <v>1983</v>
      </c>
      <c r="C726" s="105"/>
      <c r="D726" s="105" t="s">
        <v>1343</v>
      </c>
      <c r="E726" s="95" t="str">
        <f>IFERROR(VLOOKUP(D726,EQUIPOS!A:B,2,FALSE()),"?")</f>
        <v>Herramientas — Hormigón de limpieza - e: 10 cm</v>
      </c>
      <c r="F726" s="129"/>
      <c r="G726" s="119">
        <v>1</v>
      </c>
      <c r="H726" s="120">
        <v>0</v>
      </c>
      <c r="I726" s="96">
        <f>IFERROR(VLOOKUP(D726,EQUIPOS!A:F,6,FALSE()),0)</f>
        <v>4132.0682994173703</v>
      </c>
      <c r="J726" s="31">
        <f>G726*I726</f>
        <v>4132.0682994173703</v>
      </c>
      <c r="K726" s="32" t="str">
        <f t="shared" si="295"/>
        <v>PTO-0301|EQ</v>
      </c>
      <c r="L726" s="32">
        <f>COUNTIFS($K$2:K726,K726)</f>
        <v>1</v>
      </c>
      <c r="M726" s="32" t="str">
        <f t="shared" si="299"/>
        <v>PTO-0301|EQ|1</v>
      </c>
      <c r="N726" s="121">
        <f>IFERROR(VLOOKUP(A726,PARTIDAS!A:F,6,FALSE()),0)</f>
        <v>1</v>
      </c>
      <c r="O726" s="123">
        <f t="shared" si="300"/>
        <v>0</v>
      </c>
      <c r="P726" s="123">
        <f>+_xlfn.XLOOKUP(A726,PPTO_GENERADOR!Q:Q,PPTO_GENERADOR!E:E,"-",0)</f>
        <v>3</v>
      </c>
      <c r="Q726" s="123">
        <f t="shared" si="301"/>
        <v>0</v>
      </c>
      <c r="R726" s="125">
        <f>+_xlfn.XLOOKUP(A726,PPTO_GENERADOR!$Q:$Q,PPTO_GENERADOR!A:A,"-",0)</f>
        <v>3.01</v>
      </c>
    </row>
    <row r="727" spans="1:18" ht="14.25" customHeight="1" x14ac:dyDescent="0.35">
      <c r="A727" s="105" t="s">
        <v>62</v>
      </c>
      <c r="B727" s="105" t="s">
        <v>1979</v>
      </c>
      <c r="C727" s="105" t="s">
        <v>1982</v>
      </c>
      <c r="D727" s="105" t="s">
        <v>1548</v>
      </c>
      <c r="E727" s="95" t="str">
        <f>IFERROR(VLOOKUP(D727,SUBCONTRATOS_PRY!A:B,2,FALSE()),"?")</f>
        <v>Perforación</v>
      </c>
      <c r="F727" s="129" t="s">
        <v>2042</v>
      </c>
      <c r="G727" s="119">
        <v>1</v>
      </c>
      <c r="H727" s="120">
        <v>0</v>
      </c>
      <c r="I727" s="96">
        <f>IFERROR(VLOOKUP(D727,SUBCONTRATOS_PRY!A:D,4,FALSE()),0)</f>
        <v>34350000</v>
      </c>
      <c r="J727" s="31">
        <f t="shared" ref="J727:J728" si="305">G727*I727</f>
        <v>34350000</v>
      </c>
      <c r="K727" s="32" t="str">
        <f t="shared" si="295"/>
        <v>PTO-0302|MO</v>
      </c>
      <c r="L727" s="32">
        <f>COUNTIFS($K$2:K727,K727)</f>
        <v>1</v>
      </c>
      <c r="M727" s="32" t="str">
        <f t="shared" si="299"/>
        <v>PTO-0302|MO|1</v>
      </c>
      <c r="N727" s="121">
        <f>IFERROR(VLOOKUP(A727,PARTIDAS!A:F,6,FALSE()),0)</f>
        <v>1</v>
      </c>
      <c r="O727" s="123">
        <f t="shared" si="300"/>
        <v>0</v>
      </c>
      <c r="P727" s="123">
        <f>+_xlfn.XLOOKUP(A727,PPTO_GENERADOR!Q:Q,PPTO_GENERADOR!E:E,"-",0)</f>
        <v>1</v>
      </c>
      <c r="Q727" s="123">
        <f t="shared" si="301"/>
        <v>0</v>
      </c>
      <c r="R727" s="125">
        <f>+_xlfn.XLOOKUP(A727,PPTO_GENERADOR!$Q:$Q,PPTO_GENERADOR!A:A,"-",0)</f>
        <v>3.02</v>
      </c>
    </row>
    <row r="728" spans="1:18" ht="14.25" customHeight="1" x14ac:dyDescent="0.35">
      <c r="A728" s="105" t="s">
        <v>62</v>
      </c>
      <c r="B728" s="105" t="s">
        <v>1979</v>
      </c>
      <c r="C728" s="105" t="s">
        <v>1982</v>
      </c>
      <c r="D728" s="105" t="s">
        <v>1550</v>
      </c>
      <c r="E728" s="95" t="str">
        <f>IFERROR(VLOOKUP(D728,SUBCONTRATOS_PRY!A:B,2,FALSE()),"?")</f>
        <v>Movilización</v>
      </c>
      <c r="F728" s="129" t="s">
        <v>2042</v>
      </c>
      <c r="G728" s="119">
        <v>1</v>
      </c>
      <c r="H728" s="120">
        <v>0</v>
      </c>
      <c r="I728" s="96">
        <f>IFERROR(VLOOKUP(D728,SUBCONTRATOS_PRY!A:D,4,FALSE()),0)</f>
        <v>950000</v>
      </c>
      <c r="J728" s="31">
        <f t="shared" si="305"/>
        <v>950000</v>
      </c>
      <c r="K728" s="32" t="str">
        <f t="shared" si="295"/>
        <v>PTO-0302|MO</v>
      </c>
      <c r="L728" s="32">
        <f>COUNTIFS($K$2:K728,K728)</f>
        <v>2</v>
      </c>
      <c r="M728" s="32" t="str">
        <f t="shared" si="299"/>
        <v>PTO-0302|MO|2</v>
      </c>
      <c r="N728" s="121">
        <f>IFERROR(VLOOKUP(A728,PARTIDAS!A:F,6,FALSE()),0)</f>
        <v>1</v>
      </c>
      <c r="O728" s="123">
        <f t="shared" si="300"/>
        <v>0</v>
      </c>
      <c r="P728" s="123">
        <f>+_xlfn.XLOOKUP(A728,PPTO_GENERADOR!Q:Q,PPTO_GENERADOR!E:E,"-",0)</f>
        <v>1</v>
      </c>
      <c r="Q728" s="123">
        <f t="shared" si="301"/>
        <v>0</v>
      </c>
      <c r="R728" s="125">
        <f>+_xlfn.XLOOKUP(A728,PPTO_GENERADOR!$Q:$Q,PPTO_GENERADOR!A:A,"-",0)</f>
        <v>3.02</v>
      </c>
    </row>
    <row r="729" spans="1:18" ht="14.25" customHeight="1" x14ac:dyDescent="0.35">
      <c r="A729" s="105" t="s">
        <v>62</v>
      </c>
      <c r="B729" s="105" t="s">
        <v>1981</v>
      </c>
      <c r="C729" s="105" t="s">
        <v>1982</v>
      </c>
      <c r="D729" s="105" t="s">
        <v>681</v>
      </c>
      <c r="E729" s="95" t="str">
        <f>IFERROR(VLOOKUP(D729,MATERIALES!A:B,2,FALSE()),"?")</f>
        <v>Cemento</v>
      </c>
      <c r="F729" s="129" t="str">
        <f>IFERROR(VLOOKUP(D729,MATERIALES!A:C,3,FALSE()),"?")</f>
        <v>u</v>
      </c>
      <c r="G729" s="119">
        <v>1100</v>
      </c>
      <c r="H729" s="120">
        <v>0</v>
      </c>
      <c r="I729" s="96">
        <f>IFERROR(VLOOKUP(D729,MATERIALES!A:D,4,FALSE()),0)</f>
        <v>7809.92</v>
      </c>
      <c r="J729" s="31">
        <f t="shared" ref="J729:J732" si="306">G729*I729*(1+H729)</f>
        <v>8590912</v>
      </c>
      <c r="K729" s="32" t="str">
        <f t="shared" si="295"/>
        <v>PTO-0302|MAT</v>
      </c>
      <c r="L729" s="32">
        <f>COUNTIFS($K$2:K729,K729)</f>
        <v>1</v>
      </c>
      <c r="M729" s="32" t="str">
        <f t="shared" si="299"/>
        <v>PTO-0302|MAT|1</v>
      </c>
      <c r="N729" s="121">
        <f>IFERROR(VLOOKUP(A729,PARTIDAS!A:F,6,FALSE()),0)</f>
        <v>1</v>
      </c>
      <c r="O729" s="123">
        <f t="shared" si="300"/>
        <v>0</v>
      </c>
      <c r="P729" s="123">
        <f>+_xlfn.XLOOKUP(A729,PPTO_GENERADOR!Q:Q,PPTO_GENERADOR!E:E,"-",0)</f>
        <v>1</v>
      </c>
      <c r="Q729" s="123">
        <f t="shared" si="301"/>
        <v>0</v>
      </c>
      <c r="R729" s="125">
        <f>+_xlfn.XLOOKUP(A729,PPTO_GENERADOR!$Q:$Q,PPTO_GENERADOR!A:A,"-",0)</f>
        <v>3.02</v>
      </c>
    </row>
    <row r="730" spans="1:18" ht="14.25" customHeight="1" x14ac:dyDescent="0.35">
      <c r="A730" s="105" t="s">
        <v>62</v>
      </c>
      <c r="B730" s="105" t="s">
        <v>1981</v>
      </c>
      <c r="C730" s="105" t="s">
        <v>1982</v>
      </c>
      <c r="D730" s="105" t="s">
        <v>683</v>
      </c>
      <c r="E730" s="95" t="str">
        <f>IFERROR(VLOOKUP(D730,MATERIALES!A:B,2,FALSE()),"?")</f>
        <v>Hierro</v>
      </c>
      <c r="F730" s="129" t="str">
        <f>IFERROR(VLOOKUP(D730,MATERIALES!A:C,3,FALSE()),"?")</f>
        <v>u</v>
      </c>
      <c r="G730" s="119">
        <v>800</v>
      </c>
      <c r="H730" s="120">
        <v>0</v>
      </c>
      <c r="I730" s="96">
        <f>IFERROR(VLOOKUP(D730,MATERIALES!A:D,4,FALSE()),0)</f>
        <v>1338.79</v>
      </c>
      <c r="J730" s="31">
        <f t="shared" si="306"/>
        <v>1071032</v>
      </c>
      <c r="K730" s="32" t="str">
        <f t="shared" si="295"/>
        <v>PTO-0302|MAT</v>
      </c>
      <c r="L730" s="32">
        <f>COUNTIFS($K$2:K730,K730)</f>
        <v>2</v>
      </c>
      <c r="M730" s="32" t="str">
        <f t="shared" si="299"/>
        <v>PTO-0302|MAT|2</v>
      </c>
      <c r="N730" s="121">
        <f>IFERROR(VLOOKUP(A730,PARTIDAS!A:F,6,FALSE()),0)</f>
        <v>1</v>
      </c>
      <c r="O730" s="123">
        <f t="shared" si="300"/>
        <v>0</v>
      </c>
      <c r="P730" s="123">
        <f>+_xlfn.XLOOKUP(A730,PPTO_GENERADOR!Q:Q,PPTO_GENERADOR!E:E,"-",0)</f>
        <v>1</v>
      </c>
      <c r="Q730" s="123">
        <f t="shared" si="301"/>
        <v>0</v>
      </c>
      <c r="R730" s="125">
        <f>+_xlfn.XLOOKUP(A730,PPTO_GENERADOR!$Q:$Q,PPTO_GENERADOR!A:A,"-",0)</f>
        <v>3.02</v>
      </c>
    </row>
    <row r="731" spans="1:18" ht="14.25" customHeight="1" x14ac:dyDescent="0.35">
      <c r="A731" s="105" t="s">
        <v>62</v>
      </c>
      <c r="B731" s="105" t="s">
        <v>1981</v>
      </c>
      <c r="C731" s="105" t="s">
        <v>1982</v>
      </c>
      <c r="D731" s="105" t="s">
        <v>685</v>
      </c>
      <c r="E731" s="95" t="str">
        <f>IFERROR(VLOOKUP(D731,MATERIALES!A:B,2,FALSE()),"?")</f>
        <v>Volquetes p/barro</v>
      </c>
      <c r="F731" s="129" t="str">
        <f>IFERROR(VLOOKUP(D731,MATERIALES!A:C,3,FALSE()),"?")</f>
        <v>u</v>
      </c>
      <c r="G731" s="119">
        <v>6</v>
      </c>
      <c r="H731" s="120">
        <v>0</v>
      </c>
      <c r="I731" s="96">
        <f>IFERROR(VLOOKUP(D731,MATERIALES!A:D,4,FALSE()),0)</f>
        <v>150000</v>
      </c>
      <c r="J731" s="31">
        <f t="shared" si="306"/>
        <v>900000</v>
      </c>
      <c r="K731" s="32" t="str">
        <f t="shared" si="295"/>
        <v>PTO-0302|MAT</v>
      </c>
      <c r="L731" s="32">
        <f>COUNTIFS($K$2:K731,K731)</f>
        <v>3</v>
      </c>
      <c r="M731" s="32" t="str">
        <f t="shared" si="299"/>
        <v>PTO-0302|MAT|3</v>
      </c>
      <c r="N731" s="121">
        <f>IFERROR(VLOOKUP(A731,PARTIDAS!A:F,6,FALSE()),0)</f>
        <v>1</v>
      </c>
      <c r="O731" s="123">
        <f t="shared" si="300"/>
        <v>0</v>
      </c>
      <c r="P731" s="123">
        <f>+_xlfn.XLOOKUP(A731,PPTO_GENERADOR!Q:Q,PPTO_GENERADOR!E:E,"-",0)</f>
        <v>1</v>
      </c>
      <c r="Q731" s="123">
        <f t="shared" si="301"/>
        <v>0</v>
      </c>
      <c r="R731" s="125">
        <f>+_xlfn.XLOOKUP(A731,PPTO_GENERADOR!$Q:$Q,PPTO_GENERADOR!A:A,"-",0)</f>
        <v>3.02</v>
      </c>
    </row>
    <row r="732" spans="1:18" ht="14.25" customHeight="1" x14ac:dyDescent="0.35">
      <c r="A732" s="105" t="s">
        <v>62</v>
      </c>
      <c r="B732" s="105" t="s">
        <v>1981</v>
      </c>
      <c r="C732" s="105" t="s">
        <v>1982</v>
      </c>
      <c r="D732" s="105" t="s">
        <v>559</v>
      </c>
      <c r="E732" s="95" t="str">
        <f>IFERROR(VLOOKUP(D732,MATERIALES!A:B,2,FALSE()),"?")</f>
        <v>CONSUMIBLES (varios)</v>
      </c>
      <c r="F732" s="129" t="str">
        <f>IFERROR(VLOOKUP(D732,MATERIALES!A:C,3,FALSE()),"?")</f>
        <v>gl</v>
      </c>
      <c r="G732" s="119">
        <v>528097.19999999995</v>
      </c>
      <c r="H732" s="120">
        <v>0</v>
      </c>
      <c r="I732" s="96">
        <f>IFERROR(VLOOKUP(D732,MATERIALES!A:D,4,FALSE()),0)</f>
        <v>1</v>
      </c>
      <c r="J732" s="31">
        <f t="shared" si="306"/>
        <v>528097.19999999995</v>
      </c>
      <c r="K732" s="32" t="str">
        <f t="shared" si="295"/>
        <v>PTO-0302|MAT</v>
      </c>
      <c r="L732" s="32">
        <f>COUNTIFS($K$2:K732,K732)</f>
        <v>4</v>
      </c>
      <c r="M732" s="32" t="str">
        <f t="shared" si="299"/>
        <v>PTO-0302|MAT|4</v>
      </c>
      <c r="N732" s="121">
        <f>IFERROR(VLOOKUP(A732,PARTIDAS!A:F,6,FALSE()),0)</f>
        <v>1</v>
      </c>
      <c r="O732" s="123">
        <f t="shared" si="300"/>
        <v>0</v>
      </c>
      <c r="P732" s="123">
        <f>+_xlfn.XLOOKUP(A732,PPTO_GENERADOR!Q:Q,PPTO_GENERADOR!E:E,"-",0)</f>
        <v>1</v>
      </c>
      <c r="Q732" s="123">
        <f t="shared" si="301"/>
        <v>0</v>
      </c>
      <c r="R732" s="125">
        <f>+_xlfn.XLOOKUP(A732,PPTO_GENERADOR!$Q:$Q,PPTO_GENERADOR!A:A,"-",0)</f>
        <v>3.02</v>
      </c>
    </row>
    <row r="733" spans="1:18" ht="14.25" customHeight="1" x14ac:dyDescent="0.35">
      <c r="A733" s="105" t="s">
        <v>62</v>
      </c>
      <c r="B733" s="105" t="s">
        <v>1979</v>
      </c>
      <c r="C733" s="105" t="s">
        <v>1980</v>
      </c>
      <c r="D733" s="105" t="s">
        <v>1292</v>
      </c>
      <c r="E733" s="95" t="str">
        <f>IFERROR(VLOOKUP(D733,MANO_DE_OBRA!A:B,2,FALSE()),"?")</f>
        <v>ESPECIALIZADO</v>
      </c>
      <c r="F733" s="129" t="s">
        <v>2042</v>
      </c>
      <c r="G733" s="119">
        <v>10</v>
      </c>
      <c r="H733" s="120">
        <v>0</v>
      </c>
      <c r="I733" s="96">
        <f>IFERROR(VLOOKUP(D733,MANO_DE_OBRA!A:C,3,FALSE()),0)</f>
        <v>94177.137883538904</v>
      </c>
      <c r="J733" s="31">
        <f t="shared" ref="J733:J735" si="307">G733*I733</f>
        <v>941771.37883538904</v>
      </c>
      <c r="K733" s="32" t="str">
        <f t="shared" si="295"/>
        <v>PTO-0302|MO</v>
      </c>
      <c r="L733" s="32">
        <f>COUNTIFS($K$2:K733,K733)</f>
        <v>3</v>
      </c>
      <c r="M733" s="32" t="str">
        <f t="shared" si="299"/>
        <v>PTO-0302|MO|3</v>
      </c>
      <c r="N733" s="121">
        <f>IFERROR(VLOOKUP(A733,PARTIDAS!A:F,6,FALSE()),0)</f>
        <v>1</v>
      </c>
      <c r="O733" s="123">
        <f t="shared" si="300"/>
        <v>10</v>
      </c>
      <c r="P733" s="123">
        <f>+_xlfn.XLOOKUP(A733,PPTO_GENERADOR!Q:Q,PPTO_GENERADOR!E:E,"-",0)</f>
        <v>1</v>
      </c>
      <c r="Q733" s="123">
        <f t="shared" si="301"/>
        <v>10</v>
      </c>
      <c r="R733" s="125">
        <f>+_xlfn.XLOOKUP(A733,PPTO_GENERADOR!$Q:$Q,PPTO_GENERADOR!A:A,"-",0)</f>
        <v>3.02</v>
      </c>
    </row>
    <row r="734" spans="1:18" ht="14.25" customHeight="1" x14ac:dyDescent="0.35">
      <c r="A734" s="105" t="s">
        <v>62</v>
      </c>
      <c r="B734" s="105" t="s">
        <v>1979</v>
      </c>
      <c r="C734" s="105" t="s">
        <v>1980</v>
      </c>
      <c r="D734" s="105" t="s">
        <v>1290</v>
      </c>
      <c r="E734" s="95" t="str">
        <f>IFERROR(VLOOKUP(D734,MANO_DE_OBRA!A:B,2,FALSE()),"?")</f>
        <v>OFICIAL</v>
      </c>
      <c r="F734" s="129" t="s">
        <v>2042</v>
      </c>
      <c r="G734" s="119">
        <v>10</v>
      </c>
      <c r="H734" s="120">
        <v>0</v>
      </c>
      <c r="I734" s="96">
        <f>IFERROR(VLOOKUP(D734,MANO_DE_OBRA!A:C,3,FALSE()),0)</f>
        <v>84612.512709566407</v>
      </c>
      <c r="J734" s="31">
        <f t="shared" si="307"/>
        <v>846125.12709566404</v>
      </c>
      <c r="K734" s="32" t="str">
        <f t="shared" si="295"/>
        <v>PTO-0302|MO</v>
      </c>
      <c r="L734" s="32">
        <f>COUNTIFS($K$2:K734,K734)</f>
        <v>4</v>
      </c>
      <c r="M734" s="32" t="str">
        <f t="shared" si="299"/>
        <v>PTO-0302|MO|4</v>
      </c>
      <c r="N734" s="121">
        <f>IFERROR(VLOOKUP(A734,PARTIDAS!A:F,6,FALSE()),0)</f>
        <v>1</v>
      </c>
      <c r="O734" s="123">
        <f t="shared" si="300"/>
        <v>10</v>
      </c>
      <c r="P734" s="123">
        <f>+_xlfn.XLOOKUP(A734,PPTO_GENERADOR!Q:Q,PPTO_GENERADOR!E:E,"-",0)</f>
        <v>1</v>
      </c>
      <c r="Q734" s="123">
        <f t="shared" si="301"/>
        <v>10</v>
      </c>
      <c r="R734" s="125">
        <f>+_xlfn.XLOOKUP(A734,PPTO_GENERADOR!$Q:$Q,PPTO_GENERADOR!A:A,"-",0)</f>
        <v>3.02</v>
      </c>
    </row>
    <row r="735" spans="1:18" ht="14.25" customHeight="1" x14ac:dyDescent="0.35">
      <c r="A735" s="105" t="s">
        <v>62</v>
      </c>
      <c r="B735" s="105" t="s">
        <v>1979</v>
      </c>
      <c r="C735" s="105" t="s">
        <v>1980</v>
      </c>
      <c r="D735" s="105" t="s">
        <v>2038</v>
      </c>
      <c r="E735" s="95" t="str">
        <f>IFERROR(VLOOKUP(D735,MANO_DE_OBRA!A:B,2,FALSE()),"?")</f>
        <v>AYUDANTE</v>
      </c>
      <c r="F735" s="129" t="s">
        <v>2042</v>
      </c>
      <c r="G735" s="119">
        <v>10</v>
      </c>
      <c r="H735" s="120">
        <v>0</v>
      </c>
      <c r="I735" s="96">
        <f>IFERROR(VLOOKUP(D735,MANO_DE_OBRA!A:C,3,FALSE()),0)</f>
        <v>67240.498860267602</v>
      </c>
      <c r="J735" s="31">
        <f t="shared" si="307"/>
        <v>672404.98860267596</v>
      </c>
      <c r="K735" s="32" t="str">
        <f t="shared" si="295"/>
        <v>PTO-0302|MO</v>
      </c>
      <c r="L735" s="32">
        <f>COUNTIFS($K$2:K735,K735)</f>
        <v>5</v>
      </c>
      <c r="M735" s="32" t="str">
        <f t="shared" si="299"/>
        <v>PTO-0302|MO|5</v>
      </c>
      <c r="N735" s="121">
        <f>IFERROR(VLOOKUP(A735,PARTIDAS!A:F,6,FALSE()),0)</f>
        <v>1</v>
      </c>
      <c r="O735" s="123">
        <f t="shared" si="300"/>
        <v>10</v>
      </c>
      <c r="P735" s="123">
        <f>+_xlfn.XLOOKUP(A735,PPTO_GENERADOR!Q:Q,PPTO_GENERADOR!E:E,"-",0)</f>
        <v>1</v>
      </c>
      <c r="Q735" s="123">
        <f t="shared" si="301"/>
        <v>10</v>
      </c>
      <c r="R735" s="125">
        <f>+_xlfn.XLOOKUP(A735,PPTO_GENERADOR!$Q:$Q,PPTO_GENERADOR!A:A,"-",0)</f>
        <v>3.02</v>
      </c>
    </row>
    <row r="736" spans="1:18" ht="14.25" customHeight="1" x14ac:dyDescent="0.35">
      <c r="A736" s="105" t="s">
        <v>62</v>
      </c>
      <c r="B736" s="105" t="s">
        <v>1983</v>
      </c>
      <c r="C736" s="105"/>
      <c r="D736" s="105" t="s">
        <v>1345</v>
      </c>
      <c r="E736" s="95" t="str">
        <f>IFERROR(VLOOKUP(D736,EQUIPOS!A:B,2,FALSE()),"?")</f>
        <v xml:space="preserve">Herramientas — Micropilotes Ø 20 cm </v>
      </c>
      <c r="F736" s="129"/>
      <c r="G736" s="119">
        <v>1</v>
      </c>
      <c r="H736" s="120">
        <v>0</v>
      </c>
      <c r="I736" s="96">
        <f>IFERROR(VLOOKUP(D736,EQUIPOS!A:F,6,FALSE()),0)</f>
        <v>718505.14041800599</v>
      </c>
      <c r="J736" s="31">
        <f>G736*I736</f>
        <v>718505.14041800599</v>
      </c>
      <c r="K736" s="32" t="str">
        <f t="shared" si="295"/>
        <v>PTO-0302|EQ</v>
      </c>
      <c r="L736" s="32">
        <f>COUNTIFS($K$2:K736,K736)</f>
        <v>1</v>
      </c>
      <c r="M736" s="32" t="str">
        <f t="shared" si="299"/>
        <v>PTO-0302|EQ|1</v>
      </c>
      <c r="N736" s="121">
        <f>IFERROR(VLOOKUP(A736,PARTIDAS!A:F,6,FALSE()),0)</f>
        <v>1</v>
      </c>
      <c r="O736" s="123">
        <f t="shared" si="300"/>
        <v>0</v>
      </c>
      <c r="P736" s="123">
        <f>+_xlfn.XLOOKUP(A736,PPTO_GENERADOR!Q:Q,PPTO_GENERADOR!E:E,"-",0)</f>
        <v>1</v>
      </c>
      <c r="Q736" s="123">
        <f t="shared" si="301"/>
        <v>0</v>
      </c>
      <c r="R736" s="125">
        <f>+_xlfn.XLOOKUP(A736,PPTO_GENERADOR!$Q:$Q,PPTO_GENERADOR!A:A,"-",0)</f>
        <v>3.02</v>
      </c>
    </row>
    <row r="737" spans="1:18" ht="14.25" customHeight="1" x14ac:dyDescent="0.35">
      <c r="A737" s="105" t="s">
        <v>64</v>
      </c>
      <c r="B737" s="105" t="s">
        <v>1979</v>
      </c>
      <c r="C737" s="105" t="s">
        <v>1982</v>
      </c>
      <c r="D737" s="105" t="s">
        <v>1552</v>
      </c>
      <c r="E737" s="95" t="str">
        <f>IFERROR(VLOOKUP(D737,SUBCONTRATOS_PRY!A:B,2,FALSE()),"?")</f>
        <v>MO H°A° — Platea - H30 (110 kg/m3 de hierro)</v>
      </c>
      <c r="F737" s="129" t="s">
        <v>2042</v>
      </c>
      <c r="G737" s="119">
        <v>1</v>
      </c>
      <c r="H737" s="120">
        <v>0</v>
      </c>
      <c r="I737" s="96">
        <f>IFERROR(VLOOKUP(D737,SUBCONTRATOS_PRY!A:D,4,FALSE()),0)</f>
        <v>222927.95987015401</v>
      </c>
      <c r="J737" s="31">
        <f>G737*I737</f>
        <v>222927.95987015401</v>
      </c>
      <c r="K737" s="32" t="str">
        <f t="shared" si="295"/>
        <v>PTO-0303|MO</v>
      </c>
      <c r="L737" s="32">
        <f>COUNTIFS($K$2:K737,K737)</f>
        <v>1</v>
      </c>
      <c r="M737" s="32" t="str">
        <f t="shared" si="299"/>
        <v>PTO-0303|MO|1</v>
      </c>
      <c r="N737" s="121">
        <f>IFERROR(VLOOKUP(A737,PARTIDAS!A:F,6,FALSE()),0)</f>
        <v>1</v>
      </c>
      <c r="O737" s="123">
        <f t="shared" si="300"/>
        <v>0</v>
      </c>
      <c r="P737" s="123">
        <f>+_xlfn.XLOOKUP(A737,PPTO_GENERADOR!Q:Q,PPTO_GENERADOR!E:E,"-",0)</f>
        <v>7</v>
      </c>
      <c r="Q737" s="123">
        <f t="shared" si="301"/>
        <v>0</v>
      </c>
      <c r="R737" s="125">
        <f>+_xlfn.XLOOKUP(A737,PPTO_GENERADOR!$Q:$Q,PPTO_GENERADOR!A:A,"-",0)</f>
        <v>3.03</v>
      </c>
    </row>
    <row r="738" spans="1:18" ht="14.25" customHeight="1" x14ac:dyDescent="0.35">
      <c r="A738" s="105" t="s">
        <v>64</v>
      </c>
      <c r="B738" s="105" t="s">
        <v>1981</v>
      </c>
      <c r="C738" s="105" t="s">
        <v>1984</v>
      </c>
      <c r="D738" s="105" t="s">
        <v>1260</v>
      </c>
      <c r="E738" s="95" t="str">
        <f>IFERROR(VLOOKUP(D738,MATERIALES!A:B,2,FALSE()),"?")</f>
        <v>HIERRO DE CONSTRUCCION H°A° (cuantia c/desp.)</v>
      </c>
      <c r="F738" s="129" t="str">
        <f>IFERROR(VLOOKUP(D738,MATERIALES!A:C,3,FALSE()),"?")</f>
        <v>kg</v>
      </c>
      <c r="G738" s="119">
        <v>110</v>
      </c>
      <c r="H738" s="120">
        <v>0</v>
      </c>
      <c r="I738" s="96">
        <f>IFERROR(VLOOKUP(D738,MATERIALES!A:D,4,FALSE()),0)</f>
        <v>1772</v>
      </c>
      <c r="J738" s="31">
        <f>G738*I738*(1+H738)</f>
        <v>194920</v>
      </c>
      <c r="K738" s="32" t="str">
        <f t="shared" si="295"/>
        <v>PTO-0303|MAT</v>
      </c>
      <c r="L738" s="32">
        <f>COUNTIFS($K$2:K738,K738)</f>
        <v>1</v>
      </c>
      <c r="M738" s="32" t="str">
        <f t="shared" si="299"/>
        <v>PTO-0303|MAT|1</v>
      </c>
      <c r="N738" s="121">
        <f>IFERROR(VLOOKUP(A738,PARTIDAS!A:F,6,FALSE()),0)</f>
        <v>1</v>
      </c>
      <c r="O738" s="123">
        <f t="shared" si="300"/>
        <v>0</v>
      </c>
      <c r="P738" s="123">
        <f>+_xlfn.XLOOKUP(A738,PPTO_GENERADOR!Q:Q,PPTO_GENERADOR!E:E,"-",0)</f>
        <v>7</v>
      </c>
      <c r="Q738" s="123">
        <f t="shared" si="301"/>
        <v>0</v>
      </c>
      <c r="R738" s="125">
        <f>+_xlfn.XLOOKUP(A738,PPTO_GENERADOR!$Q:$Q,PPTO_GENERADOR!A:A,"-",0)</f>
        <v>3.03</v>
      </c>
    </row>
    <row r="739" spans="1:18" ht="14.25" customHeight="1" x14ac:dyDescent="0.35">
      <c r="A739" s="105" t="s">
        <v>64</v>
      </c>
      <c r="B739" s="105" t="s">
        <v>1983</v>
      </c>
      <c r="C739" s="105"/>
      <c r="D739" s="105" t="s">
        <v>1347</v>
      </c>
      <c r="E739" s="95" t="str">
        <f>IFERROR(VLOOKUP(D739,EQUIPOS!A:B,2,FALSE()),"?")</f>
        <v>Herramientas — Platea - H30 (110 kg/m3 de hierro)</v>
      </c>
      <c r="F739" s="129"/>
      <c r="G739" s="119">
        <v>1</v>
      </c>
      <c r="H739" s="120">
        <v>0</v>
      </c>
      <c r="I739" s="96">
        <f>IFERROR(VLOOKUP(D739,EQUIPOS!A:F,6,FALSE()),0)</f>
        <v>8701.11194359402</v>
      </c>
      <c r="J739" s="31">
        <f>G739*I739</f>
        <v>8701.11194359402</v>
      </c>
      <c r="K739" s="32" t="str">
        <f t="shared" si="295"/>
        <v>PTO-0303|EQ</v>
      </c>
      <c r="L739" s="32">
        <f>COUNTIFS($K$2:K739,K739)</f>
        <v>1</v>
      </c>
      <c r="M739" s="32" t="str">
        <f t="shared" si="299"/>
        <v>PTO-0303|EQ|1</v>
      </c>
      <c r="N739" s="121">
        <f>IFERROR(VLOOKUP(A739,PARTIDAS!A:F,6,FALSE()),0)</f>
        <v>1</v>
      </c>
      <c r="O739" s="123">
        <f t="shared" si="300"/>
        <v>0</v>
      </c>
      <c r="P739" s="123">
        <f>+_xlfn.XLOOKUP(A739,PPTO_GENERADOR!Q:Q,PPTO_GENERADOR!E:E,"-",0)</f>
        <v>7</v>
      </c>
      <c r="Q739" s="123">
        <f t="shared" si="301"/>
        <v>0</v>
      </c>
      <c r="R739" s="125">
        <f>+_xlfn.XLOOKUP(A739,PPTO_GENERADOR!$Q:$Q,PPTO_GENERADOR!A:A,"-",0)</f>
        <v>3.03</v>
      </c>
    </row>
    <row r="740" spans="1:18" ht="14.25" customHeight="1" x14ac:dyDescent="0.35">
      <c r="A740" s="105" t="s">
        <v>66</v>
      </c>
      <c r="B740" s="105" t="s">
        <v>1979</v>
      </c>
      <c r="C740" s="105" t="s">
        <v>1982</v>
      </c>
      <c r="D740" s="105" t="s">
        <v>1554</v>
      </c>
      <c r="E740" s="95" t="str">
        <f>IFERROR(VLOOKUP(D740,SUBCONTRATOS_PRY!A:B,2,FALSE()),"?")</f>
        <v>MO H°A° — Zapata corrida tabique - H30 (180 kg/m3 de hi</v>
      </c>
      <c r="F740" s="129" t="s">
        <v>2042</v>
      </c>
      <c r="G740" s="119">
        <v>1</v>
      </c>
      <c r="H740" s="120">
        <v>0</v>
      </c>
      <c r="I740" s="96">
        <f>IFERROR(VLOOKUP(D740,SUBCONTRATOS_PRY!A:D,4,FALSE()),0)</f>
        <v>323083.99981181801</v>
      </c>
      <c r="J740" s="31">
        <f>G740*I740</f>
        <v>323083.99981181801</v>
      </c>
      <c r="K740" s="32" t="str">
        <f t="shared" si="295"/>
        <v>PTO-0304|MO</v>
      </c>
      <c r="L740" s="32">
        <f>COUNTIFS($K$2:K740,K740)</f>
        <v>1</v>
      </c>
      <c r="M740" s="32" t="str">
        <f t="shared" si="299"/>
        <v>PTO-0304|MO|1</v>
      </c>
      <c r="N740" s="121">
        <f>IFERROR(VLOOKUP(A740,PARTIDAS!A:F,6,FALSE()),0)</f>
        <v>1</v>
      </c>
      <c r="O740" s="123">
        <f t="shared" si="300"/>
        <v>0</v>
      </c>
      <c r="P740" s="123">
        <f>+_xlfn.XLOOKUP(A740,PPTO_GENERADOR!Q:Q,PPTO_GENERADOR!E:E,"-",0)</f>
        <v>4</v>
      </c>
      <c r="Q740" s="123">
        <f t="shared" si="301"/>
        <v>0</v>
      </c>
      <c r="R740" s="125">
        <f>+_xlfn.XLOOKUP(A740,PPTO_GENERADOR!$Q:$Q,PPTO_GENERADOR!A:A,"-",0)</f>
        <v>3.04</v>
      </c>
    </row>
    <row r="741" spans="1:18" ht="14.25" customHeight="1" x14ac:dyDescent="0.35">
      <c r="A741" s="105" t="s">
        <v>66</v>
      </c>
      <c r="B741" s="105" t="s">
        <v>1981</v>
      </c>
      <c r="C741" s="105" t="s">
        <v>1984</v>
      </c>
      <c r="D741" s="105" t="s">
        <v>1260</v>
      </c>
      <c r="E741" s="95" t="str">
        <f>IFERROR(VLOOKUP(D741,MATERIALES!A:B,2,FALSE()),"?")</f>
        <v>HIERRO DE CONSTRUCCION H°A° (cuantia c/desp.)</v>
      </c>
      <c r="F741" s="129" t="str">
        <f>IFERROR(VLOOKUP(D741,MATERIALES!A:C,3,FALSE()),"?")</f>
        <v>kg</v>
      </c>
      <c r="G741" s="119">
        <v>180</v>
      </c>
      <c r="H741" s="120">
        <v>0</v>
      </c>
      <c r="I741" s="96">
        <f>IFERROR(VLOOKUP(D741,MATERIALES!A:D,4,FALSE()),0)</f>
        <v>1772</v>
      </c>
      <c r="J741" s="31">
        <f>G741*I741*(1+H741)</f>
        <v>318960</v>
      </c>
      <c r="K741" s="32" t="str">
        <f t="shared" si="295"/>
        <v>PTO-0304|MAT</v>
      </c>
      <c r="L741" s="32">
        <f>COUNTIFS($K$2:K741,K741)</f>
        <v>1</v>
      </c>
      <c r="M741" s="32" t="str">
        <f t="shared" si="299"/>
        <v>PTO-0304|MAT|1</v>
      </c>
      <c r="N741" s="121">
        <f>IFERROR(VLOOKUP(A741,PARTIDAS!A:F,6,FALSE()),0)</f>
        <v>1</v>
      </c>
      <c r="O741" s="123">
        <f t="shared" si="300"/>
        <v>0</v>
      </c>
      <c r="P741" s="123">
        <f>+_xlfn.XLOOKUP(A741,PPTO_GENERADOR!Q:Q,PPTO_GENERADOR!E:E,"-",0)</f>
        <v>4</v>
      </c>
      <c r="Q741" s="123">
        <f t="shared" si="301"/>
        <v>0</v>
      </c>
      <c r="R741" s="125">
        <f>+_xlfn.XLOOKUP(A741,PPTO_GENERADOR!$Q:$Q,PPTO_GENERADOR!A:A,"-",0)</f>
        <v>3.04</v>
      </c>
    </row>
    <row r="742" spans="1:18" ht="14.25" customHeight="1" x14ac:dyDescent="0.35">
      <c r="A742" s="105" t="s">
        <v>66</v>
      </c>
      <c r="B742" s="105" t="s">
        <v>1983</v>
      </c>
      <c r="C742" s="105"/>
      <c r="D742" s="105" t="s">
        <v>1349</v>
      </c>
      <c r="E742" s="95" t="str">
        <f>IFERROR(VLOOKUP(D742,EQUIPOS!A:B,2,FALSE()),"?")</f>
        <v xml:space="preserve">Herramientas — Zapata corrida tabique - H30 (180 kg/m3 </v>
      </c>
      <c r="F742" s="129"/>
      <c r="G742" s="119">
        <v>1</v>
      </c>
      <c r="H742" s="120">
        <v>0</v>
      </c>
      <c r="I742" s="96">
        <f>IFERROR(VLOOKUP(D742,EQUIPOS!A:F,6,FALSE()),0)</f>
        <v>12913.459315141001</v>
      </c>
      <c r="J742" s="31">
        <f>G742*I742</f>
        <v>12913.459315141001</v>
      </c>
      <c r="K742" s="32" t="str">
        <f t="shared" si="295"/>
        <v>PTO-0304|EQ</v>
      </c>
      <c r="L742" s="32">
        <f>COUNTIFS($K$2:K742,K742)</f>
        <v>1</v>
      </c>
      <c r="M742" s="32" t="str">
        <f t="shared" si="299"/>
        <v>PTO-0304|EQ|1</v>
      </c>
      <c r="N742" s="121">
        <f>IFERROR(VLOOKUP(A742,PARTIDAS!A:F,6,FALSE()),0)</f>
        <v>1</v>
      </c>
      <c r="O742" s="123">
        <f t="shared" si="300"/>
        <v>0</v>
      </c>
      <c r="P742" s="123">
        <f>+_xlfn.XLOOKUP(A742,PPTO_GENERADOR!Q:Q,PPTO_GENERADOR!E:E,"-",0)</f>
        <v>4</v>
      </c>
      <c r="Q742" s="123">
        <f t="shared" si="301"/>
        <v>0</v>
      </c>
      <c r="R742" s="125">
        <f>+_xlfn.XLOOKUP(A742,PPTO_GENERADOR!$Q:$Q,PPTO_GENERADOR!A:A,"-",0)</f>
        <v>3.04</v>
      </c>
    </row>
    <row r="743" spans="1:18" ht="14.25" customHeight="1" x14ac:dyDescent="0.35">
      <c r="A743" s="105" t="s">
        <v>68</v>
      </c>
      <c r="B743" s="105" t="s">
        <v>1979</v>
      </c>
      <c r="C743" s="105" t="s">
        <v>1982</v>
      </c>
      <c r="D743" s="105" t="s">
        <v>1556</v>
      </c>
      <c r="E743" s="95" t="str">
        <f>IFERROR(VLOOKUP(D743,SUBCONTRATOS_PRY!A:B,2,FALSE()),"?")</f>
        <v>MO H°A° — Bases aisladas - H30 (110 kg/m3 de hierro)</v>
      </c>
      <c r="F743" s="129" t="s">
        <v>2042</v>
      </c>
      <c r="G743" s="119">
        <v>1</v>
      </c>
      <c r="H743" s="120">
        <v>0</v>
      </c>
      <c r="I743" s="96">
        <f>IFERROR(VLOOKUP(D743,SUBCONTRATOS_PRY!A:D,4,FALSE()),0)</f>
        <v>222927.95987015401</v>
      </c>
      <c r="J743" s="31">
        <f>G743*I743</f>
        <v>222927.95987015401</v>
      </c>
      <c r="K743" s="32" t="str">
        <f t="shared" si="295"/>
        <v>PTO-0305|MO</v>
      </c>
      <c r="L743" s="32">
        <f>COUNTIFS($K$2:K743,K743)</f>
        <v>1</v>
      </c>
      <c r="M743" s="32" t="str">
        <f t="shared" si="299"/>
        <v>PTO-0305|MO|1</v>
      </c>
      <c r="N743" s="121">
        <f>IFERROR(VLOOKUP(A743,PARTIDAS!A:F,6,FALSE()),0)</f>
        <v>1</v>
      </c>
      <c r="O743" s="123">
        <f t="shared" si="300"/>
        <v>0</v>
      </c>
      <c r="P743" s="123">
        <f>+_xlfn.XLOOKUP(A743,PPTO_GENERADOR!Q:Q,PPTO_GENERADOR!E:E,"-",0)</f>
        <v>2</v>
      </c>
      <c r="Q743" s="123">
        <f t="shared" si="301"/>
        <v>0</v>
      </c>
      <c r="R743" s="125">
        <f>+_xlfn.XLOOKUP(A743,PPTO_GENERADOR!$Q:$Q,PPTO_GENERADOR!A:A,"-",0)</f>
        <v>3.05</v>
      </c>
    </row>
    <row r="744" spans="1:18" ht="14.25" customHeight="1" x14ac:dyDescent="0.35">
      <c r="A744" s="105" t="s">
        <v>68</v>
      </c>
      <c r="B744" s="105" t="s">
        <v>1981</v>
      </c>
      <c r="C744" s="105" t="s">
        <v>1982</v>
      </c>
      <c r="D744" s="105" t="s">
        <v>691</v>
      </c>
      <c r="E744" s="95" t="str">
        <f>IFERROR(VLOOKUP(D744,MATERIALES!A:B,2,FALSE()),"?")</f>
        <v>H°A° — Bases aisladas - H30 (110 kg/m3 de hierro)</v>
      </c>
      <c r="F744" s="129" t="str">
        <f>IFERROR(VLOOKUP(D744,MATERIALES!A:C,3,FALSE()),"?")</f>
        <v>u</v>
      </c>
      <c r="G744" s="119">
        <v>1</v>
      </c>
      <c r="H744" s="120">
        <v>0</v>
      </c>
      <c r="I744" s="96">
        <f>IFERROR(VLOOKUP(D744,MATERIALES!A:D,4,FALSE()),0)</f>
        <v>357146.16970278003</v>
      </c>
      <c r="J744" s="31">
        <f>G744*I744*(1+H744)</f>
        <v>357146.16970278003</v>
      </c>
      <c r="K744" s="32" t="str">
        <f t="shared" si="295"/>
        <v>PTO-0305|MAT</v>
      </c>
      <c r="L744" s="32">
        <f>COUNTIFS($K$2:K744,K744)</f>
        <v>1</v>
      </c>
      <c r="M744" s="32" t="str">
        <f t="shared" si="299"/>
        <v>PTO-0305|MAT|1</v>
      </c>
      <c r="N744" s="121">
        <f>IFERROR(VLOOKUP(A744,PARTIDAS!A:F,6,FALSE()),0)</f>
        <v>1</v>
      </c>
      <c r="O744" s="123">
        <f t="shared" si="300"/>
        <v>0</v>
      </c>
      <c r="P744" s="123">
        <f>+_xlfn.XLOOKUP(A744,PPTO_GENERADOR!Q:Q,PPTO_GENERADOR!E:E,"-",0)</f>
        <v>2</v>
      </c>
      <c r="Q744" s="123">
        <f t="shared" si="301"/>
        <v>0</v>
      </c>
      <c r="R744" s="125">
        <f>+_xlfn.XLOOKUP(A744,PPTO_GENERADOR!$Q:$Q,PPTO_GENERADOR!A:A,"-",0)</f>
        <v>3.05</v>
      </c>
    </row>
    <row r="745" spans="1:18" ht="14.25" customHeight="1" x14ac:dyDescent="0.35">
      <c r="A745" s="105" t="s">
        <v>68</v>
      </c>
      <c r="B745" s="105" t="s">
        <v>1983</v>
      </c>
      <c r="C745" s="105"/>
      <c r="D745" s="105" t="s">
        <v>1351</v>
      </c>
      <c r="E745" s="95" t="str">
        <f>IFERROR(VLOOKUP(D745,EQUIPOS!A:B,2,FALSE()),"?")</f>
        <v>Herramientas — Bases aisladas - H30 (110 kg/m3 de hierr</v>
      </c>
      <c r="F745" s="129"/>
      <c r="G745" s="119">
        <v>1</v>
      </c>
      <c r="H745" s="120">
        <v>0</v>
      </c>
      <c r="I745" s="96">
        <f>IFERROR(VLOOKUP(D745,EQUIPOS!A:F,6,FALSE()),0)</f>
        <v>8701.11194359402</v>
      </c>
      <c r="J745" s="31">
        <f>G745*I745</f>
        <v>8701.11194359402</v>
      </c>
      <c r="K745" s="32" t="str">
        <f t="shared" si="295"/>
        <v>PTO-0305|EQ</v>
      </c>
      <c r="L745" s="32">
        <f>COUNTIFS($K$2:K745,K745)</f>
        <v>1</v>
      </c>
      <c r="M745" s="32" t="str">
        <f t="shared" si="299"/>
        <v>PTO-0305|EQ|1</v>
      </c>
      <c r="N745" s="121">
        <f>IFERROR(VLOOKUP(A745,PARTIDAS!A:F,6,FALSE()),0)</f>
        <v>1</v>
      </c>
      <c r="O745" s="123">
        <f t="shared" si="300"/>
        <v>0</v>
      </c>
      <c r="P745" s="123">
        <f>+_xlfn.XLOOKUP(A745,PPTO_GENERADOR!Q:Q,PPTO_GENERADOR!E:E,"-",0)</f>
        <v>2</v>
      </c>
      <c r="Q745" s="123">
        <f t="shared" si="301"/>
        <v>0</v>
      </c>
      <c r="R745" s="125">
        <f>+_xlfn.XLOOKUP(A745,PPTO_GENERADOR!$Q:$Q,PPTO_GENERADOR!A:A,"-",0)</f>
        <v>3.05</v>
      </c>
    </row>
    <row r="746" spans="1:18" ht="14.25" customHeight="1" x14ac:dyDescent="0.35">
      <c r="A746" s="105" t="s">
        <v>70</v>
      </c>
      <c r="B746" s="105" t="s">
        <v>1979</v>
      </c>
      <c r="C746" s="105" t="s">
        <v>1982</v>
      </c>
      <c r="D746" s="105" t="s">
        <v>1558</v>
      </c>
      <c r="E746" s="95" t="str">
        <f>IFERROR(VLOOKUP(D746,SUBCONTRATOS_PRY!A:B,2,FALSE()),"?")</f>
        <v>MO H°A° — Cabezales - H30 (130 kg/m3 de hierro)</v>
      </c>
      <c r="F746" s="129" t="s">
        <v>2042</v>
      </c>
      <c r="G746" s="119">
        <v>1</v>
      </c>
      <c r="H746" s="120">
        <v>0</v>
      </c>
      <c r="I746" s="96">
        <f>IFERROR(VLOOKUP(D746,SUBCONTRATOS_PRY!A:D,4,FALSE()),0)</f>
        <v>222927.95987015401</v>
      </c>
      <c r="J746" s="31">
        <f>G746*I746</f>
        <v>222927.95987015401</v>
      </c>
      <c r="K746" s="32" t="str">
        <f t="shared" si="295"/>
        <v>PTO-0306|MO</v>
      </c>
      <c r="L746" s="32">
        <f>COUNTIFS($K$2:K746,K746)</f>
        <v>1</v>
      </c>
      <c r="M746" s="32" t="str">
        <f t="shared" si="299"/>
        <v>PTO-0306|MO|1</v>
      </c>
      <c r="N746" s="121">
        <f>IFERROR(VLOOKUP(A746,PARTIDAS!A:F,6,FALSE()),0)</f>
        <v>1</v>
      </c>
      <c r="O746" s="123">
        <f t="shared" si="300"/>
        <v>0</v>
      </c>
      <c r="P746" s="123">
        <f>+_xlfn.XLOOKUP(A746,PPTO_GENERADOR!Q:Q,PPTO_GENERADOR!E:E,"-",0)</f>
        <v>11</v>
      </c>
      <c r="Q746" s="123">
        <f t="shared" si="301"/>
        <v>0</v>
      </c>
      <c r="R746" s="125">
        <f>+_xlfn.XLOOKUP(A746,PPTO_GENERADOR!$Q:$Q,PPTO_GENERADOR!A:A,"-",0)</f>
        <v>3.06</v>
      </c>
    </row>
    <row r="747" spans="1:18" ht="14.25" customHeight="1" x14ac:dyDescent="0.35">
      <c r="A747" s="105" t="s">
        <v>70</v>
      </c>
      <c r="B747" s="105" t="s">
        <v>1981</v>
      </c>
      <c r="C747" s="105" t="s">
        <v>1984</v>
      </c>
      <c r="D747" s="105" t="s">
        <v>1260</v>
      </c>
      <c r="E747" s="95" t="str">
        <f>IFERROR(VLOOKUP(D747,MATERIALES!A:B,2,FALSE()),"?")</f>
        <v>HIERRO DE CONSTRUCCION H°A° (cuantia c/desp.)</v>
      </c>
      <c r="F747" s="129" t="str">
        <f>IFERROR(VLOOKUP(D747,MATERIALES!A:C,3,FALSE()),"?")</f>
        <v>kg</v>
      </c>
      <c r="G747" s="119">
        <v>130</v>
      </c>
      <c r="H747" s="120">
        <v>0</v>
      </c>
      <c r="I747" s="96">
        <f>IFERROR(VLOOKUP(D747,MATERIALES!A:D,4,FALSE()),0)</f>
        <v>1772</v>
      </c>
      <c r="J747" s="31">
        <f>G747*I747*(1+H747)</f>
        <v>230360</v>
      </c>
      <c r="K747" s="32" t="str">
        <f t="shared" si="295"/>
        <v>PTO-0306|MAT</v>
      </c>
      <c r="L747" s="32">
        <f>COUNTIFS($K$2:K747,K747)</f>
        <v>1</v>
      </c>
      <c r="M747" s="32" t="str">
        <f t="shared" si="299"/>
        <v>PTO-0306|MAT|1</v>
      </c>
      <c r="N747" s="121">
        <f>IFERROR(VLOOKUP(A747,PARTIDAS!A:F,6,FALSE()),0)</f>
        <v>1</v>
      </c>
      <c r="O747" s="123">
        <f t="shared" si="300"/>
        <v>0</v>
      </c>
      <c r="P747" s="123">
        <f>+_xlfn.XLOOKUP(A747,PPTO_GENERADOR!Q:Q,PPTO_GENERADOR!E:E,"-",0)</f>
        <v>11</v>
      </c>
      <c r="Q747" s="123">
        <f t="shared" si="301"/>
        <v>0</v>
      </c>
      <c r="R747" s="125">
        <f>+_xlfn.XLOOKUP(A747,PPTO_GENERADOR!$Q:$Q,PPTO_GENERADOR!A:A,"-",0)</f>
        <v>3.06</v>
      </c>
    </row>
    <row r="748" spans="1:18" ht="14.25" customHeight="1" x14ac:dyDescent="0.35">
      <c r="A748" s="105" t="s">
        <v>70</v>
      </c>
      <c r="B748" s="105" t="s">
        <v>1983</v>
      </c>
      <c r="C748" s="105"/>
      <c r="D748" s="105" t="s">
        <v>1353</v>
      </c>
      <c r="E748" s="95" t="str">
        <f>IFERROR(VLOOKUP(D748,EQUIPOS!A:B,2,FALSE()),"?")</f>
        <v>Herramientas — Cabezales - H30 (130 kg/m3 de hierro)</v>
      </c>
      <c r="F748" s="129"/>
      <c r="G748" s="119">
        <v>1</v>
      </c>
      <c r="H748" s="120">
        <v>0</v>
      </c>
      <c r="I748" s="96">
        <f>IFERROR(VLOOKUP(D748,EQUIPOS!A:F,6,FALSE()),0)</f>
        <v>9232.7119435940203</v>
      </c>
      <c r="J748" s="31">
        <f>G748*I748</f>
        <v>9232.7119435940203</v>
      </c>
      <c r="K748" s="32" t="str">
        <f t="shared" si="295"/>
        <v>PTO-0306|EQ</v>
      </c>
      <c r="L748" s="32">
        <f>COUNTIFS($K$2:K748,K748)</f>
        <v>1</v>
      </c>
      <c r="M748" s="32" t="str">
        <f t="shared" si="299"/>
        <v>PTO-0306|EQ|1</v>
      </c>
      <c r="N748" s="121">
        <f>IFERROR(VLOOKUP(A748,PARTIDAS!A:F,6,FALSE()),0)</f>
        <v>1</v>
      </c>
      <c r="O748" s="123">
        <f t="shared" si="300"/>
        <v>0</v>
      </c>
      <c r="P748" s="123">
        <f>+_xlfn.XLOOKUP(A748,PPTO_GENERADOR!Q:Q,PPTO_GENERADOR!E:E,"-",0)</f>
        <v>11</v>
      </c>
      <c r="Q748" s="123">
        <f t="shared" si="301"/>
        <v>0</v>
      </c>
      <c r="R748" s="125">
        <f>+_xlfn.XLOOKUP(A748,PPTO_GENERADOR!$Q:$Q,PPTO_GENERADOR!A:A,"-",0)</f>
        <v>3.06</v>
      </c>
    </row>
    <row r="749" spans="1:18" ht="14.25" customHeight="1" x14ac:dyDescent="0.35">
      <c r="A749" s="105" t="s">
        <v>72</v>
      </c>
      <c r="B749" s="105" t="s">
        <v>1979</v>
      </c>
      <c r="C749" s="105" t="s">
        <v>1982</v>
      </c>
      <c r="D749" s="105" t="s">
        <v>1560</v>
      </c>
      <c r="E749" s="95" t="str">
        <f>IFERROR(VLOOKUP(D749,SUBCONTRATOS_PRY!A:B,2,FALSE()),"?")</f>
        <v>MO H°A° — Viga de  fundación - H30 (180 kg/m3 de hierro</v>
      </c>
      <c r="F749" s="129" t="s">
        <v>2042</v>
      </c>
      <c r="G749" s="119">
        <v>1</v>
      </c>
      <c r="H749" s="120">
        <v>0</v>
      </c>
      <c r="I749" s="96">
        <f>IFERROR(VLOOKUP(D749,SUBCONTRATOS_PRY!A:D,4,FALSE()),0)</f>
        <v>323083.99981181801</v>
      </c>
      <c r="J749" s="31">
        <f>G749*I749</f>
        <v>323083.99981181801</v>
      </c>
      <c r="K749" s="32" t="str">
        <f t="shared" si="295"/>
        <v>PTO-0307|MO</v>
      </c>
      <c r="L749" s="32">
        <f>COUNTIFS($K$2:K749,K749)</f>
        <v>1</v>
      </c>
      <c r="M749" s="32" t="str">
        <f t="shared" si="299"/>
        <v>PTO-0307|MO|1</v>
      </c>
      <c r="N749" s="121">
        <f>IFERROR(VLOOKUP(A749,PARTIDAS!A:F,6,FALSE()),0)</f>
        <v>1</v>
      </c>
      <c r="O749" s="123">
        <f t="shared" si="300"/>
        <v>0</v>
      </c>
      <c r="P749" s="123">
        <f>+_xlfn.XLOOKUP(A749,PPTO_GENERADOR!Q:Q,PPTO_GENERADOR!E:E,"-",0)</f>
        <v>9</v>
      </c>
      <c r="Q749" s="123">
        <f t="shared" si="301"/>
        <v>0</v>
      </c>
      <c r="R749" s="125">
        <f>+_xlfn.XLOOKUP(A749,PPTO_GENERADOR!$Q:$Q,PPTO_GENERADOR!A:A,"-",0)</f>
        <v>3.07</v>
      </c>
    </row>
    <row r="750" spans="1:18" ht="14.25" customHeight="1" x14ac:dyDescent="0.35">
      <c r="A750" s="105" t="s">
        <v>72</v>
      </c>
      <c r="B750" s="105" t="s">
        <v>1981</v>
      </c>
      <c r="C750" s="105" t="s">
        <v>1984</v>
      </c>
      <c r="D750" s="105" t="s">
        <v>1260</v>
      </c>
      <c r="E750" s="95" t="str">
        <f>IFERROR(VLOOKUP(D750,MATERIALES!A:B,2,FALSE()),"?")</f>
        <v>HIERRO DE CONSTRUCCION H°A° (cuantia c/desp.)</v>
      </c>
      <c r="F750" s="129" t="str">
        <f>IFERROR(VLOOKUP(D750,MATERIALES!A:C,3,FALSE()),"?")</f>
        <v>kg</v>
      </c>
      <c r="G750" s="119">
        <v>180</v>
      </c>
      <c r="H750" s="120">
        <v>0</v>
      </c>
      <c r="I750" s="96">
        <f>IFERROR(VLOOKUP(D750,MATERIALES!A:D,4,FALSE()),0)</f>
        <v>1772</v>
      </c>
      <c r="J750" s="31">
        <f>G750*I750*(1+H750)</f>
        <v>318960</v>
      </c>
      <c r="K750" s="32" t="str">
        <f t="shared" si="295"/>
        <v>PTO-0307|MAT</v>
      </c>
      <c r="L750" s="32">
        <f>COUNTIFS($K$2:K750,K750)</f>
        <v>1</v>
      </c>
      <c r="M750" s="32" t="str">
        <f t="shared" si="299"/>
        <v>PTO-0307|MAT|1</v>
      </c>
      <c r="N750" s="121">
        <f>IFERROR(VLOOKUP(A750,PARTIDAS!A:F,6,FALSE()),0)</f>
        <v>1</v>
      </c>
      <c r="O750" s="123">
        <f t="shared" si="300"/>
        <v>0</v>
      </c>
      <c r="P750" s="123">
        <f>+_xlfn.XLOOKUP(A750,PPTO_GENERADOR!Q:Q,PPTO_GENERADOR!E:E,"-",0)</f>
        <v>9</v>
      </c>
      <c r="Q750" s="123">
        <f t="shared" si="301"/>
        <v>0</v>
      </c>
      <c r="R750" s="125">
        <f>+_xlfn.XLOOKUP(A750,PPTO_GENERADOR!$Q:$Q,PPTO_GENERADOR!A:A,"-",0)</f>
        <v>3.07</v>
      </c>
    </row>
    <row r="751" spans="1:18" ht="14.25" customHeight="1" x14ac:dyDescent="0.35">
      <c r="A751" s="105" t="s">
        <v>72</v>
      </c>
      <c r="B751" s="105" t="s">
        <v>1983</v>
      </c>
      <c r="C751" s="105"/>
      <c r="D751" s="105" t="s">
        <v>1355</v>
      </c>
      <c r="E751" s="95" t="str">
        <f>IFERROR(VLOOKUP(D751,EQUIPOS!A:B,2,FALSE()),"?")</f>
        <v>Herramientas — Viga de  fundación - H30 (180 kg/m3 de h</v>
      </c>
      <c r="F751" s="129"/>
      <c r="G751" s="119">
        <v>1</v>
      </c>
      <c r="H751" s="120">
        <v>0</v>
      </c>
      <c r="I751" s="96">
        <f>IFERROR(VLOOKUP(D751,EQUIPOS!A:F,6,FALSE()),0)</f>
        <v>12913.459315141001</v>
      </c>
      <c r="J751" s="31">
        <f>G751*I751</f>
        <v>12913.459315141001</v>
      </c>
      <c r="K751" s="32" t="str">
        <f t="shared" si="295"/>
        <v>PTO-0307|EQ</v>
      </c>
      <c r="L751" s="32">
        <f>COUNTIFS($K$2:K751,K751)</f>
        <v>1</v>
      </c>
      <c r="M751" s="32" t="str">
        <f t="shared" si="299"/>
        <v>PTO-0307|EQ|1</v>
      </c>
      <c r="N751" s="121">
        <f>IFERROR(VLOOKUP(A751,PARTIDAS!A:F,6,FALSE()),0)</f>
        <v>1</v>
      </c>
      <c r="O751" s="123">
        <f t="shared" si="300"/>
        <v>0</v>
      </c>
      <c r="P751" s="123">
        <f>+_xlfn.XLOOKUP(A751,PPTO_GENERADOR!Q:Q,PPTO_GENERADOR!E:E,"-",0)</f>
        <v>9</v>
      </c>
      <c r="Q751" s="123">
        <f t="shared" si="301"/>
        <v>0</v>
      </c>
      <c r="R751" s="125">
        <f>+_xlfn.XLOOKUP(A751,PPTO_GENERADOR!$Q:$Q,PPTO_GENERADOR!A:A,"-",0)</f>
        <v>3.07</v>
      </c>
    </row>
    <row r="752" spans="1:18" ht="14.25" customHeight="1" x14ac:dyDescent="0.35">
      <c r="A752" s="105" t="s">
        <v>74</v>
      </c>
      <c r="B752" s="105" t="s">
        <v>1979</v>
      </c>
      <c r="C752" s="105" t="s">
        <v>1982</v>
      </c>
      <c r="D752" s="105" t="s">
        <v>1562</v>
      </c>
      <c r="E752" s="95" t="str">
        <f>IFERROR(VLOOKUP(D752,SUBCONTRATOS_PRY!A:B,2,FALSE()),"?")</f>
        <v>MO H°A° — Tabique submuración - H30 (90 kg/m3 de hierro</v>
      </c>
      <c r="F752" s="129" t="s">
        <v>2042</v>
      </c>
      <c r="G752" s="119">
        <v>1</v>
      </c>
      <c r="H752" s="120">
        <v>0</v>
      </c>
      <c r="I752" s="96">
        <f>IFERROR(VLOOKUP(D752,SUBCONTRATOS_PRY!A:D,4,FALSE()),0)</f>
        <v>392678.734102213</v>
      </c>
      <c r="J752" s="31">
        <f>G752*I752</f>
        <v>392678.734102213</v>
      </c>
      <c r="K752" s="32" t="str">
        <f t="shared" si="295"/>
        <v>PTO-0308|MO</v>
      </c>
      <c r="L752" s="32">
        <f>COUNTIFS($K$2:K752,K752)</f>
        <v>1</v>
      </c>
      <c r="M752" s="32" t="str">
        <f t="shared" si="299"/>
        <v>PTO-0308|MO|1</v>
      </c>
      <c r="N752" s="121">
        <f>IFERROR(VLOOKUP(A752,PARTIDAS!A:F,6,FALSE()),0)</f>
        <v>1</v>
      </c>
      <c r="O752" s="123">
        <f t="shared" si="300"/>
        <v>0</v>
      </c>
      <c r="P752" s="123">
        <f>+_xlfn.XLOOKUP(A752,PPTO_GENERADOR!Q:Q,PPTO_GENERADOR!E:E,"-",0)</f>
        <v>9</v>
      </c>
      <c r="Q752" s="123">
        <f t="shared" si="301"/>
        <v>0</v>
      </c>
      <c r="R752" s="125">
        <f>+_xlfn.XLOOKUP(A752,PPTO_GENERADOR!$Q:$Q,PPTO_GENERADOR!A:A,"-",0)</f>
        <v>3.08</v>
      </c>
    </row>
    <row r="753" spans="1:18" ht="14.25" customHeight="1" x14ac:dyDescent="0.35">
      <c r="A753" s="105" t="s">
        <v>74</v>
      </c>
      <c r="B753" s="105" t="s">
        <v>1981</v>
      </c>
      <c r="C753" s="105" t="s">
        <v>1984</v>
      </c>
      <c r="D753" s="105" t="s">
        <v>1260</v>
      </c>
      <c r="E753" s="95" t="str">
        <f>IFERROR(VLOOKUP(D753,MATERIALES!A:B,2,FALSE()),"?")</f>
        <v>HIERRO DE CONSTRUCCION H°A° (cuantia c/desp.)</v>
      </c>
      <c r="F753" s="129" t="str">
        <f>IFERROR(VLOOKUP(D753,MATERIALES!A:C,3,FALSE()),"?")</f>
        <v>kg</v>
      </c>
      <c r="G753" s="119">
        <v>90</v>
      </c>
      <c r="H753" s="120">
        <v>0</v>
      </c>
      <c r="I753" s="96">
        <f>IFERROR(VLOOKUP(D753,MATERIALES!A:D,4,FALSE()),0)</f>
        <v>1772</v>
      </c>
      <c r="J753" s="31">
        <f>G753*I753*(1+H753)</f>
        <v>159480</v>
      </c>
      <c r="K753" s="32" t="str">
        <f t="shared" si="295"/>
        <v>PTO-0308|MAT</v>
      </c>
      <c r="L753" s="32">
        <f>COUNTIFS($K$2:K753,K753)</f>
        <v>1</v>
      </c>
      <c r="M753" s="32" t="str">
        <f t="shared" si="299"/>
        <v>PTO-0308|MAT|1</v>
      </c>
      <c r="N753" s="121">
        <f>IFERROR(VLOOKUP(A753,PARTIDAS!A:F,6,FALSE()),0)</f>
        <v>1</v>
      </c>
      <c r="O753" s="123">
        <f t="shared" si="300"/>
        <v>0</v>
      </c>
      <c r="P753" s="123">
        <f>+_xlfn.XLOOKUP(A753,PPTO_GENERADOR!Q:Q,PPTO_GENERADOR!E:E,"-",0)</f>
        <v>9</v>
      </c>
      <c r="Q753" s="123">
        <f t="shared" si="301"/>
        <v>0</v>
      </c>
      <c r="R753" s="125">
        <f>+_xlfn.XLOOKUP(A753,PPTO_GENERADOR!$Q:$Q,PPTO_GENERADOR!A:A,"-",0)</f>
        <v>3.08</v>
      </c>
    </row>
    <row r="754" spans="1:18" ht="14.25" customHeight="1" x14ac:dyDescent="0.35">
      <c r="A754" s="105" t="s">
        <v>74</v>
      </c>
      <c r="B754" s="105" t="s">
        <v>1983</v>
      </c>
      <c r="C754" s="105"/>
      <c r="D754" s="105" t="s">
        <v>1357</v>
      </c>
      <c r="E754" s="95" t="str">
        <f>IFERROR(VLOOKUP(D754,EQUIPOS!A:B,2,FALSE()),"?")</f>
        <v>Herramientas — Tabique submuración - H30 (90 kg/m3 de h</v>
      </c>
      <c r="F754" s="129"/>
      <c r="G754" s="119">
        <v>1</v>
      </c>
      <c r="H754" s="120">
        <v>0</v>
      </c>
      <c r="I754" s="96">
        <f>IFERROR(VLOOKUP(D754,EQUIPOS!A:F,6,FALSE()),0)</f>
        <v>11806.2092972475</v>
      </c>
      <c r="J754" s="31">
        <f>G754*I754</f>
        <v>11806.2092972475</v>
      </c>
      <c r="K754" s="32" t="str">
        <f t="shared" si="295"/>
        <v>PTO-0308|EQ</v>
      </c>
      <c r="L754" s="32">
        <f>COUNTIFS($K$2:K754,K754)</f>
        <v>1</v>
      </c>
      <c r="M754" s="32" t="str">
        <f t="shared" si="299"/>
        <v>PTO-0308|EQ|1</v>
      </c>
      <c r="N754" s="121">
        <f>IFERROR(VLOOKUP(A754,PARTIDAS!A:F,6,FALSE()),0)</f>
        <v>1</v>
      </c>
      <c r="O754" s="123">
        <f t="shared" si="300"/>
        <v>0</v>
      </c>
      <c r="P754" s="123">
        <f>+_xlfn.XLOOKUP(A754,PPTO_GENERADOR!Q:Q,PPTO_GENERADOR!E:E,"-",0)</f>
        <v>9</v>
      </c>
      <c r="Q754" s="123">
        <f t="shared" si="301"/>
        <v>0</v>
      </c>
      <c r="R754" s="125">
        <f>+_xlfn.XLOOKUP(A754,PPTO_GENERADOR!$Q:$Q,PPTO_GENERADOR!A:A,"-",0)</f>
        <v>3.08</v>
      </c>
    </row>
    <row r="755" spans="1:18" ht="14.25" customHeight="1" x14ac:dyDescent="0.35">
      <c r="A755" s="105" t="s">
        <v>76</v>
      </c>
      <c r="B755" s="105" t="s">
        <v>1979</v>
      </c>
      <c r="C755" s="105" t="s">
        <v>1982</v>
      </c>
      <c r="D755" s="105" t="s">
        <v>1564</v>
      </c>
      <c r="E755" s="95" t="str">
        <f>IFERROR(VLOOKUP(D755,SUBCONTRATOS_PRY!A:B,2,FALSE()),"?")</f>
        <v>MO H°A° — Puntales de compresión/codales - H30 (120 kg/</v>
      </c>
      <c r="F755" s="129" t="s">
        <v>2042</v>
      </c>
      <c r="G755" s="119">
        <v>1</v>
      </c>
      <c r="H755" s="120">
        <v>0</v>
      </c>
      <c r="I755" s="96">
        <f>IFERROR(VLOOKUP(D755,SUBCONTRATOS_PRY!A:D,4,FALSE()),0)</f>
        <v>362209.60749629402</v>
      </c>
      <c r="J755" s="31">
        <f>G755*I755</f>
        <v>362209.60749629402</v>
      </c>
      <c r="K755" s="32" t="str">
        <f t="shared" si="295"/>
        <v>PTO-0309|MO</v>
      </c>
      <c r="L755" s="32">
        <f>COUNTIFS($K$2:K755,K755)</f>
        <v>1</v>
      </c>
      <c r="M755" s="32" t="str">
        <f t="shared" si="299"/>
        <v>PTO-0309|MO|1</v>
      </c>
      <c r="N755" s="121">
        <f>IFERROR(VLOOKUP(A755,PARTIDAS!A:F,6,FALSE()),0)</f>
        <v>1</v>
      </c>
      <c r="O755" s="123">
        <f t="shared" si="300"/>
        <v>0</v>
      </c>
      <c r="P755" s="123">
        <f>+_xlfn.XLOOKUP(A755,PPTO_GENERADOR!Q:Q,PPTO_GENERADOR!E:E,"-",0)</f>
        <v>1</v>
      </c>
      <c r="Q755" s="123">
        <f t="shared" si="301"/>
        <v>0</v>
      </c>
      <c r="R755" s="125">
        <f>+_xlfn.XLOOKUP(A755,PPTO_GENERADOR!$Q:$Q,PPTO_GENERADOR!A:A,"-",0)</f>
        <v>3.09</v>
      </c>
    </row>
    <row r="756" spans="1:18" ht="14.25" customHeight="1" x14ac:dyDescent="0.35">
      <c r="A756" s="105" t="s">
        <v>76</v>
      </c>
      <c r="B756" s="105" t="s">
        <v>1981</v>
      </c>
      <c r="C756" s="105" t="s">
        <v>1982</v>
      </c>
      <c r="D756" s="105" t="s">
        <v>699</v>
      </c>
      <c r="E756" s="95" t="str">
        <f>IFERROR(VLOOKUP(D756,MATERIALES!A:B,2,FALSE()),"?")</f>
        <v>H°A° — Puntales de compresión/codales - H30 (120 kg/</v>
      </c>
      <c r="F756" s="129" t="str">
        <f>IFERROR(VLOOKUP(D756,MATERIALES!A:C,3,FALSE()),"?")</f>
        <v>u</v>
      </c>
      <c r="G756" s="119">
        <v>1</v>
      </c>
      <c r="H756" s="120">
        <v>0</v>
      </c>
      <c r="I756" s="96">
        <f>IFERROR(VLOOKUP(D756,MATERIALES!A:D,4,FALSE()),0)</f>
        <v>542036.05081495701</v>
      </c>
      <c r="J756" s="31">
        <f>G756*I756*(1+H756)</f>
        <v>542036.05081495701</v>
      </c>
      <c r="K756" s="32" t="str">
        <f t="shared" si="295"/>
        <v>PTO-0309|MAT</v>
      </c>
      <c r="L756" s="32">
        <f>COUNTIFS($K$2:K756,K756)</f>
        <v>1</v>
      </c>
      <c r="M756" s="32" t="str">
        <f t="shared" si="299"/>
        <v>PTO-0309|MAT|1</v>
      </c>
      <c r="N756" s="121">
        <f>IFERROR(VLOOKUP(A756,PARTIDAS!A:F,6,FALSE()),0)</f>
        <v>1</v>
      </c>
      <c r="O756" s="123">
        <f t="shared" si="300"/>
        <v>0</v>
      </c>
      <c r="P756" s="123">
        <f>+_xlfn.XLOOKUP(A756,PPTO_GENERADOR!Q:Q,PPTO_GENERADOR!E:E,"-",0)</f>
        <v>1</v>
      </c>
      <c r="Q756" s="123">
        <f t="shared" si="301"/>
        <v>0</v>
      </c>
      <c r="R756" s="125">
        <f>+_xlfn.XLOOKUP(A756,PPTO_GENERADOR!$Q:$Q,PPTO_GENERADOR!A:A,"-",0)</f>
        <v>3.09</v>
      </c>
    </row>
    <row r="757" spans="1:18" ht="14.25" customHeight="1" x14ac:dyDescent="0.35">
      <c r="A757" s="105" t="s">
        <v>76</v>
      </c>
      <c r="B757" s="105" t="s">
        <v>1983</v>
      </c>
      <c r="C757" s="105"/>
      <c r="D757" s="105" t="s">
        <v>1359</v>
      </c>
      <c r="E757" s="95" t="str">
        <f>IFERROR(VLOOKUP(D757,EQUIPOS!A:B,2,FALSE()),"?")</f>
        <v>Herramientas — Puntales de compresión/codales - H30 (12</v>
      </c>
      <c r="F757" s="129"/>
      <c r="G757" s="119">
        <v>1</v>
      </c>
      <c r="H757" s="120">
        <v>0</v>
      </c>
      <c r="I757" s="96">
        <f>IFERROR(VLOOKUP(D757,EQUIPOS!A:F,6,FALSE()),0)</f>
        <v>13563.684874668799</v>
      </c>
      <c r="J757" s="31">
        <f>G757*I757</f>
        <v>13563.684874668799</v>
      </c>
      <c r="K757" s="32" t="str">
        <f t="shared" ref="K757" si="308">A757&amp;"|"&amp;B757</f>
        <v>PTO-0309|EQ</v>
      </c>
      <c r="L757" s="32">
        <f>COUNTIFS($K$2:K757,K757)</f>
        <v>1</v>
      </c>
      <c r="M757" s="32" t="str">
        <f t="shared" si="299"/>
        <v>PTO-0309|EQ|1</v>
      </c>
      <c r="N757" s="121">
        <f>IFERROR(VLOOKUP(A757,PARTIDAS!A:F,6,FALSE()),0)</f>
        <v>1</v>
      </c>
      <c r="O757" s="123">
        <f t="shared" si="300"/>
        <v>0</v>
      </c>
      <c r="P757" s="123">
        <f>+_xlfn.XLOOKUP(A757,PPTO_GENERADOR!Q:Q,PPTO_GENERADOR!E:E,"-",0)</f>
        <v>1</v>
      </c>
      <c r="Q757" s="123">
        <f t="shared" si="301"/>
        <v>0</v>
      </c>
      <c r="R757" s="125">
        <f>+_xlfn.XLOOKUP(A757,PPTO_GENERADOR!$Q:$Q,PPTO_GENERADOR!A:A,"-",0)</f>
        <v>3.09</v>
      </c>
    </row>
    <row r="758" spans="1:18" ht="14.25" customHeight="1" x14ac:dyDescent="0.35">
      <c r="A758" s="105" t="s">
        <v>78</v>
      </c>
      <c r="B758" s="105" t="s">
        <v>1979</v>
      </c>
      <c r="C758" s="105" t="s">
        <v>1982</v>
      </c>
      <c r="D758" s="105" t="s">
        <v>1566</v>
      </c>
      <c r="E758" s="95" t="str">
        <f>IFERROR(VLOOKUP(D758,SUBCONTRATOS_PRY!A:B,2,FALSE()),"?")</f>
        <v>MO H°A° — Columna - H30 (240 kg/m3 de hierro)</v>
      </c>
      <c r="F758" s="129" t="s">
        <v>2042</v>
      </c>
      <c r="G758" s="119">
        <v>1</v>
      </c>
      <c r="H758" s="120">
        <v>0</v>
      </c>
      <c r="I758" s="96">
        <f>IFERROR(VLOOKUP(D758,SUBCONTRATOS_PRY!A:D,4,FALSE()),0)</f>
        <v>362209.60749629402</v>
      </c>
      <c r="J758" s="31">
        <f>G758*I758</f>
        <v>362209.60749629402</v>
      </c>
      <c r="K758" s="32" t="str">
        <f t="shared" ref="K758:K820" si="309">A758&amp;"|"&amp;B758</f>
        <v>PTO-0031|MO</v>
      </c>
      <c r="L758" s="32">
        <f>COUNTIFS($K$2:K758,K758)</f>
        <v>1</v>
      </c>
      <c r="M758" s="32" t="str">
        <f t="shared" si="299"/>
        <v>PTO-0031|MO|1</v>
      </c>
      <c r="N758" s="121">
        <f>IFERROR(VLOOKUP(A758,PARTIDAS!A:F,6,FALSE()),0)</f>
        <v>1</v>
      </c>
      <c r="O758" s="123">
        <f t="shared" si="300"/>
        <v>0</v>
      </c>
      <c r="P758" s="123">
        <f>+_xlfn.XLOOKUP(A758,PPTO_GENERADOR!Q:Q,PPTO_GENERADOR!E:E,"-",0)</f>
        <v>32</v>
      </c>
      <c r="Q758" s="123">
        <f t="shared" si="301"/>
        <v>0</v>
      </c>
      <c r="R758" s="125">
        <f>+_xlfn.XLOOKUP(A758,PPTO_GENERADOR!$Q:$Q,PPTO_GENERADOR!A:A,"-",0)</f>
        <v>3.1</v>
      </c>
    </row>
    <row r="759" spans="1:18" ht="14.25" customHeight="1" x14ac:dyDescent="0.35">
      <c r="A759" s="105" t="s">
        <v>78</v>
      </c>
      <c r="B759" s="105" t="s">
        <v>1981</v>
      </c>
      <c r="C759" s="105" t="s">
        <v>1984</v>
      </c>
      <c r="D759" s="105" t="s">
        <v>1260</v>
      </c>
      <c r="E759" s="95" t="str">
        <f>IFERROR(VLOOKUP(D759,MATERIALES!A:B,2,FALSE()),"?")</f>
        <v>HIERRO DE CONSTRUCCION H°A° (cuantia c/desp.)</v>
      </c>
      <c r="F759" s="129" t="str">
        <f>IFERROR(VLOOKUP(D759,MATERIALES!A:C,3,FALSE()),"?")</f>
        <v>kg</v>
      </c>
      <c r="G759" s="119">
        <v>240</v>
      </c>
      <c r="H759" s="120">
        <v>0</v>
      </c>
      <c r="I759" s="96">
        <f>IFERROR(VLOOKUP(D759,MATERIALES!A:D,4,FALSE()),0)</f>
        <v>1772</v>
      </c>
      <c r="J759" s="31">
        <f>G759*I759*(1+H759)</f>
        <v>425280</v>
      </c>
      <c r="K759" s="32" t="str">
        <f t="shared" si="309"/>
        <v>PTO-0031|MAT</v>
      </c>
      <c r="L759" s="32">
        <f>COUNTIFS($K$2:K759,K759)</f>
        <v>1</v>
      </c>
      <c r="M759" s="32" t="str">
        <f t="shared" si="299"/>
        <v>PTO-0031|MAT|1</v>
      </c>
      <c r="N759" s="121">
        <f>IFERROR(VLOOKUP(A759,PARTIDAS!A:F,6,FALSE()),0)</f>
        <v>1</v>
      </c>
      <c r="O759" s="123">
        <f t="shared" si="300"/>
        <v>0</v>
      </c>
      <c r="P759" s="123">
        <f>+_xlfn.XLOOKUP(A759,PPTO_GENERADOR!Q:Q,PPTO_GENERADOR!E:E,"-",0)</f>
        <v>32</v>
      </c>
      <c r="Q759" s="123">
        <f t="shared" si="301"/>
        <v>0</v>
      </c>
      <c r="R759" s="125">
        <f>+_xlfn.XLOOKUP(A759,PPTO_GENERADOR!$Q:$Q,PPTO_GENERADOR!A:A,"-",0)</f>
        <v>3.1</v>
      </c>
    </row>
    <row r="760" spans="1:18" ht="14.25" customHeight="1" x14ac:dyDescent="0.35">
      <c r="A760" s="105" t="s">
        <v>78</v>
      </c>
      <c r="B760" s="105" t="s">
        <v>1983</v>
      </c>
      <c r="C760" s="105"/>
      <c r="D760" s="105" t="s">
        <v>1361</v>
      </c>
      <c r="E760" s="95" t="str">
        <f>IFERROR(VLOOKUP(D760,EQUIPOS!A:B,2,FALSE()),"?")</f>
        <v>Herramientas — Columna - H30 (240 kg/m3 de hierro)</v>
      </c>
      <c r="F760" s="129"/>
      <c r="G760" s="119">
        <v>1</v>
      </c>
      <c r="H760" s="120">
        <v>0</v>
      </c>
      <c r="I760" s="96">
        <f>IFERROR(VLOOKUP(D760,EQUIPOS!A:F,6,FALSE()),0)</f>
        <v>15158.4848746688</v>
      </c>
      <c r="J760" s="31">
        <f>G760*I760</f>
        <v>15158.4848746688</v>
      </c>
      <c r="K760" s="32" t="str">
        <f t="shared" si="309"/>
        <v>PTO-0031|EQ</v>
      </c>
      <c r="L760" s="32">
        <f>COUNTIFS($K$2:K760,K760)</f>
        <v>1</v>
      </c>
      <c r="M760" s="32" t="str">
        <f t="shared" si="299"/>
        <v>PTO-0031|EQ|1</v>
      </c>
      <c r="N760" s="121">
        <f>IFERROR(VLOOKUP(A760,PARTIDAS!A:F,6,FALSE()),0)</f>
        <v>1</v>
      </c>
      <c r="O760" s="123">
        <f t="shared" si="300"/>
        <v>0</v>
      </c>
      <c r="P760" s="123">
        <f>+_xlfn.XLOOKUP(A760,PPTO_GENERADOR!Q:Q,PPTO_GENERADOR!E:E,"-",0)</f>
        <v>32</v>
      </c>
      <c r="Q760" s="123">
        <f t="shared" si="301"/>
        <v>0</v>
      </c>
      <c r="R760" s="125">
        <f>+_xlfn.XLOOKUP(A760,PPTO_GENERADOR!$Q:$Q,PPTO_GENERADOR!A:A,"-",0)</f>
        <v>3.1</v>
      </c>
    </row>
    <row r="761" spans="1:18" ht="14.25" customHeight="1" x14ac:dyDescent="0.35">
      <c r="A761" s="105" t="s">
        <v>80</v>
      </c>
      <c r="B761" s="105" t="s">
        <v>1979</v>
      </c>
      <c r="C761" s="105" t="s">
        <v>1982</v>
      </c>
      <c r="D761" s="105" t="s">
        <v>1568</v>
      </c>
      <c r="E761" s="95" t="str">
        <f>IFERROR(VLOOKUP(D761,SUBCONTRATOS_PRY!A:B,2,FALSE()),"?")</f>
        <v>MO H°A° — Tabiques - H30 (120 kg/m3 de hierro)</v>
      </c>
      <c r="F761" s="129" t="s">
        <v>2042</v>
      </c>
      <c r="G761" s="119">
        <v>1</v>
      </c>
      <c r="H761" s="120">
        <v>0</v>
      </c>
      <c r="I761" s="96">
        <f>IFERROR(VLOOKUP(D761,SUBCONTRATOS_PRY!A:D,4,FALSE()),0)</f>
        <v>392678.734102213</v>
      </c>
      <c r="J761" s="31">
        <f>G761*I761</f>
        <v>392678.734102213</v>
      </c>
      <c r="K761" s="32" t="str">
        <f t="shared" si="309"/>
        <v>PTO-0311|MO</v>
      </c>
      <c r="L761" s="32">
        <f>COUNTIFS($K$2:K761,K761)</f>
        <v>1</v>
      </c>
      <c r="M761" s="32" t="str">
        <f t="shared" si="299"/>
        <v>PTO-0311|MO|1</v>
      </c>
      <c r="N761" s="121">
        <f>IFERROR(VLOOKUP(A761,PARTIDAS!A:F,6,FALSE()),0)</f>
        <v>1</v>
      </c>
      <c r="O761" s="123">
        <f t="shared" si="300"/>
        <v>0</v>
      </c>
      <c r="P761" s="123">
        <f>+_xlfn.XLOOKUP(A761,PPTO_GENERADOR!Q:Q,PPTO_GENERADOR!E:E,"-",0)</f>
        <v>30</v>
      </c>
      <c r="Q761" s="123">
        <f t="shared" si="301"/>
        <v>0</v>
      </c>
      <c r="R761" s="125">
        <f>+_xlfn.XLOOKUP(A761,PPTO_GENERADOR!$Q:$Q,PPTO_GENERADOR!A:A,"-",0)</f>
        <v>3.11</v>
      </c>
    </row>
    <row r="762" spans="1:18" ht="14.25" customHeight="1" x14ac:dyDescent="0.35">
      <c r="A762" s="105" t="s">
        <v>80</v>
      </c>
      <c r="B762" s="105" t="s">
        <v>1981</v>
      </c>
      <c r="C762" s="105" t="s">
        <v>1984</v>
      </c>
      <c r="D762" s="105" t="s">
        <v>1260</v>
      </c>
      <c r="E762" s="95" t="str">
        <f>IFERROR(VLOOKUP(D762,MATERIALES!A:B,2,FALSE()),"?")</f>
        <v>HIERRO DE CONSTRUCCION H°A° (cuantia c/desp.)</v>
      </c>
      <c r="F762" s="129" t="str">
        <f>IFERROR(VLOOKUP(D762,MATERIALES!A:C,3,FALSE()),"?")</f>
        <v>kg</v>
      </c>
      <c r="G762" s="119">
        <v>120</v>
      </c>
      <c r="H762" s="120">
        <v>0</v>
      </c>
      <c r="I762" s="96">
        <f>IFERROR(VLOOKUP(D762,MATERIALES!A:D,4,FALSE()),0)</f>
        <v>1772</v>
      </c>
      <c r="J762" s="31">
        <f>G762*I762*(1+H762)</f>
        <v>212640</v>
      </c>
      <c r="K762" s="32" t="str">
        <f t="shared" si="309"/>
        <v>PTO-0311|MAT</v>
      </c>
      <c r="L762" s="32">
        <f>COUNTIFS($K$2:K762,K762)</f>
        <v>1</v>
      </c>
      <c r="M762" s="32" t="str">
        <f t="shared" si="299"/>
        <v>PTO-0311|MAT|1</v>
      </c>
      <c r="N762" s="121">
        <f>IFERROR(VLOOKUP(A762,PARTIDAS!A:F,6,FALSE()),0)</f>
        <v>1</v>
      </c>
      <c r="O762" s="123">
        <f t="shared" si="300"/>
        <v>0</v>
      </c>
      <c r="P762" s="123">
        <f>+_xlfn.XLOOKUP(A762,PPTO_GENERADOR!Q:Q,PPTO_GENERADOR!E:E,"-",0)</f>
        <v>30</v>
      </c>
      <c r="Q762" s="123">
        <f t="shared" si="301"/>
        <v>0</v>
      </c>
      <c r="R762" s="125">
        <f>+_xlfn.XLOOKUP(A762,PPTO_GENERADOR!$Q:$Q,PPTO_GENERADOR!A:A,"-",0)</f>
        <v>3.11</v>
      </c>
    </row>
    <row r="763" spans="1:18" ht="14.25" customHeight="1" x14ac:dyDescent="0.35">
      <c r="A763" s="105" t="s">
        <v>80</v>
      </c>
      <c r="B763" s="105" t="s">
        <v>1983</v>
      </c>
      <c r="C763" s="105"/>
      <c r="D763" s="105" t="s">
        <v>1363</v>
      </c>
      <c r="E763" s="95" t="str">
        <f>IFERROR(VLOOKUP(D763,EQUIPOS!A:B,2,FALSE()),"?")</f>
        <v>Herramientas — Tabiques - H30 (120 kg/m3 de hierro)</v>
      </c>
      <c r="F763" s="129"/>
      <c r="G763" s="119">
        <v>1</v>
      </c>
      <c r="H763" s="120">
        <v>0</v>
      </c>
      <c r="I763" s="96">
        <f>IFERROR(VLOOKUP(D763,EQUIPOS!A:F,6,FALSE()),0)</f>
        <v>12603.6092972475</v>
      </c>
      <c r="J763" s="31">
        <f>G763*I763</f>
        <v>12603.6092972475</v>
      </c>
      <c r="K763" s="32" t="str">
        <f t="shared" si="309"/>
        <v>PTO-0311|EQ</v>
      </c>
      <c r="L763" s="32">
        <f>COUNTIFS($K$2:K763,K763)</f>
        <v>1</v>
      </c>
      <c r="M763" s="32" t="str">
        <f t="shared" ref="M763" si="310">K763&amp;"|"&amp;L763</f>
        <v>PTO-0311|EQ|1</v>
      </c>
      <c r="N763" s="121">
        <f>IFERROR(VLOOKUP(A763,PARTIDAS!A:F,6,FALSE()),0)</f>
        <v>1</v>
      </c>
      <c r="O763" s="123">
        <f t="shared" si="300"/>
        <v>0</v>
      </c>
      <c r="P763" s="123">
        <f>+_xlfn.XLOOKUP(A763,PPTO_GENERADOR!Q:Q,PPTO_GENERADOR!E:E,"-",0)</f>
        <v>30</v>
      </c>
      <c r="Q763" s="123">
        <f t="shared" si="301"/>
        <v>0</v>
      </c>
      <c r="R763" s="125">
        <f>+_xlfn.XLOOKUP(A763,PPTO_GENERADOR!$Q:$Q,PPTO_GENERADOR!A:A,"-",0)</f>
        <v>3.11</v>
      </c>
    </row>
    <row r="764" spans="1:18" ht="14.25" customHeight="1" x14ac:dyDescent="0.35">
      <c r="A764" s="105" t="s">
        <v>82</v>
      </c>
      <c r="B764" s="105" t="s">
        <v>1979</v>
      </c>
      <c r="C764" s="105" t="s">
        <v>1982</v>
      </c>
      <c r="D764" s="105" t="s">
        <v>1570</v>
      </c>
      <c r="E764" s="95" t="str">
        <f>IFERROR(VLOOKUP(D764,SUBCONTRATOS_PRY!A:B,2,FALSE()),"?")</f>
        <v>MO H°A° — Viga H° Visto - H30 (120 kg/m3 de hierro)</v>
      </c>
      <c r="F764" s="129" t="s">
        <v>2042</v>
      </c>
      <c r="G764" s="119">
        <v>1</v>
      </c>
      <c r="H764" s="120">
        <v>0</v>
      </c>
      <c r="I764" s="96">
        <f>IFERROR(VLOOKUP(D764,SUBCONTRATOS_PRY!A:D,4,FALSE()),0)</f>
        <v>629584.35516405001</v>
      </c>
      <c r="J764" s="31">
        <f>G764*I764</f>
        <v>629584.35516405001</v>
      </c>
      <c r="K764" s="32" t="str">
        <f t="shared" si="309"/>
        <v>PTO-0312|MO</v>
      </c>
      <c r="L764" s="32">
        <f>COUNTIFS($K$2:K764,K764)</f>
        <v>1</v>
      </c>
      <c r="M764" s="32" t="str">
        <f t="shared" ref="M764:M826" si="311">K764&amp;"|"&amp;L764</f>
        <v>PTO-0312|MO|1</v>
      </c>
      <c r="N764" s="121">
        <f>IFERROR(VLOOKUP(A764,PARTIDAS!A:F,6,FALSE()),0)</f>
        <v>1</v>
      </c>
      <c r="O764" s="123">
        <f t="shared" si="300"/>
        <v>0</v>
      </c>
      <c r="P764" s="123">
        <f>+_xlfn.XLOOKUP(A764,PPTO_GENERADOR!Q:Q,PPTO_GENERADOR!E:E,"-",0)</f>
        <v>7</v>
      </c>
      <c r="Q764" s="123">
        <f t="shared" si="301"/>
        <v>0</v>
      </c>
      <c r="R764" s="125">
        <f>+_xlfn.XLOOKUP(A764,PPTO_GENERADOR!$Q:$Q,PPTO_GENERADOR!A:A,"-",0)</f>
        <v>3.12</v>
      </c>
    </row>
    <row r="765" spans="1:18" ht="14.25" customHeight="1" x14ac:dyDescent="0.35">
      <c r="A765" s="105" t="s">
        <v>82</v>
      </c>
      <c r="B765" s="105" t="s">
        <v>1981</v>
      </c>
      <c r="C765" s="105" t="s">
        <v>1984</v>
      </c>
      <c r="D765" s="105" t="s">
        <v>1260</v>
      </c>
      <c r="E765" s="95" t="str">
        <f>IFERROR(VLOOKUP(D765,MATERIALES!A:B,2,FALSE()),"?")</f>
        <v>HIERRO DE CONSTRUCCION H°A° (cuantia c/desp.)</v>
      </c>
      <c r="F765" s="129" t="str">
        <f>IFERROR(VLOOKUP(D765,MATERIALES!A:C,3,FALSE()),"?")</f>
        <v>kg</v>
      </c>
      <c r="G765" s="119">
        <v>120</v>
      </c>
      <c r="H765" s="120">
        <v>0</v>
      </c>
      <c r="I765" s="96">
        <f>IFERROR(VLOOKUP(D765,MATERIALES!A:D,4,FALSE()),0)</f>
        <v>1772</v>
      </c>
      <c r="J765" s="31">
        <f>G765*I765*(1+H765)</f>
        <v>212640</v>
      </c>
      <c r="K765" s="32" t="str">
        <f t="shared" si="309"/>
        <v>PTO-0312|MAT</v>
      </c>
      <c r="L765" s="32">
        <f>COUNTIFS($K$2:K765,K765)</f>
        <v>1</v>
      </c>
      <c r="M765" s="32" t="str">
        <f t="shared" si="311"/>
        <v>PTO-0312|MAT|1</v>
      </c>
      <c r="N765" s="121">
        <f>IFERROR(VLOOKUP(A765,PARTIDAS!A:F,6,FALSE()),0)</f>
        <v>1</v>
      </c>
      <c r="O765" s="123">
        <f t="shared" si="300"/>
        <v>0</v>
      </c>
      <c r="P765" s="123">
        <f>+_xlfn.XLOOKUP(A765,PPTO_GENERADOR!Q:Q,PPTO_GENERADOR!E:E,"-",0)</f>
        <v>7</v>
      </c>
      <c r="Q765" s="123">
        <f t="shared" si="301"/>
        <v>0</v>
      </c>
      <c r="R765" s="125">
        <f>+_xlfn.XLOOKUP(A765,PPTO_GENERADOR!$Q:$Q,PPTO_GENERADOR!A:A,"-",0)</f>
        <v>3.12</v>
      </c>
    </row>
    <row r="766" spans="1:18" ht="14.25" customHeight="1" x14ac:dyDescent="0.35">
      <c r="A766" s="105" t="s">
        <v>82</v>
      </c>
      <c r="B766" s="105" t="s">
        <v>1983</v>
      </c>
      <c r="C766" s="105"/>
      <c r="D766" s="105" t="s">
        <v>1365</v>
      </c>
      <c r="E766" s="95" t="str">
        <f>IFERROR(VLOOKUP(D766,EQUIPOS!A:B,2,FALSE()),"?")</f>
        <v>Herramientas — Viga H° Visto - H30 (120 kg/m3 de hierro</v>
      </c>
      <c r="F766" s="129"/>
      <c r="G766" s="119">
        <v>1</v>
      </c>
      <c r="H766" s="120">
        <v>0</v>
      </c>
      <c r="I766" s="96">
        <f>IFERROR(VLOOKUP(D766,EQUIPOS!A:F,6,FALSE()),0)</f>
        <v>18800.546137111702</v>
      </c>
      <c r="J766" s="31">
        <f>G766*I766</f>
        <v>18800.546137111702</v>
      </c>
      <c r="K766" s="32" t="str">
        <f t="shared" si="309"/>
        <v>PTO-0312|EQ</v>
      </c>
      <c r="L766" s="32">
        <f>COUNTIFS($K$2:K766,K766)</f>
        <v>1</v>
      </c>
      <c r="M766" s="32" t="str">
        <f t="shared" si="311"/>
        <v>PTO-0312|EQ|1</v>
      </c>
      <c r="N766" s="121">
        <f>IFERROR(VLOOKUP(A766,PARTIDAS!A:F,6,FALSE()),0)</f>
        <v>1</v>
      </c>
      <c r="O766" s="123">
        <f t="shared" si="300"/>
        <v>0</v>
      </c>
      <c r="P766" s="123">
        <f>+_xlfn.XLOOKUP(A766,PPTO_GENERADOR!Q:Q,PPTO_GENERADOR!E:E,"-",0)</f>
        <v>7</v>
      </c>
      <c r="Q766" s="123">
        <f t="shared" si="301"/>
        <v>0</v>
      </c>
      <c r="R766" s="125">
        <f>+_xlfn.XLOOKUP(A766,PPTO_GENERADOR!$Q:$Q,PPTO_GENERADOR!A:A,"-",0)</f>
        <v>3.12</v>
      </c>
    </row>
    <row r="767" spans="1:18" ht="14.25" customHeight="1" x14ac:dyDescent="0.35">
      <c r="A767" s="105" t="s">
        <v>84</v>
      </c>
      <c r="B767" s="105" t="s">
        <v>1979</v>
      </c>
      <c r="C767" s="105" t="s">
        <v>1982</v>
      </c>
      <c r="D767" s="105" t="s">
        <v>1572</v>
      </c>
      <c r="E767" s="95" t="str">
        <f>IFERROR(VLOOKUP(D767,SUBCONTRATOS_PRY!A:B,2,FALSE()),"?")</f>
        <v>MO H°A° — Viga apeo s/PB - H30 (180 kg/m3 de hierro)</v>
      </c>
      <c r="F767" s="129" t="s">
        <v>2042</v>
      </c>
      <c r="G767" s="119">
        <v>1</v>
      </c>
      <c r="H767" s="120">
        <v>0</v>
      </c>
      <c r="I767" s="96">
        <f>IFERROR(VLOOKUP(D767,SUBCONTRATOS_PRY!A:D,4,FALSE()),0)</f>
        <v>629584.35516405001</v>
      </c>
      <c r="J767" s="31">
        <f>G767*I767</f>
        <v>629584.35516405001</v>
      </c>
      <c r="K767" s="32" t="str">
        <f t="shared" si="309"/>
        <v>PTO-0313|MO</v>
      </c>
      <c r="L767" s="32">
        <f>COUNTIFS($K$2:K767,K767)</f>
        <v>1</v>
      </c>
      <c r="M767" s="32" t="str">
        <f t="shared" si="311"/>
        <v>PTO-0313|MO|1</v>
      </c>
      <c r="N767" s="121">
        <f>IFERROR(VLOOKUP(A767,PARTIDAS!A:F,6,FALSE()),0)</f>
        <v>1</v>
      </c>
      <c r="O767" s="123">
        <f t="shared" si="300"/>
        <v>0</v>
      </c>
      <c r="P767" s="123">
        <f>+_xlfn.XLOOKUP(A767,PPTO_GENERADOR!Q:Q,PPTO_GENERADOR!E:E,"-",0)</f>
        <v>12</v>
      </c>
      <c r="Q767" s="123">
        <f t="shared" si="301"/>
        <v>0</v>
      </c>
      <c r="R767" s="125">
        <f>+_xlfn.XLOOKUP(A767,PPTO_GENERADOR!$Q:$Q,PPTO_GENERADOR!A:A,"-",0)</f>
        <v>3.13</v>
      </c>
    </row>
    <row r="768" spans="1:18" ht="14.25" customHeight="1" x14ac:dyDescent="0.35">
      <c r="A768" s="105" t="s">
        <v>84</v>
      </c>
      <c r="B768" s="105" t="s">
        <v>1981</v>
      </c>
      <c r="C768" s="105" t="s">
        <v>1984</v>
      </c>
      <c r="D768" s="105" t="s">
        <v>1260</v>
      </c>
      <c r="E768" s="95" t="str">
        <f>IFERROR(VLOOKUP(D768,MATERIALES!A:B,2,FALSE()),"?")</f>
        <v>HIERRO DE CONSTRUCCION H°A° (cuantia c/desp.)</v>
      </c>
      <c r="F768" s="129" t="str">
        <f>IFERROR(VLOOKUP(D768,MATERIALES!A:C,3,FALSE()),"?")</f>
        <v>kg</v>
      </c>
      <c r="G768" s="119">
        <v>180</v>
      </c>
      <c r="H768" s="120">
        <v>0</v>
      </c>
      <c r="I768" s="96">
        <f>IFERROR(VLOOKUP(D768,MATERIALES!A:D,4,FALSE()),0)</f>
        <v>1772</v>
      </c>
      <c r="J768" s="31">
        <f>G768*I768*(1+H768)</f>
        <v>318960</v>
      </c>
      <c r="K768" s="32" t="str">
        <f t="shared" si="309"/>
        <v>PTO-0313|MAT</v>
      </c>
      <c r="L768" s="32">
        <f>COUNTIFS($K$2:K768,K768)</f>
        <v>1</v>
      </c>
      <c r="M768" s="32" t="str">
        <f t="shared" si="311"/>
        <v>PTO-0313|MAT|1</v>
      </c>
      <c r="N768" s="121">
        <f>IFERROR(VLOOKUP(A768,PARTIDAS!A:F,6,FALSE()),0)</f>
        <v>1</v>
      </c>
      <c r="O768" s="123">
        <f t="shared" si="300"/>
        <v>0</v>
      </c>
      <c r="P768" s="123">
        <f>+_xlfn.XLOOKUP(A768,PPTO_GENERADOR!Q:Q,PPTO_GENERADOR!E:E,"-",0)</f>
        <v>12</v>
      </c>
      <c r="Q768" s="123">
        <f t="shared" si="301"/>
        <v>0</v>
      </c>
      <c r="R768" s="125">
        <f>+_xlfn.XLOOKUP(A768,PPTO_GENERADOR!$Q:$Q,PPTO_GENERADOR!A:A,"-",0)</f>
        <v>3.13</v>
      </c>
    </row>
    <row r="769" spans="1:18" ht="14.25" customHeight="1" x14ac:dyDescent="0.35">
      <c r="A769" s="105" t="s">
        <v>84</v>
      </c>
      <c r="B769" s="105" t="s">
        <v>1983</v>
      </c>
      <c r="C769" s="105"/>
      <c r="D769" s="105" t="s">
        <v>1367</v>
      </c>
      <c r="E769" s="95" t="str">
        <f>IFERROR(VLOOKUP(D769,EQUIPOS!A:B,2,FALSE()),"?")</f>
        <v>Herramientas — Viga apeo s/PB - H30 (180 kg/m3 de hierr</v>
      </c>
      <c r="F769" s="129"/>
      <c r="G769" s="119">
        <v>1</v>
      </c>
      <c r="H769" s="120">
        <v>0</v>
      </c>
      <c r="I769" s="96">
        <f>IFERROR(VLOOKUP(D769,EQUIPOS!A:F,6,FALSE()),0)</f>
        <v>20480.249291157201</v>
      </c>
      <c r="J769" s="31">
        <f>G769*I769</f>
        <v>20480.249291157201</v>
      </c>
      <c r="K769" s="32" t="str">
        <f t="shared" si="309"/>
        <v>PTO-0313|EQ</v>
      </c>
      <c r="L769" s="32">
        <f>COUNTIFS($K$2:K769,K769)</f>
        <v>1</v>
      </c>
      <c r="M769" s="32" t="str">
        <f t="shared" si="311"/>
        <v>PTO-0313|EQ|1</v>
      </c>
      <c r="N769" s="121">
        <f>IFERROR(VLOOKUP(A769,PARTIDAS!A:F,6,FALSE()),0)</f>
        <v>1</v>
      </c>
      <c r="O769" s="123">
        <f t="shared" si="300"/>
        <v>0</v>
      </c>
      <c r="P769" s="123">
        <f>+_xlfn.XLOOKUP(A769,PPTO_GENERADOR!Q:Q,PPTO_GENERADOR!E:E,"-",0)</f>
        <v>12</v>
      </c>
      <c r="Q769" s="123">
        <f t="shared" si="301"/>
        <v>0</v>
      </c>
      <c r="R769" s="125">
        <f>+_xlfn.XLOOKUP(A769,PPTO_GENERADOR!$Q:$Q,PPTO_GENERADOR!A:A,"-",0)</f>
        <v>3.13</v>
      </c>
    </row>
    <row r="770" spans="1:18" ht="14.25" customHeight="1" x14ac:dyDescent="0.35">
      <c r="A770" s="105" t="s">
        <v>86</v>
      </c>
      <c r="B770" s="105" t="s">
        <v>1979</v>
      </c>
      <c r="C770" s="105" t="s">
        <v>1982</v>
      </c>
      <c r="D770" s="105" t="s">
        <v>1574</v>
      </c>
      <c r="E770" s="95" t="str">
        <f>IFERROR(VLOOKUP(D770,SUBCONTRATOS_PRY!A:B,2,FALSE()),"?")</f>
        <v>MO H°A° — Viga - H30 (120 kg/m3 de hierro)</v>
      </c>
      <c r="F770" s="129" t="s">
        <v>2042</v>
      </c>
      <c r="G770" s="119">
        <v>1</v>
      </c>
      <c r="H770" s="120">
        <v>0</v>
      </c>
      <c r="I770" s="96">
        <f>IFERROR(VLOOKUP(D770,SUBCONTRATOS_PRY!A:D,4,FALSE()),0)</f>
        <v>629584.35516405001</v>
      </c>
      <c r="J770" s="31">
        <f>G770*I770</f>
        <v>629584.35516405001</v>
      </c>
      <c r="K770" s="32" t="str">
        <f t="shared" si="309"/>
        <v>PTO-0314|MO</v>
      </c>
      <c r="L770" s="32">
        <f>COUNTIFS($K$2:K770,K770)</f>
        <v>1</v>
      </c>
      <c r="M770" s="32" t="str">
        <f t="shared" si="311"/>
        <v>PTO-0314|MO|1</v>
      </c>
      <c r="N770" s="121">
        <f>IFERROR(VLOOKUP(A770,PARTIDAS!A:F,6,FALSE()),0)</f>
        <v>1</v>
      </c>
      <c r="O770" s="123">
        <f t="shared" si="300"/>
        <v>0</v>
      </c>
      <c r="P770" s="123">
        <f>+_xlfn.XLOOKUP(A770,PPTO_GENERADOR!Q:Q,PPTO_GENERADOR!E:E,"-",0)</f>
        <v>41</v>
      </c>
      <c r="Q770" s="123">
        <f t="shared" si="301"/>
        <v>0</v>
      </c>
      <c r="R770" s="125">
        <f>+_xlfn.XLOOKUP(A770,PPTO_GENERADOR!$Q:$Q,PPTO_GENERADOR!A:A,"-",0)</f>
        <v>3.14</v>
      </c>
    </row>
    <row r="771" spans="1:18" ht="14.25" customHeight="1" x14ac:dyDescent="0.35">
      <c r="A771" s="105" t="s">
        <v>86</v>
      </c>
      <c r="B771" s="105" t="s">
        <v>1981</v>
      </c>
      <c r="C771" s="105" t="s">
        <v>1984</v>
      </c>
      <c r="D771" s="105" t="s">
        <v>1260</v>
      </c>
      <c r="E771" s="95" t="str">
        <f>IFERROR(VLOOKUP(D771,MATERIALES!A:B,2,FALSE()),"?")</f>
        <v>HIERRO DE CONSTRUCCION H°A° (cuantia c/desp.)</v>
      </c>
      <c r="F771" s="129" t="str">
        <f>IFERROR(VLOOKUP(D771,MATERIALES!A:C,3,FALSE()),"?")</f>
        <v>kg</v>
      </c>
      <c r="G771" s="119">
        <v>120</v>
      </c>
      <c r="H771" s="120">
        <v>0</v>
      </c>
      <c r="I771" s="96">
        <f>IFERROR(VLOOKUP(D771,MATERIALES!A:D,4,FALSE()),0)</f>
        <v>1772</v>
      </c>
      <c r="J771" s="31">
        <f>G771*I771*(1+H771)</f>
        <v>212640</v>
      </c>
      <c r="K771" s="32" t="str">
        <f t="shared" si="309"/>
        <v>PTO-0314|MAT</v>
      </c>
      <c r="L771" s="32">
        <f>COUNTIFS($K$2:K771,K771)</f>
        <v>1</v>
      </c>
      <c r="M771" s="32" t="str">
        <f t="shared" si="311"/>
        <v>PTO-0314|MAT|1</v>
      </c>
      <c r="N771" s="121">
        <f>IFERROR(VLOOKUP(A771,PARTIDAS!A:F,6,FALSE()),0)</f>
        <v>1</v>
      </c>
      <c r="O771" s="123">
        <f t="shared" ref="O771:O834" si="312">+IF(C771="ALB",G771/N771,0)</f>
        <v>0</v>
      </c>
      <c r="P771" s="123">
        <f>+_xlfn.XLOOKUP(A771,PPTO_GENERADOR!Q:Q,PPTO_GENERADOR!E:E,"-",0)</f>
        <v>41</v>
      </c>
      <c r="Q771" s="123">
        <f t="shared" ref="Q771:Q834" si="313">IFERROR(P771*O771,0)</f>
        <v>0</v>
      </c>
      <c r="R771" s="125">
        <f>+_xlfn.XLOOKUP(A771,PPTO_GENERADOR!$Q:$Q,PPTO_GENERADOR!A:A,"-",0)</f>
        <v>3.14</v>
      </c>
    </row>
    <row r="772" spans="1:18" ht="14.25" customHeight="1" x14ac:dyDescent="0.35">
      <c r="A772" s="105" t="s">
        <v>86</v>
      </c>
      <c r="B772" s="105" t="s">
        <v>1983</v>
      </c>
      <c r="C772" s="105"/>
      <c r="D772" s="105" t="s">
        <v>1369</v>
      </c>
      <c r="E772" s="95" t="str">
        <f>IFERROR(VLOOKUP(D772,EQUIPOS!A:B,2,FALSE()),"?")</f>
        <v>Herramientas — Viga - H30 (120 kg/m3 de hierro)</v>
      </c>
      <c r="F772" s="129"/>
      <c r="G772" s="119">
        <v>1</v>
      </c>
      <c r="H772" s="120">
        <v>0</v>
      </c>
      <c r="I772" s="96">
        <f>IFERROR(VLOOKUP(D772,EQUIPOS!A:F,6,FALSE()),0)</f>
        <v>16524.507959292001</v>
      </c>
      <c r="J772" s="31">
        <f>G772*I772</f>
        <v>16524.507959292001</v>
      </c>
      <c r="K772" s="32" t="str">
        <f t="shared" si="309"/>
        <v>PTO-0314|EQ</v>
      </c>
      <c r="L772" s="32">
        <f>COUNTIFS($K$2:K772,K772)</f>
        <v>1</v>
      </c>
      <c r="M772" s="32" t="str">
        <f t="shared" si="311"/>
        <v>PTO-0314|EQ|1</v>
      </c>
      <c r="N772" s="121">
        <f>IFERROR(VLOOKUP(A772,PARTIDAS!A:F,6,FALSE()),0)</f>
        <v>1</v>
      </c>
      <c r="O772" s="123">
        <f t="shared" si="312"/>
        <v>0</v>
      </c>
      <c r="P772" s="123">
        <f>+_xlfn.XLOOKUP(A772,PPTO_GENERADOR!Q:Q,PPTO_GENERADOR!E:E,"-",0)</f>
        <v>41</v>
      </c>
      <c r="Q772" s="123">
        <f t="shared" si="313"/>
        <v>0</v>
      </c>
      <c r="R772" s="125">
        <f>+_xlfn.XLOOKUP(A772,PPTO_GENERADOR!$Q:$Q,PPTO_GENERADOR!A:A,"-",0)</f>
        <v>3.14</v>
      </c>
    </row>
    <row r="773" spans="1:18" ht="14.25" customHeight="1" x14ac:dyDescent="0.35">
      <c r="A773" s="105" t="s">
        <v>88</v>
      </c>
      <c r="B773" s="105" t="s">
        <v>1979</v>
      </c>
      <c r="C773" s="105" t="s">
        <v>1982</v>
      </c>
      <c r="D773" s="105" t="s">
        <v>1576</v>
      </c>
      <c r="E773" s="95" t="str">
        <f>IFERROR(VLOOKUP(D773,SUBCONTRATOS_PRY!A:B,2,FALSE()),"?")</f>
        <v>MO H°A° — Losa - H30 (95 kg/m3 de hierro)</v>
      </c>
      <c r="F773" s="129" t="s">
        <v>2042</v>
      </c>
      <c r="G773" s="119">
        <v>1</v>
      </c>
      <c r="H773" s="120">
        <v>0</v>
      </c>
      <c r="I773" s="96">
        <f>IFERROR(VLOOKUP(D773,SUBCONTRATOS_PRY!A:D,4,FALSE()),0)</f>
        <v>253632.45059711899</v>
      </c>
      <c r="J773" s="31">
        <f>G773*I773</f>
        <v>253632.45059711899</v>
      </c>
      <c r="K773" s="32" t="str">
        <f t="shared" si="309"/>
        <v>PTO-0315|MO</v>
      </c>
      <c r="L773" s="32">
        <f>COUNTIFS($K$2:K773,K773)</f>
        <v>1</v>
      </c>
      <c r="M773" s="32" t="str">
        <f t="shared" si="311"/>
        <v>PTO-0315|MO|1</v>
      </c>
      <c r="N773" s="121">
        <f>IFERROR(VLOOKUP(A773,PARTIDAS!A:F,6,FALSE()),0)</f>
        <v>1</v>
      </c>
      <c r="O773" s="123">
        <f t="shared" si="312"/>
        <v>0</v>
      </c>
      <c r="P773" s="123">
        <f>+_xlfn.XLOOKUP(A773,PPTO_GENERADOR!Q:Q,PPTO_GENERADOR!E:E,"-",0)</f>
        <v>135</v>
      </c>
      <c r="Q773" s="123">
        <f t="shared" si="313"/>
        <v>0</v>
      </c>
      <c r="R773" s="125">
        <f>+_xlfn.XLOOKUP(A773,PPTO_GENERADOR!$Q:$Q,PPTO_GENERADOR!A:A,"-",0)</f>
        <v>3.15</v>
      </c>
    </row>
    <row r="774" spans="1:18" ht="14.25" customHeight="1" x14ac:dyDescent="0.35">
      <c r="A774" s="105" t="s">
        <v>88</v>
      </c>
      <c r="B774" s="105" t="s">
        <v>1981</v>
      </c>
      <c r="C774" s="105" t="s">
        <v>1984</v>
      </c>
      <c r="D774" s="105" t="s">
        <v>1260</v>
      </c>
      <c r="E774" s="95" t="str">
        <f>IFERROR(VLOOKUP(D774,MATERIALES!A:B,2,FALSE()),"?")</f>
        <v>HIERRO DE CONSTRUCCION H°A° (cuantia c/desp.)</v>
      </c>
      <c r="F774" s="129" t="str">
        <f>IFERROR(VLOOKUP(D774,MATERIALES!A:C,3,FALSE()),"?")</f>
        <v>kg</v>
      </c>
      <c r="G774" s="119">
        <v>95</v>
      </c>
      <c r="H774" s="120">
        <v>0</v>
      </c>
      <c r="I774" s="96">
        <f>IFERROR(VLOOKUP(D774,MATERIALES!A:D,4,FALSE()),0)</f>
        <v>1772</v>
      </c>
      <c r="J774" s="31">
        <f>G774*I774*(1+H774)</f>
        <v>168340</v>
      </c>
      <c r="K774" s="32" t="str">
        <f t="shared" si="309"/>
        <v>PTO-0315|MAT</v>
      </c>
      <c r="L774" s="32">
        <f>COUNTIFS($K$2:K774,K774)</f>
        <v>1</v>
      </c>
      <c r="M774" s="32" t="str">
        <f t="shared" si="311"/>
        <v>PTO-0315|MAT|1</v>
      </c>
      <c r="N774" s="121">
        <f>IFERROR(VLOOKUP(A774,PARTIDAS!A:F,6,FALSE()),0)</f>
        <v>1</v>
      </c>
      <c r="O774" s="123">
        <f t="shared" si="312"/>
        <v>0</v>
      </c>
      <c r="P774" s="123">
        <f>+_xlfn.XLOOKUP(A774,PPTO_GENERADOR!Q:Q,PPTO_GENERADOR!E:E,"-",0)</f>
        <v>135</v>
      </c>
      <c r="Q774" s="123">
        <f t="shared" si="313"/>
        <v>0</v>
      </c>
      <c r="R774" s="125">
        <f>+_xlfn.XLOOKUP(A774,PPTO_GENERADOR!$Q:$Q,PPTO_GENERADOR!A:A,"-",0)</f>
        <v>3.15</v>
      </c>
    </row>
    <row r="775" spans="1:18" ht="14.25" customHeight="1" x14ac:dyDescent="0.35">
      <c r="A775" s="105" t="s">
        <v>88</v>
      </c>
      <c r="B775" s="105" t="s">
        <v>1983</v>
      </c>
      <c r="C775" s="105"/>
      <c r="D775" s="105" t="s">
        <v>1371</v>
      </c>
      <c r="E775" s="95" t="str">
        <f>IFERROR(VLOOKUP(D775,EQUIPOS!A:B,2,FALSE()),"?")</f>
        <v>Herramientas — Losa - H30 (95 kg/m3 de hierro)</v>
      </c>
      <c r="F775" s="129"/>
      <c r="G775" s="119">
        <v>1</v>
      </c>
      <c r="H775" s="120">
        <v>0</v>
      </c>
      <c r="I775" s="96">
        <f>IFERROR(VLOOKUP(D775,EQUIPOS!A:F,6,FALSE()),0)</f>
        <v>9227.9350954860201</v>
      </c>
      <c r="J775" s="31">
        <f>G775*I775</f>
        <v>9227.9350954860201</v>
      </c>
      <c r="K775" s="32" t="str">
        <f t="shared" si="309"/>
        <v>PTO-0315|EQ</v>
      </c>
      <c r="L775" s="32">
        <f>COUNTIFS($K$2:K775,K775)</f>
        <v>1</v>
      </c>
      <c r="M775" s="32" t="str">
        <f t="shared" si="311"/>
        <v>PTO-0315|EQ|1</v>
      </c>
      <c r="N775" s="121">
        <f>IFERROR(VLOOKUP(A775,PARTIDAS!A:F,6,FALSE()),0)</f>
        <v>1</v>
      </c>
      <c r="O775" s="123">
        <f t="shared" si="312"/>
        <v>0</v>
      </c>
      <c r="P775" s="123">
        <f>+_xlfn.XLOOKUP(A775,PPTO_GENERADOR!Q:Q,PPTO_GENERADOR!E:E,"-",0)</f>
        <v>135</v>
      </c>
      <c r="Q775" s="123">
        <f t="shared" si="313"/>
        <v>0</v>
      </c>
      <c r="R775" s="125">
        <f>+_xlfn.XLOOKUP(A775,PPTO_GENERADOR!$Q:$Q,PPTO_GENERADOR!A:A,"-",0)</f>
        <v>3.15</v>
      </c>
    </row>
    <row r="776" spans="1:18" ht="14.25" customHeight="1" x14ac:dyDescent="0.35">
      <c r="A776" s="105" t="s">
        <v>90</v>
      </c>
      <c r="B776" s="105" t="s">
        <v>1979</v>
      </c>
      <c r="C776" s="105" t="s">
        <v>1982</v>
      </c>
      <c r="D776" s="105" t="s">
        <v>1578</v>
      </c>
      <c r="E776" s="95" t="str">
        <f>IFERROR(VLOOKUP(D776,SUBCONTRATOS_PRY!A:B,2,FALSE()),"?")</f>
        <v>MO H°A° — Losa H° Visto - H30 (95 kg/m3 de hierro)</v>
      </c>
      <c r="F776" s="129" t="s">
        <v>2042</v>
      </c>
      <c r="G776" s="119">
        <v>1</v>
      </c>
      <c r="H776" s="120">
        <v>0</v>
      </c>
      <c r="I776" s="96">
        <f>IFERROR(VLOOKUP(D776,SUBCONTRATOS_PRY!A:D,4,FALSE()),0)</f>
        <v>253632.45059711899</v>
      </c>
      <c r="J776" s="31">
        <f>G776*I776</f>
        <v>253632.45059711899</v>
      </c>
      <c r="K776" s="32" t="str">
        <f t="shared" si="309"/>
        <v>PTO-0316|MO</v>
      </c>
      <c r="L776" s="32">
        <f>COUNTIFS($K$2:K776,K776)</f>
        <v>1</v>
      </c>
      <c r="M776" s="32" t="str">
        <f t="shared" si="311"/>
        <v>PTO-0316|MO|1</v>
      </c>
      <c r="N776" s="121">
        <f>IFERROR(VLOOKUP(A776,PARTIDAS!A:F,6,FALSE()),0)</f>
        <v>1</v>
      </c>
      <c r="O776" s="123">
        <f t="shared" si="312"/>
        <v>0</v>
      </c>
      <c r="P776" s="123">
        <f>+_xlfn.XLOOKUP(A776,PPTO_GENERADOR!Q:Q,PPTO_GENERADOR!E:E,"-",0)</f>
        <v>13</v>
      </c>
      <c r="Q776" s="123">
        <f t="shared" si="313"/>
        <v>0</v>
      </c>
      <c r="R776" s="125">
        <f>+_xlfn.XLOOKUP(A776,PPTO_GENERADOR!$Q:$Q,PPTO_GENERADOR!A:A,"-",0)</f>
        <v>3.16</v>
      </c>
    </row>
    <row r="777" spans="1:18" ht="14.25" customHeight="1" x14ac:dyDescent="0.35">
      <c r="A777" s="105" t="s">
        <v>90</v>
      </c>
      <c r="B777" s="105" t="s">
        <v>1981</v>
      </c>
      <c r="C777" s="105" t="s">
        <v>1984</v>
      </c>
      <c r="D777" s="105" t="s">
        <v>1260</v>
      </c>
      <c r="E777" s="95" t="str">
        <f>IFERROR(VLOOKUP(D777,MATERIALES!A:B,2,FALSE()),"?")</f>
        <v>HIERRO DE CONSTRUCCION H°A° (cuantia c/desp.)</v>
      </c>
      <c r="F777" s="129" t="str">
        <f>IFERROR(VLOOKUP(D777,MATERIALES!A:C,3,FALSE()),"?")</f>
        <v>kg</v>
      </c>
      <c r="G777" s="119">
        <v>95</v>
      </c>
      <c r="H777" s="120">
        <v>0</v>
      </c>
      <c r="I777" s="96">
        <f>IFERROR(VLOOKUP(D777,MATERIALES!A:D,4,FALSE()),0)</f>
        <v>1772</v>
      </c>
      <c r="J777" s="31">
        <f>G777*I777*(1+H777)</f>
        <v>168340</v>
      </c>
      <c r="K777" s="32" t="str">
        <f t="shared" si="309"/>
        <v>PTO-0316|MAT</v>
      </c>
      <c r="L777" s="32">
        <f>COUNTIFS($K$2:K777,K777)</f>
        <v>1</v>
      </c>
      <c r="M777" s="32" t="str">
        <f t="shared" si="311"/>
        <v>PTO-0316|MAT|1</v>
      </c>
      <c r="N777" s="121">
        <f>IFERROR(VLOOKUP(A777,PARTIDAS!A:F,6,FALSE()),0)</f>
        <v>1</v>
      </c>
      <c r="O777" s="123">
        <f t="shared" si="312"/>
        <v>0</v>
      </c>
      <c r="P777" s="123">
        <f>+_xlfn.XLOOKUP(A777,PPTO_GENERADOR!Q:Q,PPTO_GENERADOR!E:E,"-",0)</f>
        <v>13</v>
      </c>
      <c r="Q777" s="123">
        <f t="shared" si="313"/>
        <v>0</v>
      </c>
      <c r="R777" s="125">
        <f>+_xlfn.XLOOKUP(A777,PPTO_GENERADOR!$Q:$Q,PPTO_GENERADOR!A:A,"-",0)</f>
        <v>3.16</v>
      </c>
    </row>
    <row r="778" spans="1:18" ht="14.25" customHeight="1" x14ac:dyDescent="0.35">
      <c r="A778" s="105" t="s">
        <v>90</v>
      </c>
      <c r="B778" s="105" t="s">
        <v>1983</v>
      </c>
      <c r="C778" s="105"/>
      <c r="D778" s="105" t="s">
        <v>1373</v>
      </c>
      <c r="E778" s="95" t="str">
        <f>IFERROR(VLOOKUP(D778,EQUIPOS!A:B,2,FALSE()),"?")</f>
        <v>Herramientas — Losa H° Visto - H30 (95 kg/m3 de hierro)</v>
      </c>
      <c r="F778" s="129"/>
      <c r="G778" s="119">
        <v>1</v>
      </c>
      <c r="H778" s="120">
        <v>0</v>
      </c>
      <c r="I778" s="96">
        <f>IFERROR(VLOOKUP(D778,EQUIPOS!A:F,6,FALSE()),0)</f>
        <v>10275.5267245294</v>
      </c>
      <c r="J778" s="31">
        <f>G778*I778</f>
        <v>10275.5267245294</v>
      </c>
      <c r="K778" s="32" t="str">
        <f t="shared" si="309"/>
        <v>PTO-0316|EQ</v>
      </c>
      <c r="L778" s="32">
        <f>COUNTIFS($K$2:K778,K778)</f>
        <v>1</v>
      </c>
      <c r="M778" s="32" t="str">
        <f t="shared" si="311"/>
        <v>PTO-0316|EQ|1</v>
      </c>
      <c r="N778" s="121">
        <f>IFERROR(VLOOKUP(A778,PARTIDAS!A:F,6,FALSE()),0)</f>
        <v>1</v>
      </c>
      <c r="O778" s="123">
        <f t="shared" si="312"/>
        <v>0</v>
      </c>
      <c r="P778" s="123">
        <f>+_xlfn.XLOOKUP(A778,PPTO_GENERADOR!Q:Q,PPTO_GENERADOR!E:E,"-",0)</f>
        <v>13</v>
      </c>
      <c r="Q778" s="123">
        <f t="shared" si="313"/>
        <v>0</v>
      </c>
      <c r="R778" s="125">
        <f>+_xlfn.XLOOKUP(A778,PPTO_GENERADOR!$Q:$Q,PPTO_GENERADOR!A:A,"-",0)</f>
        <v>3.16</v>
      </c>
    </row>
    <row r="779" spans="1:18" ht="14.25" customHeight="1" x14ac:dyDescent="0.35">
      <c r="A779" s="105" t="s">
        <v>92</v>
      </c>
      <c r="B779" s="105" t="s">
        <v>1979</v>
      </c>
      <c r="C779" s="105" t="s">
        <v>1982</v>
      </c>
      <c r="D779" s="105" t="s">
        <v>1580</v>
      </c>
      <c r="E779" s="95" t="str">
        <f>IFERROR(VLOOKUP(D779,SUBCONTRATOS_PRY!A:B,2,FALSE()),"?")</f>
        <v>MO H°A° — Escalera - H30 (105 kg/m3)</v>
      </c>
      <c r="F779" s="129" t="s">
        <v>2042</v>
      </c>
      <c r="G779" s="119">
        <v>1</v>
      </c>
      <c r="H779" s="120">
        <v>0</v>
      </c>
      <c r="I779" s="96">
        <f>IFERROR(VLOOKUP(D779,SUBCONTRATOS_PRY!A:D,4,FALSE()),0)</f>
        <v>370454.15079626901</v>
      </c>
      <c r="J779" s="31">
        <f>G779*I779</f>
        <v>370454.15079626901</v>
      </c>
      <c r="K779" s="32" t="str">
        <f t="shared" si="309"/>
        <v>PTO-0317|MO</v>
      </c>
      <c r="L779" s="32">
        <f>COUNTIFS($K$2:K779,K779)</f>
        <v>1</v>
      </c>
      <c r="M779" s="32" t="str">
        <f t="shared" si="311"/>
        <v>PTO-0317|MO|1</v>
      </c>
      <c r="N779" s="121">
        <f>IFERROR(VLOOKUP(A779,PARTIDAS!A:F,6,FALSE()),0)</f>
        <v>1</v>
      </c>
      <c r="O779" s="123">
        <f t="shared" si="312"/>
        <v>0</v>
      </c>
      <c r="P779" s="123">
        <f>+_xlfn.XLOOKUP(A779,PPTO_GENERADOR!Q:Q,PPTO_GENERADOR!E:E,"-",0)</f>
        <v>14</v>
      </c>
      <c r="Q779" s="123">
        <f t="shared" si="313"/>
        <v>0</v>
      </c>
      <c r="R779" s="125">
        <f>+_xlfn.XLOOKUP(A779,PPTO_GENERADOR!$Q:$Q,PPTO_GENERADOR!A:A,"-",0)</f>
        <v>3.17</v>
      </c>
    </row>
    <row r="780" spans="1:18" ht="14.25" customHeight="1" x14ac:dyDescent="0.35">
      <c r="A780" s="105" t="s">
        <v>92</v>
      </c>
      <c r="B780" s="105" t="s">
        <v>1981</v>
      </c>
      <c r="C780" s="105" t="s">
        <v>1984</v>
      </c>
      <c r="D780" s="105" t="s">
        <v>1260</v>
      </c>
      <c r="E780" s="95" t="str">
        <f>IFERROR(VLOOKUP(D780,MATERIALES!A:B,2,FALSE()),"?")</f>
        <v>HIERRO DE CONSTRUCCION H°A° (cuantia c/desp.)</v>
      </c>
      <c r="F780" s="129" t="str">
        <f>IFERROR(VLOOKUP(D780,MATERIALES!A:C,3,FALSE()),"?")</f>
        <v>kg</v>
      </c>
      <c r="G780" s="119">
        <v>105</v>
      </c>
      <c r="H780" s="120">
        <v>0</v>
      </c>
      <c r="I780" s="96">
        <f>IFERROR(VLOOKUP(D780,MATERIALES!A:D,4,FALSE()),0)</f>
        <v>1772</v>
      </c>
      <c r="J780" s="31">
        <f>G780*I780*(1+H780)</f>
        <v>186060</v>
      </c>
      <c r="K780" s="32" t="str">
        <f t="shared" si="309"/>
        <v>PTO-0317|MAT</v>
      </c>
      <c r="L780" s="32">
        <f>COUNTIFS($K$2:K780,K780)</f>
        <v>1</v>
      </c>
      <c r="M780" s="32" t="str">
        <f t="shared" si="311"/>
        <v>PTO-0317|MAT|1</v>
      </c>
      <c r="N780" s="121">
        <f>IFERROR(VLOOKUP(A780,PARTIDAS!A:F,6,FALSE()),0)</f>
        <v>1</v>
      </c>
      <c r="O780" s="123">
        <f t="shared" si="312"/>
        <v>0</v>
      </c>
      <c r="P780" s="123">
        <f>+_xlfn.XLOOKUP(A780,PPTO_GENERADOR!Q:Q,PPTO_GENERADOR!E:E,"-",0)</f>
        <v>14</v>
      </c>
      <c r="Q780" s="123">
        <f t="shared" si="313"/>
        <v>0</v>
      </c>
      <c r="R780" s="125">
        <f>+_xlfn.XLOOKUP(A780,PPTO_GENERADOR!$Q:$Q,PPTO_GENERADOR!A:A,"-",0)</f>
        <v>3.17</v>
      </c>
    </row>
    <row r="781" spans="1:18" ht="14.25" customHeight="1" x14ac:dyDescent="0.35">
      <c r="A781" s="105" t="s">
        <v>92</v>
      </c>
      <c r="B781" s="105" t="s">
        <v>1983</v>
      </c>
      <c r="C781" s="105"/>
      <c r="D781" s="105" t="s">
        <v>1375</v>
      </c>
      <c r="E781" s="95" t="str">
        <f>IFERROR(VLOOKUP(D781,EQUIPOS!A:B,2,FALSE()),"?")</f>
        <v>Herramientas — Escalera - H30 (105 kg/m3)</v>
      </c>
      <c r="F781" s="129"/>
      <c r="G781" s="119">
        <v>1</v>
      </c>
      <c r="H781" s="120">
        <v>0</v>
      </c>
      <c r="I781" s="96">
        <f>IFERROR(VLOOKUP(D781,EQUIPOS!A:F,6,FALSE()),0)</f>
        <v>11629.8657612729</v>
      </c>
      <c r="J781" s="31">
        <f>G781*I781</f>
        <v>11629.8657612729</v>
      </c>
      <c r="K781" s="32" t="str">
        <f t="shared" si="309"/>
        <v>PTO-0317|EQ</v>
      </c>
      <c r="L781" s="32">
        <f>COUNTIFS($K$2:K781,K781)</f>
        <v>1</v>
      </c>
      <c r="M781" s="32" t="str">
        <f t="shared" si="311"/>
        <v>PTO-0317|EQ|1</v>
      </c>
      <c r="N781" s="121">
        <f>IFERROR(VLOOKUP(A781,PARTIDAS!A:F,6,FALSE()),0)</f>
        <v>1</v>
      </c>
      <c r="O781" s="123">
        <f t="shared" si="312"/>
        <v>0</v>
      </c>
      <c r="P781" s="123">
        <f>+_xlfn.XLOOKUP(A781,PPTO_GENERADOR!Q:Q,PPTO_GENERADOR!E:E,"-",0)</f>
        <v>14</v>
      </c>
      <c r="Q781" s="123">
        <f t="shared" si="313"/>
        <v>0</v>
      </c>
      <c r="R781" s="125">
        <f>+_xlfn.XLOOKUP(A781,PPTO_GENERADOR!$Q:$Q,PPTO_GENERADOR!A:A,"-",0)</f>
        <v>3.17</v>
      </c>
    </row>
    <row r="782" spans="1:18" ht="14.25" customHeight="1" x14ac:dyDescent="0.35">
      <c r="A782" s="105" t="s">
        <v>94</v>
      </c>
      <c r="B782" s="105" t="s">
        <v>1979</v>
      </c>
      <c r="C782" s="105" t="s">
        <v>1982</v>
      </c>
      <c r="D782" s="105" t="s">
        <v>1582</v>
      </c>
      <c r="E782" s="95" t="str">
        <f>IFERROR(VLOOKUP(D782,SUBCONTRATOS_PRY!A:B,2,FALSE()),"?")</f>
        <v>MO H°A° — Viga alero - H30 (120 kg/m3 de hierro)</v>
      </c>
      <c r="F782" s="129" t="s">
        <v>2042</v>
      </c>
      <c r="G782" s="119">
        <v>1</v>
      </c>
      <c r="H782" s="120">
        <v>0</v>
      </c>
      <c r="I782" s="96">
        <f>IFERROR(VLOOKUP(D782,SUBCONTRATOS_PRY!A:D,4,FALSE()),0)</f>
        <v>629584.35516405001</v>
      </c>
      <c r="J782" s="31">
        <f>G782*I782</f>
        <v>629584.35516405001</v>
      </c>
      <c r="K782" s="32" t="str">
        <f t="shared" si="309"/>
        <v>PTO-0318|MO</v>
      </c>
      <c r="L782" s="32">
        <f>COUNTIFS($K$2:K782,K782)</f>
        <v>1</v>
      </c>
      <c r="M782" s="32" t="str">
        <f t="shared" si="311"/>
        <v>PTO-0318|MO|1</v>
      </c>
      <c r="N782" s="121">
        <f>IFERROR(VLOOKUP(A782,PARTIDAS!A:F,6,FALSE()),0)</f>
        <v>1</v>
      </c>
      <c r="O782" s="123">
        <f t="shared" si="312"/>
        <v>0</v>
      </c>
      <c r="P782" s="123">
        <f>+_xlfn.XLOOKUP(A782,PPTO_GENERADOR!Q:Q,PPTO_GENERADOR!E:E,"-",0)</f>
        <v>2</v>
      </c>
      <c r="Q782" s="123">
        <f t="shared" si="313"/>
        <v>0</v>
      </c>
      <c r="R782" s="125">
        <f>+_xlfn.XLOOKUP(A782,PPTO_GENERADOR!$Q:$Q,PPTO_GENERADOR!A:A,"-",0)</f>
        <v>3.18</v>
      </c>
    </row>
    <row r="783" spans="1:18" ht="14.25" customHeight="1" x14ac:dyDescent="0.35">
      <c r="A783" s="105" t="s">
        <v>94</v>
      </c>
      <c r="B783" s="105" t="s">
        <v>1981</v>
      </c>
      <c r="C783" s="105" t="s">
        <v>1984</v>
      </c>
      <c r="D783" s="105" t="s">
        <v>1260</v>
      </c>
      <c r="E783" s="95" t="str">
        <f>IFERROR(VLOOKUP(D783,MATERIALES!A:B,2,FALSE()),"?")</f>
        <v>HIERRO DE CONSTRUCCION H°A° (cuantia c/desp.)</v>
      </c>
      <c r="F783" s="129" t="str">
        <f>IFERROR(VLOOKUP(D783,MATERIALES!A:C,3,FALSE()),"?")</f>
        <v>kg</v>
      </c>
      <c r="G783" s="119">
        <v>120</v>
      </c>
      <c r="H783" s="120">
        <v>0</v>
      </c>
      <c r="I783" s="96">
        <f>IFERROR(VLOOKUP(D783,MATERIALES!A:D,4,FALSE()),0)</f>
        <v>1772</v>
      </c>
      <c r="J783" s="31">
        <f>G783*I783*(1+H783)</f>
        <v>212640</v>
      </c>
      <c r="K783" s="32" t="str">
        <f t="shared" si="309"/>
        <v>PTO-0318|MAT</v>
      </c>
      <c r="L783" s="32">
        <f>COUNTIFS($K$2:K783,K783)</f>
        <v>1</v>
      </c>
      <c r="M783" s="32" t="str">
        <f t="shared" si="311"/>
        <v>PTO-0318|MAT|1</v>
      </c>
      <c r="N783" s="121">
        <f>IFERROR(VLOOKUP(A783,PARTIDAS!A:F,6,FALSE()),0)</f>
        <v>1</v>
      </c>
      <c r="O783" s="123">
        <f t="shared" si="312"/>
        <v>0</v>
      </c>
      <c r="P783" s="123">
        <f>+_xlfn.XLOOKUP(A783,PPTO_GENERADOR!Q:Q,PPTO_GENERADOR!E:E,"-",0)</f>
        <v>2</v>
      </c>
      <c r="Q783" s="123">
        <f t="shared" si="313"/>
        <v>0</v>
      </c>
      <c r="R783" s="125">
        <f>+_xlfn.XLOOKUP(A783,PPTO_GENERADOR!$Q:$Q,PPTO_GENERADOR!A:A,"-",0)</f>
        <v>3.18</v>
      </c>
    </row>
    <row r="784" spans="1:18" ht="14.25" customHeight="1" x14ac:dyDescent="0.35">
      <c r="A784" s="105" t="s">
        <v>94</v>
      </c>
      <c r="B784" s="105" t="s">
        <v>1983</v>
      </c>
      <c r="C784" s="105"/>
      <c r="D784" s="105" t="s">
        <v>1377</v>
      </c>
      <c r="E784" s="95" t="str">
        <f>IFERROR(VLOOKUP(D784,EQUIPOS!A:B,2,FALSE()),"?")</f>
        <v>Herramientas — Viga alero - H30 (120 kg/m3 de hierro)</v>
      </c>
      <c r="F784" s="129"/>
      <c r="G784" s="119">
        <v>1</v>
      </c>
      <c r="H784" s="120">
        <v>0</v>
      </c>
      <c r="I784" s="96">
        <f>IFERROR(VLOOKUP(D784,EQUIPOS!A:F,6,FALSE()),0)</f>
        <v>18800.546137111702</v>
      </c>
      <c r="J784" s="31">
        <f t="shared" ref="J784:J785" si="314">G784*I784</f>
        <v>18800.546137111702</v>
      </c>
      <c r="K784" s="32" t="str">
        <f t="shared" si="309"/>
        <v>PTO-0318|EQ</v>
      </c>
      <c r="L784" s="32">
        <f>COUNTIFS($K$2:K784,K784)</f>
        <v>1</v>
      </c>
      <c r="M784" s="32" t="str">
        <f t="shared" si="311"/>
        <v>PTO-0318|EQ|1</v>
      </c>
      <c r="N784" s="121">
        <f>IFERROR(VLOOKUP(A784,PARTIDAS!A:F,6,FALSE()),0)</f>
        <v>1</v>
      </c>
      <c r="O784" s="123">
        <f t="shared" si="312"/>
        <v>0</v>
      </c>
      <c r="P784" s="123">
        <f>+_xlfn.XLOOKUP(A784,PPTO_GENERADOR!Q:Q,PPTO_GENERADOR!E:E,"-",0)</f>
        <v>2</v>
      </c>
      <c r="Q784" s="123">
        <f t="shared" si="313"/>
        <v>0</v>
      </c>
      <c r="R784" s="125">
        <f>+_xlfn.XLOOKUP(A784,PPTO_GENERADOR!$Q:$Q,PPTO_GENERADOR!A:A,"-",0)</f>
        <v>3.18</v>
      </c>
    </row>
    <row r="785" spans="1:18" ht="14.25" customHeight="1" x14ac:dyDescent="0.35">
      <c r="A785" s="105" t="s">
        <v>96</v>
      </c>
      <c r="B785" s="105" t="s">
        <v>1983</v>
      </c>
      <c r="C785" s="105"/>
      <c r="D785" s="105" t="s">
        <v>1379</v>
      </c>
      <c r="E785" s="95" t="str">
        <f>IFERROR(VLOOKUP(D785,EQUIPOS!A:B,2,FALSE()),"?")</f>
        <v>EQ — Sistema de apuntalamiento y reapuntalamiento</v>
      </c>
      <c r="F785" s="129"/>
      <c r="G785" s="119">
        <v>1</v>
      </c>
      <c r="H785" s="120">
        <v>0</v>
      </c>
      <c r="I785" s="96">
        <f>IFERROR(VLOOKUP(D785,EQUIPOS!A:F,6,FALSE()),0)</f>
        <v>10584987.9932345</v>
      </c>
      <c r="J785" s="31">
        <f t="shared" si="314"/>
        <v>10584987.9932345</v>
      </c>
      <c r="K785" s="32" t="str">
        <f t="shared" si="309"/>
        <v>PTO-0319|EQ</v>
      </c>
      <c r="L785" s="32">
        <f>COUNTIFS($K$2:K785,K785)</f>
        <v>1</v>
      </c>
      <c r="M785" s="32" t="str">
        <f t="shared" si="311"/>
        <v>PTO-0319|EQ|1</v>
      </c>
      <c r="N785" s="121">
        <f>IFERROR(VLOOKUP(A785,PARTIDAS!A:F,6,FALSE()),0)</f>
        <v>1</v>
      </c>
      <c r="O785" s="123">
        <f t="shared" si="312"/>
        <v>0</v>
      </c>
      <c r="P785" s="123">
        <f>+_xlfn.XLOOKUP(A785,PPTO_GENERADOR!Q:Q,PPTO_GENERADOR!E:E,"-",0)</f>
        <v>1</v>
      </c>
      <c r="Q785" s="123">
        <f t="shared" si="313"/>
        <v>0</v>
      </c>
      <c r="R785" s="125">
        <f>+_xlfn.XLOOKUP(A785,PPTO_GENERADOR!$Q:$Q,PPTO_GENERADOR!A:A,"-",0)</f>
        <v>3.19</v>
      </c>
    </row>
    <row r="786" spans="1:18" ht="14.25" customHeight="1" x14ac:dyDescent="0.35">
      <c r="A786" s="105" t="s">
        <v>99</v>
      </c>
      <c r="B786" s="105" t="s">
        <v>1979</v>
      </c>
      <c r="C786" s="105" t="s">
        <v>1982</v>
      </c>
      <c r="D786" s="105" t="s">
        <v>1584</v>
      </c>
      <c r="E786" s="95" t="str">
        <f>IFERROR(VLOOKUP(D786,SUBCONTRATOS_PRY!A:B,2,FALSE()),"?")</f>
        <v>MO H°A° — Ensayos de Hormigon por etapas de hormigonado</v>
      </c>
      <c r="F786" s="129" t="s">
        <v>2042</v>
      </c>
      <c r="G786" s="119">
        <v>1</v>
      </c>
      <c r="H786" s="120">
        <v>0</v>
      </c>
      <c r="I786" s="96">
        <f>IFERROR(VLOOKUP(D786,SUBCONTRATOS_PRY!A:D,4,FALSE()),0)</f>
        <v>246942.14876033101</v>
      </c>
      <c r="J786" s="31">
        <f>G786*I786</f>
        <v>246942.14876033101</v>
      </c>
      <c r="K786" s="32" t="str">
        <f t="shared" si="309"/>
        <v>PTO-0032|MO</v>
      </c>
      <c r="L786" s="32">
        <f>COUNTIFS($K$2:K786,K786)</f>
        <v>1</v>
      </c>
      <c r="M786" s="32" t="str">
        <f t="shared" si="311"/>
        <v>PTO-0032|MO|1</v>
      </c>
      <c r="N786" s="121">
        <f>IFERROR(VLOOKUP(A786,PARTIDAS!A:F,6,FALSE()),0)</f>
        <v>1</v>
      </c>
      <c r="O786" s="123">
        <f t="shared" si="312"/>
        <v>0</v>
      </c>
      <c r="P786" s="123">
        <f>+_xlfn.XLOOKUP(A786,PPTO_GENERADOR!Q:Q,PPTO_GENERADOR!E:E,"-",0)</f>
        <v>13</v>
      </c>
      <c r="Q786" s="123">
        <f t="shared" si="313"/>
        <v>0</v>
      </c>
      <c r="R786" s="125">
        <f>+_xlfn.XLOOKUP(A786,PPTO_GENERADOR!$Q:$Q,PPTO_GENERADOR!A:A,"-",0)</f>
        <v>3.2</v>
      </c>
    </row>
    <row r="787" spans="1:18" ht="14.25" customHeight="1" x14ac:dyDescent="0.35">
      <c r="A787" s="105" t="s">
        <v>101</v>
      </c>
      <c r="B787" s="105" t="s">
        <v>1981</v>
      </c>
      <c r="C787" s="105" t="s">
        <v>1982</v>
      </c>
      <c r="D787" s="105" t="s">
        <v>719</v>
      </c>
      <c r="E787" s="95" t="str">
        <f>IFERROR(VLOOKUP(D787,MATERIALES!A:B,2,FALSE()),"?")</f>
        <v>Permiso de estacionamiento de bomba de hormigón a contramano</v>
      </c>
      <c r="F787" s="129" t="str">
        <f>IFERROR(VLOOKUP(D787,MATERIALES!A:C,3,FALSE()),"?")</f>
        <v>u</v>
      </c>
      <c r="G787" s="119">
        <v>1</v>
      </c>
      <c r="H787" s="120">
        <v>0</v>
      </c>
      <c r="I787" s="96">
        <f>IFERROR(VLOOKUP(D787,MATERIALES!A:D,4,FALSE()),0)</f>
        <v>55000</v>
      </c>
      <c r="J787" s="31">
        <f t="shared" ref="J787:J789" si="315">G787*I787*(1+H787)</f>
        <v>55000</v>
      </c>
      <c r="K787" s="32" t="str">
        <f t="shared" si="309"/>
        <v>PTO-0321|MAT</v>
      </c>
      <c r="L787" s="32">
        <f>COUNTIFS($K$2:K787,K787)</f>
        <v>1</v>
      </c>
      <c r="M787" s="32" t="str">
        <f t="shared" si="311"/>
        <v>PTO-0321|MAT|1</v>
      </c>
      <c r="N787" s="121">
        <f>IFERROR(VLOOKUP(A787,PARTIDAS!A:F,6,FALSE()),0)</f>
        <v>1</v>
      </c>
      <c r="O787" s="123">
        <f t="shared" si="312"/>
        <v>0</v>
      </c>
      <c r="P787" s="123">
        <f>+_xlfn.XLOOKUP(A787,PPTO_GENERADOR!Q:Q,PPTO_GENERADOR!E:E,"-",0)</f>
        <v>3</v>
      </c>
      <c r="Q787" s="123">
        <f t="shared" si="313"/>
        <v>0</v>
      </c>
      <c r="R787" s="125">
        <f>+_xlfn.XLOOKUP(A787,PPTO_GENERADOR!$Q:$Q,PPTO_GENERADOR!A:A,"-",0)</f>
        <v>3.21</v>
      </c>
    </row>
    <row r="788" spans="1:18" ht="14.25" customHeight="1" x14ac:dyDescent="0.35">
      <c r="A788" s="105" t="s">
        <v>103</v>
      </c>
      <c r="B788" s="105" t="s">
        <v>1981</v>
      </c>
      <c r="C788" s="105" t="s">
        <v>1982</v>
      </c>
      <c r="D788" s="105" t="s">
        <v>559</v>
      </c>
      <c r="E788" s="95" t="str">
        <f>IFERROR(VLOOKUP(D788,MATERIALES!A:B,2,FALSE()),"?")</f>
        <v>CONSUMIBLES (varios)</v>
      </c>
      <c r="F788" s="129" t="str">
        <f>IFERROR(VLOOKUP(D788,MATERIALES!A:C,3,FALSE()),"?")</f>
        <v>gl</v>
      </c>
      <c r="G788" s="119">
        <v>4615.3846149999999</v>
      </c>
      <c r="H788" s="120">
        <v>0</v>
      </c>
      <c r="I788" s="96">
        <f>IFERROR(VLOOKUP(D788,MATERIALES!A:D,4,FALSE()),0)</f>
        <v>1</v>
      </c>
      <c r="J788" s="31">
        <f t="shared" si="315"/>
        <v>4615.3846149999999</v>
      </c>
      <c r="K788" s="32" t="str">
        <f t="shared" si="309"/>
        <v>PTO-0322|MAT</v>
      </c>
      <c r="L788" s="32">
        <f>COUNTIFS($K$2:K788,K788)</f>
        <v>1</v>
      </c>
      <c r="M788" s="32" t="str">
        <f t="shared" si="311"/>
        <v>PTO-0322|MAT|1</v>
      </c>
      <c r="N788" s="121">
        <f>IFERROR(VLOOKUP(A788,PARTIDAS!A:F,6,FALSE()),0)</f>
        <v>1</v>
      </c>
      <c r="O788" s="123">
        <f t="shared" si="312"/>
        <v>0</v>
      </c>
      <c r="P788" s="123">
        <f>+_xlfn.XLOOKUP(A788,PPTO_GENERADOR!Q:Q,PPTO_GENERADOR!E:E,"-",0)</f>
        <v>65</v>
      </c>
      <c r="Q788" s="123">
        <f t="shared" si="313"/>
        <v>0</v>
      </c>
      <c r="R788" s="125">
        <f>+_xlfn.XLOOKUP(A788,PPTO_GENERADOR!$Q:$Q,PPTO_GENERADOR!A:A,"-",0)</f>
        <v>3.22</v>
      </c>
    </row>
    <row r="789" spans="1:18" ht="14.25" customHeight="1" x14ac:dyDescent="0.35">
      <c r="A789" s="105" t="s">
        <v>103</v>
      </c>
      <c r="B789" s="105" t="s">
        <v>1981</v>
      </c>
      <c r="C789" s="105" t="s">
        <v>1982</v>
      </c>
      <c r="D789" s="105" t="s">
        <v>720</v>
      </c>
      <c r="E789" s="95" t="str">
        <f>IFERROR(VLOOKUP(D789,MATERIALES!A:B,2,FALSE()),"?")</f>
        <v>Volquetes</v>
      </c>
      <c r="F789" s="129" t="str">
        <f>IFERROR(VLOOKUP(D789,MATERIALES!A:C,3,FALSE()),"?")</f>
        <v>u</v>
      </c>
      <c r="G789" s="119">
        <v>4.6154000000000001E-2</v>
      </c>
      <c r="H789" s="120">
        <v>0</v>
      </c>
      <c r="I789" s="96">
        <f>IFERROR(VLOOKUP(D789,MATERIALES!A:D,4,FALSE()),0)</f>
        <v>100000</v>
      </c>
      <c r="J789" s="31">
        <f t="shared" si="315"/>
        <v>4615.3999999999996</v>
      </c>
      <c r="K789" s="32" t="str">
        <f t="shared" si="309"/>
        <v>PTO-0322|MAT</v>
      </c>
      <c r="L789" s="32">
        <f>COUNTIFS($K$2:K789,K789)</f>
        <v>2</v>
      </c>
      <c r="M789" s="32" t="str">
        <f t="shared" si="311"/>
        <v>PTO-0322|MAT|2</v>
      </c>
      <c r="N789" s="121">
        <f>IFERROR(VLOOKUP(A789,PARTIDAS!A:F,6,FALSE()),0)</f>
        <v>1</v>
      </c>
      <c r="O789" s="123">
        <f t="shared" si="312"/>
        <v>0</v>
      </c>
      <c r="P789" s="123">
        <f>+_xlfn.XLOOKUP(A789,PPTO_GENERADOR!Q:Q,PPTO_GENERADOR!E:E,"-",0)</f>
        <v>65</v>
      </c>
      <c r="Q789" s="123">
        <f t="shared" si="313"/>
        <v>0</v>
      </c>
      <c r="R789" s="125">
        <f>+_xlfn.XLOOKUP(A789,PPTO_GENERADOR!$Q:$Q,PPTO_GENERADOR!A:A,"-",0)</f>
        <v>3.22</v>
      </c>
    </row>
    <row r="790" spans="1:18" ht="14.25" customHeight="1" x14ac:dyDescent="0.35">
      <c r="A790" s="105" t="s">
        <v>103</v>
      </c>
      <c r="B790" s="105" t="s">
        <v>1979</v>
      </c>
      <c r="C790" s="105" t="s">
        <v>1980</v>
      </c>
      <c r="D790" s="105" t="s">
        <v>1290</v>
      </c>
      <c r="E790" s="95" t="str">
        <f>IFERROR(VLOOKUP(D790,MANO_DE_OBRA!A:B,2,FALSE()),"?")</f>
        <v>OFICIAL</v>
      </c>
      <c r="F790" s="129" t="s">
        <v>2042</v>
      </c>
      <c r="G790" s="119">
        <v>9.2308000000000001E-2</v>
      </c>
      <c r="H790" s="120">
        <v>0</v>
      </c>
      <c r="I790" s="96">
        <f>IFERROR(VLOOKUP(D790,MANO_DE_OBRA!A:C,3,FALSE()),0)</f>
        <v>84612.512709566407</v>
      </c>
      <c r="J790" s="31">
        <f t="shared" ref="J790:J791" si="316">G790*I790</f>
        <v>7810.4118231946559</v>
      </c>
      <c r="K790" s="32" t="str">
        <f t="shared" si="309"/>
        <v>PTO-0322|MO</v>
      </c>
      <c r="L790" s="32">
        <f>COUNTIFS($K$2:K790,K790)</f>
        <v>1</v>
      </c>
      <c r="M790" s="32" t="str">
        <f t="shared" si="311"/>
        <v>PTO-0322|MO|1</v>
      </c>
      <c r="N790" s="121">
        <f>IFERROR(VLOOKUP(A790,PARTIDAS!A:F,6,FALSE()),0)</f>
        <v>1</v>
      </c>
      <c r="O790" s="123">
        <f t="shared" si="312"/>
        <v>9.2308000000000001E-2</v>
      </c>
      <c r="P790" s="123">
        <f>+_xlfn.XLOOKUP(A790,PPTO_GENERADOR!Q:Q,PPTO_GENERADOR!E:E,"-",0)</f>
        <v>65</v>
      </c>
      <c r="Q790" s="123">
        <f t="shared" si="313"/>
        <v>6.0000200000000001</v>
      </c>
      <c r="R790" s="125">
        <f>+_xlfn.XLOOKUP(A790,PPTO_GENERADOR!$Q:$Q,PPTO_GENERADOR!A:A,"-",0)</f>
        <v>3.22</v>
      </c>
    </row>
    <row r="791" spans="1:18" ht="14.25" customHeight="1" x14ac:dyDescent="0.35">
      <c r="A791" s="105" t="s">
        <v>103</v>
      </c>
      <c r="B791" s="105" t="s">
        <v>1979</v>
      </c>
      <c r="C791" s="105" t="s">
        <v>1980</v>
      </c>
      <c r="D791" s="105" t="s">
        <v>2038</v>
      </c>
      <c r="E791" s="95" t="str">
        <f>IFERROR(VLOOKUP(D791,MANO_DE_OBRA!A:B,2,FALSE()),"?")</f>
        <v>AYUDANTE</v>
      </c>
      <c r="F791" s="129" t="s">
        <v>2042</v>
      </c>
      <c r="G791" s="119">
        <v>0.184615</v>
      </c>
      <c r="H791" s="120">
        <v>0</v>
      </c>
      <c r="I791" s="96">
        <f>IFERROR(VLOOKUP(D791,MANO_DE_OBRA!A:C,3,FALSE()),0)</f>
        <v>67240.498860267602</v>
      </c>
      <c r="J791" s="31">
        <f t="shared" si="316"/>
        <v>12413.604697088304</v>
      </c>
      <c r="K791" s="32" t="str">
        <f t="shared" si="309"/>
        <v>PTO-0322|MO</v>
      </c>
      <c r="L791" s="32">
        <f>COUNTIFS($K$2:K791,K791)</f>
        <v>2</v>
      </c>
      <c r="M791" s="32" t="str">
        <f t="shared" si="311"/>
        <v>PTO-0322|MO|2</v>
      </c>
      <c r="N791" s="121">
        <f>IFERROR(VLOOKUP(A791,PARTIDAS!A:F,6,FALSE()),0)</f>
        <v>1</v>
      </c>
      <c r="O791" s="123">
        <f t="shared" si="312"/>
        <v>0.184615</v>
      </c>
      <c r="P791" s="123">
        <f>+_xlfn.XLOOKUP(A791,PPTO_GENERADOR!Q:Q,PPTO_GENERADOR!E:E,"-",0)</f>
        <v>65</v>
      </c>
      <c r="Q791" s="123">
        <f t="shared" si="313"/>
        <v>11.999975000000001</v>
      </c>
      <c r="R791" s="125">
        <f>+_xlfn.XLOOKUP(A791,PPTO_GENERADOR!$Q:$Q,PPTO_GENERADOR!A:A,"-",0)</f>
        <v>3.22</v>
      </c>
    </row>
    <row r="792" spans="1:18" ht="14.25" customHeight="1" x14ac:dyDescent="0.35">
      <c r="A792" s="105" t="s">
        <v>103</v>
      </c>
      <c r="B792" s="105" t="s">
        <v>1983</v>
      </c>
      <c r="C792" s="105"/>
      <c r="D792" s="105" t="s">
        <v>1381</v>
      </c>
      <c r="E792" s="95" t="str">
        <f>IFERROR(VLOOKUP(D792,EQUIPOS!A:B,2,FALSE()),"?")</f>
        <v>Herramientas — Picado de medianeras para columnas y vig</v>
      </c>
      <c r="F792" s="129"/>
      <c r="G792" s="119">
        <v>1</v>
      </c>
      <c r="H792" s="120">
        <v>0</v>
      </c>
      <c r="I792" s="96">
        <f>IFERROR(VLOOKUP(D792,EQUIPOS!A:F,6,FALSE()),0)</f>
        <v>441.82178367244802</v>
      </c>
      <c r="J792" s="31">
        <f>G792*I792</f>
        <v>441.82178367244802</v>
      </c>
      <c r="K792" s="32" t="str">
        <f t="shared" si="309"/>
        <v>PTO-0322|EQ</v>
      </c>
      <c r="L792" s="32">
        <f>COUNTIFS($K$2:K792,K792)</f>
        <v>1</v>
      </c>
      <c r="M792" s="32" t="str">
        <f t="shared" si="311"/>
        <v>PTO-0322|EQ|1</v>
      </c>
      <c r="N792" s="121">
        <f>IFERROR(VLOOKUP(A792,PARTIDAS!A:F,6,FALSE()),0)</f>
        <v>1</v>
      </c>
      <c r="O792" s="123">
        <f t="shared" si="312"/>
        <v>0</v>
      </c>
      <c r="P792" s="123">
        <f>+_xlfn.XLOOKUP(A792,PPTO_GENERADOR!Q:Q,PPTO_GENERADOR!E:E,"-",0)</f>
        <v>65</v>
      </c>
      <c r="Q792" s="123">
        <f t="shared" si="313"/>
        <v>0</v>
      </c>
      <c r="R792" s="125">
        <f>+_xlfn.XLOOKUP(A792,PPTO_GENERADOR!$Q:$Q,PPTO_GENERADOR!A:A,"-",0)</f>
        <v>3.22</v>
      </c>
    </row>
    <row r="793" spans="1:18" ht="14.25" customHeight="1" x14ac:dyDescent="0.35">
      <c r="A793" s="105" t="s">
        <v>105</v>
      </c>
      <c r="B793" s="105" t="s">
        <v>1981</v>
      </c>
      <c r="C793" s="105" t="s">
        <v>1982</v>
      </c>
      <c r="D793" s="105" t="s">
        <v>564</v>
      </c>
      <c r="E793" s="95" t="str">
        <f>IFERROR(VLOOKUP(D793,MATERIALES!A:B,2,FALSE()),"?")</f>
        <v>LADRILLO CERAMICO 8 x 18 x 33 cm</v>
      </c>
      <c r="F793" s="129">
        <f>IFERROR(VLOOKUP(D793,MATERIALES!A:C,3,FALSE()),"?")</f>
        <v>0</v>
      </c>
      <c r="G793" s="119">
        <v>15</v>
      </c>
      <c r="H793" s="120">
        <v>0.05</v>
      </c>
      <c r="I793" s="96">
        <f>IFERROR(VLOOKUP(D793,MATERIALES!A:D,4,FALSE()),0)</f>
        <v>506.52</v>
      </c>
      <c r="J793" s="31">
        <f t="shared" ref="J793:J798" si="317">G793*I793*(1+H793)</f>
        <v>7977.69</v>
      </c>
      <c r="K793" s="32" t="str">
        <f t="shared" si="309"/>
        <v>PTO-0401|MAT</v>
      </c>
      <c r="L793" s="32">
        <f>COUNTIFS($K$2:K793,K793)</f>
        <v>1</v>
      </c>
      <c r="M793" s="32" t="str">
        <f t="shared" si="311"/>
        <v>PTO-0401|MAT|1</v>
      </c>
      <c r="N793" s="121">
        <f>IFERROR(VLOOKUP(A793,PARTIDAS!A:F,6,FALSE()),0)</f>
        <v>15</v>
      </c>
      <c r="O793" s="123">
        <f t="shared" si="312"/>
        <v>0</v>
      </c>
      <c r="P793" s="123">
        <f>+_xlfn.XLOOKUP(A793,PPTO_GENERADOR!Q:Q,PPTO_GENERADOR!E:E,"-",0)</f>
        <v>437</v>
      </c>
      <c r="Q793" s="123">
        <f t="shared" si="313"/>
        <v>0</v>
      </c>
      <c r="R793" s="125">
        <f>+_xlfn.XLOOKUP(A793,PPTO_GENERADOR!$Q:$Q,PPTO_GENERADOR!A:A,"-",0)</f>
        <v>4.01</v>
      </c>
    </row>
    <row r="794" spans="1:18" ht="14.25" customHeight="1" x14ac:dyDescent="0.35">
      <c r="A794" s="105" t="s">
        <v>105</v>
      </c>
      <c r="B794" s="105" t="s">
        <v>1981</v>
      </c>
      <c r="C794" s="105" t="s">
        <v>1982</v>
      </c>
      <c r="D794" s="105" t="s">
        <v>533</v>
      </c>
      <c r="E794" s="95" t="str">
        <f>IFERROR(VLOOKUP(D794,MATERIALES!A:B,2,FALSE()),"?")</f>
        <v>Barra de Acero Aleteado - 6mm x 12m</v>
      </c>
      <c r="F794" s="129">
        <f>IFERROR(VLOOKUP(D794,MATERIALES!A:C,3,FALSE()),"?")</f>
        <v>0</v>
      </c>
      <c r="G794" s="119">
        <v>0.17</v>
      </c>
      <c r="H794" s="120">
        <v>0.1</v>
      </c>
      <c r="I794" s="96">
        <f>IFERROR(VLOOKUP(D794,MATERIALES!A:D,4,FALSE()),0)</f>
        <v>3620.13</v>
      </c>
      <c r="J794" s="31">
        <f t="shared" si="317"/>
        <v>676.96431000000018</v>
      </c>
      <c r="K794" s="32" t="str">
        <f t="shared" si="309"/>
        <v>PTO-0401|MAT</v>
      </c>
      <c r="L794" s="32">
        <f>COUNTIFS($K$2:K794,K794)</f>
        <v>2</v>
      </c>
      <c r="M794" s="32" t="str">
        <f t="shared" si="311"/>
        <v>PTO-0401|MAT|2</v>
      </c>
      <c r="N794" s="121">
        <f>IFERROR(VLOOKUP(A794,PARTIDAS!A:F,6,FALSE()),0)</f>
        <v>15</v>
      </c>
      <c r="O794" s="123">
        <f t="shared" si="312"/>
        <v>0</v>
      </c>
      <c r="P794" s="123">
        <f>+_xlfn.XLOOKUP(A794,PPTO_GENERADOR!Q:Q,PPTO_GENERADOR!E:E,"-",0)</f>
        <v>437</v>
      </c>
      <c r="Q794" s="123">
        <f t="shared" si="313"/>
        <v>0</v>
      </c>
      <c r="R794" s="125">
        <f>+_xlfn.XLOOKUP(A794,PPTO_GENERADOR!$Q:$Q,PPTO_GENERADOR!A:A,"-",0)</f>
        <v>4.01</v>
      </c>
    </row>
    <row r="795" spans="1:18" ht="14.25" customHeight="1" x14ac:dyDescent="0.35">
      <c r="A795" s="105" t="s">
        <v>105</v>
      </c>
      <c r="B795" s="105" t="s">
        <v>1981</v>
      </c>
      <c r="C795" s="105" t="s">
        <v>1982</v>
      </c>
      <c r="D795" s="105" t="s">
        <v>538</v>
      </c>
      <c r="E795" s="95" t="str">
        <f>IFERROR(VLOOKUP(D795,MATERIALES!A:B,2,FALSE()),"?")</f>
        <v>ARENA LAVADA</v>
      </c>
      <c r="F795" s="129">
        <f>IFERROR(VLOOKUP(D795,MATERIALES!A:C,3,FALSE()),"?")</f>
        <v>0</v>
      </c>
      <c r="G795" s="119">
        <v>1.2E-2</v>
      </c>
      <c r="H795" s="120">
        <v>0.1</v>
      </c>
      <c r="I795" s="96">
        <f>IFERROR(VLOOKUP(D795,MATERIALES!A:D,4,FALSE()),0)</f>
        <v>32620.38</v>
      </c>
      <c r="J795" s="31">
        <f t="shared" si="317"/>
        <v>430.58901600000007</v>
      </c>
      <c r="K795" s="32" t="str">
        <f t="shared" si="309"/>
        <v>PTO-0401|MAT</v>
      </c>
      <c r="L795" s="32">
        <f>COUNTIFS($K$2:K795,K795)</f>
        <v>3</v>
      </c>
      <c r="M795" s="32" t="str">
        <f t="shared" si="311"/>
        <v>PTO-0401|MAT|3</v>
      </c>
      <c r="N795" s="121">
        <f>IFERROR(VLOOKUP(A795,PARTIDAS!A:F,6,FALSE()),0)</f>
        <v>15</v>
      </c>
      <c r="O795" s="123">
        <f t="shared" si="312"/>
        <v>0</v>
      </c>
      <c r="P795" s="123">
        <f>+_xlfn.XLOOKUP(A795,PPTO_GENERADOR!Q:Q,PPTO_GENERADOR!E:E,"-",0)</f>
        <v>437</v>
      </c>
      <c r="Q795" s="123">
        <f t="shared" si="313"/>
        <v>0</v>
      </c>
      <c r="R795" s="125">
        <f>+_xlfn.XLOOKUP(A795,PPTO_GENERADOR!$Q:$Q,PPTO_GENERADOR!A:A,"-",0)</f>
        <v>4.01</v>
      </c>
    </row>
    <row r="796" spans="1:18" ht="14.25" customHeight="1" x14ac:dyDescent="0.35">
      <c r="A796" s="105" t="s">
        <v>105</v>
      </c>
      <c r="B796" s="105" t="s">
        <v>1981</v>
      </c>
      <c r="C796" s="105" t="s">
        <v>1982</v>
      </c>
      <c r="D796" s="105" t="s">
        <v>542</v>
      </c>
      <c r="E796" s="95" t="str">
        <f>IFERROR(VLOOKUP(D796,MATERIALES!A:B,2,FALSE()),"?")</f>
        <v>Cal Comun x 25kg</v>
      </c>
      <c r="F796" s="129">
        <f>IFERROR(VLOOKUP(D796,MATERIALES!A:C,3,FALSE()),"?")</f>
        <v>0</v>
      </c>
      <c r="G796" s="119">
        <v>0.1</v>
      </c>
      <c r="H796" s="120">
        <v>0.1</v>
      </c>
      <c r="I796" s="96">
        <f>IFERROR(VLOOKUP(D796,MATERIALES!A:D,4,FALSE()),0)</f>
        <v>3927.28</v>
      </c>
      <c r="J796" s="31">
        <f t="shared" si="317"/>
        <v>432.00080000000008</v>
      </c>
      <c r="K796" s="32" t="str">
        <f t="shared" si="309"/>
        <v>PTO-0401|MAT</v>
      </c>
      <c r="L796" s="32">
        <f>COUNTIFS($K$2:K796,K796)</f>
        <v>4</v>
      </c>
      <c r="M796" s="32" t="str">
        <f t="shared" si="311"/>
        <v>PTO-0401|MAT|4</v>
      </c>
      <c r="N796" s="121">
        <f>IFERROR(VLOOKUP(A796,PARTIDAS!A:F,6,FALSE()),0)</f>
        <v>15</v>
      </c>
      <c r="O796" s="123">
        <f t="shared" si="312"/>
        <v>0</v>
      </c>
      <c r="P796" s="123">
        <f>+_xlfn.XLOOKUP(A796,PPTO_GENERADOR!Q:Q,PPTO_GENERADOR!E:E,"-",0)</f>
        <v>437</v>
      </c>
      <c r="Q796" s="123">
        <f t="shared" si="313"/>
        <v>0</v>
      </c>
      <c r="R796" s="125">
        <f>+_xlfn.XLOOKUP(A796,PPTO_GENERADOR!$Q:$Q,PPTO_GENERADOR!A:A,"-",0)</f>
        <v>4.01</v>
      </c>
    </row>
    <row r="797" spans="1:18" ht="14.25" customHeight="1" x14ac:dyDescent="0.35">
      <c r="A797" s="105" t="s">
        <v>105</v>
      </c>
      <c r="B797" s="105" t="s">
        <v>1981</v>
      </c>
      <c r="C797" s="105" t="s">
        <v>1982</v>
      </c>
      <c r="D797" s="105" t="s">
        <v>540</v>
      </c>
      <c r="E797" s="95" t="str">
        <f>IFERROR(VLOOKUP(D797,MATERIALES!A:B,2,FALSE()),"?")</f>
        <v>Cemento Portland x 50kg</v>
      </c>
      <c r="F797" s="129">
        <f>IFERROR(VLOOKUP(D797,MATERIALES!A:C,3,FALSE()),"?")</f>
        <v>0</v>
      </c>
      <c r="G797" s="119">
        <v>0.05</v>
      </c>
      <c r="H797" s="120">
        <v>0.1</v>
      </c>
      <c r="I797" s="96">
        <f>IFERROR(VLOOKUP(D797,MATERIALES!A:D,4,FALSE()),0)</f>
        <v>7891.74</v>
      </c>
      <c r="J797" s="31">
        <f t="shared" si="317"/>
        <v>434.04570000000001</v>
      </c>
      <c r="K797" s="32" t="str">
        <f t="shared" si="309"/>
        <v>PTO-0401|MAT</v>
      </c>
      <c r="L797" s="32">
        <f>COUNTIFS($K$2:K797,K797)</f>
        <v>5</v>
      </c>
      <c r="M797" s="32" t="str">
        <f t="shared" si="311"/>
        <v>PTO-0401|MAT|5</v>
      </c>
      <c r="N797" s="121">
        <f>IFERROR(VLOOKUP(A797,PARTIDAS!A:F,6,FALSE()),0)</f>
        <v>15</v>
      </c>
      <c r="O797" s="123">
        <f t="shared" si="312"/>
        <v>0</v>
      </c>
      <c r="P797" s="123">
        <f>+_xlfn.XLOOKUP(A797,PPTO_GENERADOR!Q:Q,PPTO_GENERADOR!E:E,"-",0)</f>
        <v>437</v>
      </c>
      <c r="Q797" s="123">
        <f t="shared" si="313"/>
        <v>0</v>
      </c>
      <c r="R797" s="125">
        <f>+_xlfn.XLOOKUP(A797,PPTO_GENERADOR!$Q:$Q,PPTO_GENERADOR!A:A,"-",0)</f>
        <v>4.01</v>
      </c>
    </row>
    <row r="798" spans="1:18" ht="14.25" customHeight="1" x14ac:dyDescent="0.35">
      <c r="A798" s="105" t="s">
        <v>105</v>
      </c>
      <c r="B798" s="105" t="s">
        <v>1981</v>
      </c>
      <c r="C798" s="105" t="s">
        <v>1982</v>
      </c>
      <c r="D798" s="105" t="s">
        <v>559</v>
      </c>
      <c r="E798" s="95" t="str">
        <f>IFERROR(VLOOKUP(D798,MATERIALES!A:B,2,FALSE()),"?")</f>
        <v>CONSUMIBLES (varios)</v>
      </c>
      <c r="F798" s="129" t="str">
        <f>IFERROR(VLOOKUP(D798,MATERIALES!A:C,3,FALSE()),"?")</f>
        <v>gl</v>
      </c>
      <c r="G798" s="119">
        <v>102.4983</v>
      </c>
      <c r="H798" s="120">
        <v>0</v>
      </c>
      <c r="I798" s="96">
        <f>IFERROR(VLOOKUP(D798,MATERIALES!A:D,4,FALSE()),0)</f>
        <v>1</v>
      </c>
      <c r="J798" s="31">
        <f t="shared" si="317"/>
        <v>102.4983</v>
      </c>
      <c r="K798" s="32" t="str">
        <f t="shared" si="309"/>
        <v>PTO-0401|MAT</v>
      </c>
      <c r="L798" s="32">
        <f>COUNTIFS($K$2:K798,K798)</f>
        <v>6</v>
      </c>
      <c r="M798" s="32" t="str">
        <f t="shared" si="311"/>
        <v>PTO-0401|MAT|6</v>
      </c>
      <c r="N798" s="121">
        <f>IFERROR(VLOOKUP(A798,PARTIDAS!A:F,6,FALSE()),0)</f>
        <v>15</v>
      </c>
      <c r="O798" s="123">
        <f t="shared" si="312"/>
        <v>0</v>
      </c>
      <c r="P798" s="123">
        <f>+_xlfn.XLOOKUP(A798,PPTO_GENERADOR!Q:Q,PPTO_GENERADOR!E:E,"-",0)</f>
        <v>437</v>
      </c>
      <c r="Q798" s="123">
        <f t="shared" si="313"/>
        <v>0</v>
      </c>
      <c r="R798" s="125">
        <f>+_xlfn.XLOOKUP(A798,PPTO_GENERADOR!$Q:$Q,PPTO_GENERADOR!A:A,"-",0)</f>
        <v>4.01</v>
      </c>
    </row>
    <row r="799" spans="1:18" ht="14.25" customHeight="1" x14ac:dyDescent="0.35">
      <c r="A799" s="105" t="s">
        <v>105</v>
      </c>
      <c r="B799" s="105" t="s">
        <v>1979</v>
      </c>
      <c r="C799" s="105" t="s">
        <v>1980</v>
      </c>
      <c r="D799" s="105" t="s">
        <v>1292</v>
      </c>
      <c r="E799" s="95" t="str">
        <f>IFERROR(VLOOKUP(D799,MANO_DE_OBRA!A:B,2,FALSE()),"?")</f>
        <v>ESPECIALIZADO</v>
      </c>
      <c r="F799" s="129" t="s">
        <v>2042</v>
      </c>
      <c r="G799" s="119">
        <v>1</v>
      </c>
      <c r="H799" s="120">
        <v>0</v>
      </c>
      <c r="I799" s="96">
        <f>IFERROR(VLOOKUP(D799,MANO_DE_OBRA!A:C,3,FALSE()),0)</f>
        <v>94177.137883538904</v>
      </c>
      <c r="J799" s="31">
        <f t="shared" ref="J799:J803" si="318">G799*I799</f>
        <v>94177.137883538904</v>
      </c>
      <c r="K799" s="32" t="str">
        <f t="shared" si="309"/>
        <v>PTO-0401|MO</v>
      </c>
      <c r="L799" s="32">
        <f>COUNTIFS($K$2:K799,K799)</f>
        <v>1</v>
      </c>
      <c r="M799" s="32" t="str">
        <f t="shared" si="311"/>
        <v>PTO-0401|MO|1</v>
      </c>
      <c r="N799" s="121">
        <f>IFERROR(VLOOKUP(A799,PARTIDAS!A:F,6,FALSE()),0)</f>
        <v>15</v>
      </c>
      <c r="O799" s="123">
        <f t="shared" si="312"/>
        <v>6.6666666666666666E-2</v>
      </c>
      <c r="P799" s="123">
        <f>+_xlfn.XLOOKUP(A799,PPTO_GENERADOR!Q:Q,PPTO_GENERADOR!E:E,"-",0)</f>
        <v>437</v>
      </c>
      <c r="Q799" s="123">
        <f t="shared" si="313"/>
        <v>29.133333333333333</v>
      </c>
      <c r="R799" s="125">
        <f>+_xlfn.XLOOKUP(A799,PPTO_GENERADOR!$Q:$Q,PPTO_GENERADOR!A:A,"-",0)</f>
        <v>4.01</v>
      </c>
    </row>
    <row r="800" spans="1:18" ht="14.25" customHeight="1" x14ac:dyDescent="0.35">
      <c r="A800" s="105" t="s">
        <v>105</v>
      </c>
      <c r="B800" s="105" t="s">
        <v>1979</v>
      </c>
      <c r="C800" s="105" t="s">
        <v>1980</v>
      </c>
      <c r="D800" s="105" t="s">
        <v>2038</v>
      </c>
      <c r="E800" s="95" t="str">
        <f>IFERROR(VLOOKUP(D800,MANO_DE_OBRA!A:B,2,FALSE()),"?")</f>
        <v>AYUDANTE</v>
      </c>
      <c r="F800" s="129" t="s">
        <v>2042</v>
      </c>
      <c r="G800" s="119">
        <v>1</v>
      </c>
      <c r="H800" s="120">
        <v>0</v>
      </c>
      <c r="I800" s="96">
        <f>IFERROR(VLOOKUP(D800,MANO_DE_OBRA!A:C,3,FALSE()),0)</f>
        <v>67240.498860267602</v>
      </c>
      <c r="J800" s="31">
        <f t="shared" si="318"/>
        <v>67240.498860267602</v>
      </c>
      <c r="K800" s="32" t="str">
        <f t="shared" si="309"/>
        <v>PTO-0401|MO</v>
      </c>
      <c r="L800" s="32">
        <f>COUNTIFS($K$2:K800,K800)</f>
        <v>2</v>
      </c>
      <c r="M800" s="32" t="str">
        <f t="shared" si="311"/>
        <v>PTO-0401|MO|2</v>
      </c>
      <c r="N800" s="121">
        <f>IFERROR(VLOOKUP(A800,PARTIDAS!A:F,6,FALSE()),0)</f>
        <v>15</v>
      </c>
      <c r="O800" s="123">
        <f t="shared" si="312"/>
        <v>6.6666666666666666E-2</v>
      </c>
      <c r="P800" s="123">
        <f>+_xlfn.XLOOKUP(A800,PPTO_GENERADOR!Q:Q,PPTO_GENERADOR!E:E,"-",0)</f>
        <v>437</v>
      </c>
      <c r="Q800" s="123">
        <f t="shared" si="313"/>
        <v>29.133333333333333</v>
      </c>
      <c r="R800" s="125">
        <f>+_xlfn.XLOOKUP(A800,PPTO_GENERADOR!$Q:$Q,PPTO_GENERADOR!A:A,"-",0)</f>
        <v>4.01</v>
      </c>
    </row>
    <row r="801" spans="1:18" ht="14.25" customHeight="1" x14ac:dyDescent="0.35">
      <c r="A801" s="105" t="s">
        <v>105</v>
      </c>
      <c r="B801" s="105" t="s">
        <v>1983</v>
      </c>
      <c r="C801" s="105"/>
      <c r="D801" s="105" t="s">
        <v>1319</v>
      </c>
      <c r="E801" s="95" t="str">
        <f>IFERROR(VLOOKUP(D801,EQUIPOS!A:B,2,FALSE()),"?")</f>
        <v>EQUIPO DE ALBAÑILERIA, carpetas, ladrillo</v>
      </c>
      <c r="F801" s="129"/>
      <c r="G801" s="119">
        <v>1</v>
      </c>
      <c r="H801" s="120">
        <v>0</v>
      </c>
      <c r="I801" s="96">
        <f>IFERROR(VLOOKUP(D801,EQUIPOS!A:F,6,FALSE()),0)</f>
        <v>2485.8709964593982</v>
      </c>
      <c r="J801" s="31">
        <f t="shared" si="318"/>
        <v>2485.8709964593982</v>
      </c>
      <c r="K801" s="32" t="str">
        <f t="shared" si="309"/>
        <v>PTO-0401|EQ</v>
      </c>
      <c r="L801" s="32">
        <f>COUNTIFS($K$2:K801,K801)</f>
        <v>1</v>
      </c>
      <c r="M801" s="32" t="str">
        <f t="shared" si="311"/>
        <v>PTO-0401|EQ|1</v>
      </c>
      <c r="N801" s="121">
        <f>IFERROR(VLOOKUP(A801,PARTIDAS!A:F,6,FALSE()),0)</f>
        <v>15</v>
      </c>
      <c r="O801" s="123">
        <f t="shared" si="312"/>
        <v>0</v>
      </c>
      <c r="P801" s="123">
        <f>+_xlfn.XLOOKUP(A801,PPTO_GENERADOR!Q:Q,PPTO_GENERADOR!E:E,"-",0)</f>
        <v>437</v>
      </c>
      <c r="Q801" s="123">
        <f t="shared" si="313"/>
        <v>0</v>
      </c>
      <c r="R801" s="125">
        <f>+_xlfn.XLOOKUP(A801,PPTO_GENERADOR!$Q:$Q,PPTO_GENERADOR!A:A,"-",0)</f>
        <v>4.01</v>
      </c>
    </row>
    <row r="802" spans="1:18" ht="14.25" customHeight="1" x14ac:dyDescent="0.35">
      <c r="A802" s="105" t="s">
        <v>105</v>
      </c>
      <c r="B802" s="105" t="s">
        <v>1983</v>
      </c>
      <c r="C802" s="105"/>
      <c r="D802" s="105" t="s">
        <v>1313</v>
      </c>
      <c r="E802" s="95" t="str">
        <f>IFERROR(VLOOKUP(D802,EQUIPOS!A:B,2,FALSE()),"?")</f>
        <v>ANDAMIO TUBULAR DE UNO A TRES CUERPOS</v>
      </c>
      <c r="F802" s="129"/>
      <c r="G802" s="119">
        <v>0.5</v>
      </c>
      <c r="H802" s="120">
        <v>0</v>
      </c>
      <c r="I802" s="96">
        <f>IFERROR(VLOOKUP(D802,EQUIPOS!A:F,6,FALSE()),0)</f>
        <v>620.81078197718341</v>
      </c>
      <c r="J802" s="31">
        <f t="shared" si="318"/>
        <v>310.40539098859171</v>
      </c>
      <c r="K802" s="32" t="str">
        <f t="shared" si="309"/>
        <v>PTO-0401|EQ</v>
      </c>
      <c r="L802" s="32">
        <f>COUNTIFS($K$2:K802,K802)</f>
        <v>2</v>
      </c>
      <c r="M802" s="32" t="str">
        <f t="shared" si="311"/>
        <v>PTO-0401|EQ|2</v>
      </c>
      <c r="N802" s="121">
        <f>IFERROR(VLOOKUP(A802,PARTIDAS!A:F,6,FALSE()),0)</f>
        <v>15</v>
      </c>
      <c r="O802" s="123">
        <f t="shared" si="312"/>
        <v>0</v>
      </c>
      <c r="P802" s="123">
        <f>+_xlfn.XLOOKUP(A802,PPTO_GENERADOR!Q:Q,PPTO_GENERADOR!E:E,"-",0)</f>
        <v>437</v>
      </c>
      <c r="Q802" s="123">
        <f t="shared" si="313"/>
        <v>0</v>
      </c>
      <c r="R802" s="125">
        <f>+_xlfn.XLOOKUP(A802,PPTO_GENERADOR!$Q:$Q,PPTO_GENERADOR!A:A,"-",0)</f>
        <v>4.01</v>
      </c>
    </row>
    <row r="803" spans="1:18" ht="14.25" customHeight="1" x14ac:dyDescent="0.35">
      <c r="A803" s="105" t="s">
        <v>105</v>
      </c>
      <c r="B803" s="105" t="s">
        <v>1983</v>
      </c>
      <c r="C803" s="105"/>
      <c r="D803" s="105" t="s">
        <v>1507</v>
      </c>
      <c r="E803" s="95" t="str">
        <f>IFERROR(VLOOKUP(D803,EQUIPOS!A:B,2,FALSE()),"?")</f>
        <v>Hormigonera De 150 Litros 1hp Con Rueda Maciza</v>
      </c>
      <c r="F803" s="129"/>
      <c r="G803" s="119">
        <v>1</v>
      </c>
      <c r="H803" s="120">
        <v>0</v>
      </c>
      <c r="I803" s="96">
        <f>IFERROR(VLOOKUP(D803,EQUIPOS!A:F,6,FALSE()),0)</f>
        <v>1040.4314486705237</v>
      </c>
      <c r="J803" s="31">
        <f t="shared" si="318"/>
        <v>1040.4314486705237</v>
      </c>
      <c r="K803" s="32" t="str">
        <f t="shared" si="309"/>
        <v>PTO-0401|EQ</v>
      </c>
      <c r="L803" s="32">
        <f>COUNTIFS($K$2:K803,K803)</f>
        <v>3</v>
      </c>
      <c r="M803" s="32" t="str">
        <f t="shared" si="311"/>
        <v>PTO-0401|EQ|3</v>
      </c>
      <c r="N803" s="121">
        <f>IFERROR(VLOOKUP(A803,PARTIDAS!A:F,6,FALSE()),0)</f>
        <v>15</v>
      </c>
      <c r="O803" s="123">
        <f t="shared" si="312"/>
        <v>0</v>
      </c>
      <c r="P803" s="123">
        <f>+_xlfn.XLOOKUP(A803,PPTO_GENERADOR!Q:Q,PPTO_GENERADOR!E:E,"-",0)</f>
        <v>437</v>
      </c>
      <c r="Q803" s="123">
        <f t="shared" si="313"/>
        <v>0</v>
      </c>
      <c r="R803" s="125">
        <f>+_xlfn.XLOOKUP(A803,PPTO_GENERADOR!$Q:$Q,PPTO_GENERADOR!A:A,"-",0)</f>
        <v>4.01</v>
      </c>
    </row>
    <row r="804" spans="1:18" ht="14.25" customHeight="1" x14ac:dyDescent="0.35">
      <c r="A804" s="105" t="s">
        <v>108</v>
      </c>
      <c r="B804" s="105" t="s">
        <v>1981</v>
      </c>
      <c r="C804" s="105" t="s">
        <v>1982</v>
      </c>
      <c r="D804" s="105" t="s">
        <v>570</v>
      </c>
      <c r="E804" s="95" t="str">
        <f>IFERROR(VLOOKUP(D804,MATERIALES!A:B,2,FALSE()),"?")</f>
        <v>Ladrillo hueco ceramico 12x19x33 - Portante</v>
      </c>
      <c r="F804" s="129">
        <f>IFERROR(VLOOKUP(D804,MATERIALES!A:C,3,FALSE()),"?")</f>
        <v>0</v>
      </c>
      <c r="G804" s="119">
        <v>15</v>
      </c>
      <c r="H804" s="120">
        <v>0.05</v>
      </c>
      <c r="I804" s="96">
        <f>IFERROR(VLOOKUP(D804,MATERIALES!A:D,4,FALSE()),0)</f>
        <v>977.76</v>
      </c>
      <c r="J804" s="31">
        <f t="shared" ref="J804:J809" si="319">G804*I804*(1+H804)</f>
        <v>15399.720000000001</v>
      </c>
      <c r="K804" s="32" t="str">
        <f t="shared" si="309"/>
        <v>PTO-0402|MAT</v>
      </c>
      <c r="L804" s="32">
        <f>COUNTIFS($K$2:K804,K804)</f>
        <v>1</v>
      </c>
      <c r="M804" s="32" t="str">
        <f t="shared" si="311"/>
        <v>PTO-0402|MAT|1</v>
      </c>
      <c r="N804" s="121">
        <f>IFERROR(VLOOKUP(A804,PARTIDAS!A:F,6,FALSE()),0)</f>
        <v>15</v>
      </c>
      <c r="O804" s="123">
        <f t="shared" si="312"/>
        <v>0</v>
      </c>
      <c r="P804" s="123">
        <f>+_xlfn.XLOOKUP(A804,PPTO_GENERADOR!Q:Q,PPTO_GENERADOR!E:E,"-",0)</f>
        <v>723</v>
      </c>
      <c r="Q804" s="123">
        <f t="shared" si="313"/>
        <v>0</v>
      </c>
      <c r="R804" s="125">
        <f>+_xlfn.XLOOKUP(A804,PPTO_GENERADOR!$Q:$Q,PPTO_GENERADOR!A:A,"-",0)</f>
        <v>4.0199999999999996</v>
      </c>
    </row>
    <row r="805" spans="1:18" ht="14.25" customHeight="1" x14ac:dyDescent="0.35">
      <c r="A805" s="105" t="s">
        <v>108</v>
      </c>
      <c r="B805" s="105" t="s">
        <v>1981</v>
      </c>
      <c r="C805" s="105" t="s">
        <v>1982</v>
      </c>
      <c r="D805" s="105" t="s">
        <v>533</v>
      </c>
      <c r="E805" s="95" t="str">
        <f>IFERROR(VLOOKUP(D805,MATERIALES!A:B,2,FALSE()),"?")</f>
        <v>Barra de Acero Aleteado - 6mm x 12m</v>
      </c>
      <c r="F805" s="129">
        <f>IFERROR(VLOOKUP(D805,MATERIALES!A:C,3,FALSE()),"?")</f>
        <v>0</v>
      </c>
      <c r="G805" s="119">
        <v>0.17</v>
      </c>
      <c r="H805" s="120">
        <v>0.1</v>
      </c>
      <c r="I805" s="96">
        <f>IFERROR(VLOOKUP(D805,MATERIALES!A:D,4,FALSE()),0)</f>
        <v>3620.13</v>
      </c>
      <c r="J805" s="31">
        <f t="shared" si="319"/>
        <v>676.96431000000018</v>
      </c>
      <c r="K805" s="32" t="str">
        <f t="shared" si="309"/>
        <v>PTO-0402|MAT</v>
      </c>
      <c r="L805" s="32">
        <f>COUNTIFS($K$2:K805,K805)</f>
        <v>2</v>
      </c>
      <c r="M805" s="32" t="str">
        <f t="shared" si="311"/>
        <v>PTO-0402|MAT|2</v>
      </c>
      <c r="N805" s="121">
        <f>IFERROR(VLOOKUP(A805,PARTIDAS!A:F,6,FALSE()),0)</f>
        <v>15</v>
      </c>
      <c r="O805" s="123">
        <f t="shared" si="312"/>
        <v>0</v>
      </c>
      <c r="P805" s="123">
        <f>+_xlfn.XLOOKUP(A805,PPTO_GENERADOR!Q:Q,PPTO_GENERADOR!E:E,"-",0)</f>
        <v>723</v>
      </c>
      <c r="Q805" s="123">
        <f t="shared" si="313"/>
        <v>0</v>
      </c>
      <c r="R805" s="125">
        <f>+_xlfn.XLOOKUP(A805,PPTO_GENERADOR!$Q:$Q,PPTO_GENERADOR!A:A,"-",0)</f>
        <v>4.0199999999999996</v>
      </c>
    </row>
    <row r="806" spans="1:18" ht="14.25" customHeight="1" x14ac:dyDescent="0.35">
      <c r="A806" s="105" t="s">
        <v>108</v>
      </c>
      <c r="B806" s="105" t="s">
        <v>1981</v>
      </c>
      <c r="C806" s="105" t="s">
        <v>1982</v>
      </c>
      <c r="D806" s="105" t="s">
        <v>542</v>
      </c>
      <c r="E806" s="95" t="str">
        <f>IFERROR(VLOOKUP(D806,MATERIALES!A:B,2,FALSE()),"?")</f>
        <v>Cal Comun x 25kg</v>
      </c>
      <c r="F806" s="129">
        <f>IFERROR(VLOOKUP(D806,MATERIALES!A:C,3,FALSE()),"?")</f>
        <v>0</v>
      </c>
      <c r="G806" s="119">
        <v>0.15</v>
      </c>
      <c r="H806" s="120">
        <v>0.1</v>
      </c>
      <c r="I806" s="96">
        <f>IFERROR(VLOOKUP(D806,MATERIALES!A:D,4,FALSE()),0)</f>
        <v>3927.28</v>
      </c>
      <c r="J806" s="31">
        <f t="shared" si="319"/>
        <v>648.00120000000004</v>
      </c>
      <c r="K806" s="32" t="str">
        <f t="shared" si="309"/>
        <v>PTO-0402|MAT</v>
      </c>
      <c r="L806" s="32">
        <f>COUNTIFS($K$2:K806,K806)</f>
        <v>3</v>
      </c>
      <c r="M806" s="32" t="str">
        <f t="shared" si="311"/>
        <v>PTO-0402|MAT|3</v>
      </c>
      <c r="N806" s="121">
        <f>IFERROR(VLOOKUP(A806,PARTIDAS!A:F,6,FALSE()),0)</f>
        <v>15</v>
      </c>
      <c r="O806" s="123">
        <f t="shared" si="312"/>
        <v>0</v>
      </c>
      <c r="P806" s="123">
        <f>+_xlfn.XLOOKUP(A806,PPTO_GENERADOR!Q:Q,PPTO_GENERADOR!E:E,"-",0)</f>
        <v>723</v>
      </c>
      <c r="Q806" s="123">
        <f t="shared" si="313"/>
        <v>0</v>
      </c>
      <c r="R806" s="125">
        <f>+_xlfn.XLOOKUP(A806,PPTO_GENERADOR!$Q:$Q,PPTO_GENERADOR!A:A,"-",0)</f>
        <v>4.0199999999999996</v>
      </c>
    </row>
    <row r="807" spans="1:18" ht="14.25" customHeight="1" x14ac:dyDescent="0.35">
      <c r="A807" s="105" t="s">
        <v>108</v>
      </c>
      <c r="B807" s="105" t="s">
        <v>1981</v>
      </c>
      <c r="C807" s="105" t="s">
        <v>1982</v>
      </c>
      <c r="D807" s="105" t="s">
        <v>540</v>
      </c>
      <c r="E807" s="95" t="str">
        <f>IFERROR(VLOOKUP(D807,MATERIALES!A:B,2,FALSE()),"?")</f>
        <v>Cemento Portland x 50kg</v>
      </c>
      <c r="F807" s="129">
        <f>IFERROR(VLOOKUP(D807,MATERIALES!A:C,3,FALSE()),"?")</f>
        <v>0</v>
      </c>
      <c r="G807" s="119">
        <v>7.4999999999999997E-2</v>
      </c>
      <c r="H807" s="120">
        <v>0.1</v>
      </c>
      <c r="I807" s="96">
        <f>IFERROR(VLOOKUP(D807,MATERIALES!A:D,4,FALSE()),0)</f>
        <v>7891.74</v>
      </c>
      <c r="J807" s="31">
        <f t="shared" si="319"/>
        <v>651.06855000000007</v>
      </c>
      <c r="K807" s="32" t="str">
        <f t="shared" si="309"/>
        <v>PTO-0402|MAT</v>
      </c>
      <c r="L807" s="32">
        <f>COUNTIFS($K$2:K807,K807)</f>
        <v>4</v>
      </c>
      <c r="M807" s="32" t="str">
        <f t="shared" si="311"/>
        <v>PTO-0402|MAT|4</v>
      </c>
      <c r="N807" s="121">
        <f>IFERROR(VLOOKUP(A807,PARTIDAS!A:F,6,FALSE()),0)</f>
        <v>15</v>
      </c>
      <c r="O807" s="123">
        <f t="shared" si="312"/>
        <v>0</v>
      </c>
      <c r="P807" s="123">
        <f>+_xlfn.XLOOKUP(A807,PPTO_GENERADOR!Q:Q,PPTO_GENERADOR!E:E,"-",0)</f>
        <v>723</v>
      </c>
      <c r="Q807" s="123">
        <f t="shared" si="313"/>
        <v>0</v>
      </c>
      <c r="R807" s="125">
        <f>+_xlfn.XLOOKUP(A807,PPTO_GENERADOR!$Q:$Q,PPTO_GENERADOR!A:A,"-",0)</f>
        <v>4.0199999999999996</v>
      </c>
    </row>
    <row r="808" spans="1:18" ht="14.25" customHeight="1" x14ac:dyDescent="0.35">
      <c r="A808" s="105" t="s">
        <v>108</v>
      </c>
      <c r="B808" s="105" t="s">
        <v>1981</v>
      </c>
      <c r="C808" s="105" t="s">
        <v>1982</v>
      </c>
      <c r="D808" s="105" t="s">
        <v>538</v>
      </c>
      <c r="E808" s="95" t="str">
        <f>IFERROR(VLOOKUP(D808,MATERIALES!A:B,2,FALSE()),"?")</f>
        <v>ARENA LAVADA</v>
      </c>
      <c r="F808" s="129">
        <f>IFERROR(VLOOKUP(D808,MATERIALES!A:C,3,FALSE()),"?")</f>
        <v>0</v>
      </c>
      <c r="G808" s="119">
        <v>1.7999999999999999E-2</v>
      </c>
      <c r="H808" s="120">
        <v>0.1</v>
      </c>
      <c r="I808" s="96">
        <f>IFERROR(VLOOKUP(D808,MATERIALES!A:D,4,FALSE()),0)</f>
        <v>32620.38</v>
      </c>
      <c r="J808" s="31">
        <f t="shared" si="319"/>
        <v>645.88352400000008</v>
      </c>
      <c r="K808" s="32" t="str">
        <f t="shared" si="309"/>
        <v>PTO-0402|MAT</v>
      </c>
      <c r="L808" s="32">
        <f>COUNTIFS($K$2:K808,K808)</f>
        <v>5</v>
      </c>
      <c r="M808" s="32" t="str">
        <f t="shared" si="311"/>
        <v>PTO-0402|MAT|5</v>
      </c>
      <c r="N808" s="121">
        <f>IFERROR(VLOOKUP(A808,PARTIDAS!A:F,6,FALSE()),0)</f>
        <v>15</v>
      </c>
      <c r="O808" s="123">
        <f t="shared" si="312"/>
        <v>0</v>
      </c>
      <c r="P808" s="123">
        <f>+_xlfn.XLOOKUP(A808,PPTO_GENERADOR!Q:Q,PPTO_GENERADOR!E:E,"-",0)</f>
        <v>723</v>
      </c>
      <c r="Q808" s="123">
        <f t="shared" si="313"/>
        <v>0</v>
      </c>
      <c r="R808" s="125">
        <f>+_xlfn.XLOOKUP(A808,PPTO_GENERADOR!$Q:$Q,PPTO_GENERADOR!A:A,"-",0)</f>
        <v>4.0199999999999996</v>
      </c>
    </row>
    <row r="809" spans="1:18" ht="14.25" customHeight="1" x14ac:dyDescent="0.35">
      <c r="A809" s="105" t="s">
        <v>108</v>
      </c>
      <c r="B809" s="105" t="s">
        <v>1981</v>
      </c>
      <c r="C809" s="105" t="s">
        <v>1982</v>
      </c>
      <c r="D809" s="105" t="s">
        <v>559</v>
      </c>
      <c r="E809" s="95" t="str">
        <f>IFERROR(VLOOKUP(D809,MATERIALES!A:B,2,FALSE()),"?")</f>
        <v>CONSUMIBLES (varios)</v>
      </c>
      <c r="F809" s="129" t="str">
        <f>IFERROR(VLOOKUP(D809,MATERIALES!A:C,3,FALSE()),"?")</f>
        <v>gl</v>
      </c>
      <c r="G809" s="119">
        <v>185.62289999999999</v>
      </c>
      <c r="H809" s="120">
        <v>0</v>
      </c>
      <c r="I809" s="96">
        <f>IFERROR(VLOOKUP(D809,MATERIALES!A:D,4,FALSE()),0)</f>
        <v>1</v>
      </c>
      <c r="J809" s="31">
        <f t="shared" si="319"/>
        <v>185.62289999999999</v>
      </c>
      <c r="K809" s="32" t="str">
        <f t="shared" si="309"/>
        <v>PTO-0402|MAT</v>
      </c>
      <c r="L809" s="32">
        <f>COUNTIFS($K$2:K809,K809)</f>
        <v>6</v>
      </c>
      <c r="M809" s="32" t="str">
        <f t="shared" si="311"/>
        <v>PTO-0402|MAT|6</v>
      </c>
      <c r="N809" s="121">
        <f>IFERROR(VLOOKUP(A809,PARTIDAS!A:F,6,FALSE()),0)</f>
        <v>15</v>
      </c>
      <c r="O809" s="123">
        <f t="shared" si="312"/>
        <v>0</v>
      </c>
      <c r="P809" s="123">
        <f>+_xlfn.XLOOKUP(A809,PPTO_GENERADOR!Q:Q,PPTO_GENERADOR!E:E,"-",0)</f>
        <v>723</v>
      </c>
      <c r="Q809" s="123">
        <f t="shared" si="313"/>
        <v>0</v>
      </c>
      <c r="R809" s="125">
        <f>+_xlfn.XLOOKUP(A809,PPTO_GENERADOR!$Q:$Q,PPTO_GENERADOR!A:A,"-",0)</f>
        <v>4.0199999999999996</v>
      </c>
    </row>
    <row r="810" spans="1:18" ht="14.25" customHeight="1" x14ac:dyDescent="0.35">
      <c r="A810" s="105" t="s">
        <v>108</v>
      </c>
      <c r="B810" s="105" t="s">
        <v>1979</v>
      </c>
      <c r="C810" s="105" t="s">
        <v>1980</v>
      </c>
      <c r="D810" s="105" t="s">
        <v>1292</v>
      </c>
      <c r="E810" s="95" t="str">
        <f>IFERROR(VLOOKUP(D810,MANO_DE_OBRA!A:B,2,FALSE()),"?")</f>
        <v>ESPECIALIZADO</v>
      </c>
      <c r="F810" s="129" t="s">
        <v>2042</v>
      </c>
      <c r="G810" s="119">
        <v>1</v>
      </c>
      <c r="H810" s="120">
        <v>0</v>
      </c>
      <c r="I810" s="96">
        <f>IFERROR(VLOOKUP(D810,MANO_DE_OBRA!A:C,3,FALSE()),0)</f>
        <v>94177.137883538904</v>
      </c>
      <c r="J810" s="31">
        <f t="shared" ref="J810:J814" si="320">G810*I810</f>
        <v>94177.137883538904</v>
      </c>
      <c r="K810" s="32" t="str">
        <f t="shared" si="309"/>
        <v>PTO-0402|MO</v>
      </c>
      <c r="L810" s="32">
        <f>COUNTIFS($K$2:K810,K810)</f>
        <v>1</v>
      </c>
      <c r="M810" s="32" t="str">
        <f t="shared" si="311"/>
        <v>PTO-0402|MO|1</v>
      </c>
      <c r="N810" s="121">
        <f>IFERROR(VLOOKUP(A810,PARTIDAS!A:F,6,FALSE()),0)</f>
        <v>15</v>
      </c>
      <c r="O810" s="123">
        <f t="shared" si="312"/>
        <v>6.6666666666666666E-2</v>
      </c>
      <c r="P810" s="123">
        <f>+_xlfn.XLOOKUP(A810,PPTO_GENERADOR!Q:Q,PPTO_GENERADOR!E:E,"-",0)</f>
        <v>723</v>
      </c>
      <c r="Q810" s="123">
        <f t="shared" si="313"/>
        <v>48.2</v>
      </c>
      <c r="R810" s="125">
        <f>+_xlfn.XLOOKUP(A810,PPTO_GENERADOR!$Q:$Q,PPTO_GENERADOR!A:A,"-",0)</f>
        <v>4.0199999999999996</v>
      </c>
    </row>
    <row r="811" spans="1:18" ht="14.25" customHeight="1" x14ac:dyDescent="0.35">
      <c r="A811" s="105" t="s">
        <v>108</v>
      </c>
      <c r="B811" s="105" t="s">
        <v>1979</v>
      </c>
      <c r="C811" s="105" t="s">
        <v>1980</v>
      </c>
      <c r="D811" s="105" t="s">
        <v>2038</v>
      </c>
      <c r="E811" s="95" t="str">
        <f>IFERROR(VLOOKUP(D811,MANO_DE_OBRA!A:B,2,FALSE()),"?")</f>
        <v>AYUDANTE</v>
      </c>
      <c r="F811" s="129" t="s">
        <v>2042</v>
      </c>
      <c r="G811" s="119">
        <v>1</v>
      </c>
      <c r="H811" s="120">
        <v>0</v>
      </c>
      <c r="I811" s="96">
        <f>IFERROR(VLOOKUP(D811,MANO_DE_OBRA!A:C,3,FALSE()),0)</f>
        <v>67240.498860267602</v>
      </c>
      <c r="J811" s="31">
        <f t="shared" si="320"/>
        <v>67240.498860267602</v>
      </c>
      <c r="K811" s="32" t="str">
        <f t="shared" si="309"/>
        <v>PTO-0402|MO</v>
      </c>
      <c r="L811" s="32">
        <f>COUNTIFS($K$2:K811,K811)</f>
        <v>2</v>
      </c>
      <c r="M811" s="32" t="str">
        <f t="shared" si="311"/>
        <v>PTO-0402|MO|2</v>
      </c>
      <c r="N811" s="121">
        <f>IFERROR(VLOOKUP(A811,PARTIDAS!A:F,6,FALSE()),0)</f>
        <v>15</v>
      </c>
      <c r="O811" s="123">
        <f t="shared" si="312"/>
        <v>6.6666666666666666E-2</v>
      </c>
      <c r="P811" s="123">
        <f>+_xlfn.XLOOKUP(A811,PPTO_GENERADOR!Q:Q,PPTO_GENERADOR!E:E,"-",0)</f>
        <v>723</v>
      </c>
      <c r="Q811" s="123">
        <f t="shared" si="313"/>
        <v>48.2</v>
      </c>
      <c r="R811" s="125">
        <f>+_xlfn.XLOOKUP(A811,PPTO_GENERADOR!$Q:$Q,PPTO_GENERADOR!A:A,"-",0)</f>
        <v>4.0199999999999996</v>
      </c>
    </row>
    <row r="812" spans="1:18" ht="14.25" customHeight="1" x14ac:dyDescent="0.35">
      <c r="A812" s="105" t="s">
        <v>108</v>
      </c>
      <c r="B812" s="105" t="s">
        <v>1983</v>
      </c>
      <c r="C812" s="105"/>
      <c r="D812" s="105" t="s">
        <v>1319</v>
      </c>
      <c r="E812" s="95" t="str">
        <f>IFERROR(VLOOKUP(D812,EQUIPOS!A:B,2,FALSE()),"?")</f>
        <v>EQUIPO DE ALBAÑILERIA, carpetas, ladrillo</v>
      </c>
      <c r="F812" s="129"/>
      <c r="G812" s="119">
        <v>1</v>
      </c>
      <c r="H812" s="120">
        <v>0</v>
      </c>
      <c r="I812" s="96">
        <f>IFERROR(VLOOKUP(D812,EQUIPOS!A:F,6,FALSE()),0)</f>
        <v>2485.8709964593982</v>
      </c>
      <c r="J812" s="31">
        <f t="shared" si="320"/>
        <v>2485.8709964593982</v>
      </c>
      <c r="K812" s="32" t="str">
        <f t="shared" si="309"/>
        <v>PTO-0402|EQ</v>
      </c>
      <c r="L812" s="32">
        <f>COUNTIFS($K$2:K812,K812)</f>
        <v>1</v>
      </c>
      <c r="M812" s="32" t="str">
        <f t="shared" si="311"/>
        <v>PTO-0402|EQ|1</v>
      </c>
      <c r="N812" s="121">
        <f>IFERROR(VLOOKUP(A812,PARTIDAS!A:F,6,FALSE()),0)</f>
        <v>15</v>
      </c>
      <c r="O812" s="123">
        <f t="shared" si="312"/>
        <v>0</v>
      </c>
      <c r="P812" s="123">
        <f>+_xlfn.XLOOKUP(A812,PPTO_GENERADOR!Q:Q,PPTO_GENERADOR!E:E,"-",0)</f>
        <v>723</v>
      </c>
      <c r="Q812" s="123">
        <f t="shared" si="313"/>
        <v>0</v>
      </c>
      <c r="R812" s="125">
        <f>+_xlfn.XLOOKUP(A812,PPTO_GENERADOR!$Q:$Q,PPTO_GENERADOR!A:A,"-",0)</f>
        <v>4.0199999999999996</v>
      </c>
    </row>
    <row r="813" spans="1:18" ht="14.25" customHeight="1" x14ac:dyDescent="0.35">
      <c r="A813" s="105" t="s">
        <v>108</v>
      </c>
      <c r="B813" s="105" t="s">
        <v>1983</v>
      </c>
      <c r="C813" s="105"/>
      <c r="D813" s="105" t="s">
        <v>1313</v>
      </c>
      <c r="E813" s="95" t="str">
        <f>IFERROR(VLOOKUP(D813,EQUIPOS!A:B,2,FALSE()),"?")</f>
        <v>ANDAMIO TUBULAR DE UNO A TRES CUERPOS</v>
      </c>
      <c r="F813" s="129"/>
      <c r="G813" s="119">
        <v>0.5</v>
      </c>
      <c r="H813" s="120">
        <v>0</v>
      </c>
      <c r="I813" s="96">
        <f>IFERROR(VLOOKUP(D813,EQUIPOS!A:F,6,FALSE()),0)</f>
        <v>620.81078197718341</v>
      </c>
      <c r="J813" s="31">
        <f t="shared" si="320"/>
        <v>310.40539098859171</v>
      </c>
      <c r="K813" s="32" t="str">
        <f t="shared" si="309"/>
        <v>PTO-0402|EQ</v>
      </c>
      <c r="L813" s="32">
        <f>COUNTIFS($K$2:K813,K813)</f>
        <v>2</v>
      </c>
      <c r="M813" s="32" t="str">
        <f t="shared" si="311"/>
        <v>PTO-0402|EQ|2</v>
      </c>
      <c r="N813" s="121">
        <f>IFERROR(VLOOKUP(A813,PARTIDAS!A:F,6,FALSE()),0)</f>
        <v>15</v>
      </c>
      <c r="O813" s="123">
        <f t="shared" si="312"/>
        <v>0</v>
      </c>
      <c r="P813" s="123">
        <f>+_xlfn.XLOOKUP(A813,PPTO_GENERADOR!Q:Q,PPTO_GENERADOR!E:E,"-",0)</f>
        <v>723</v>
      </c>
      <c r="Q813" s="123">
        <f t="shared" si="313"/>
        <v>0</v>
      </c>
      <c r="R813" s="125">
        <f>+_xlfn.XLOOKUP(A813,PPTO_GENERADOR!$Q:$Q,PPTO_GENERADOR!A:A,"-",0)</f>
        <v>4.0199999999999996</v>
      </c>
    </row>
    <row r="814" spans="1:18" ht="14.25" customHeight="1" x14ac:dyDescent="0.35">
      <c r="A814" s="105" t="s">
        <v>108</v>
      </c>
      <c r="B814" s="105" t="s">
        <v>1983</v>
      </c>
      <c r="C814" s="105"/>
      <c r="D814" s="105" t="s">
        <v>1507</v>
      </c>
      <c r="E814" s="95" t="str">
        <f>IFERROR(VLOOKUP(D814,EQUIPOS!A:B,2,FALSE()),"?")</f>
        <v>Hormigonera De 150 Litros 1hp Con Rueda Maciza</v>
      </c>
      <c r="F814" s="129"/>
      <c r="G814" s="119">
        <v>1</v>
      </c>
      <c r="H814" s="120">
        <v>0</v>
      </c>
      <c r="I814" s="96">
        <f>IFERROR(VLOOKUP(D814,EQUIPOS!A:F,6,FALSE()),0)</f>
        <v>1040.4314486705237</v>
      </c>
      <c r="J814" s="31">
        <f t="shared" si="320"/>
        <v>1040.4314486705237</v>
      </c>
      <c r="K814" s="32" t="str">
        <f t="shared" si="309"/>
        <v>PTO-0402|EQ</v>
      </c>
      <c r="L814" s="32">
        <f>COUNTIFS($K$2:K814,K814)</f>
        <v>3</v>
      </c>
      <c r="M814" s="32" t="str">
        <f t="shared" si="311"/>
        <v>PTO-0402|EQ|3</v>
      </c>
      <c r="N814" s="121">
        <f>IFERROR(VLOOKUP(A814,PARTIDAS!A:F,6,FALSE()),0)</f>
        <v>15</v>
      </c>
      <c r="O814" s="123">
        <f t="shared" si="312"/>
        <v>0</v>
      </c>
      <c r="P814" s="123">
        <f>+_xlfn.XLOOKUP(A814,PPTO_GENERADOR!Q:Q,PPTO_GENERADOR!E:E,"-",0)</f>
        <v>723</v>
      </c>
      <c r="Q814" s="123">
        <f t="shared" si="313"/>
        <v>0</v>
      </c>
      <c r="R814" s="125">
        <f>+_xlfn.XLOOKUP(A814,PPTO_GENERADOR!$Q:$Q,PPTO_GENERADOR!A:A,"-",0)</f>
        <v>4.0199999999999996</v>
      </c>
    </row>
    <row r="815" spans="1:18" ht="14.25" customHeight="1" x14ac:dyDescent="0.35">
      <c r="A815" s="105" t="s">
        <v>111</v>
      </c>
      <c r="B815" s="105" t="s">
        <v>1981</v>
      </c>
      <c r="C815" s="105" t="s">
        <v>1982</v>
      </c>
      <c r="D815" s="105" t="s">
        <v>533</v>
      </c>
      <c r="E815" s="95" t="str">
        <f>IFERROR(VLOOKUP(D815,MATERIALES!A:B,2,FALSE()),"?")</f>
        <v>Barra de Acero Aleteado - 6mm x 12m</v>
      </c>
      <c r="F815" s="129">
        <f>IFERROR(VLOOKUP(D815,MATERIALES!A:C,3,FALSE()),"?")</f>
        <v>0</v>
      </c>
      <c r="G815" s="119">
        <v>0.17</v>
      </c>
      <c r="H815" s="120">
        <v>0.1</v>
      </c>
      <c r="I815" s="96">
        <f>IFERROR(VLOOKUP(D815,MATERIALES!A:D,4,FALSE()),0)</f>
        <v>3620.13</v>
      </c>
      <c r="J815" s="31">
        <f t="shared" ref="J815:J820" si="321">G815*I815*(1+H815)</f>
        <v>676.96431000000018</v>
      </c>
      <c r="K815" s="32" t="str">
        <f t="shared" si="309"/>
        <v>PTO-0403|MAT</v>
      </c>
      <c r="L815" s="32">
        <f>COUNTIFS($K$2:K815,K815)</f>
        <v>1</v>
      </c>
      <c r="M815" s="32" t="str">
        <f t="shared" si="311"/>
        <v>PTO-0403|MAT|1</v>
      </c>
      <c r="N815" s="121">
        <f>IFERROR(VLOOKUP(A815,PARTIDAS!A:F,6,FALSE()),0)</f>
        <v>15</v>
      </c>
      <c r="O815" s="123">
        <f t="shared" si="312"/>
        <v>0</v>
      </c>
      <c r="P815" s="123">
        <f>+_xlfn.XLOOKUP(A815,PPTO_GENERADOR!Q:Q,PPTO_GENERADOR!E:E,"-",0)</f>
        <v>1008</v>
      </c>
      <c r="Q815" s="123">
        <f t="shared" si="313"/>
        <v>0</v>
      </c>
      <c r="R815" s="125">
        <f>+_xlfn.XLOOKUP(A815,PPTO_GENERADOR!$Q:$Q,PPTO_GENERADOR!A:A,"-",0)</f>
        <v>4.03</v>
      </c>
    </row>
    <row r="816" spans="1:18" ht="14.25" customHeight="1" x14ac:dyDescent="0.35">
      <c r="A816" s="105" t="s">
        <v>111</v>
      </c>
      <c r="B816" s="105" t="s">
        <v>1981</v>
      </c>
      <c r="C816" s="105" t="s">
        <v>1982</v>
      </c>
      <c r="D816" s="105" t="s">
        <v>566</v>
      </c>
      <c r="E816" s="95" t="str">
        <f>IFERROR(VLOOKUP(D816,MATERIALES!A:B,2,FALSE()),"?")</f>
        <v>LADRILLO CERAMICO 12 x 18 x 33 cm</v>
      </c>
      <c r="F816" s="129">
        <f>IFERROR(VLOOKUP(D816,MATERIALES!A:C,3,FALSE()),"?")</f>
        <v>0</v>
      </c>
      <c r="G816" s="119">
        <v>15</v>
      </c>
      <c r="H816" s="120">
        <v>0.05</v>
      </c>
      <c r="I816" s="96">
        <f>IFERROR(VLOOKUP(D816,MATERIALES!A:D,4,FALSE()),0)</f>
        <v>624.96</v>
      </c>
      <c r="J816" s="31">
        <f t="shared" si="321"/>
        <v>9843.1200000000026</v>
      </c>
      <c r="K816" s="32" t="str">
        <f t="shared" si="309"/>
        <v>PTO-0403|MAT</v>
      </c>
      <c r="L816" s="32">
        <f>COUNTIFS($K$2:K816,K816)</f>
        <v>2</v>
      </c>
      <c r="M816" s="32" t="str">
        <f t="shared" si="311"/>
        <v>PTO-0403|MAT|2</v>
      </c>
      <c r="N816" s="121">
        <f>IFERROR(VLOOKUP(A816,PARTIDAS!A:F,6,FALSE()),0)</f>
        <v>15</v>
      </c>
      <c r="O816" s="123">
        <f t="shared" si="312"/>
        <v>0</v>
      </c>
      <c r="P816" s="123">
        <f>+_xlfn.XLOOKUP(A816,PPTO_GENERADOR!Q:Q,PPTO_GENERADOR!E:E,"-",0)</f>
        <v>1008</v>
      </c>
      <c r="Q816" s="123">
        <f t="shared" si="313"/>
        <v>0</v>
      </c>
      <c r="R816" s="125">
        <f>+_xlfn.XLOOKUP(A816,PPTO_GENERADOR!$Q:$Q,PPTO_GENERADOR!A:A,"-",0)</f>
        <v>4.03</v>
      </c>
    </row>
    <row r="817" spans="1:18" ht="14.25" customHeight="1" x14ac:dyDescent="0.35">
      <c r="A817" s="105" t="s">
        <v>111</v>
      </c>
      <c r="B817" s="105" t="s">
        <v>1981</v>
      </c>
      <c r="C817" s="105" t="s">
        <v>1982</v>
      </c>
      <c r="D817" s="105" t="s">
        <v>542</v>
      </c>
      <c r="E817" s="95" t="str">
        <f>IFERROR(VLOOKUP(D817,MATERIALES!A:B,2,FALSE()),"?")</f>
        <v>Cal Comun x 25kg</v>
      </c>
      <c r="F817" s="129">
        <f>IFERROR(VLOOKUP(D817,MATERIALES!A:C,3,FALSE()),"?")</f>
        <v>0</v>
      </c>
      <c r="G817" s="119">
        <v>0.15</v>
      </c>
      <c r="H817" s="120">
        <v>0.1</v>
      </c>
      <c r="I817" s="96">
        <f>IFERROR(VLOOKUP(D817,MATERIALES!A:D,4,FALSE()),0)</f>
        <v>3927.28</v>
      </c>
      <c r="J817" s="31">
        <f t="shared" si="321"/>
        <v>648.00120000000004</v>
      </c>
      <c r="K817" s="32" t="str">
        <f t="shared" si="309"/>
        <v>PTO-0403|MAT</v>
      </c>
      <c r="L817" s="32">
        <f>COUNTIFS($K$2:K817,K817)</f>
        <v>3</v>
      </c>
      <c r="M817" s="32" t="str">
        <f t="shared" si="311"/>
        <v>PTO-0403|MAT|3</v>
      </c>
      <c r="N817" s="121">
        <f>IFERROR(VLOOKUP(A817,PARTIDAS!A:F,6,FALSE()),0)</f>
        <v>15</v>
      </c>
      <c r="O817" s="123">
        <f t="shared" si="312"/>
        <v>0</v>
      </c>
      <c r="P817" s="123">
        <f>+_xlfn.XLOOKUP(A817,PPTO_GENERADOR!Q:Q,PPTO_GENERADOR!E:E,"-",0)</f>
        <v>1008</v>
      </c>
      <c r="Q817" s="123">
        <f t="shared" si="313"/>
        <v>0</v>
      </c>
      <c r="R817" s="125">
        <f>+_xlfn.XLOOKUP(A817,PPTO_GENERADOR!$Q:$Q,PPTO_GENERADOR!A:A,"-",0)</f>
        <v>4.03</v>
      </c>
    </row>
    <row r="818" spans="1:18" ht="14.25" customHeight="1" x14ac:dyDescent="0.35">
      <c r="A818" s="105" t="s">
        <v>111</v>
      </c>
      <c r="B818" s="105" t="s">
        <v>1981</v>
      </c>
      <c r="C818" s="105" t="s">
        <v>1982</v>
      </c>
      <c r="D818" s="105" t="s">
        <v>540</v>
      </c>
      <c r="E818" s="95" t="str">
        <f>IFERROR(VLOOKUP(D818,MATERIALES!A:B,2,FALSE()),"?")</f>
        <v>Cemento Portland x 50kg</v>
      </c>
      <c r="F818" s="129">
        <f>IFERROR(VLOOKUP(D818,MATERIALES!A:C,3,FALSE()),"?")</f>
        <v>0</v>
      </c>
      <c r="G818" s="119">
        <v>7.4999999999999997E-2</v>
      </c>
      <c r="H818" s="120">
        <v>0.1</v>
      </c>
      <c r="I818" s="96">
        <f>IFERROR(VLOOKUP(D818,MATERIALES!A:D,4,FALSE()),0)</f>
        <v>7891.74</v>
      </c>
      <c r="J818" s="31">
        <f t="shared" si="321"/>
        <v>651.06855000000007</v>
      </c>
      <c r="K818" s="32" t="str">
        <f t="shared" si="309"/>
        <v>PTO-0403|MAT</v>
      </c>
      <c r="L818" s="32">
        <f>COUNTIFS($K$2:K818,K818)</f>
        <v>4</v>
      </c>
      <c r="M818" s="32" t="str">
        <f t="shared" si="311"/>
        <v>PTO-0403|MAT|4</v>
      </c>
      <c r="N818" s="121">
        <f>IFERROR(VLOOKUP(A818,PARTIDAS!A:F,6,FALSE()),0)</f>
        <v>15</v>
      </c>
      <c r="O818" s="123">
        <f t="shared" si="312"/>
        <v>0</v>
      </c>
      <c r="P818" s="123">
        <f>+_xlfn.XLOOKUP(A818,PPTO_GENERADOR!Q:Q,PPTO_GENERADOR!E:E,"-",0)</f>
        <v>1008</v>
      </c>
      <c r="Q818" s="123">
        <f t="shared" si="313"/>
        <v>0</v>
      </c>
      <c r="R818" s="125">
        <f>+_xlfn.XLOOKUP(A818,PPTO_GENERADOR!$Q:$Q,PPTO_GENERADOR!A:A,"-",0)</f>
        <v>4.03</v>
      </c>
    </row>
    <row r="819" spans="1:18" ht="14.25" customHeight="1" x14ac:dyDescent="0.35">
      <c r="A819" s="105" t="s">
        <v>111</v>
      </c>
      <c r="B819" s="105" t="s">
        <v>1981</v>
      </c>
      <c r="C819" s="105" t="s">
        <v>1982</v>
      </c>
      <c r="D819" s="105" t="s">
        <v>538</v>
      </c>
      <c r="E819" s="95" t="str">
        <f>IFERROR(VLOOKUP(D819,MATERIALES!A:B,2,FALSE()),"?")</f>
        <v>ARENA LAVADA</v>
      </c>
      <c r="F819" s="129">
        <f>IFERROR(VLOOKUP(D819,MATERIALES!A:C,3,FALSE()),"?")</f>
        <v>0</v>
      </c>
      <c r="G819" s="119">
        <v>1.7999999999999999E-2</v>
      </c>
      <c r="H819" s="120">
        <v>0.1</v>
      </c>
      <c r="I819" s="96">
        <f>IFERROR(VLOOKUP(D819,MATERIALES!A:D,4,FALSE()),0)</f>
        <v>32620.38</v>
      </c>
      <c r="J819" s="31">
        <f t="shared" si="321"/>
        <v>645.88352400000008</v>
      </c>
      <c r="K819" s="32" t="str">
        <f t="shared" si="309"/>
        <v>PTO-0403|MAT</v>
      </c>
      <c r="L819" s="32">
        <f>COUNTIFS($K$2:K819,K819)</f>
        <v>5</v>
      </c>
      <c r="M819" s="32" t="str">
        <f t="shared" si="311"/>
        <v>PTO-0403|MAT|5</v>
      </c>
      <c r="N819" s="121">
        <f>IFERROR(VLOOKUP(A819,PARTIDAS!A:F,6,FALSE()),0)</f>
        <v>15</v>
      </c>
      <c r="O819" s="123">
        <f t="shared" si="312"/>
        <v>0</v>
      </c>
      <c r="P819" s="123">
        <f>+_xlfn.XLOOKUP(A819,PPTO_GENERADOR!Q:Q,PPTO_GENERADOR!E:E,"-",0)</f>
        <v>1008</v>
      </c>
      <c r="Q819" s="123">
        <f t="shared" si="313"/>
        <v>0</v>
      </c>
      <c r="R819" s="125">
        <f>+_xlfn.XLOOKUP(A819,PPTO_GENERADOR!$Q:$Q,PPTO_GENERADOR!A:A,"-",0)</f>
        <v>4.03</v>
      </c>
    </row>
    <row r="820" spans="1:18" ht="14.25" customHeight="1" x14ac:dyDescent="0.35">
      <c r="A820" s="105" t="s">
        <v>111</v>
      </c>
      <c r="B820" s="105" t="s">
        <v>1981</v>
      </c>
      <c r="C820" s="105" t="s">
        <v>1982</v>
      </c>
      <c r="D820" s="105" t="s">
        <v>559</v>
      </c>
      <c r="E820" s="95" t="str">
        <f>IFERROR(VLOOKUP(D820,MATERIALES!A:B,2,FALSE()),"?")</f>
        <v>CONSUMIBLES (varios)</v>
      </c>
      <c r="F820" s="129" t="str">
        <f>IFERROR(VLOOKUP(D820,MATERIALES!A:C,3,FALSE()),"?")</f>
        <v>gl</v>
      </c>
      <c r="G820" s="119">
        <v>0.01</v>
      </c>
      <c r="H820" s="120">
        <v>0</v>
      </c>
      <c r="I820" s="96">
        <f>IFERROR(VLOOKUP(D820,MATERIALES!A:D,4,FALSE()),0)</f>
        <v>1</v>
      </c>
      <c r="J820" s="31">
        <f t="shared" si="321"/>
        <v>0.01</v>
      </c>
      <c r="K820" s="32" t="str">
        <f t="shared" si="309"/>
        <v>PTO-0403|MAT</v>
      </c>
      <c r="L820" s="32">
        <f>COUNTIFS($K$2:K820,K820)</f>
        <v>6</v>
      </c>
      <c r="M820" s="32" t="str">
        <f t="shared" si="311"/>
        <v>PTO-0403|MAT|6</v>
      </c>
      <c r="N820" s="121">
        <f>IFERROR(VLOOKUP(A820,PARTIDAS!A:F,6,FALSE()),0)</f>
        <v>15</v>
      </c>
      <c r="O820" s="123">
        <f t="shared" si="312"/>
        <v>0</v>
      </c>
      <c r="P820" s="123">
        <f>+_xlfn.XLOOKUP(A820,PPTO_GENERADOR!Q:Q,PPTO_GENERADOR!E:E,"-",0)</f>
        <v>1008</v>
      </c>
      <c r="Q820" s="123">
        <f t="shared" si="313"/>
        <v>0</v>
      </c>
      <c r="R820" s="125">
        <f>+_xlfn.XLOOKUP(A820,PPTO_GENERADOR!$Q:$Q,PPTO_GENERADOR!A:A,"-",0)</f>
        <v>4.03</v>
      </c>
    </row>
    <row r="821" spans="1:18" ht="14.25" customHeight="1" x14ac:dyDescent="0.35">
      <c r="A821" s="105" t="s">
        <v>111</v>
      </c>
      <c r="B821" s="105" t="s">
        <v>1979</v>
      </c>
      <c r="C821" s="105" t="s">
        <v>1980</v>
      </c>
      <c r="D821" s="105" t="s">
        <v>1292</v>
      </c>
      <c r="E821" s="95" t="str">
        <f>IFERROR(VLOOKUP(D821,MANO_DE_OBRA!A:B,2,FALSE()),"?")</f>
        <v>ESPECIALIZADO</v>
      </c>
      <c r="F821" s="129" t="s">
        <v>2042</v>
      </c>
      <c r="G821" s="119">
        <v>1</v>
      </c>
      <c r="H821" s="120">
        <v>0</v>
      </c>
      <c r="I821" s="96">
        <f>IFERROR(VLOOKUP(D821,MANO_DE_OBRA!A:C,3,FALSE()),0)</f>
        <v>94177.137883538904</v>
      </c>
      <c r="J821" s="31">
        <f t="shared" ref="J821:J825" si="322">G821*I821</f>
        <v>94177.137883538904</v>
      </c>
      <c r="K821" s="32" t="str">
        <f t="shared" ref="K821:K831" si="323">A821&amp;"|"&amp;B821</f>
        <v>PTO-0403|MO</v>
      </c>
      <c r="L821" s="32">
        <f>COUNTIFS($K$2:K821,K821)</f>
        <v>1</v>
      </c>
      <c r="M821" s="32" t="str">
        <f t="shared" si="311"/>
        <v>PTO-0403|MO|1</v>
      </c>
      <c r="N821" s="121">
        <f>IFERROR(VLOOKUP(A821,PARTIDAS!A:F,6,FALSE()),0)</f>
        <v>15</v>
      </c>
      <c r="O821" s="123">
        <f t="shared" si="312"/>
        <v>6.6666666666666666E-2</v>
      </c>
      <c r="P821" s="123">
        <f>+_xlfn.XLOOKUP(A821,PPTO_GENERADOR!Q:Q,PPTO_GENERADOR!E:E,"-",0)</f>
        <v>1008</v>
      </c>
      <c r="Q821" s="123">
        <f t="shared" si="313"/>
        <v>67.2</v>
      </c>
      <c r="R821" s="125">
        <f>+_xlfn.XLOOKUP(A821,PPTO_GENERADOR!$Q:$Q,PPTO_GENERADOR!A:A,"-",0)</f>
        <v>4.03</v>
      </c>
    </row>
    <row r="822" spans="1:18" ht="14.25" customHeight="1" x14ac:dyDescent="0.35">
      <c r="A822" s="105" t="s">
        <v>111</v>
      </c>
      <c r="B822" s="105" t="s">
        <v>1979</v>
      </c>
      <c r="C822" s="105" t="s">
        <v>1980</v>
      </c>
      <c r="D822" s="105" t="s">
        <v>2038</v>
      </c>
      <c r="E822" s="95" t="str">
        <f>IFERROR(VLOOKUP(D822,MANO_DE_OBRA!A:B,2,FALSE()),"?")</f>
        <v>AYUDANTE</v>
      </c>
      <c r="F822" s="129" t="s">
        <v>2042</v>
      </c>
      <c r="G822" s="119">
        <v>1</v>
      </c>
      <c r="H822" s="120">
        <v>0</v>
      </c>
      <c r="I822" s="96">
        <f>IFERROR(VLOOKUP(D822,MANO_DE_OBRA!A:C,3,FALSE()),0)</f>
        <v>67240.498860267602</v>
      </c>
      <c r="J822" s="31">
        <f t="shared" si="322"/>
        <v>67240.498860267602</v>
      </c>
      <c r="K822" s="32" t="str">
        <f t="shared" si="323"/>
        <v>PTO-0403|MO</v>
      </c>
      <c r="L822" s="32">
        <f>COUNTIFS($K$2:K822,K822)</f>
        <v>2</v>
      </c>
      <c r="M822" s="32" t="str">
        <f t="shared" si="311"/>
        <v>PTO-0403|MO|2</v>
      </c>
      <c r="N822" s="121">
        <f>IFERROR(VLOOKUP(A822,PARTIDAS!A:F,6,FALSE()),0)</f>
        <v>15</v>
      </c>
      <c r="O822" s="123">
        <f t="shared" si="312"/>
        <v>6.6666666666666666E-2</v>
      </c>
      <c r="P822" s="123">
        <f>+_xlfn.XLOOKUP(A822,PPTO_GENERADOR!Q:Q,PPTO_GENERADOR!E:E,"-",0)</f>
        <v>1008</v>
      </c>
      <c r="Q822" s="123">
        <f t="shared" si="313"/>
        <v>67.2</v>
      </c>
      <c r="R822" s="125">
        <f>+_xlfn.XLOOKUP(A822,PPTO_GENERADOR!$Q:$Q,PPTO_GENERADOR!A:A,"-",0)</f>
        <v>4.03</v>
      </c>
    </row>
    <row r="823" spans="1:18" ht="14.25" customHeight="1" x14ac:dyDescent="0.35">
      <c r="A823" s="105" t="s">
        <v>111</v>
      </c>
      <c r="B823" s="105" t="s">
        <v>1983</v>
      </c>
      <c r="C823" s="105"/>
      <c r="D823" s="105" t="s">
        <v>1319</v>
      </c>
      <c r="E823" s="95" t="str">
        <f>IFERROR(VLOOKUP(D823,EQUIPOS!A:B,2,FALSE()),"?")</f>
        <v>EQUIPO DE ALBAÑILERIA, carpetas, ladrillo</v>
      </c>
      <c r="F823" s="129"/>
      <c r="G823" s="119">
        <v>1</v>
      </c>
      <c r="H823" s="120">
        <v>0</v>
      </c>
      <c r="I823" s="96">
        <f>IFERROR(VLOOKUP(D823,EQUIPOS!A:F,6,FALSE()),0)</f>
        <v>2485.8709964593982</v>
      </c>
      <c r="J823" s="31">
        <f t="shared" si="322"/>
        <v>2485.8709964593982</v>
      </c>
      <c r="K823" s="32" t="str">
        <f t="shared" si="323"/>
        <v>PTO-0403|EQ</v>
      </c>
      <c r="L823" s="32">
        <f>COUNTIFS($K$2:K823,K823)</f>
        <v>1</v>
      </c>
      <c r="M823" s="32" t="str">
        <f t="shared" si="311"/>
        <v>PTO-0403|EQ|1</v>
      </c>
      <c r="N823" s="121">
        <f>IFERROR(VLOOKUP(A823,PARTIDAS!A:F,6,FALSE()),0)</f>
        <v>15</v>
      </c>
      <c r="O823" s="123">
        <f t="shared" si="312"/>
        <v>0</v>
      </c>
      <c r="P823" s="123">
        <f>+_xlfn.XLOOKUP(A823,PPTO_GENERADOR!Q:Q,PPTO_GENERADOR!E:E,"-",0)</f>
        <v>1008</v>
      </c>
      <c r="Q823" s="123">
        <f t="shared" si="313"/>
        <v>0</v>
      </c>
      <c r="R823" s="125">
        <f>+_xlfn.XLOOKUP(A823,PPTO_GENERADOR!$Q:$Q,PPTO_GENERADOR!A:A,"-",0)</f>
        <v>4.03</v>
      </c>
    </row>
    <row r="824" spans="1:18" ht="14.25" customHeight="1" x14ac:dyDescent="0.35">
      <c r="A824" s="105" t="s">
        <v>111</v>
      </c>
      <c r="B824" s="105" t="s">
        <v>1983</v>
      </c>
      <c r="C824" s="105"/>
      <c r="D824" s="105" t="s">
        <v>1313</v>
      </c>
      <c r="E824" s="95" t="str">
        <f>IFERROR(VLOOKUP(D824,EQUIPOS!A:B,2,FALSE()),"?")</f>
        <v>ANDAMIO TUBULAR DE UNO A TRES CUERPOS</v>
      </c>
      <c r="F824" s="129"/>
      <c r="G824" s="119">
        <v>0.5</v>
      </c>
      <c r="H824" s="120">
        <v>0</v>
      </c>
      <c r="I824" s="96">
        <f>IFERROR(VLOOKUP(D824,EQUIPOS!A:F,6,FALSE()),0)</f>
        <v>620.81078197718341</v>
      </c>
      <c r="J824" s="31">
        <f t="shared" si="322"/>
        <v>310.40539098859171</v>
      </c>
      <c r="K824" s="32" t="str">
        <f t="shared" si="323"/>
        <v>PTO-0403|EQ</v>
      </c>
      <c r="L824" s="32">
        <f>COUNTIFS($K$2:K824,K824)</f>
        <v>2</v>
      </c>
      <c r="M824" s="32" t="str">
        <f t="shared" si="311"/>
        <v>PTO-0403|EQ|2</v>
      </c>
      <c r="N824" s="121">
        <f>IFERROR(VLOOKUP(A824,PARTIDAS!A:F,6,FALSE()),0)</f>
        <v>15</v>
      </c>
      <c r="O824" s="123">
        <f t="shared" si="312"/>
        <v>0</v>
      </c>
      <c r="P824" s="123">
        <f>+_xlfn.XLOOKUP(A824,PPTO_GENERADOR!Q:Q,PPTO_GENERADOR!E:E,"-",0)</f>
        <v>1008</v>
      </c>
      <c r="Q824" s="123">
        <f t="shared" si="313"/>
        <v>0</v>
      </c>
      <c r="R824" s="125">
        <f>+_xlfn.XLOOKUP(A824,PPTO_GENERADOR!$Q:$Q,PPTO_GENERADOR!A:A,"-",0)</f>
        <v>4.03</v>
      </c>
    </row>
    <row r="825" spans="1:18" ht="14.25" customHeight="1" x14ac:dyDescent="0.35">
      <c r="A825" s="105" t="s">
        <v>111</v>
      </c>
      <c r="B825" s="105" t="s">
        <v>1983</v>
      </c>
      <c r="C825" s="105"/>
      <c r="D825" s="105" t="s">
        <v>1507</v>
      </c>
      <c r="E825" s="95" t="str">
        <f>IFERROR(VLOOKUP(D825,EQUIPOS!A:B,2,FALSE()),"?")</f>
        <v>Hormigonera De 150 Litros 1hp Con Rueda Maciza</v>
      </c>
      <c r="F825" s="129"/>
      <c r="G825" s="119">
        <v>1</v>
      </c>
      <c r="H825" s="120">
        <v>0</v>
      </c>
      <c r="I825" s="96">
        <f>IFERROR(VLOOKUP(D825,EQUIPOS!A:F,6,FALSE()),0)</f>
        <v>1040.4314486705237</v>
      </c>
      <c r="J825" s="31">
        <f t="shared" si="322"/>
        <v>1040.4314486705237</v>
      </c>
      <c r="K825" s="32" t="str">
        <f t="shared" si="323"/>
        <v>PTO-0403|EQ</v>
      </c>
      <c r="L825" s="32">
        <f>COUNTIFS($K$2:K825,K825)</f>
        <v>3</v>
      </c>
      <c r="M825" s="32" t="str">
        <f t="shared" si="311"/>
        <v>PTO-0403|EQ|3</v>
      </c>
      <c r="N825" s="121">
        <f>IFERROR(VLOOKUP(A825,PARTIDAS!A:F,6,FALSE()),0)</f>
        <v>15</v>
      </c>
      <c r="O825" s="123">
        <f t="shared" si="312"/>
        <v>0</v>
      </c>
      <c r="P825" s="123">
        <f>+_xlfn.XLOOKUP(A825,PPTO_GENERADOR!Q:Q,PPTO_GENERADOR!E:E,"-",0)</f>
        <v>1008</v>
      </c>
      <c r="Q825" s="123">
        <f t="shared" si="313"/>
        <v>0</v>
      </c>
      <c r="R825" s="125">
        <f>+_xlfn.XLOOKUP(A825,PPTO_GENERADOR!$Q:$Q,PPTO_GENERADOR!A:A,"-",0)</f>
        <v>4.03</v>
      </c>
    </row>
    <row r="826" spans="1:18" ht="14.25" customHeight="1" x14ac:dyDescent="0.35">
      <c r="A826" s="105" t="s">
        <v>114</v>
      </c>
      <c r="B826" s="105" t="s">
        <v>1981</v>
      </c>
      <c r="C826" s="105" t="s">
        <v>1982</v>
      </c>
      <c r="D826" s="105" t="s">
        <v>570</v>
      </c>
      <c r="E826" s="95" t="str">
        <f>IFERROR(VLOOKUP(D826,MATERIALES!A:B,2,FALSE()),"?")</f>
        <v>Ladrillo hueco ceramico 12x19x33 - Portante</v>
      </c>
      <c r="F826" s="129">
        <f>IFERROR(VLOOKUP(D826,MATERIALES!A:C,3,FALSE()),"?")</f>
        <v>0</v>
      </c>
      <c r="G826" s="119">
        <v>5</v>
      </c>
      <c r="H826" s="120">
        <v>0.05</v>
      </c>
      <c r="I826" s="96">
        <f>IFERROR(VLOOKUP(D826,MATERIALES!A:D,4,FALSE()),0)</f>
        <v>977.76</v>
      </c>
      <c r="J826" s="31">
        <f t="shared" ref="J826:J831" si="324">G826*I826*(1+H826)</f>
        <v>5133.2400000000007</v>
      </c>
      <c r="K826" s="32" t="str">
        <f t="shared" si="323"/>
        <v>PTO-0404|MAT</v>
      </c>
      <c r="L826" s="32">
        <f>COUNTIFS($K$2:K826,K826)</f>
        <v>1</v>
      </c>
      <c r="M826" s="32" t="str">
        <f t="shared" si="311"/>
        <v>PTO-0404|MAT|1</v>
      </c>
      <c r="N826" s="121">
        <f>IFERROR(VLOOKUP(A826,PARTIDAS!A:F,6,FALSE()),0)</f>
        <v>15</v>
      </c>
      <c r="O826" s="123">
        <f t="shared" si="312"/>
        <v>0</v>
      </c>
      <c r="P826" s="123">
        <f>+_xlfn.XLOOKUP(A826,PPTO_GENERADOR!Q:Q,PPTO_GENERADOR!E:E,"-",0)</f>
        <v>199</v>
      </c>
      <c r="Q826" s="123">
        <f t="shared" si="313"/>
        <v>0</v>
      </c>
      <c r="R826" s="125">
        <f>+_xlfn.XLOOKUP(A826,PPTO_GENERADOR!$Q:$Q,PPTO_GENERADOR!A:A,"-",0)</f>
        <v>4.04</v>
      </c>
    </row>
    <row r="827" spans="1:18" ht="14.25" customHeight="1" x14ac:dyDescent="0.35">
      <c r="A827" s="105" t="s">
        <v>114</v>
      </c>
      <c r="B827" s="105" t="s">
        <v>1981</v>
      </c>
      <c r="C827" s="105" t="s">
        <v>1982</v>
      </c>
      <c r="D827" s="105" t="s">
        <v>533</v>
      </c>
      <c r="E827" s="95" t="str">
        <f>IFERROR(VLOOKUP(D827,MATERIALES!A:B,2,FALSE()),"?")</f>
        <v>Barra de Acero Aleteado - 6mm x 12m</v>
      </c>
      <c r="F827" s="129">
        <f>IFERROR(VLOOKUP(D827,MATERIALES!A:C,3,FALSE()),"?")</f>
        <v>0</v>
      </c>
      <c r="G827" s="119">
        <v>5.67E-2</v>
      </c>
      <c r="H827" s="120">
        <v>0.1</v>
      </c>
      <c r="I827" s="96">
        <f>IFERROR(VLOOKUP(D827,MATERIALES!A:D,4,FALSE()),0)</f>
        <v>3620.13</v>
      </c>
      <c r="J827" s="31">
        <f t="shared" si="324"/>
        <v>225.78750810000003</v>
      </c>
      <c r="K827" s="32" t="str">
        <f t="shared" si="323"/>
        <v>PTO-0404|MAT</v>
      </c>
      <c r="L827" s="32">
        <f>COUNTIFS($K$2:K827,K827)</f>
        <v>2</v>
      </c>
      <c r="M827" s="32" t="str">
        <f t="shared" ref="M827:M831" si="325">K827&amp;"|"&amp;L827</f>
        <v>PTO-0404|MAT|2</v>
      </c>
      <c r="N827" s="121">
        <f>IFERROR(VLOOKUP(A827,PARTIDAS!A:F,6,FALSE()),0)</f>
        <v>15</v>
      </c>
      <c r="O827" s="123">
        <f t="shared" si="312"/>
        <v>0</v>
      </c>
      <c r="P827" s="123">
        <f>+_xlfn.XLOOKUP(A827,PPTO_GENERADOR!Q:Q,PPTO_GENERADOR!E:E,"-",0)</f>
        <v>199</v>
      </c>
      <c r="Q827" s="123">
        <f t="shared" si="313"/>
        <v>0</v>
      </c>
      <c r="R827" s="125">
        <f>+_xlfn.XLOOKUP(A827,PPTO_GENERADOR!$Q:$Q,PPTO_GENERADOR!A:A,"-",0)</f>
        <v>4.04</v>
      </c>
    </row>
    <row r="828" spans="1:18" ht="14.25" customHeight="1" x14ac:dyDescent="0.35">
      <c r="A828" s="105" t="s">
        <v>114</v>
      </c>
      <c r="B828" s="105" t="s">
        <v>1981</v>
      </c>
      <c r="C828" s="105" t="s">
        <v>1982</v>
      </c>
      <c r="D828" s="105" t="s">
        <v>542</v>
      </c>
      <c r="E828" s="95" t="str">
        <f>IFERROR(VLOOKUP(D828,MATERIALES!A:B,2,FALSE()),"?")</f>
        <v>Cal Comun x 25kg</v>
      </c>
      <c r="F828" s="129">
        <f>IFERROR(VLOOKUP(D828,MATERIALES!A:C,3,FALSE()),"?")</f>
        <v>0</v>
      </c>
      <c r="G828" s="119">
        <v>0.05</v>
      </c>
      <c r="H828" s="120">
        <v>0.1</v>
      </c>
      <c r="I828" s="96">
        <f>IFERROR(VLOOKUP(D828,MATERIALES!A:D,4,FALSE()),0)</f>
        <v>3927.28</v>
      </c>
      <c r="J828" s="31">
        <f t="shared" si="324"/>
        <v>216.00040000000004</v>
      </c>
      <c r="K828" s="32" t="str">
        <f t="shared" si="323"/>
        <v>PTO-0404|MAT</v>
      </c>
      <c r="L828" s="32">
        <f>COUNTIFS($K$2:K828,K828)</f>
        <v>3</v>
      </c>
      <c r="M828" s="32" t="str">
        <f t="shared" si="325"/>
        <v>PTO-0404|MAT|3</v>
      </c>
      <c r="N828" s="121">
        <f>IFERROR(VLOOKUP(A828,PARTIDAS!A:F,6,FALSE()),0)</f>
        <v>15</v>
      </c>
      <c r="O828" s="123">
        <f t="shared" si="312"/>
        <v>0</v>
      </c>
      <c r="P828" s="123">
        <f>+_xlfn.XLOOKUP(A828,PPTO_GENERADOR!Q:Q,PPTO_GENERADOR!E:E,"-",0)</f>
        <v>199</v>
      </c>
      <c r="Q828" s="123">
        <f t="shared" si="313"/>
        <v>0</v>
      </c>
      <c r="R828" s="125">
        <f>+_xlfn.XLOOKUP(A828,PPTO_GENERADOR!$Q:$Q,PPTO_GENERADOR!A:A,"-",0)</f>
        <v>4.04</v>
      </c>
    </row>
    <row r="829" spans="1:18" ht="14.25" customHeight="1" x14ac:dyDescent="0.35">
      <c r="A829" s="105" t="s">
        <v>114</v>
      </c>
      <c r="B829" s="105" t="s">
        <v>1981</v>
      </c>
      <c r="C829" s="105" t="s">
        <v>1982</v>
      </c>
      <c r="D829" s="105" t="s">
        <v>540</v>
      </c>
      <c r="E829" s="95" t="str">
        <f>IFERROR(VLOOKUP(D829,MATERIALES!A:B,2,FALSE()),"?")</f>
        <v>Cemento Portland x 50kg</v>
      </c>
      <c r="F829" s="129">
        <f>IFERROR(VLOOKUP(D829,MATERIALES!A:C,3,FALSE()),"?")</f>
        <v>0</v>
      </c>
      <c r="G829" s="119">
        <v>2.5000000000000001E-2</v>
      </c>
      <c r="H829" s="120">
        <v>0.1</v>
      </c>
      <c r="I829" s="96">
        <f>IFERROR(VLOOKUP(D829,MATERIALES!A:D,4,FALSE()),0)</f>
        <v>7891.74</v>
      </c>
      <c r="J829" s="31">
        <f t="shared" si="324"/>
        <v>217.02285000000001</v>
      </c>
      <c r="K829" s="32" t="str">
        <f t="shared" si="323"/>
        <v>PTO-0404|MAT</v>
      </c>
      <c r="L829" s="32">
        <f>COUNTIFS($K$2:K829,K829)</f>
        <v>4</v>
      </c>
      <c r="M829" s="32" t="str">
        <f t="shared" si="325"/>
        <v>PTO-0404|MAT|4</v>
      </c>
      <c r="N829" s="121">
        <f>IFERROR(VLOOKUP(A829,PARTIDAS!A:F,6,FALSE()),0)</f>
        <v>15</v>
      </c>
      <c r="O829" s="123">
        <f t="shared" si="312"/>
        <v>0</v>
      </c>
      <c r="P829" s="123">
        <f>+_xlfn.XLOOKUP(A829,PPTO_GENERADOR!Q:Q,PPTO_GENERADOR!E:E,"-",0)</f>
        <v>199</v>
      </c>
      <c r="Q829" s="123">
        <f t="shared" si="313"/>
        <v>0</v>
      </c>
      <c r="R829" s="125">
        <f>+_xlfn.XLOOKUP(A829,PPTO_GENERADOR!$Q:$Q,PPTO_GENERADOR!A:A,"-",0)</f>
        <v>4.04</v>
      </c>
    </row>
    <row r="830" spans="1:18" ht="14.25" customHeight="1" x14ac:dyDescent="0.35">
      <c r="A830" s="105" t="s">
        <v>114</v>
      </c>
      <c r="B830" s="105" t="s">
        <v>1981</v>
      </c>
      <c r="C830" s="105" t="s">
        <v>1982</v>
      </c>
      <c r="D830" s="105" t="s">
        <v>538</v>
      </c>
      <c r="E830" s="95" t="str">
        <f>IFERROR(VLOOKUP(D830,MATERIALES!A:B,2,FALSE()),"?")</f>
        <v>ARENA LAVADA</v>
      </c>
      <c r="F830" s="129">
        <f>IFERROR(VLOOKUP(D830,MATERIALES!A:C,3,FALSE()),"?")</f>
        <v>0</v>
      </c>
      <c r="G830" s="119">
        <v>6.0000000000000001E-3</v>
      </c>
      <c r="H830" s="120">
        <v>0.1</v>
      </c>
      <c r="I830" s="96">
        <f>IFERROR(VLOOKUP(D830,MATERIALES!A:D,4,FALSE()),0)</f>
        <v>32620.38</v>
      </c>
      <c r="J830" s="31">
        <f t="shared" si="324"/>
        <v>215.29450800000004</v>
      </c>
      <c r="K830" s="32" t="str">
        <f t="shared" si="323"/>
        <v>PTO-0404|MAT</v>
      </c>
      <c r="L830" s="32">
        <f>COUNTIFS($K$2:K830,K830)</f>
        <v>5</v>
      </c>
      <c r="M830" s="32" t="str">
        <f t="shared" si="325"/>
        <v>PTO-0404|MAT|5</v>
      </c>
      <c r="N830" s="121">
        <f>IFERROR(VLOOKUP(A830,PARTIDAS!A:F,6,FALSE()),0)</f>
        <v>15</v>
      </c>
      <c r="O830" s="123">
        <f t="shared" si="312"/>
        <v>0</v>
      </c>
      <c r="P830" s="123">
        <f>+_xlfn.XLOOKUP(A830,PPTO_GENERADOR!Q:Q,PPTO_GENERADOR!E:E,"-",0)</f>
        <v>199</v>
      </c>
      <c r="Q830" s="123">
        <f t="shared" si="313"/>
        <v>0</v>
      </c>
      <c r="R830" s="125">
        <f>+_xlfn.XLOOKUP(A830,PPTO_GENERADOR!$Q:$Q,PPTO_GENERADOR!A:A,"-",0)</f>
        <v>4.04</v>
      </c>
    </row>
    <row r="831" spans="1:18" ht="14.25" customHeight="1" x14ac:dyDescent="0.35">
      <c r="A831" s="105" t="s">
        <v>114</v>
      </c>
      <c r="B831" s="105" t="s">
        <v>1981</v>
      </c>
      <c r="C831" s="105" t="s">
        <v>1982</v>
      </c>
      <c r="D831" s="105" t="s">
        <v>559</v>
      </c>
      <c r="E831" s="95" t="str">
        <f>IFERROR(VLOOKUP(D831,MATERIALES!A:B,2,FALSE()),"?")</f>
        <v>CONSUMIBLES (varios)</v>
      </c>
      <c r="F831" s="129" t="str">
        <f>IFERROR(VLOOKUP(D831,MATERIALES!A:C,3,FALSE()),"?")</f>
        <v>gl</v>
      </c>
      <c r="G831" s="119">
        <v>61.874299999999998</v>
      </c>
      <c r="H831" s="120">
        <v>0</v>
      </c>
      <c r="I831" s="96">
        <f>IFERROR(VLOOKUP(D831,MATERIALES!A:D,4,FALSE()),0)</f>
        <v>1</v>
      </c>
      <c r="J831" s="31">
        <f t="shared" si="324"/>
        <v>61.874299999999998</v>
      </c>
      <c r="K831" s="32" t="str">
        <f t="shared" si="323"/>
        <v>PTO-0404|MAT</v>
      </c>
      <c r="L831" s="32">
        <f>COUNTIFS($K$2:K831,K831)</f>
        <v>6</v>
      </c>
      <c r="M831" s="32" t="str">
        <f t="shared" si="325"/>
        <v>PTO-0404|MAT|6</v>
      </c>
      <c r="N831" s="121">
        <f>IFERROR(VLOOKUP(A831,PARTIDAS!A:F,6,FALSE()),0)</f>
        <v>15</v>
      </c>
      <c r="O831" s="123">
        <f t="shared" si="312"/>
        <v>0</v>
      </c>
      <c r="P831" s="123">
        <f>+_xlfn.XLOOKUP(A831,PPTO_GENERADOR!Q:Q,PPTO_GENERADOR!E:E,"-",0)</f>
        <v>199</v>
      </c>
      <c r="Q831" s="123">
        <f t="shared" si="313"/>
        <v>0</v>
      </c>
      <c r="R831" s="125">
        <f>+_xlfn.XLOOKUP(A831,PPTO_GENERADOR!$Q:$Q,PPTO_GENERADOR!A:A,"-",0)</f>
        <v>4.04</v>
      </c>
    </row>
    <row r="832" spans="1:18" ht="14.25" customHeight="1" x14ac:dyDescent="0.35">
      <c r="A832" s="105" t="s">
        <v>114</v>
      </c>
      <c r="B832" s="105" t="s">
        <v>1979</v>
      </c>
      <c r="C832" s="105" t="s">
        <v>1980</v>
      </c>
      <c r="D832" s="105" t="s">
        <v>1292</v>
      </c>
      <c r="E832" s="95" t="str">
        <f>IFERROR(VLOOKUP(D832,MANO_DE_OBRA!A:B,2,FALSE()),"?")</f>
        <v>ESPECIALIZADO</v>
      </c>
      <c r="F832" s="129" t="s">
        <v>2042</v>
      </c>
      <c r="G832" s="119">
        <v>0.5</v>
      </c>
      <c r="H832" s="120">
        <v>0</v>
      </c>
      <c r="I832" s="96">
        <f>IFERROR(VLOOKUP(D832,MANO_DE_OBRA!A:C,3,FALSE()),0)</f>
        <v>94177.137883538904</v>
      </c>
      <c r="J832" s="31">
        <f t="shared" ref="J832:J836" si="326">G832*I832</f>
        <v>47088.568941769452</v>
      </c>
      <c r="K832" s="32" t="str">
        <f t="shared" ref="K832:K884" si="327">A832&amp;"|"&amp;B832</f>
        <v>PTO-0404|MO</v>
      </c>
      <c r="L832" s="32">
        <f>COUNTIFS($K$2:K832,K832)</f>
        <v>1</v>
      </c>
      <c r="M832" s="32" t="str">
        <f t="shared" ref="M832:M890" si="328">K832&amp;"|"&amp;L832</f>
        <v>PTO-0404|MO|1</v>
      </c>
      <c r="N832" s="121">
        <f>IFERROR(VLOOKUP(A832,PARTIDAS!A:F,6,FALSE()),0)</f>
        <v>15</v>
      </c>
      <c r="O832" s="123">
        <f t="shared" si="312"/>
        <v>3.3333333333333333E-2</v>
      </c>
      <c r="P832" s="123">
        <f>+_xlfn.XLOOKUP(A832,PPTO_GENERADOR!Q:Q,PPTO_GENERADOR!E:E,"-",0)</f>
        <v>199</v>
      </c>
      <c r="Q832" s="123">
        <f t="shared" si="313"/>
        <v>6.6333333333333329</v>
      </c>
      <c r="R832" s="125">
        <f>+_xlfn.XLOOKUP(A832,PPTO_GENERADOR!$Q:$Q,PPTO_GENERADOR!A:A,"-",0)</f>
        <v>4.04</v>
      </c>
    </row>
    <row r="833" spans="1:18" ht="14.25" customHeight="1" x14ac:dyDescent="0.35">
      <c r="A833" s="105" t="s">
        <v>114</v>
      </c>
      <c r="B833" s="105" t="s">
        <v>1979</v>
      </c>
      <c r="C833" s="105" t="s">
        <v>1980</v>
      </c>
      <c r="D833" s="105" t="s">
        <v>2038</v>
      </c>
      <c r="E833" s="95" t="str">
        <f>IFERROR(VLOOKUP(D833,MANO_DE_OBRA!A:B,2,FALSE()),"?")</f>
        <v>AYUDANTE</v>
      </c>
      <c r="F833" s="129" t="s">
        <v>2042</v>
      </c>
      <c r="G833" s="119">
        <v>0.5</v>
      </c>
      <c r="H833" s="120">
        <v>0</v>
      </c>
      <c r="I833" s="96">
        <f>IFERROR(VLOOKUP(D833,MANO_DE_OBRA!A:C,3,FALSE()),0)</f>
        <v>67240.498860267602</v>
      </c>
      <c r="J833" s="31">
        <f t="shared" si="326"/>
        <v>33620.249430133801</v>
      </c>
      <c r="K833" s="32" t="str">
        <f t="shared" si="327"/>
        <v>PTO-0404|MO</v>
      </c>
      <c r="L833" s="32">
        <f>COUNTIFS($K$2:K833,K833)</f>
        <v>2</v>
      </c>
      <c r="M833" s="32" t="str">
        <f t="shared" si="328"/>
        <v>PTO-0404|MO|2</v>
      </c>
      <c r="N833" s="121">
        <f>IFERROR(VLOOKUP(A833,PARTIDAS!A:F,6,FALSE()),0)</f>
        <v>15</v>
      </c>
      <c r="O833" s="123">
        <f t="shared" si="312"/>
        <v>3.3333333333333333E-2</v>
      </c>
      <c r="P833" s="123">
        <f>+_xlfn.XLOOKUP(A833,PPTO_GENERADOR!Q:Q,PPTO_GENERADOR!E:E,"-",0)</f>
        <v>199</v>
      </c>
      <c r="Q833" s="123">
        <f t="shared" si="313"/>
        <v>6.6333333333333329</v>
      </c>
      <c r="R833" s="125">
        <f>+_xlfn.XLOOKUP(A833,PPTO_GENERADOR!$Q:$Q,PPTO_GENERADOR!A:A,"-",0)</f>
        <v>4.04</v>
      </c>
    </row>
    <row r="834" spans="1:18" ht="14.25" customHeight="1" x14ac:dyDescent="0.35">
      <c r="A834" s="105" t="s">
        <v>114</v>
      </c>
      <c r="B834" s="105" t="s">
        <v>1983</v>
      </c>
      <c r="C834" s="105"/>
      <c r="D834" s="105" t="s">
        <v>1319</v>
      </c>
      <c r="E834" s="95" t="str">
        <f>IFERROR(VLOOKUP(D834,EQUIPOS!A:B,2,FALSE()),"?")</f>
        <v>EQUIPO DE ALBAÑILERIA, carpetas, ladrillo</v>
      </c>
      <c r="F834" s="129"/>
      <c r="G834" s="119">
        <v>1</v>
      </c>
      <c r="H834" s="120">
        <v>0</v>
      </c>
      <c r="I834" s="96">
        <f>IFERROR(VLOOKUP(D834,EQUIPOS!A:F,6,FALSE()),0)</f>
        <v>2485.8709964593982</v>
      </c>
      <c r="J834" s="31">
        <f t="shared" si="326"/>
        <v>2485.8709964593982</v>
      </c>
      <c r="K834" s="32" t="str">
        <f t="shared" si="327"/>
        <v>PTO-0404|EQ</v>
      </c>
      <c r="L834" s="32">
        <f>COUNTIFS($K$2:K834,K834)</f>
        <v>1</v>
      </c>
      <c r="M834" s="32" t="str">
        <f t="shared" si="328"/>
        <v>PTO-0404|EQ|1</v>
      </c>
      <c r="N834" s="121">
        <f>IFERROR(VLOOKUP(A834,PARTIDAS!A:F,6,FALSE()),0)</f>
        <v>15</v>
      </c>
      <c r="O834" s="123">
        <f t="shared" si="312"/>
        <v>0</v>
      </c>
      <c r="P834" s="123">
        <f>+_xlfn.XLOOKUP(A834,PPTO_GENERADOR!Q:Q,PPTO_GENERADOR!E:E,"-",0)</f>
        <v>199</v>
      </c>
      <c r="Q834" s="123">
        <f t="shared" si="313"/>
        <v>0</v>
      </c>
      <c r="R834" s="125">
        <f>+_xlfn.XLOOKUP(A834,PPTO_GENERADOR!$Q:$Q,PPTO_GENERADOR!A:A,"-",0)</f>
        <v>4.04</v>
      </c>
    </row>
    <row r="835" spans="1:18" ht="14.25" customHeight="1" x14ac:dyDescent="0.35">
      <c r="A835" s="105" t="s">
        <v>114</v>
      </c>
      <c r="B835" s="105" t="s">
        <v>1983</v>
      </c>
      <c r="C835" s="105"/>
      <c r="D835" s="105" t="s">
        <v>1313</v>
      </c>
      <c r="E835" s="95" t="str">
        <f>IFERROR(VLOOKUP(D835,EQUIPOS!A:B,2,FALSE()),"?")</f>
        <v>ANDAMIO TUBULAR DE UNO A TRES CUERPOS</v>
      </c>
      <c r="F835" s="129"/>
      <c r="G835" s="119">
        <v>0.5</v>
      </c>
      <c r="H835" s="120">
        <v>0</v>
      </c>
      <c r="I835" s="96">
        <f>IFERROR(VLOOKUP(D835,EQUIPOS!A:F,6,FALSE()),0)</f>
        <v>620.81078197718341</v>
      </c>
      <c r="J835" s="31">
        <f t="shared" si="326"/>
        <v>310.40539098859171</v>
      </c>
      <c r="K835" s="32" t="str">
        <f t="shared" si="327"/>
        <v>PTO-0404|EQ</v>
      </c>
      <c r="L835" s="32">
        <f>COUNTIFS($K$2:K835,K835)</f>
        <v>2</v>
      </c>
      <c r="M835" s="32" t="str">
        <f t="shared" si="328"/>
        <v>PTO-0404|EQ|2</v>
      </c>
      <c r="N835" s="121">
        <f>IFERROR(VLOOKUP(A835,PARTIDAS!A:F,6,FALSE()),0)</f>
        <v>15</v>
      </c>
      <c r="O835" s="123">
        <f t="shared" ref="O835:O898" si="329">+IF(C835="ALB",G835/N835,0)</f>
        <v>0</v>
      </c>
      <c r="P835" s="123">
        <f>+_xlfn.XLOOKUP(A835,PPTO_GENERADOR!Q:Q,PPTO_GENERADOR!E:E,"-",0)</f>
        <v>199</v>
      </c>
      <c r="Q835" s="123">
        <f t="shared" ref="Q835:Q898" si="330">IFERROR(P835*O835,0)</f>
        <v>0</v>
      </c>
      <c r="R835" s="125">
        <f>+_xlfn.XLOOKUP(A835,PPTO_GENERADOR!$Q:$Q,PPTO_GENERADOR!A:A,"-",0)</f>
        <v>4.04</v>
      </c>
    </row>
    <row r="836" spans="1:18" ht="14.25" customHeight="1" x14ac:dyDescent="0.35">
      <c r="A836" s="105" t="s">
        <v>114</v>
      </c>
      <c r="B836" s="105" t="s">
        <v>1983</v>
      </c>
      <c r="C836" s="105"/>
      <c r="D836" s="105" t="s">
        <v>1507</v>
      </c>
      <c r="E836" s="95" t="str">
        <f>IFERROR(VLOOKUP(D836,EQUIPOS!A:B,2,FALSE()),"?")</f>
        <v>Hormigonera De 150 Litros 1hp Con Rueda Maciza</v>
      </c>
      <c r="F836" s="129"/>
      <c r="G836" s="119">
        <v>1</v>
      </c>
      <c r="H836" s="120">
        <v>0</v>
      </c>
      <c r="I836" s="96">
        <f>IFERROR(VLOOKUP(D836,EQUIPOS!A:F,6,FALSE()),0)</f>
        <v>1040.4314486705237</v>
      </c>
      <c r="J836" s="31">
        <f t="shared" si="326"/>
        <v>1040.4314486705237</v>
      </c>
      <c r="K836" s="32" t="str">
        <f t="shared" si="327"/>
        <v>PTO-0404|EQ</v>
      </c>
      <c r="L836" s="32">
        <f>COUNTIFS($K$2:K836,K836)</f>
        <v>3</v>
      </c>
      <c r="M836" s="32" t="str">
        <f t="shared" si="328"/>
        <v>PTO-0404|EQ|3</v>
      </c>
      <c r="N836" s="121">
        <f>IFERROR(VLOOKUP(A836,PARTIDAS!A:F,6,FALSE()),0)</f>
        <v>15</v>
      </c>
      <c r="O836" s="123">
        <f t="shared" si="329"/>
        <v>0</v>
      </c>
      <c r="P836" s="123">
        <f>+_xlfn.XLOOKUP(A836,PPTO_GENERADOR!Q:Q,PPTO_GENERADOR!E:E,"-",0)</f>
        <v>199</v>
      </c>
      <c r="Q836" s="123">
        <f t="shared" si="330"/>
        <v>0</v>
      </c>
      <c r="R836" s="125">
        <f>+_xlfn.XLOOKUP(A836,PPTO_GENERADOR!$Q:$Q,PPTO_GENERADOR!A:A,"-",0)</f>
        <v>4.04</v>
      </c>
    </row>
    <row r="837" spans="1:18" ht="14.25" customHeight="1" x14ac:dyDescent="0.35">
      <c r="A837" s="105" t="s">
        <v>116</v>
      </c>
      <c r="B837" s="105" t="s">
        <v>1981</v>
      </c>
      <c r="C837" s="105" t="s">
        <v>1982</v>
      </c>
      <c r="D837" s="105" t="s">
        <v>924</v>
      </c>
      <c r="E837" s="95" t="str">
        <f>IFERROR(VLOOKUP(D837,MATERIALES!A:B,2,FALSE()),"?")</f>
        <v>Solera 70mm x 2.60m</v>
      </c>
      <c r="F837" s="129" t="str">
        <f>IFERROR(VLOOKUP(D837,MATERIALES!A:C,3,FALSE()),"?")</f>
        <v>u</v>
      </c>
      <c r="G837" s="119">
        <v>0.46150000000000002</v>
      </c>
      <c r="H837" s="120">
        <v>0.1</v>
      </c>
      <c r="I837" s="96">
        <f>IFERROR(VLOOKUP(D837,MATERIALES!A:D,4,FALSE()),0)</f>
        <v>3084.79</v>
      </c>
      <c r="J837" s="31">
        <f t="shared" ref="J837:J846" si="331">G837*I837*(1+H837)</f>
        <v>1565.9936435000002</v>
      </c>
      <c r="K837" s="32" t="str">
        <f t="shared" si="327"/>
        <v>PTO-0405|MAT</v>
      </c>
      <c r="L837" s="32">
        <f>COUNTIFS($K$2:K837,K837)</f>
        <v>1</v>
      </c>
      <c r="M837" s="32" t="str">
        <f t="shared" si="328"/>
        <v>PTO-0405|MAT|1</v>
      </c>
      <c r="N837" s="121">
        <f>IFERROR(VLOOKUP(A837,PARTIDAS!A:F,6,FALSE()),0)</f>
        <v>6</v>
      </c>
      <c r="O837" s="123">
        <f t="shared" si="329"/>
        <v>0</v>
      </c>
      <c r="P837" s="123">
        <f>+_xlfn.XLOOKUP(A837,PPTO_GENERADOR!Q:Q,PPTO_GENERADOR!E:E,"-",0)</f>
        <v>34</v>
      </c>
      <c r="Q837" s="123">
        <f t="shared" si="330"/>
        <v>0</v>
      </c>
      <c r="R837" s="125">
        <f>+_xlfn.XLOOKUP(A837,PPTO_GENERADOR!$Q:$Q,PPTO_GENERADOR!A:A,"-",0)</f>
        <v>4.05</v>
      </c>
    </row>
    <row r="838" spans="1:18" ht="14.25" customHeight="1" x14ac:dyDescent="0.35">
      <c r="A838" s="105" t="s">
        <v>116</v>
      </c>
      <c r="B838" s="105" t="s">
        <v>1981</v>
      </c>
      <c r="C838" s="105" t="s">
        <v>1982</v>
      </c>
      <c r="D838" s="105" t="s">
        <v>927</v>
      </c>
      <c r="E838" s="95" t="str">
        <f>IFERROR(VLOOKUP(D838,MATERIALES!A:B,2,FALSE()),"?")</f>
        <v>Montante 69mm x 2.60m</v>
      </c>
      <c r="F838" s="129" t="str">
        <f>IFERROR(VLOOKUP(D838,MATERIALES!A:C,3,FALSE()),"?")</f>
        <v>u</v>
      </c>
      <c r="G838" s="119">
        <v>1.1537999999999999</v>
      </c>
      <c r="H838" s="120">
        <v>0.1</v>
      </c>
      <c r="I838" s="96">
        <f>IFERROR(VLOOKUP(D838,MATERIALES!A:D,4,FALSE()),0)</f>
        <v>3385.62</v>
      </c>
      <c r="J838" s="31">
        <f t="shared" si="331"/>
        <v>4296.9611915999994</v>
      </c>
      <c r="K838" s="32" t="str">
        <f t="shared" si="327"/>
        <v>PTO-0405|MAT</v>
      </c>
      <c r="L838" s="32">
        <f>COUNTIFS($K$2:K838,K838)</f>
        <v>2</v>
      </c>
      <c r="M838" s="32" t="str">
        <f t="shared" si="328"/>
        <v>PTO-0405|MAT|2</v>
      </c>
      <c r="N838" s="121">
        <f>IFERROR(VLOOKUP(A838,PARTIDAS!A:F,6,FALSE()),0)</f>
        <v>6</v>
      </c>
      <c r="O838" s="123">
        <f t="shared" si="329"/>
        <v>0</v>
      </c>
      <c r="P838" s="123">
        <f>+_xlfn.XLOOKUP(A838,PPTO_GENERADOR!Q:Q,PPTO_GENERADOR!E:E,"-",0)</f>
        <v>34</v>
      </c>
      <c r="Q838" s="123">
        <f t="shared" si="330"/>
        <v>0</v>
      </c>
      <c r="R838" s="125">
        <f>+_xlfn.XLOOKUP(A838,PPTO_GENERADOR!$Q:$Q,PPTO_GENERADOR!A:A,"-",0)</f>
        <v>4.05</v>
      </c>
    </row>
    <row r="839" spans="1:18" ht="14.25" customHeight="1" x14ac:dyDescent="0.35">
      <c r="A839" s="105" t="s">
        <v>116</v>
      </c>
      <c r="B839" s="105" t="s">
        <v>1981</v>
      </c>
      <c r="C839" s="105" t="s">
        <v>1982</v>
      </c>
      <c r="D839" s="105" t="s">
        <v>933</v>
      </c>
      <c r="E839" s="95" t="str">
        <f>IFERROR(VLOOKUP(D839,MATERIALES!A:B,2,FALSE()),"?")</f>
        <v>Tornillo T1 - Aguja</v>
      </c>
      <c r="F839" s="129" t="str">
        <f>IFERROR(VLOOKUP(D839,MATERIALES!A:C,3,FALSE()),"?")</f>
        <v>u</v>
      </c>
      <c r="G839" s="119">
        <v>10</v>
      </c>
      <c r="H839" s="120">
        <v>0.05</v>
      </c>
      <c r="I839" s="96">
        <f>IFERROR(VLOOKUP(D839,MATERIALES!A:D,4,FALSE()),0)</f>
        <v>26.153884000000001</v>
      </c>
      <c r="J839" s="31">
        <f t="shared" si="331"/>
        <v>274.61578200000002</v>
      </c>
      <c r="K839" s="32" t="str">
        <f t="shared" si="327"/>
        <v>PTO-0405|MAT</v>
      </c>
      <c r="L839" s="32">
        <f>COUNTIFS($K$2:K839,K839)</f>
        <v>3</v>
      </c>
      <c r="M839" s="32" t="str">
        <f t="shared" si="328"/>
        <v>PTO-0405|MAT|3</v>
      </c>
      <c r="N839" s="121">
        <f>IFERROR(VLOOKUP(A839,PARTIDAS!A:F,6,FALSE()),0)</f>
        <v>6</v>
      </c>
      <c r="O839" s="123">
        <f t="shared" si="329"/>
        <v>0</v>
      </c>
      <c r="P839" s="123">
        <f>+_xlfn.XLOOKUP(A839,PPTO_GENERADOR!Q:Q,PPTO_GENERADOR!E:E,"-",0)</f>
        <v>34</v>
      </c>
      <c r="Q839" s="123">
        <f t="shared" si="330"/>
        <v>0</v>
      </c>
      <c r="R839" s="125">
        <f>+_xlfn.XLOOKUP(A839,PPTO_GENERADOR!$Q:$Q,PPTO_GENERADOR!A:A,"-",0)</f>
        <v>4.05</v>
      </c>
    </row>
    <row r="840" spans="1:18" ht="14.25" customHeight="1" x14ac:dyDescent="0.35">
      <c r="A840" s="105" t="s">
        <v>116</v>
      </c>
      <c r="B840" s="105" t="s">
        <v>1981</v>
      </c>
      <c r="C840" s="105" t="s">
        <v>1982</v>
      </c>
      <c r="D840" s="105" t="s">
        <v>935</v>
      </c>
      <c r="E840" s="95" t="str">
        <f>IFERROR(VLOOKUP(D840,MATERIALES!A:B,2,FALSE()),"?")</f>
        <v>Tornillo T2 - Aguja</v>
      </c>
      <c r="F840" s="129" t="str">
        <f>IFERROR(VLOOKUP(D840,MATERIALES!A:C,3,FALSE()),"?")</f>
        <v>u</v>
      </c>
      <c r="G840" s="119">
        <v>15</v>
      </c>
      <c r="H840" s="120">
        <v>0.05</v>
      </c>
      <c r="I840" s="96">
        <f>IFERROR(VLOOKUP(D840,MATERIALES!A:D,4,FALSE()),0)</f>
        <v>9.1146919999999998</v>
      </c>
      <c r="J840" s="31">
        <f t="shared" si="331"/>
        <v>143.556399</v>
      </c>
      <c r="K840" s="32" t="str">
        <f t="shared" si="327"/>
        <v>PTO-0405|MAT</v>
      </c>
      <c r="L840" s="32">
        <f>COUNTIFS($K$2:K840,K840)</f>
        <v>4</v>
      </c>
      <c r="M840" s="32" t="str">
        <f t="shared" si="328"/>
        <v>PTO-0405|MAT|4</v>
      </c>
      <c r="N840" s="121">
        <f>IFERROR(VLOOKUP(A840,PARTIDAS!A:F,6,FALSE()),0)</f>
        <v>6</v>
      </c>
      <c r="O840" s="123">
        <f t="shared" si="329"/>
        <v>0</v>
      </c>
      <c r="P840" s="123">
        <f>+_xlfn.XLOOKUP(A840,PPTO_GENERADOR!Q:Q,PPTO_GENERADOR!E:E,"-",0)</f>
        <v>34</v>
      </c>
      <c r="Q840" s="123">
        <f t="shared" si="330"/>
        <v>0</v>
      </c>
      <c r="R840" s="125">
        <f>+_xlfn.XLOOKUP(A840,PPTO_GENERADOR!$Q:$Q,PPTO_GENERADOR!A:A,"-",0)</f>
        <v>4.05</v>
      </c>
    </row>
    <row r="841" spans="1:18" ht="14.25" customHeight="1" x14ac:dyDescent="0.35">
      <c r="A841" s="105" t="s">
        <v>116</v>
      </c>
      <c r="B841" s="105" t="s">
        <v>1981</v>
      </c>
      <c r="C841" s="105" t="s">
        <v>1982</v>
      </c>
      <c r="D841" s="105" t="s">
        <v>937</v>
      </c>
      <c r="E841" s="95" t="str">
        <f>IFERROR(VLOOKUP(D841,MATERIALES!A:B,2,FALSE()),"?")</f>
        <v>Tornillo T3 - Aguja</v>
      </c>
      <c r="F841" s="129" t="str">
        <f>IFERROR(VLOOKUP(D841,MATERIALES!A:C,3,FALSE()),"?")</f>
        <v>u</v>
      </c>
      <c r="G841" s="119">
        <v>30</v>
      </c>
      <c r="H841" s="120">
        <v>0.05</v>
      </c>
      <c r="I841" s="96">
        <f>IFERROR(VLOOKUP(D841,MATERIALES!A:D,4,FALSE()),0)</f>
        <v>18.832004000000001</v>
      </c>
      <c r="J841" s="31">
        <f t="shared" si="331"/>
        <v>593.20812600000011</v>
      </c>
      <c r="K841" s="32" t="str">
        <f t="shared" si="327"/>
        <v>PTO-0405|MAT</v>
      </c>
      <c r="L841" s="32">
        <f>COUNTIFS($K$2:K841,K841)</f>
        <v>5</v>
      </c>
      <c r="M841" s="32" t="str">
        <f t="shared" si="328"/>
        <v>PTO-0405|MAT|5</v>
      </c>
      <c r="N841" s="121">
        <f>IFERROR(VLOOKUP(A841,PARTIDAS!A:F,6,FALSE()),0)</f>
        <v>6</v>
      </c>
      <c r="O841" s="123">
        <f t="shared" si="329"/>
        <v>0</v>
      </c>
      <c r="P841" s="123">
        <f>+_xlfn.XLOOKUP(A841,PPTO_GENERADOR!Q:Q,PPTO_GENERADOR!E:E,"-",0)</f>
        <v>34</v>
      </c>
      <c r="Q841" s="123">
        <f t="shared" si="330"/>
        <v>0</v>
      </c>
      <c r="R841" s="125">
        <f>+_xlfn.XLOOKUP(A841,PPTO_GENERADOR!$Q:$Q,PPTO_GENERADOR!A:A,"-",0)</f>
        <v>4.05</v>
      </c>
    </row>
    <row r="842" spans="1:18" ht="14.25" customHeight="1" x14ac:dyDescent="0.35">
      <c r="A842" s="105" t="s">
        <v>116</v>
      </c>
      <c r="B842" s="105" t="s">
        <v>1981</v>
      </c>
      <c r="C842" s="105" t="s">
        <v>1982</v>
      </c>
      <c r="D842" s="105" t="s">
        <v>939</v>
      </c>
      <c r="E842" s="95" t="str">
        <f>IFERROR(VLOOKUP(D842,MATERIALES!A:B,2,FALSE()),"?")</f>
        <v>Fijacion completa del 8</v>
      </c>
      <c r="F842" s="129" t="str">
        <f>IFERROR(VLOOKUP(D842,MATERIALES!A:C,3,FALSE()),"?")</f>
        <v>u</v>
      </c>
      <c r="G842" s="119">
        <v>3.5</v>
      </c>
      <c r="H842" s="120">
        <v>0.05</v>
      </c>
      <c r="I842" s="96">
        <f>IFERROR(VLOOKUP(D842,MATERIALES!A:D,4,FALSE()),0)</f>
        <v>63.381982999999998</v>
      </c>
      <c r="J842" s="31">
        <f t="shared" si="331"/>
        <v>232.92878752500002</v>
      </c>
      <c r="K842" s="32" t="str">
        <f t="shared" si="327"/>
        <v>PTO-0405|MAT</v>
      </c>
      <c r="L842" s="32">
        <f>COUNTIFS($K$2:K842,K842)</f>
        <v>6</v>
      </c>
      <c r="M842" s="32" t="str">
        <f t="shared" si="328"/>
        <v>PTO-0405|MAT|6</v>
      </c>
      <c r="N842" s="121">
        <f>IFERROR(VLOOKUP(A842,PARTIDAS!A:F,6,FALSE()),0)</f>
        <v>6</v>
      </c>
      <c r="O842" s="123">
        <f t="shared" si="329"/>
        <v>0</v>
      </c>
      <c r="P842" s="123">
        <f>+_xlfn.XLOOKUP(A842,PPTO_GENERADOR!Q:Q,PPTO_GENERADOR!E:E,"-",0)</f>
        <v>34</v>
      </c>
      <c r="Q842" s="123">
        <f t="shared" si="330"/>
        <v>0</v>
      </c>
      <c r="R842" s="125">
        <f>+_xlfn.XLOOKUP(A842,PPTO_GENERADOR!$Q:$Q,PPTO_GENERADOR!A:A,"-",0)</f>
        <v>4.05</v>
      </c>
    </row>
    <row r="843" spans="1:18" ht="14.25" customHeight="1" x14ac:dyDescent="0.35">
      <c r="A843" s="105" t="s">
        <v>116</v>
      </c>
      <c r="B843" s="105" t="s">
        <v>1981</v>
      </c>
      <c r="C843" s="105" t="s">
        <v>1982</v>
      </c>
      <c r="D843" s="105" t="s">
        <v>941</v>
      </c>
      <c r="E843" s="95" t="str">
        <f>IFERROR(VLOOKUP(D843,MATERIALES!A:B,2,FALSE()),"?")</f>
        <v>Cinta Entramada - 90m</v>
      </c>
      <c r="F843" s="129" t="str">
        <f>IFERROR(VLOOKUP(D843,MATERIALES!A:C,3,FALSE()),"?")</f>
        <v>u</v>
      </c>
      <c r="G843" s="119">
        <v>0.04</v>
      </c>
      <c r="H843" s="120">
        <v>0.05</v>
      </c>
      <c r="I843" s="96">
        <f>IFERROR(VLOOKUP(D843,MATERIALES!A:D,4,FALSE()),0)</f>
        <v>4734.07</v>
      </c>
      <c r="J843" s="31">
        <f t="shared" si="331"/>
        <v>198.83094</v>
      </c>
      <c r="K843" s="32" t="str">
        <f t="shared" si="327"/>
        <v>PTO-0405|MAT</v>
      </c>
      <c r="L843" s="32">
        <f>COUNTIFS($K$2:K843,K843)</f>
        <v>7</v>
      </c>
      <c r="M843" s="32" t="str">
        <f t="shared" si="328"/>
        <v>PTO-0405|MAT|7</v>
      </c>
      <c r="N843" s="121">
        <f>IFERROR(VLOOKUP(A843,PARTIDAS!A:F,6,FALSE()),0)</f>
        <v>6</v>
      </c>
      <c r="O843" s="123">
        <f t="shared" si="329"/>
        <v>0</v>
      </c>
      <c r="P843" s="123">
        <f>+_xlfn.XLOOKUP(A843,PPTO_GENERADOR!Q:Q,PPTO_GENERADOR!E:E,"-",0)</f>
        <v>34</v>
      </c>
      <c r="Q843" s="123">
        <f t="shared" si="330"/>
        <v>0</v>
      </c>
      <c r="R843" s="125">
        <f>+_xlfn.XLOOKUP(A843,PPTO_GENERADOR!$Q:$Q,PPTO_GENERADOR!A:A,"-",0)</f>
        <v>4.05</v>
      </c>
    </row>
    <row r="844" spans="1:18" ht="14.25" customHeight="1" x14ac:dyDescent="0.35">
      <c r="A844" s="105" t="s">
        <v>116</v>
      </c>
      <c r="B844" s="105" t="s">
        <v>1981</v>
      </c>
      <c r="C844" s="105" t="s">
        <v>1982</v>
      </c>
      <c r="D844" s="105" t="s">
        <v>943</v>
      </c>
      <c r="E844" s="95" t="str">
        <f>IFERROR(VLOOKUP(D844,MATERIALES!A:B,2,FALSE()),"?")</f>
        <v>Masilla x 32kg</v>
      </c>
      <c r="F844" s="129" t="str">
        <f>IFERROR(VLOOKUP(D844,MATERIALES!A:C,3,FALSE()),"?")</f>
        <v>u</v>
      </c>
      <c r="G844" s="119">
        <v>5.6300000000000003E-2</v>
      </c>
      <c r="H844" s="120">
        <v>0.05</v>
      </c>
      <c r="I844" s="96">
        <f>IFERROR(VLOOKUP(D844,MATERIALES!A:D,4,FALSE()),0)</f>
        <v>23166.59</v>
      </c>
      <c r="J844" s="31">
        <f t="shared" si="331"/>
        <v>1369.4929678500002</v>
      </c>
      <c r="K844" s="32" t="str">
        <f t="shared" si="327"/>
        <v>PTO-0405|MAT</v>
      </c>
      <c r="L844" s="32">
        <f>COUNTIFS($K$2:K844,K844)</f>
        <v>8</v>
      </c>
      <c r="M844" s="32" t="str">
        <f t="shared" si="328"/>
        <v>PTO-0405|MAT|8</v>
      </c>
      <c r="N844" s="121">
        <f>IFERROR(VLOOKUP(A844,PARTIDAS!A:F,6,FALSE()),0)</f>
        <v>6</v>
      </c>
      <c r="O844" s="123">
        <f t="shared" si="329"/>
        <v>0</v>
      </c>
      <c r="P844" s="123">
        <f>+_xlfn.XLOOKUP(A844,PPTO_GENERADOR!Q:Q,PPTO_GENERADOR!E:E,"-",0)</f>
        <v>34</v>
      </c>
      <c r="Q844" s="123">
        <f t="shared" si="330"/>
        <v>0</v>
      </c>
      <c r="R844" s="125">
        <f>+_xlfn.XLOOKUP(A844,PPTO_GENERADOR!$Q:$Q,PPTO_GENERADOR!A:A,"-",0)</f>
        <v>4.05</v>
      </c>
    </row>
    <row r="845" spans="1:18" ht="14.25" customHeight="1" x14ac:dyDescent="0.35">
      <c r="A845" s="105" t="s">
        <v>116</v>
      </c>
      <c r="B845" s="105" t="s">
        <v>1981</v>
      </c>
      <c r="C845" s="105" t="s">
        <v>1982</v>
      </c>
      <c r="D845" s="105" t="s">
        <v>945</v>
      </c>
      <c r="E845" s="95" t="str">
        <f>IFERROR(VLOOKUP(D845,MATERIALES!A:B,2,FALSE()),"?")</f>
        <v>Lana De Vidrio 40mm X 21,6m2 Alta Densidad</v>
      </c>
      <c r="F845" s="129" t="str">
        <f>IFERROR(VLOOKUP(D845,MATERIALES!A:C,3,FALSE()),"?")</f>
        <v>u</v>
      </c>
      <c r="G845" s="119">
        <v>4.6300000000000001E-2</v>
      </c>
      <c r="H845" s="120">
        <v>0.1</v>
      </c>
      <c r="I845" s="96">
        <f>IFERROR(VLOOKUP(D845,MATERIALES!A:D,4,FALSE()),0)</f>
        <v>77226.259999999995</v>
      </c>
      <c r="J845" s="31">
        <f t="shared" si="331"/>
        <v>3933.1334218000002</v>
      </c>
      <c r="K845" s="32" t="str">
        <f t="shared" si="327"/>
        <v>PTO-0405|MAT</v>
      </c>
      <c r="L845" s="32">
        <f>COUNTIFS($K$2:K845,K845)</f>
        <v>9</v>
      </c>
      <c r="M845" s="32" t="str">
        <f t="shared" si="328"/>
        <v>PTO-0405|MAT|9</v>
      </c>
      <c r="N845" s="121">
        <f>IFERROR(VLOOKUP(A845,PARTIDAS!A:F,6,FALSE()),0)</f>
        <v>6</v>
      </c>
      <c r="O845" s="123">
        <f t="shared" si="329"/>
        <v>0</v>
      </c>
      <c r="P845" s="123">
        <f>+_xlfn.XLOOKUP(A845,PPTO_GENERADOR!Q:Q,PPTO_GENERADOR!E:E,"-",0)</f>
        <v>34</v>
      </c>
      <c r="Q845" s="123">
        <f t="shared" si="330"/>
        <v>0</v>
      </c>
      <c r="R845" s="125">
        <f>+_xlfn.XLOOKUP(A845,PPTO_GENERADOR!$Q:$Q,PPTO_GENERADOR!A:A,"-",0)</f>
        <v>4.05</v>
      </c>
    </row>
    <row r="846" spans="1:18" ht="14.25" customHeight="1" x14ac:dyDescent="0.35">
      <c r="A846" s="105" t="s">
        <v>116</v>
      </c>
      <c r="B846" s="105" t="s">
        <v>1981</v>
      </c>
      <c r="C846" s="105" t="s">
        <v>1982</v>
      </c>
      <c r="D846" s="105" t="s">
        <v>947</v>
      </c>
      <c r="E846" s="95" t="str">
        <f>IFERROR(VLOOKUP(D846,MATERIALES!A:B,2,FALSE()),"?")</f>
        <v>Placa Roca de Yeso 1220 x 2440 - 12.5mm - STD</v>
      </c>
      <c r="F846" s="129" t="str">
        <f>IFERROR(VLOOKUP(D846,MATERIALES!A:C,3,FALSE()),"?")</f>
        <v>u</v>
      </c>
      <c r="G846" s="119">
        <v>1.42</v>
      </c>
      <c r="H846" s="120">
        <v>0.1</v>
      </c>
      <c r="I846" s="96">
        <f>IFERROR(VLOOKUP(D846,MATERIALES!A:D,4,FALSE()),0)</f>
        <v>10458</v>
      </c>
      <c r="J846" s="31">
        <f t="shared" si="331"/>
        <v>16335.396000000001</v>
      </c>
      <c r="K846" s="32" t="str">
        <f t="shared" si="327"/>
        <v>PTO-0405|MAT</v>
      </c>
      <c r="L846" s="32">
        <f>COUNTIFS($K$2:K846,K846)</f>
        <v>10</v>
      </c>
      <c r="M846" s="32" t="str">
        <f t="shared" si="328"/>
        <v>PTO-0405|MAT|10</v>
      </c>
      <c r="N846" s="121">
        <f>IFERROR(VLOOKUP(A846,PARTIDAS!A:F,6,FALSE()),0)</f>
        <v>6</v>
      </c>
      <c r="O846" s="123">
        <f t="shared" si="329"/>
        <v>0</v>
      </c>
      <c r="P846" s="123">
        <f>+_xlfn.XLOOKUP(A846,PPTO_GENERADOR!Q:Q,PPTO_GENERADOR!E:E,"-",0)</f>
        <v>34</v>
      </c>
      <c r="Q846" s="123">
        <f t="shared" si="330"/>
        <v>0</v>
      </c>
      <c r="R846" s="125">
        <f>+_xlfn.XLOOKUP(A846,PPTO_GENERADOR!$Q:$Q,PPTO_GENERADOR!A:A,"-",0)</f>
        <v>4.05</v>
      </c>
    </row>
    <row r="847" spans="1:18" ht="14.25" customHeight="1" x14ac:dyDescent="0.35">
      <c r="A847" s="105" t="s">
        <v>116</v>
      </c>
      <c r="B847" s="105" t="s">
        <v>1983</v>
      </c>
      <c r="C847" s="105"/>
      <c r="D847" s="105" t="s">
        <v>1311</v>
      </c>
      <c r="E847" s="95" t="str">
        <f>IFERROR(VLOOKUP(D847,EQUIPOS!A:B,2,FALSE()),"?")</f>
        <v>ESCALERA GLOSS ALUMINIO ARTICULADA 4 X 4 ESCALONES HASTA 150KG</v>
      </c>
      <c r="F847" s="129"/>
      <c r="G847" s="119">
        <v>0.5</v>
      </c>
      <c r="H847" s="120">
        <v>0</v>
      </c>
      <c r="I847" s="96">
        <f>IFERROR(VLOOKUP(D847,EQUIPOS!A:F,6,FALSE()),0)</f>
        <v>152.38027427373819</v>
      </c>
      <c r="J847" s="31">
        <f t="shared" ref="J847:J848" si="332">G847*I847</f>
        <v>76.190137136869097</v>
      </c>
      <c r="K847" s="32" t="str">
        <f t="shared" si="327"/>
        <v>PTO-0405|EQ</v>
      </c>
      <c r="L847" s="32">
        <f>COUNTIFS($K$2:K847,K847)</f>
        <v>1</v>
      </c>
      <c r="M847" s="32" t="str">
        <f t="shared" si="328"/>
        <v>PTO-0405|EQ|1</v>
      </c>
      <c r="N847" s="121">
        <f>IFERROR(VLOOKUP(A847,PARTIDAS!A:F,6,FALSE()),0)</f>
        <v>6</v>
      </c>
      <c r="O847" s="123">
        <f t="shared" si="329"/>
        <v>0</v>
      </c>
      <c r="P847" s="123">
        <f>+_xlfn.XLOOKUP(A847,PPTO_GENERADOR!Q:Q,PPTO_GENERADOR!E:E,"-",0)</f>
        <v>34</v>
      </c>
      <c r="Q847" s="123">
        <f t="shared" si="330"/>
        <v>0</v>
      </c>
      <c r="R847" s="125">
        <f>+_xlfn.XLOOKUP(A847,PPTO_GENERADOR!$Q:$Q,PPTO_GENERADOR!A:A,"-",0)</f>
        <v>4.05</v>
      </c>
    </row>
    <row r="848" spans="1:18" ht="14.25" customHeight="1" x14ac:dyDescent="0.35">
      <c r="A848" s="105" t="s">
        <v>116</v>
      </c>
      <c r="B848" s="105" t="s">
        <v>1983</v>
      </c>
      <c r="C848" s="105"/>
      <c r="D848" s="105" t="s">
        <v>1513</v>
      </c>
      <c r="E848" s="95" t="str">
        <f>IFERROR(VLOOKUP(D848,EQUIPOS!A:B,2,FALSE()),"?")</f>
        <v>EQUIPO DE CONSTRUCCION EN SECO</v>
      </c>
      <c r="F848" s="129"/>
      <c r="G848" s="119">
        <v>1</v>
      </c>
      <c r="H848" s="120">
        <v>0</v>
      </c>
      <c r="I848" s="96">
        <f>IFERROR(VLOOKUP(D848,EQUIPOS!A:F,6,FALSE()),0)</f>
        <v>2570.7599166666664</v>
      </c>
      <c r="J848" s="31">
        <f t="shared" si="332"/>
        <v>2570.7599166666664</v>
      </c>
      <c r="K848" s="32" t="str">
        <f t="shared" si="327"/>
        <v>PTO-0405|EQ</v>
      </c>
      <c r="L848" s="32">
        <f>COUNTIFS($K$2:K848,K848)</f>
        <v>2</v>
      </c>
      <c r="M848" s="32" t="str">
        <f t="shared" si="328"/>
        <v>PTO-0405|EQ|2</v>
      </c>
      <c r="N848" s="121">
        <f>IFERROR(VLOOKUP(A848,PARTIDAS!A:F,6,FALSE()),0)</f>
        <v>6</v>
      </c>
      <c r="O848" s="123">
        <f t="shared" si="329"/>
        <v>0</v>
      </c>
      <c r="P848" s="123">
        <f>+_xlfn.XLOOKUP(A848,PPTO_GENERADOR!Q:Q,PPTO_GENERADOR!E:E,"-",0)</f>
        <v>34</v>
      </c>
      <c r="Q848" s="123">
        <f t="shared" si="330"/>
        <v>0</v>
      </c>
      <c r="R848" s="125">
        <f>+_xlfn.XLOOKUP(A848,PPTO_GENERADOR!$Q:$Q,PPTO_GENERADOR!A:A,"-",0)</f>
        <v>4.05</v>
      </c>
    </row>
    <row r="849" spans="1:18" ht="14.25" customHeight="1" x14ac:dyDescent="0.35">
      <c r="A849" s="105" t="s">
        <v>119</v>
      </c>
      <c r="B849" s="105" t="s">
        <v>1979</v>
      </c>
      <c r="C849" s="105" t="s">
        <v>1980</v>
      </c>
      <c r="D849" s="105" t="s">
        <v>2038</v>
      </c>
      <c r="E849" s="95" t="str">
        <f>IFERROR(VLOOKUP(D849,MANO_DE_OBRA!A:B,2,FALSE()),"?")</f>
        <v>AYUDANTE</v>
      </c>
      <c r="F849" s="129" t="s">
        <v>2042</v>
      </c>
      <c r="G849" s="119">
        <v>0.20833333333333301</v>
      </c>
      <c r="H849" s="120">
        <v>0</v>
      </c>
      <c r="I849" s="96">
        <f>IFERROR(VLOOKUP(D849,MANO_DE_OBRA!A:C,3,FALSE()),0)</f>
        <v>67240.498860267602</v>
      </c>
      <c r="J849" s="31">
        <f t="shared" ref="J849" si="333">G849*I849</f>
        <v>14008.437262555728</v>
      </c>
      <c r="K849" s="32" t="str">
        <f t="shared" si="327"/>
        <v>PTO-0406|MO</v>
      </c>
      <c r="L849" s="32">
        <f>COUNTIFS($K$2:K849,K849)</f>
        <v>1</v>
      </c>
      <c r="M849" s="32" t="str">
        <f t="shared" si="328"/>
        <v>PTO-0406|MO|1</v>
      </c>
      <c r="N849" s="121">
        <f>IFERROR(VLOOKUP(A849,PARTIDAS!A:F,6,FALSE()),0)</f>
        <v>1</v>
      </c>
      <c r="O849" s="123">
        <f t="shared" si="329"/>
        <v>0.20833333333333301</v>
      </c>
      <c r="P849" s="123">
        <f>+_xlfn.XLOOKUP(A849,PPTO_GENERADOR!Q:Q,PPTO_GENERADOR!E:E,"-",0)</f>
        <v>24</v>
      </c>
      <c r="Q849" s="123">
        <f t="shared" si="330"/>
        <v>4.999999999999992</v>
      </c>
      <c r="R849" s="125">
        <f>+_xlfn.XLOOKUP(A849,PPTO_GENERADOR!$Q:$Q,PPTO_GENERADOR!A:A,"-",0)</f>
        <v>4.0599999999999996</v>
      </c>
    </row>
    <row r="850" spans="1:18" ht="14.25" customHeight="1" x14ac:dyDescent="0.35">
      <c r="A850" s="105" t="s">
        <v>119</v>
      </c>
      <c r="B850" s="105" t="s">
        <v>1981</v>
      </c>
      <c r="C850" s="105" t="s">
        <v>1982</v>
      </c>
      <c r="D850" s="105" t="s">
        <v>721</v>
      </c>
      <c r="E850" s="95" t="str">
        <f>IFERROR(VLOOKUP(D850,MATERIALES!A:B,2,FALSE()),"?")</f>
        <v>Volquete</v>
      </c>
      <c r="F850" s="129" t="str">
        <f>IFERROR(VLOOKUP(D850,MATERIALES!A:C,3,FALSE()),"?")</f>
        <v>u</v>
      </c>
      <c r="G850" s="119">
        <v>4.1667000000000003E-2</v>
      </c>
      <c r="H850" s="120">
        <v>0</v>
      </c>
      <c r="I850" s="96">
        <f>IFERROR(VLOOKUP(D850,MATERIALES!A:D,4,FALSE()),0)</f>
        <v>100000</v>
      </c>
      <c r="J850" s="31">
        <f t="shared" ref="J850:J853" si="334">G850*I850*(1+H850)</f>
        <v>4166.7</v>
      </c>
      <c r="K850" s="32" t="str">
        <f t="shared" si="327"/>
        <v>PTO-0406|MAT</v>
      </c>
      <c r="L850" s="32">
        <f>COUNTIFS($K$2:K850,K850)</f>
        <v>1</v>
      </c>
      <c r="M850" s="32" t="str">
        <f t="shared" si="328"/>
        <v>PTO-0406|MAT|1</v>
      </c>
      <c r="N850" s="121">
        <f>IFERROR(VLOOKUP(A850,PARTIDAS!A:F,6,FALSE()),0)</f>
        <v>1</v>
      </c>
      <c r="O850" s="123">
        <f t="shared" si="329"/>
        <v>0</v>
      </c>
      <c r="P850" s="123">
        <f>+_xlfn.XLOOKUP(A850,PPTO_GENERADOR!Q:Q,PPTO_GENERADOR!E:E,"-",0)</f>
        <v>24</v>
      </c>
      <c r="Q850" s="123">
        <f t="shared" si="330"/>
        <v>0</v>
      </c>
      <c r="R850" s="125">
        <f>+_xlfn.XLOOKUP(A850,PPTO_GENERADOR!$Q:$Q,PPTO_GENERADOR!A:A,"-",0)</f>
        <v>4.0599999999999996</v>
      </c>
    </row>
    <row r="851" spans="1:18" ht="14.25" customHeight="1" x14ac:dyDescent="0.35">
      <c r="A851" s="105" t="s">
        <v>119</v>
      </c>
      <c r="B851" s="105" t="s">
        <v>1981</v>
      </c>
      <c r="C851" s="105" t="s">
        <v>1982</v>
      </c>
      <c r="D851" s="105" t="s">
        <v>723</v>
      </c>
      <c r="E851" s="95" t="str">
        <f>IFERROR(VLOOKUP(D851,MATERIALES!A:B,2,FALSE()),"?")</f>
        <v>H°</v>
      </c>
      <c r="F851" s="129" t="str">
        <f>IFERROR(VLOOKUP(D851,MATERIALES!A:C,3,FALSE()),"?")</f>
        <v>u</v>
      </c>
      <c r="G851" s="119">
        <v>8.3333000000000004E-2</v>
      </c>
      <c r="H851" s="120">
        <v>0</v>
      </c>
      <c r="I851" s="96">
        <f>IFERROR(VLOOKUP(D851,MATERIALES!A:D,4,FALSE()),0)</f>
        <v>125000</v>
      </c>
      <c r="J851" s="31">
        <f t="shared" si="334"/>
        <v>10416.625</v>
      </c>
      <c r="K851" s="32" t="str">
        <f t="shared" si="327"/>
        <v>PTO-0406|MAT</v>
      </c>
      <c r="L851" s="32">
        <f>COUNTIFS($K$2:K851,K851)</f>
        <v>2</v>
      </c>
      <c r="M851" s="32" t="str">
        <f t="shared" si="328"/>
        <v>PTO-0406|MAT|2</v>
      </c>
      <c r="N851" s="121">
        <f>IFERROR(VLOOKUP(A851,PARTIDAS!A:F,6,FALSE()),0)</f>
        <v>1</v>
      </c>
      <c r="O851" s="123">
        <f t="shared" si="329"/>
        <v>0</v>
      </c>
      <c r="P851" s="123">
        <f>+_xlfn.XLOOKUP(A851,PPTO_GENERADOR!Q:Q,PPTO_GENERADOR!E:E,"-",0)</f>
        <v>24</v>
      </c>
      <c r="Q851" s="123">
        <f t="shared" si="330"/>
        <v>0</v>
      </c>
      <c r="R851" s="125">
        <f>+_xlfn.XLOOKUP(A851,PPTO_GENERADOR!$Q:$Q,PPTO_GENERADOR!A:A,"-",0)</f>
        <v>4.0599999999999996</v>
      </c>
    </row>
    <row r="852" spans="1:18" ht="14.25" customHeight="1" x14ac:dyDescent="0.35">
      <c r="A852" s="105" t="s">
        <v>119</v>
      </c>
      <c r="B852" s="105" t="s">
        <v>1981</v>
      </c>
      <c r="C852" s="105" t="s">
        <v>1982</v>
      </c>
      <c r="D852" s="105" t="s">
        <v>683</v>
      </c>
      <c r="E852" s="95" t="str">
        <f>IFERROR(VLOOKUP(D852,MATERIALES!A:B,2,FALSE()),"?")</f>
        <v>Hierro</v>
      </c>
      <c r="F852" s="129" t="str">
        <f>IFERROR(VLOOKUP(D852,MATERIALES!A:C,3,FALSE()),"?")</f>
        <v>u</v>
      </c>
      <c r="G852" s="119">
        <v>5</v>
      </c>
      <c r="H852" s="120">
        <v>0</v>
      </c>
      <c r="I852" s="96">
        <f>IFERROR(VLOOKUP(D852,MATERIALES!A:D,4,FALSE()),0)</f>
        <v>1338.79</v>
      </c>
      <c r="J852" s="31">
        <f t="shared" si="334"/>
        <v>6693.95</v>
      </c>
      <c r="K852" s="32" t="str">
        <f t="shared" si="327"/>
        <v>PTO-0406|MAT</v>
      </c>
      <c r="L852" s="32">
        <f>COUNTIFS($K$2:K852,K852)</f>
        <v>3</v>
      </c>
      <c r="M852" s="32" t="str">
        <f t="shared" si="328"/>
        <v>PTO-0406|MAT|3</v>
      </c>
      <c r="N852" s="121">
        <f>IFERROR(VLOOKUP(A852,PARTIDAS!A:F,6,FALSE()),0)</f>
        <v>1</v>
      </c>
      <c r="O852" s="123">
        <f t="shared" si="329"/>
        <v>0</v>
      </c>
      <c r="P852" s="123">
        <f>+_xlfn.XLOOKUP(A852,PPTO_GENERADOR!Q:Q,PPTO_GENERADOR!E:E,"-",0)</f>
        <v>24</v>
      </c>
      <c r="Q852" s="123">
        <f t="shared" si="330"/>
        <v>0</v>
      </c>
      <c r="R852" s="125">
        <f>+_xlfn.XLOOKUP(A852,PPTO_GENERADOR!$Q:$Q,PPTO_GENERADOR!A:A,"-",0)</f>
        <v>4.0599999999999996</v>
      </c>
    </row>
    <row r="853" spans="1:18" ht="14.25" customHeight="1" x14ac:dyDescent="0.35">
      <c r="A853" s="105" t="s">
        <v>119</v>
      </c>
      <c r="B853" s="105" t="s">
        <v>1981</v>
      </c>
      <c r="C853" s="105" t="s">
        <v>1982</v>
      </c>
      <c r="D853" s="105" t="s">
        <v>559</v>
      </c>
      <c r="E853" s="95" t="str">
        <f>IFERROR(VLOOKUP(D853,MATERIALES!A:B,2,FALSE()),"?")</f>
        <v>CONSUMIBLES (varios)</v>
      </c>
      <c r="F853" s="129" t="str">
        <f>IFERROR(VLOOKUP(D853,MATERIALES!A:C,3,FALSE()),"?")</f>
        <v>gl</v>
      </c>
      <c r="G853" s="119">
        <v>2127.7283333333298</v>
      </c>
      <c r="H853" s="120">
        <v>0</v>
      </c>
      <c r="I853" s="96">
        <f>IFERROR(VLOOKUP(D853,MATERIALES!A:D,4,FALSE()),0)</f>
        <v>1</v>
      </c>
      <c r="J853" s="31">
        <f t="shared" si="334"/>
        <v>2127.7283333333298</v>
      </c>
      <c r="K853" s="32" t="str">
        <f t="shared" si="327"/>
        <v>PTO-0406|MAT</v>
      </c>
      <c r="L853" s="32">
        <f>COUNTIFS($K$2:K853,K853)</f>
        <v>4</v>
      </c>
      <c r="M853" s="32" t="str">
        <f t="shared" si="328"/>
        <v>PTO-0406|MAT|4</v>
      </c>
      <c r="N853" s="121">
        <f>IFERROR(VLOOKUP(A853,PARTIDAS!A:F,6,FALSE()),0)</f>
        <v>1</v>
      </c>
      <c r="O853" s="123">
        <f t="shared" si="329"/>
        <v>0</v>
      </c>
      <c r="P853" s="123">
        <f>+_xlfn.XLOOKUP(A853,PPTO_GENERADOR!Q:Q,PPTO_GENERADOR!E:E,"-",0)</f>
        <v>24</v>
      </c>
      <c r="Q853" s="123">
        <f t="shared" si="330"/>
        <v>0</v>
      </c>
      <c r="R853" s="125">
        <f>+_xlfn.XLOOKUP(A853,PPTO_GENERADOR!$Q:$Q,PPTO_GENERADOR!A:A,"-",0)</f>
        <v>4.0599999999999996</v>
      </c>
    </row>
    <row r="854" spans="1:18" ht="14.25" customHeight="1" x14ac:dyDescent="0.35">
      <c r="A854" s="105" t="s">
        <v>119</v>
      </c>
      <c r="B854" s="105" t="s">
        <v>1979</v>
      </c>
      <c r="C854" s="105" t="s">
        <v>1980</v>
      </c>
      <c r="D854" s="105" t="s">
        <v>1292</v>
      </c>
      <c r="E854" s="95" t="str">
        <f>IFERROR(VLOOKUP(D854,MANO_DE_OBRA!A:B,2,FALSE()),"?")</f>
        <v>ESPECIALIZADO</v>
      </c>
      <c r="F854" s="129" t="s">
        <v>2042</v>
      </c>
      <c r="G854" s="119">
        <v>0.125</v>
      </c>
      <c r="H854" s="120">
        <v>0</v>
      </c>
      <c r="I854" s="96">
        <f>IFERROR(VLOOKUP(D854,MANO_DE_OBRA!A:C,3,FALSE()),0)</f>
        <v>94177.137883538904</v>
      </c>
      <c r="J854" s="31">
        <f t="shared" ref="J854:J855" si="335">G854*I854</f>
        <v>11772.142235442363</v>
      </c>
      <c r="K854" s="32" t="str">
        <f t="shared" si="327"/>
        <v>PTO-0406|MO</v>
      </c>
      <c r="L854" s="32">
        <f>COUNTIFS($K$2:K854,K854)</f>
        <v>2</v>
      </c>
      <c r="M854" s="32" t="str">
        <f t="shared" si="328"/>
        <v>PTO-0406|MO|2</v>
      </c>
      <c r="N854" s="121">
        <f>IFERROR(VLOOKUP(A854,PARTIDAS!A:F,6,FALSE()),0)</f>
        <v>1</v>
      </c>
      <c r="O854" s="123">
        <f t="shared" si="329"/>
        <v>0.125</v>
      </c>
      <c r="P854" s="123">
        <f>+_xlfn.XLOOKUP(A854,PPTO_GENERADOR!Q:Q,PPTO_GENERADOR!E:E,"-",0)</f>
        <v>24</v>
      </c>
      <c r="Q854" s="123">
        <f t="shared" si="330"/>
        <v>3</v>
      </c>
      <c r="R854" s="125">
        <f>+_xlfn.XLOOKUP(A854,PPTO_GENERADOR!$Q:$Q,PPTO_GENERADOR!A:A,"-",0)</f>
        <v>4.0599999999999996</v>
      </c>
    </row>
    <row r="855" spans="1:18" ht="14.25" customHeight="1" x14ac:dyDescent="0.35">
      <c r="A855" s="105" t="s">
        <v>119</v>
      </c>
      <c r="B855" s="105" t="s">
        <v>1979</v>
      </c>
      <c r="C855" s="105" t="s">
        <v>1980</v>
      </c>
      <c r="D855" s="105" t="s">
        <v>1290</v>
      </c>
      <c r="E855" s="95" t="str">
        <f>IFERROR(VLOOKUP(D855,MANO_DE_OBRA!A:B,2,FALSE()),"?")</f>
        <v>OFICIAL</v>
      </c>
      <c r="F855" s="129" t="s">
        <v>2042</v>
      </c>
      <c r="G855" s="119">
        <v>0.125</v>
      </c>
      <c r="H855" s="120">
        <v>0</v>
      </c>
      <c r="I855" s="96">
        <f>IFERROR(VLOOKUP(D855,MANO_DE_OBRA!A:C,3,FALSE()),0)</f>
        <v>84612.512709566407</v>
      </c>
      <c r="J855" s="31">
        <f t="shared" si="335"/>
        <v>10576.564088695801</v>
      </c>
      <c r="K855" s="32" t="str">
        <f t="shared" si="327"/>
        <v>PTO-0406|MO</v>
      </c>
      <c r="L855" s="32">
        <f>COUNTIFS($K$2:K855,K855)</f>
        <v>3</v>
      </c>
      <c r="M855" s="32" t="str">
        <f t="shared" si="328"/>
        <v>PTO-0406|MO|3</v>
      </c>
      <c r="N855" s="121">
        <f>IFERROR(VLOOKUP(A855,PARTIDAS!A:F,6,FALSE()),0)</f>
        <v>1</v>
      </c>
      <c r="O855" s="123">
        <f t="shared" si="329"/>
        <v>0.125</v>
      </c>
      <c r="P855" s="123">
        <f>+_xlfn.XLOOKUP(A855,PPTO_GENERADOR!Q:Q,PPTO_GENERADOR!E:E,"-",0)</f>
        <v>24</v>
      </c>
      <c r="Q855" s="123">
        <f t="shared" si="330"/>
        <v>3</v>
      </c>
      <c r="R855" s="125">
        <f>+_xlfn.XLOOKUP(A855,PPTO_GENERADOR!$Q:$Q,PPTO_GENERADOR!A:A,"-",0)</f>
        <v>4.0599999999999996</v>
      </c>
    </row>
    <row r="856" spans="1:18" ht="14.25" customHeight="1" x14ac:dyDescent="0.35">
      <c r="A856" s="105" t="s">
        <v>119</v>
      </c>
      <c r="B856" s="105" t="s">
        <v>1981</v>
      </c>
      <c r="C856" s="105" t="s">
        <v>1984</v>
      </c>
      <c r="D856" s="105" t="s">
        <v>725</v>
      </c>
      <c r="E856" s="95" t="str">
        <f>IFERROR(VLOOKUP(D856,MATERIALES!A:B,2,FALSE()),"?")</f>
        <v>Ladrillo del 8</v>
      </c>
      <c r="F856" s="129" t="str">
        <f>IFERROR(VLOOKUP(D856,MATERIALES!A:C,3,FALSE()),"?")</f>
        <v>u</v>
      </c>
      <c r="G856" s="119">
        <v>0</v>
      </c>
      <c r="H856" s="120">
        <v>0</v>
      </c>
      <c r="I856" s="96">
        <f>IFERROR(VLOOKUP(D856,MATERIALES!A:D,4,FALSE()),0)</f>
        <v>10053.788111207799</v>
      </c>
      <c r="J856" s="31">
        <f t="shared" ref="J856:J859" si="336">G856*I856*(1+H856)</f>
        <v>0</v>
      </c>
      <c r="K856" s="32" t="str">
        <f t="shared" si="327"/>
        <v>PTO-0406|MAT</v>
      </c>
      <c r="L856" s="32">
        <f>COUNTIFS($K$2:K856,K856)</f>
        <v>5</v>
      </c>
      <c r="M856" s="32" t="str">
        <f t="shared" si="328"/>
        <v>PTO-0406|MAT|5</v>
      </c>
      <c r="N856" s="121">
        <f>IFERROR(VLOOKUP(A856,PARTIDAS!A:F,6,FALSE()),0)</f>
        <v>1</v>
      </c>
      <c r="O856" s="123">
        <f t="shared" si="329"/>
        <v>0</v>
      </c>
      <c r="P856" s="123">
        <f>+_xlfn.XLOOKUP(A856,PPTO_GENERADOR!Q:Q,PPTO_GENERADOR!E:E,"-",0)</f>
        <v>24</v>
      </c>
      <c r="Q856" s="123">
        <f t="shared" si="330"/>
        <v>0</v>
      </c>
      <c r="R856" s="125">
        <f>+_xlfn.XLOOKUP(A856,PPTO_GENERADOR!$Q:$Q,PPTO_GENERADOR!A:A,"-",0)</f>
        <v>4.0599999999999996</v>
      </c>
    </row>
    <row r="857" spans="1:18" ht="14.25" customHeight="1" x14ac:dyDescent="0.35">
      <c r="A857" s="105" t="s">
        <v>119</v>
      </c>
      <c r="B857" s="105" t="s">
        <v>1981</v>
      </c>
      <c r="C857" s="105" t="s">
        <v>1984</v>
      </c>
      <c r="D857" s="105" t="s">
        <v>727</v>
      </c>
      <c r="E857" s="95" t="str">
        <f>IFERROR(VLOOKUP(D857,MATERIALES!A:B,2,FALSE()),"?")</f>
        <v>Revoque grueso bajo revest.</v>
      </c>
      <c r="F857" s="129" t="str">
        <f>IFERROR(VLOOKUP(D857,MATERIALES!A:C,3,FALSE()),"?")</f>
        <v>u</v>
      </c>
      <c r="G857" s="119">
        <v>0</v>
      </c>
      <c r="H857" s="120">
        <v>0</v>
      </c>
      <c r="I857" s="96">
        <f>IFERROR(VLOOKUP(D857,MATERIALES!A:D,4,FALSE()),0)</f>
        <v>4061.165094</v>
      </c>
      <c r="J857" s="31">
        <f t="shared" si="336"/>
        <v>0</v>
      </c>
      <c r="K857" s="32" t="str">
        <f t="shared" si="327"/>
        <v>PTO-0406|MAT</v>
      </c>
      <c r="L857" s="32">
        <f>COUNTIFS($K$2:K857,K857)</f>
        <v>6</v>
      </c>
      <c r="M857" s="32" t="str">
        <f t="shared" si="328"/>
        <v>PTO-0406|MAT|6</v>
      </c>
      <c r="N857" s="121">
        <f>IFERROR(VLOOKUP(A857,PARTIDAS!A:F,6,FALSE()),0)</f>
        <v>1</v>
      </c>
      <c r="O857" s="123">
        <f t="shared" si="329"/>
        <v>0</v>
      </c>
      <c r="P857" s="123">
        <f>+_xlfn.XLOOKUP(A857,PPTO_GENERADOR!Q:Q,PPTO_GENERADOR!E:E,"-",0)</f>
        <v>24</v>
      </c>
      <c r="Q857" s="123">
        <f t="shared" si="330"/>
        <v>0</v>
      </c>
      <c r="R857" s="125">
        <f>+_xlfn.XLOOKUP(A857,PPTO_GENERADOR!$Q:$Q,PPTO_GENERADOR!A:A,"-",0)</f>
        <v>4.0599999999999996</v>
      </c>
    </row>
    <row r="858" spans="1:18" ht="14.25" customHeight="1" x14ac:dyDescent="0.35">
      <c r="A858" s="105" t="s">
        <v>119</v>
      </c>
      <c r="B858" s="105" t="s">
        <v>1981</v>
      </c>
      <c r="C858" s="105" t="s">
        <v>1982</v>
      </c>
      <c r="D858" s="105" t="s">
        <v>729</v>
      </c>
      <c r="E858" s="95" t="str">
        <f>IFERROR(VLOOKUP(D858,MATERIALES!A:B,2,FALSE()),"?")</f>
        <v>Sellador / Silicona (2 bañeras)</v>
      </c>
      <c r="F858" s="129" t="str">
        <f>IFERROR(VLOOKUP(D858,MATERIALES!A:C,3,FALSE()),"?")</f>
        <v>u</v>
      </c>
      <c r="G858" s="119">
        <v>0</v>
      </c>
      <c r="H858" s="120">
        <v>0</v>
      </c>
      <c r="I858" s="96">
        <f>IFERROR(VLOOKUP(D858,MATERIALES!A:D,4,FALSE()),0)</f>
        <v>15000</v>
      </c>
      <c r="J858" s="31">
        <f t="shared" si="336"/>
        <v>0</v>
      </c>
      <c r="K858" s="32" t="str">
        <f t="shared" si="327"/>
        <v>PTO-0406|MAT</v>
      </c>
      <c r="L858" s="32">
        <f>COUNTIFS($K$2:K858,K858)</f>
        <v>7</v>
      </c>
      <c r="M858" s="32" t="str">
        <f t="shared" si="328"/>
        <v>PTO-0406|MAT|7</v>
      </c>
      <c r="N858" s="121">
        <f>IFERROR(VLOOKUP(A858,PARTIDAS!A:F,6,FALSE()),0)</f>
        <v>1</v>
      </c>
      <c r="O858" s="123">
        <f t="shared" si="329"/>
        <v>0</v>
      </c>
      <c r="P858" s="123">
        <f>+_xlfn.XLOOKUP(A858,PPTO_GENERADOR!Q:Q,PPTO_GENERADOR!E:E,"-",0)</f>
        <v>24</v>
      </c>
      <c r="Q858" s="123">
        <f t="shared" si="330"/>
        <v>0</v>
      </c>
      <c r="R858" s="125">
        <f>+_xlfn.XLOOKUP(A858,PPTO_GENERADOR!$Q:$Q,PPTO_GENERADOR!A:A,"-",0)</f>
        <v>4.0599999999999996</v>
      </c>
    </row>
    <row r="859" spans="1:18" ht="14.25" customHeight="1" x14ac:dyDescent="0.35">
      <c r="A859" s="105" t="s">
        <v>119</v>
      </c>
      <c r="B859" s="105" t="s">
        <v>1981</v>
      </c>
      <c r="C859" s="105" t="s">
        <v>1982</v>
      </c>
      <c r="D859" s="105" t="s">
        <v>731</v>
      </c>
      <c r="E859" s="95" t="str">
        <f>IFERROR(VLOOKUP(D859,MATERIALES!A:B,2,FALSE()),"?")</f>
        <v>Sika Monotop 107 Seal</v>
      </c>
      <c r="F859" s="129" t="str">
        <f>IFERROR(VLOOKUP(D859,MATERIALES!A:C,3,FALSE()),"?")</f>
        <v>u</v>
      </c>
      <c r="G859" s="119">
        <v>0</v>
      </c>
      <c r="H859" s="120">
        <v>0</v>
      </c>
      <c r="I859" s="96">
        <f>IFERROR(VLOOKUP(D859,MATERIALES!A:D,4,FALSE()),0)</f>
        <v>45000</v>
      </c>
      <c r="J859" s="31">
        <f t="shared" si="336"/>
        <v>0</v>
      </c>
      <c r="K859" s="32" t="str">
        <f t="shared" si="327"/>
        <v>PTO-0406|MAT</v>
      </c>
      <c r="L859" s="32">
        <f>COUNTIFS($K$2:K859,K859)</f>
        <v>8</v>
      </c>
      <c r="M859" s="32" t="str">
        <f t="shared" si="328"/>
        <v>PTO-0406|MAT|8</v>
      </c>
      <c r="N859" s="121">
        <f>IFERROR(VLOOKUP(A859,PARTIDAS!A:F,6,FALSE()),0)</f>
        <v>1</v>
      </c>
      <c r="O859" s="123">
        <f t="shared" si="329"/>
        <v>0</v>
      </c>
      <c r="P859" s="123">
        <f>+_xlfn.XLOOKUP(A859,PPTO_GENERADOR!Q:Q,PPTO_GENERADOR!E:E,"-",0)</f>
        <v>24</v>
      </c>
      <c r="Q859" s="123">
        <f t="shared" si="330"/>
        <v>0</v>
      </c>
      <c r="R859" s="125">
        <f>+_xlfn.XLOOKUP(A859,PPTO_GENERADOR!$Q:$Q,PPTO_GENERADOR!A:A,"-",0)</f>
        <v>4.0599999999999996</v>
      </c>
    </row>
    <row r="860" spans="1:18" ht="14.25" customHeight="1" x14ac:dyDescent="0.35">
      <c r="A860" s="105" t="s">
        <v>119</v>
      </c>
      <c r="B860" s="105" t="s">
        <v>1983</v>
      </c>
      <c r="C860" s="105"/>
      <c r="D860" s="105" t="s">
        <v>1383</v>
      </c>
      <c r="E860" s="95" t="str">
        <f>IFERROR(VLOOKUP(D860,EQUIPOS!A:B,2,FALSE()),"?")</f>
        <v>Herramientas — Vigas de encadenado - En muros de PB, in</v>
      </c>
      <c r="F860" s="129"/>
      <c r="G860" s="119">
        <v>1</v>
      </c>
      <c r="H860" s="120">
        <v>0</v>
      </c>
      <c r="I860" s="96">
        <f>IFERROR(VLOOKUP(D860,EQUIPOS!A:F,6,FALSE()),0)</f>
        <v>896.43232880040898</v>
      </c>
      <c r="J860" s="31">
        <f>G860*I860</f>
        <v>896.43232880040898</v>
      </c>
      <c r="K860" s="32" t="str">
        <f t="shared" si="327"/>
        <v>PTO-0406|EQ</v>
      </c>
      <c r="L860" s="32">
        <f>COUNTIFS($K$2:K860,K860)</f>
        <v>1</v>
      </c>
      <c r="M860" s="32" t="str">
        <f t="shared" si="328"/>
        <v>PTO-0406|EQ|1</v>
      </c>
      <c r="N860" s="121">
        <f>IFERROR(VLOOKUP(A860,PARTIDAS!A:F,6,FALSE()),0)</f>
        <v>1</v>
      </c>
      <c r="O860" s="123">
        <f t="shared" si="329"/>
        <v>0</v>
      </c>
      <c r="P860" s="123">
        <f>+_xlfn.XLOOKUP(A860,PPTO_GENERADOR!Q:Q,PPTO_GENERADOR!E:E,"-",0)</f>
        <v>24</v>
      </c>
      <c r="Q860" s="123">
        <f t="shared" si="330"/>
        <v>0</v>
      </c>
      <c r="R860" s="125">
        <f>+_xlfn.XLOOKUP(A860,PPTO_GENERADOR!$Q:$Q,PPTO_GENERADOR!A:A,"-",0)</f>
        <v>4.0599999999999996</v>
      </c>
    </row>
    <row r="861" spans="1:18" ht="14.25" customHeight="1" x14ac:dyDescent="0.35">
      <c r="A861" s="105" t="s">
        <v>121</v>
      </c>
      <c r="B861" s="105" t="s">
        <v>1981</v>
      </c>
      <c r="C861" s="105" t="s">
        <v>1982</v>
      </c>
      <c r="D861" s="105" t="s">
        <v>572</v>
      </c>
      <c r="E861" s="95" t="str">
        <f>IFERROR(VLOOKUP(D861,MATERIALES!A:B,2,FALSE()),"?")</f>
        <v>Pintura Asfaltica Asfasol x18ts</v>
      </c>
      <c r="F861" s="129">
        <f>IFERROR(VLOOKUP(D861,MATERIALES!A:C,3,FALSE()),"?")</f>
        <v>0</v>
      </c>
      <c r="G861" s="119">
        <v>2.7778000000000001E-2</v>
      </c>
      <c r="H861" s="120">
        <v>0.1</v>
      </c>
      <c r="I861" s="96">
        <f>IFERROR(VLOOKUP(D861,MATERIALES!A:D,4,FALSE()),0)</f>
        <v>35525.949999999997</v>
      </c>
      <c r="J861" s="31">
        <f t="shared" ref="J861:J863" si="337">G861*I861*(1+H861)</f>
        <v>1085.5238230100001</v>
      </c>
      <c r="K861" s="32" t="str">
        <f t="shared" si="327"/>
        <v>PTO-0501|MAT</v>
      </c>
      <c r="L861" s="32">
        <f>COUNTIFS($K$2:K861,K861)</f>
        <v>1</v>
      </c>
      <c r="M861" s="32" t="str">
        <f t="shared" si="328"/>
        <v>PTO-0501|MAT|1</v>
      </c>
      <c r="N861" s="121">
        <f>IFERROR(VLOOKUP(A861,PARTIDAS!A:F,6,FALSE()),0)</f>
        <v>1</v>
      </c>
      <c r="O861" s="123">
        <f t="shared" si="329"/>
        <v>0</v>
      </c>
      <c r="P861" s="123">
        <f>+_xlfn.XLOOKUP(A861,PPTO_GENERADOR!Q:Q,PPTO_GENERADOR!E:E,"-",0)</f>
        <v>79</v>
      </c>
      <c r="Q861" s="123">
        <f t="shared" si="330"/>
        <v>0</v>
      </c>
      <c r="R861" s="125">
        <f>+_xlfn.XLOOKUP(A861,PPTO_GENERADOR!$Q:$Q,PPTO_GENERADOR!A:A,"-",0)</f>
        <v>5.01</v>
      </c>
    </row>
    <row r="862" spans="1:18" ht="14.25" customHeight="1" x14ac:dyDescent="0.35">
      <c r="A862" s="105" t="s">
        <v>121</v>
      </c>
      <c r="B862" s="105" t="s">
        <v>1981</v>
      </c>
      <c r="C862" s="105" t="s">
        <v>1982</v>
      </c>
      <c r="D862" s="105" t="s">
        <v>1005</v>
      </c>
      <c r="E862" s="95" t="str">
        <f>IFERROR(VLOOKUP(D862,MATERIALES!A:B,2,FALSE()),"?")</f>
        <v>Membrana Geotextil Ormiflex 4mm - (35kg) x10m</v>
      </c>
      <c r="F862" s="129" t="str">
        <f>IFERROR(VLOOKUP(D862,MATERIALES!A:C,3,FALSE()),"?")</f>
        <v>u</v>
      </c>
      <c r="G862" s="119">
        <v>0.1</v>
      </c>
      <c r="H862" s="120">
        <v>0.1</v>
      </c>
      <c r="I862" s="96">
        <f>IFERROR(VLOOKUP(D862,MATERIALES!A:D,4,FALSE()),0)</f>
        <v>57227.91</v>
      </c>
      <c r="J862" s="31">
        <f t="shared" si="337"/>
        <v>6295.0701000000017</v>
      </c>
      <c r="K862" s="32" t="str">
        <f t="shared" si="327"/>
        <v>PTO-0501|MAT</v>
      </c>
      <c r="L862" s="32">
        <f>COUNTIFS($K$2:K862,K862)</f>
        <v>2</v>
      </c>
      <c r="M862" s="32" t="str">
        <f t="shared" si="328"/>
        <v>PTO-0501|MAT|2</v>
      </c>
      <c r="N862" s="121">
        <f>IFERROR(VLOOKUP(A862,PARTIDAS!A:F,6,FALSE()),0)</f>
        <v>1</v>
      </c>
      <c r="O862" s="123">
        <f t="shared" si="329"/>
        <v>0</v>
      </c>
      <c r="P862" s="123">
        <f>+_xlfn.XLOOKUP(A862,PPTO_GENERADOR!Q:Q,PPTO_GENERADOR!E:E,"-",0)</f>
        <v>79</v>
      </c>
      <c r="Q862" s="123">
        <f t="shared" si="330"/>
        <v>0</v>
      </c>
      <c r="R862" s="125">
        <f>+_xlfn.XLOOKUP(A862,PPTO_GENERADOR!$Q:$Q,PPTO_GENERADOR!A:A,"-",0)</f>
        <v>5.01</v>
      </c>
    </row>
    <row r="863" spans="1:18" ht="14.25" customHeight="1" x14ac:dyDescent="0.35">
      <c r="A863" s="105" t="s">
        <v>121</v>
      </c>
      <c r="B863" s="105" t="s">
        <v>1981</v>
      </c>
      <c r="C863" s="105" t="s">
        <v>1982</v>
      </c>
      <c r="D863" s="105" t="s">
        <v>922</v>
      </c>
      <c r="E863" s="95" t="str">
        <f>IFERROR(VLOOKUP(D863,MATERIALES!A:B,2,FALSE()),"?")</f>
        <v>Rodillo de lana pelo largo N°22 - El Galgo</v>
      </c>
      <c r="F863" s="129" t="str">
        <f>IFERROR(VLOOKUP(D863,MATERIALES!A:C,3,FALSE()),"?")</f>
        <v>u</v>
      </c>
      <c r="G863" s="119">
        <v>0.01</v>
      </c>
      <c r="H863" s="120">
        <v>0.05</v>
      </c>
      <c r="I863" s="96">
        <f>IFERROR(VLOOKUP(D863,MATERIALES!A:D,4,FALSE()),0)</f>
        <v>6442.15</v>
      </c>
      <c r="J863" s="31">
        <f t="shared" si="337"/>
        <v>67.642574999999994</v>
      </c>
      <c r="K863" s="32" t="str">
        <f t="shared" si="327"/>
        <v>PTO-0501|MAT</v>
      </c>
      <c r="L863" s="32">
        <f>COUNTIFS($K$2:K863,K863)</f>
        <v>3</v>
      </c>
      <c r="M863" s="32" t="str">
        <f t="shared" si="328"/>
        <v>PTO-0501|MAT|3</v>
      </c>
      <c r="N863" s="121">
        <f>IFERROR(VLOOKUP(A863,PARTIDAS!A:F,6,FALSE()),0)</f>
        <v>1</v>
      </c>
      <c r="O863" s="123">
        <f t="shared" si="329"/>
        <v>0</v>
      </c>
      <c r="P863" s="123">
        <f>+_xlfn.XLOOKUP(A863,PPTO_GENERADOR!Q:Q,PPTO_GENERADOR!E:E,"-",0)</f>
        <v>79</v>
      </c>
      <c r="Q863" s="123">
        <f t="shared" si="330"/>
        <v>0</v>
      </c>
      <c r="R863" s="125">
        <f>+_xlfn.XLOOKUP(A863,PPTO_GENERADOR!$Q:$Q,PPTO_GENERADOR!A:A,"-",0)</f>
        <v>5.01</v>
      </c>
    </row>
    <row r="864" spans="1:18" ht="14.25" customHeight="1" x14ac:dyDescent="0.35">
      <c r="A864" s="105" t="s">
        <v>121</v>
      </c>
      <c r="B864" s="105" t="s">
        <v>1979</v>
      </c>
      <c r="C864" s="105" t="s">
        <v>1982</v>
      </c>
      <c r="D864" s="105" t="s">
        <v>1652</v>
      </c>
      <c r="E864" s="95" t="str">
        <f>IFERROR(VLOOKUP(D864,SUBCONTRATOS_PRY!A:B,2,FALSE()),"?")</f>
        <v>Colocación de membrana</v>
      </c>
      <c r="F864" s="129" t="s">
        <v>2042</v>
      </c>
      <c r="G864" s="119">
        <v>1</v>
      </c>
      <c r="H864" s="120">
        <v>0</v>
      </c>
      <c r="I864" s="96">
        <f>IFERROR(VLOOKUP(D864,SUBCONTRATOS_PRY!A:D,4,FALSE()),0)</f>
        <v>12775.619318344399</v>
      </c>
      <c r="J864" s="31">
        <f t="shared" ref="J864:J865" si="338">G864*I864</f>
        <v>12775.619318344399</v>
      </c>
      <c r="K864" s="32" t="str">
        <f t="shared" si="327"/>
        <v>PTO-0501|MO</v>
      </c>
      <c r="L864" s="32">
        <f>COUNTIFS($K$2:K864,K864)</f>
        <v>1</v>
      </c>
      <c r="M864" s="32" t="str">
        <f t="shared" si="328"/>
        <v>PTO-0501|MO|1</v>
      </c>
      <c r="N864" s="121">
        <f>IFERROR(VLOOKUP(A864,PARTIDAS!A:F,6,FALSE()),0)</f>
        <v>1</v>
      </c>
      <c r="O864" s="123">
        <f t="shared" si="329"/>
        <v>0</v>
      </c>
      <c r="P864" s="123">
        <f>+_xlfn.XLOOKUP(A864,PPTO_GENERADOR!Q:Q,PPTO_GENERADOR!E:E,"-",0)</f>
        <v>79</v>
      </c>
      <c r="Q864" s="123">
        <f t="shared" si="330"/>
        <v>0</v>
      </c>
      <c r="R864" s="125">
        <f>+_xlfn.XLOOKUP(A864,PPTO_GENERADOR!$Q:$Q,PPTO_GENERADOR!A:A,"-",0)</f>
        <v>5.01</v>
      </c>
    </row>
    <row r="865" spans="1:18" ht="14.25" customHeight="1" x14ac:dyDescent="0.35">
      <c r="A865" s="105" t="s">
        <v>121</v>
      </c>
      <c r="B865" s="105" t="s">
        <v>1979</v>
      </c>
      <c r="C865" s="105" t="s">
        <v>1982</v>
      </c>
      <c r="D865" s="105" t="s">
        <v>1654</v>
      </c>
      <c r="E865" s="95" t="str">
        <f>IFERROR(VLOOKUP(D865,SUBCONTRATOS_PRY!A:B,2,FALSE()),"?")</f>
        <v>Costo adicional en concepto de babetas (MO/OTR genérico)</v>
      </c>
      <c r="F865" s="129" t="s">
        <v>2042</v>
      </c>
      <c r="G865" s="119">
        <v>4471.46676142055</v>
      </c>
      <c r="H865" s="120">
        <v>0</v>
      </c>
      <c r="I865" s="96">
        <f>IFERROR(VLOOKUP(D865,SUBCONTRATOS_PRY!A:D,4,FALSE()),0)</f>
        <v>1</v>
      </c>
      <c r="J865" s="31">
        <f t="shared" si="338"/>
        <v>4471.46676142055</v>
      </c>
      <c r="K865" s="32" t="str">
        <f t="shared" si="327"/>
        <v>PTO-0501|MO</v>
      </c>
      <c r="L865" s="32">
        <f>COUNTIFS($K$2:K865,K865)</f>
        <v>2</v>
      </c>
      <c r="M865" s="32" t="str">
        <f t="shared" si="328"/>
        <v>PTO-0501|MO|2</v>
      </c>
      <c r="N865" s="121">
        <f>IFERROR(VLOOKUP(A865,PARTIDAS!A:F,6,FALSE()),0)</f>
        <v>1</v>
      </c>
      <c r="O865" s="123">
        <f t="shared" si="329"/>
        <v>0</v>
      </c>
      <c r="P865" s="123">
        <f>+_xlfn.XLOOKUP(A865,PPTO_GENERADOR!Q:Q,PPTO_GENERADOR!E:E,"-",0)</f>
        <v>79</v>
      </c>
      <c r="Q865" s="123">
        <f t="shared" si="330"/>
        <v>0</v>
      </c>
      <c r="R865" s="125">
        <f>+_xlfn.XLOOKUP(A865,PPTO_GENERADOR!$Q:$Q,PPTO_GENERADOR!A:A,"-",0)</f>
        <v>5.01</v>
      </c>
    </row>
    <row r="866" spans="1:18" ht="14.25" customHeight="1" x14ac:dyDescent="0.35">
      <c r="A866" s="105" t="s">
        <v>121</v>
      </c>
      <c r="B866" s="105" t="s">
        <v>1981</v>
      </c>
      <c r="C866" s="105" t="s">
        <v>1982</v>
      </c>
      <c r="D866" s="105" t="s">
        <v>1007</v>
      </c>
      <c r="E866" s="95" t="str">
        <f>IFERROR(VLOOKUP(D866,MATERIALES!A:B,2,FALSE()),"?")</f>
        <v>Pincel N° 20 - El Galgo</v>
      </c>
      <c r="F866" s="129" t="str">
        <f>IFERROR(VLOOKUP(D866,MATERIALES!A:C,3,FALSE()),"?")</f>
        <v>u</v>
      </c>
      <c r="G866" s="119">
        <v>0.02</v>
      </c>
      <c r="H866" s="120">
        <v>0.05</v>
      </c>
      <c r="I866" s="96">
        <f>IFERROR(VLOOKUP(D866,MATERIALES!A:D,4,FALSE()),0)</f>
        <v>4418.1818181818198</v>
      </c>
      <c r="J866" s="31">
        <f t="shared" ref="J866:J867" si="339">G866*I866*(1+H866)</f>
        <v>92.781818181818224</v>
      </c>
      <c r="K866" s="32" t="str">
        <f t="shared" si="327"/>
        <v>PTO-0501|MAT</v>
      </c>
      <c r="L866" s="32">
        <f>COUNTIFS($K$2:K866,K866)</f>
        <v>4</v>
      </c>
      <c r="M866" s="32" t="str">
        <f t="shared" si="328"/>
        <v>PTO-0501|MAT|4</v>
      </c>
      <c r="N866" s="121">
        <f>IFERROR(VLOOKUP(A866,PARTIDAS!A:F,6,FALSE()),0)</f>
        <v>1</v>
      </c>
      <c r="O866" s="123">
        <f t="shared" si="329"/>
        <v>0</v>
      </c>
      <c r="P866" s="123">
        <f>+_xlfn.XLOOKUP(A866,PPTO_GENERADOR!Q:Q,PPTO_GENERADOR!E:E,"-",0)</f>
        <v>79</v>
      </c>
      <c r="Q866" s="123">
        <f t="shared" si="330"/>
        <v>0</v>
      </c>
      <c r="R866" s="125">
        <f>+_xlfn.XLOOKUP(A866,PPTO_GENERADOR!$Q:$Q,PPTO_GENERADOR!A:A,"-",0)</f>
        <v>5.01</v>
      </c>
    </row>
    <row r="867" spans="1:18" ht="14.25" customHeight="1" x14ac:dyDescent="0.35">
      <c r="A867" s="105" t="s">
        <v>121</v>
      </c>
      <c r="B867" s="105" t="s">
        <v>1981</v>
      </c>
      <c r="C867" s="105" t="s">
        <v>1982</v>
      </c>
      <c r="D867" s="105" t="s">
        <v>593</v>
      </c>
      <c r="E867" s="95" t="str">
        <f>IFERROR(VLOOKUP(D867,MATERIALES!A:B,2,FALSE()),"?")</f>
        <v>Aguarras Hydrarras Hydra x 18lts</v>
      </c>
      <c r="F867" s="129">
        <f>IFERROR(VLOOKUP(D867,MATERIALES!A:C,3,FALSE()),"?")</f>
        <v>0</v>
      </c>
      <c r="G867" s="119">
        <v>0.01</v>
      </c>
      <c r="H867" s="120">
        <v>0.05</v>
      </c>
      <c r="I867" s="96">
        <f>IFERROR(VLOOKUP(D867,MATERIALES!A:D,4,FALSE()),0)</f>
        <v>58016.528925619801</v>
      </c>
      <c r="J867" s="31">
        <f t="shared" si="339"/>
        <v>609.17355371900794</v>
      </c>
      <c r="K867" s="32" t="str">
        <f t="shared" si="327"/>
        <v>PTO-0501|MAT</v>
      </c>
      <c r="L867" s="32">
        <f>COUNTIFS($K$2:K867,K867)</f>
        <v>5</v>
      </c>
      <c r="M867" s="32" t="str">
        <f t="shared" si="328"/>
        <v>PTO-0501|MAT|5</v>
      </c>
      <c r="N867" s="121">
        <f>IFERROR(VLOOKUP(A867,PARTIDAS!A:F,6,FALSE()),0)</f>
        <v>1</v>
      </c>
      <c r="O867" s="123">
        <f t="shared" si="329"/>
        <v>0</v>
      </c>
      <c r="P867" s="123">
        <f>+_xlfn.XLOOKUP(A867,PPTO_GENERADOR!Q:Q,PPTO_GENERADOR!E:E,"-",0)</f>
        <v>79</v>
      </c>
      <c r="Q867" s="123">
        <f t="shared" si="330"/>
        <v>0</v>
      </c>
      <c r="R867" s="125">
        <f>+_xlfn.XLOOKUP(A867,PPTO_GENERADOR!$Q:$Q,PPTO_GENERADOR!A:A,"-",0)</f>
        <v>5.01</v>
      </c>
    </row>
    <row r="868" spans="1:18" ht="14.25" customHeight="1" x14ac:dyDescent="0.35">
      <c r="A868" s="105" t="s">
        <v>121</v>
      </c>
      <c r="B868" s="105" t="s">
        <v>1983</v>
      </c>
      <c r="C868" s="105"/>
      <c r="D868" s="105" t="s">
        <v>1505</v>
      </c>
      <c r="E868" s="95" t="str">
        <f>IFERROR(VLOOKUP(D868,EQUIPOS!A:B,2,FALSE()),"?")</f>
        <v>Soldador Soplete A Gas Techista Membrana 10 Kg Boca 50mm</v>
      </c>
      <c r="F868" s="129"/>
      <c r="G868" s="119">
        <v>1</v>
      </c>
      <c r="H868" s="120">
        <v>0</v>
      </c>
      <c r="I868" s="96">
        <f>IFERROR(VLOOKUP(D868,EQUIPOS!A:F,6,FALSE()),0)</f>
        <v>874.41130614484587</v>
      </c>
      <c r="J868" s="31">
        <f>G868*I868</f>
        <v>874.41130614484587</v>
      </c>
      <c r="K868" s="32" t="str">
        <f t="shared" si="327"/>
        <v>PTO-0501|EQ</v>
      </c>
      <c r="L868" s="32">
        <f>COUNTIFS($K$2:K868,K868)</f>
        <v>1</v>
      </c>
      <c r="M868" s="32" t="str">
        <f t="shared" si="328"/>
        <v>PTO-0501|EQ|1</v>
      </c>
      <c r="N868" s="121">
        <f>IFERROR(VLOOKUP(A868,PARTIDAS!A:F,6,FALSE()),0)</f>
        <v>1</v>
      </c>
      <c r="O868" s="123">
        <f t="shared" si="329"/>
        <v>0</v>
      </c>
      <c r="P868" s="123">
        <f>+_xlfn.XLOOKUP(A868,PPTO_GENERADOR!Q:Q,PPTO_GENERADOR!E:E,"-",0)</f>
        <v>79</v>
      </c>
      <c r="Q868" s="123">
        <f t="shared" si="330"/>
        <v>0</v>
      </c>
      <c r="R868" s="125">
        <f>+_xlfn.XLOOKUP(A868,PPTO_GENERADOR!$Q:$Q,PPTO_GENERADOR!A:A,"-",0)</f>
        <v>5.01</v>
      </c>
    </row>
    <row r="869" spans="1:18" ht="14.25" customHeight="1" x14ac:dyDescent="0.35">
      <c r="A869" s="105" t="s">
        <v>124</v>
      </c>
      <c r="B869" s="105" t="s">
        <v>1981</v>
      </c>
      <c r="C869" s="105" t="s">
        <v>1982</v>
      </c>
      <c r="D869" s="105" t="s">
        <v>538</v>
      </c>
      <c r="E869" s="95" t="str">
        <f>IFERROR(VLOOKUP(D869,MATERIALES!A:B,2,FALSE()),"?")</f>
        <v>ARENA LAVADA</v>
      </c>
      <c r="F869" s="129">
        <f>IFERROR(VLOOKUP(D869,MATERIALES!A:C,3,FALSE()),"?")</f>
        <v>0</v>
      </c>
      <c r="G869" s="119">
        <v>6.0000000000000001E-3</v>
      </c>
      <c r="H869" s="120">
        <v>0.1</v>
      </c>
      <c r="I869" s="96">
        <f>IFERROR(VLOOKUP(D869,MATERIALES!A:D,4,FALSE()),0)</f>
        <v>32620.38</v>
      </c>
      <c r="J869" s="31">
        <f t="shared" ref="J869:J871" si="340">G869*I869*(1+H869)</f>
        <v>215.29450800000004</v>
      </c>
      <c r="K869" s="32" t="str">
        <f t="shared" si="327"/>
        <v>PTO-0502|MAT</v>
      </c>
      <c r="L869" s="32">
        <f>COUNTIFS($K$2:K869,K869)</f>
        <v>1</v>
      </c>
      <c r="M869" s="32" t="str">
        <f t="shared" si="328"/>
        <v>PTO-0502|MAT|1</v>
      </c>
      <c r="N869" s="121">
        <f>IFERROR(VLOOKUP(A869,PARTIDAS!A:F,6,FALSE()),0)</f>
        <v>28</v>
      </c>
      <c r="O869" s="123">
        <f t="shared" si="329"/>
        <v>0</v>
      </c>
      <c r="P869" s="123">
        <f>+_xlfn.XLOOKUP(A869,PPTO_GENERADOR!Q:Q,PPTO_GENERADOR!E:E,"-",0)</f>
        <v>113</v>
      </c>
      <c r="Q869" s="123">
        <f t="shared" si="330"/>
        <v>0</v>
      </c>
      <c r="R869" s="125">
        <f>+_xlfn.XLOOKUP(A869,PPTO_GENERADOR!$Q:$Q,PPTO_GENERADOR!A:A,"-",0)</f>
        <v>5.0199999999999996</v>
      </c>
    </row>
    <row r="870" spans="1:18" ht="14.25" customHeight="1" x14ac:dyDescent="0.35">
      <c r="A870" s="105" t="s">
        <v>124</v>
      </c>
      <c r="B870" s="105" t="s">
        <v>1981</v>
      </c>
      <c r="C870" s="105" t="s">
        <v>1982</v>
      </c>
      <c r="D870" s="105" t="s">
        <v>544</v>
      </c>
      <c r="E870" s="95" t="str">
        <f>IFERROR(VLOOKUP(D870,MATERIALES!A:B,2,FALSE()),"?")</f>
        <v>Aditivo Hidrofugo en pasta - Ceresita x 1kg</v>
      </c>
      <c r="F870" s="129">
        <f>IFERROR(VLOOKUP(D870,MATERIALES!A:C,3,FALSE()),"?")</f>
        <v>0</v>
      </c>
      <c r="G870" s="119">
        <v>0.1</v>
      </c>
      <c r="H870" s="120">
        <v>0.05</v>
      </c>
      <c r="I870" s="96">
        <f>IFERROR(VLOOKUP(D870,MATERIALES!A:D,4,FALSE()),0)</f>
        <v>1363.95</v>
      </c>
      <c r="J870" s="31">
        <f t="shared" si="340"/>
        <v>143.21475000000001</v>
      </c>
      <c r="K870" s="32" t="str">
        <f t="shared" si="327"/>
        <v>PTO-0502|MAT</v>
      </c>
      <c r="L870" s="32">
        <f>COUNTIFS($K$2:K870,K870)</f>
        <v>2</v>
      </c>
      <c r="M870" s="32" t="str">
        <f t="shared" si="328"/>
        <v>PTO-0502|MAT|2</v>
      </c>
      <c r="N870" s="121">
        <f>IFERROR(VLOOKUP(A870,PARTIDAS!A:F,6,FALSE()),0)</f>
        <v>28</v>
      </c>
      <c r="O870" s="123">
        <f t="shared" si="329"/>
        <v>0</v>
      </c>
      <c r="P870" s="123">
        <f>+_xlfn.XLOOKUP(A870,PPTO_GENERADOR!Q:Q,PPTO_GENERADOR!E:E,"-",0)</f>
        <v>113</v>
      </c>
      <c r="Q870" s="123">
        <f t="shared" si="330"/>
        <v>0</v>
      </c>
      <c r="R870" s="125">
        <f>+_xlfn.XLOOKUP(A870,PPTO_GENERADOR!$Q:$Q,PPTO_GENERADOR!A:A,"-",0)</f>
        <v>5.0199999999999996</v>
      </c>
    </row>
    <row r="871" spans="1:18" ht="14.25" customHeight="1" x14ac:dyDescent="0.35">
      <c r="A871" s="105" t="s">
        <v>124</v>
      </c>
      <c r="B871" s="105" t="s">
        <v>1981</v>
      </c>
      <c r="C871" s="105" t="s">
        <v>1982</v>
      </c>
      <c r="D871" s="105" t="s">
        <v>540</v>
      </c>
      <c r="E871" s="95" t="str">
        <f>IFERROR(VLOOKUP(D871,MATERIALES!A:B,2,FALSE()),"?")</f>
        <v>Cemento Portland x 50kg</v>
      </c>
      <c r="F871" s="129">
        <f>IFERROR(VLOOKUP(D871,MATERIALES!A:C,3,FALSE()),"?")</f>
        <v>0</v>
      </c>
      <c r="G871" s="119">
        <v>5.3999999999999999E-2</v>
      </c>
      <c r="H871" s="120">
        <v>0.1</v>
      </c>
      <c r="I871" s="96">
        <f>IFERROR(VLOOKUP(D871,MATERIALES!A:D,4,FALSE()),0)</f>
        <v>7891.74</v>
      </c>
      <c r="J871" s="31">
        <f t="shared" si="340"/>
        <v>468.76935600000002</v>
      </c>
      <c r="K871" s="32" t="str">
        <f t="shared" si="327"/>
        <v>PTO-0502|MAT</v>
      </c>
      <c r="L871" s="32">
        <f>COUNTIFS($K$2:K871,K871)</f>
        <v>3</v>
      </c>
      <c r="M871" s="32" t="str">
        <f t="shared" si="328"/>
        <v>PTO-0502|MAT|3</v>
      </c>
      <c r="N871" s="121">
        <f>IFERROR(VLOOKUP(A871,PARTIDAS!A:F,6,FALSE()),0)</f>
        <v>28</v>
      </c>
      <c r="O871" s="123">
        <f t="shared" si="329"/>
        <v>0</v>
      </c>
      <c r="P871" s="123">
        <f>+_xlfn.XLOOKUP(A871,PPTO_GENERADOR!Q:Q,PPTO_GENERADOR!E:E,"-",0)</f>
        <v>113</v>
      </c>
      <c r="Q871" s="123">
        <f t="shared" si="330"/>
        <v>0</v>
      </c>
      <c r="R871" s="125">
        <f>+_xlfn.XLOOKUP(A871,PPTO_GENERADOR!$Q:$Q,PPTO_GENERADOR!A:A,"-",0)</f>
        <v>5.0199999999999996</v>
      </c>
    </row>
    <row r="872" spans="1:18" ht="14.25" customHeight="1" x14ac:dyDescent="0.35">
      <c r="A872" s="105" t="s">
        <v>124</v>
      </c>
      <c r="B872" s="105" t="s">
        <v>1979</v>
      </c>
      <c r="C872" s="105" t="s">
        <v>1980</v>
      </c>
      <c r="D872" s="105" t="s">
        <v>2038</v>
      </c>
      <c r="E872" s="95" t="str">
        <f>IFERROR(VLOOKUP(D872,MANO_DE_OBRA!A:B,2,FALSE()),"?")</f>
        <v>AYUDANTE</v>
      </c>
      <c r="F872" s="129" t="s">
        <v>2042</v>
      </c>
      <c r="G872" s="119">
        <v>0.4</v>
      </c>
      <c r="H872" s="120">
        <v>0</v>
      </c>
      <c r="I872" s="96">
        <f>IFERROR(VLOOKUP(D872,MANO_DE_OBRA!A:C,3,FALSE()),0)</f>
        <v>67240.498860267602</v>
      </c>
      <c r="J872" s="31">
        <f t="shared" ref="J872:J876" si="341">G872*I872</f>
        <v>26896.199544107043</v>
      </c>
      <c r="K872" s="32" t="str">
        <f t="shared" si="327"/>
        <v>PTO-0502|MO</v>
      </c>
      <c r="L872" s="32">
        <f>COUNTIFS($K$2:K872,K872)</f>
        <v>1</v>
      </c>
      <c r="M872" s="32" t="str">
        <f t="shared" si="328"/>
        <v>PTO-0502|MO|1</v>
      </c>
      <c r="N872" s="121">
        <f>IFERROR(VLOOKUP(A872,PARTIDAS!A:F,6,FALSE()),0)</f>
        <v>28</v>
      </c>
      <c r="O872" s="123">
        <f t="shared" si="329"/>
        <v>1.4285714285714287E-2</v>
      </c>
      <c r="P872" s="123">
        <f>+_xlfn.XLOOKUP(A872,PPTO_GENERADOR!Q:Q,PPTO_GENERADOR!E:E,"-",0)</f>
        <v>113</v>
      </c>
      <c r="Q872" s="123">
        <f t="shared" si="330"/>
        <v>1.6142857142857143</v>
      </c>
      <c r="R872" s="125">
        <f>+_xlfn.XLOOKUP(A872,PPTO_GENERADOR!$Q:$Q,PPTO_GENERADOR!A:A,"-",0)</f>
        <v>5.0199999999999996</v>
      </c>
    </row>
    <row r="873" spans="1:18" ht="14.25" customHeight="1" x14ac:dyDescent="0.35">
      <c r="A873" s="105" t="s">
        <v>124</v>
      </c>
      <c r="B873" s="105" t="s">
        <v>1979</v>
      </c>
      <c r="C873" s="105" t="s">
        <v>1980</v>
      </c>
      <c r="D873" s="105" t="s">
        <v>1292</v>
      </c>
      <c r="E873" s="95" t="str">
        <f>IFERROR(VLOOKUP(D873,MANO_DE_OBRA!A:B,2,FALSE()),"?")</f>
        <v>ESPECIALIZADO</v>
      </c>
      <c r="F873" s="129" t="s">
        <v>2042</v>
      </c>
      <c r="G873" s="119">
        <v>1</v>
      </c>
      <c r="H873" s="120">
        <v>0</v>
      </c>
      <c r="I873" s="96">
        <f>IFERROR(VLOOKUP(D873,MANO_DE_OBRA!A:C,3,FALSE()),0)</f>
        <v>94177.137883538904</v>
      </c>
      <c r="J873" s="31">
        <f t="shared" si="341"/>
        <v>94177.137883538904</v>
      </c>
      <c r="K873" s="32" t="str">
        <f t="shared" si="327"/>
        <v>PTO-0502|MO</v>
      </c>
      <c r="L873" s="32">
        <f>COUNTIFS($K$2:K873,K873)</f>
        <v>2</v>
      </c>
      <c r="M873" s="32" t="str">
        <f t="shared" si="328"/>
        <v>PTO-0502|MO|2</v>
      </c>
      <c r="N873" s="121">
        <f>IFERROR(VLOOKUP(A873,PARTIDAS!A:F,6,FALSE()),0)</f>
        <v>28</v>
      </c>
      <c r="O873" s="123">
        <f t="shared" si="329"/>
        <v>3.5714285714285712E-2</v>
      </c>
      <c r="P873" s="123">
        <f>+_xlfn.XLOOKUP(A873,PPTO_GENERADOR!Q:Q,PPTO_GENERADOR!E:E,"-",0)</f>
        <v>113</v>
      </c>
      <c r="Q873" s="123">
        <f t="shared" si="330"/>
        <v>4.0357142857142856</v>
      </c>
      <c r="R873" s="125">
        <f>+_xlfn.XLOOKUP(A873,PPTO_GENERADOR!$Q:$Q,PPTO_GENERADOR!A:A,"-",0)</f>
        <v>5.0199999999999996</v>
      </c>
    </row>
    <row r="874" spans="1:18" ht="14.25" customHeight="1" x14ac:dyDescent="0.35">
      <c r="A874" s="105" t="s">
        <v>124</v>
      </c>
      <c r="B874" s="105" t="s">
        <v>1983</v>
      </c>
      <c r="C874" s="105"/>
      <c r="D874" s="105" t="s">
        <v>1313</v>
      </c>
      <c r="E874" s="95" t="str">
        <f>IFERROR(VLOOKUP(D874,EQUIPOS!A:B,2,FALSE()),"?")</f>
        <v>ANDAMIO TUBULAR DE UNO A TRES CUERPOS</v>
      </c>
      <c r="F874" s="129"/>
      <c r="G874" s="119">
        <v>0.5</v>
      </c>
      <c r="H874" s="120">
        <v>0</v>
      </c>
      <c r="I874" s="96">
        <f>IFERROR(VLOOKUP(D874,EQUIPOS!A:F,6,FALSE()),0)</f>
        <v>620.81078197718341</v>
      </c>
      <c r="J874" s="31">
        <f t="shared" si="341"/>
        <v>310.40539098859171</v>
      </c>
      <c r="K874" s="32" t="str">
        <f t="shared" si="327"/>
        <v>PTO-0502|EQ</v>
      </c>
      <c r="L874" s="32">
        <f>COUNTIFS($K$2:K874,K874)</f>
        <v>1</v>
      </c>
      <c r="M874" s="32" t="str">
        <f t="shared" si="328"/>
        <v>PTO-0502|EQ|1</v>
      </c>
      <c r="N874" s="121">
        <f>IFERROR(VLOOKUP(A874,PARTIDAS!A:F,6,FALSE()),0)</f>
        <v>28</v>
      </c>
      <c r="O874" s="123">
        <f t="shared" si="329"/>
        <v>0</v>
      </c>
      <c r="P874" s="123">
        <f>+_xlfn.XLOOKUP(A874,PPTO_GENERADOR!Q:Q,PPTO_GENERADOR!E:E,"-",0)</f>
        <v>113</v>
      </c>
      <c r="Q874" s="123">
        <f t="shared" si="330"/>
        <v>0</v>
      </c>
      <c r="R874" s="125">
        <f>+_xlfn.XLOOKUP(A874,PPTO_GENERADOR!$Q:$Q,PPTO_GENERADOR!A:A,"-",0)</f>
        <v>5.0199999999999996</v>
      </c>
    </row>
    <row r="875" spans="1:18" ht="14.25" customHeight="1" x14ac:dyDescent="0.35">
      <c r="A875" s="105" t="s">
        <v>124</v>
      </c>
      <c r="B875" s="105" t="s">
        <v>1983</v>
      </c>
      <c r="C875" s="105"/>
      <c r="D875" s="105" t="s">
        <v>1319</v>
      </c>
      <c r="E875" s="95" t="str">
        <f>IFERROR(VLOOKUP(D875,EQUIPOS!A:B,2,FALSE()),"?")</f>
        <v>EQUIPO DE ALBAÑILERIA, carpetas, ladrillo</v>
      </c>
      <c r="F875" s="129"/>
      <c r="G875" s="119">
        <v>1</v>
      </c>
      <c r="H875" s="120">
        <v>0</v>
      </c>
      <c r="I875" s="96">
        <f>IFERROR(VLOOKUP(D875,EQUIPOS!A:F,6,FALSE()),0)</f>
        <v>2485.8709964593982</v>
      </c>
      <c r="J875" s="31">
        <f t="shared" si="341"/>
        <v>2485.8709964593982</v>
      </c>
      <c r="K875" s="32" t="str">
        <f t="shared" si="327"/>
        <v>PTO-0502|EQ</v>
      </c>
      <c r="L875" s="32">
        <f>COUNTIFS($K$2:K875,K875)</f>
        <v>2</v>
      </c>
      <c r="M875" s="32" t="str">
        <f t="shared" si="328"/>
        <v>PTO-0502|EQ|2</v>
      </c>
      <c r="N875" s="121">
        <f>IFERROR(VLOOKUP(A875,PARTIDAS!A:F,6,FALSE()),0)</f>
        <v>28</v>
      </c>
      <c r="O875" s="123">
        <f t="shared" si="329"/>
        <v>0</v>
      </c>
      <c r="P875" s="123">
        <f>+_xlfn.XLOOKUP(A875,PPTO_GENERADOR!Q:Q,PPTO_GENERADOR!E:E,"-",0)</f>
        <v>113</v>
      </c>
      <c r="Q875" s="123">
        <f t="shared" si="330"/>
        <v>0</v>
      </c>
      <c r="R875" s="125">
        <f>+_xlfn.XLOOKUP(A875,PPTO_GENERADOR!$Q:$Q,PPTO_GENERADOR!A:A,"-",0)</f>
        <v>5.0199999999999996</v>
      </c>
    </row>
    <row r="876" spans="1:18" ht="14.25" customHeight="1" x14ac:dyDescent="0.35">
      <c r="A876" s="105" t="s">
        <v>124</v>
      </c>
      <c r="B876" s="105" t="s">
        <v>1983</v>
      </c>
      <c r="C876" s="105"/>
      <c r="D876" s="105" t="s">
        <v>1507</v>
      </c>
      <c r="E876" s="95" t="str">
        <f>IFERROR(VLOOKUP(D876,EQUIPOS!A:B,2,FALSE()),"?")</f>
        <v>Hormigonera De 150 Litros 1hp Con Rueda Maciza</v>
      </c>
      <c r="F876" s="129"/>
      <c r="G876" s="119">
        <v>1</v>
      </c>
      <c r="H876" s="120">
        <v>0</v>
      </c>
      <c r="I876" s="96">
        <f>IFERROR(VLOOKUP(D876,EQUIPOS!A:F,6,FALSE()),0)</f>
        <v>1040.4314486705237</v>
      </c>
      <c r="J876" s="31">
        <f t="shared" si="341"/>
        <v>1040.4314486705237</v>
      </c>
      <c r="K876" s="32" t="str">
        <f t="shared" si="327"/>
        <v>PTO-0502|EQ</v>
      </c>
      <c r="L876" s="32">
        <f>COUNTIFS($K$2:K876,K876)</f>
        <v>3</v>
      </c>
      <c r="M876" s="32" t="str">
        <f t="shared" si="328"/>
        <v>PTO-0502|EQ|3</v>
      </c>
      <c r="N876" s="121">
        <f>IFERROR(VLOOKUP(A876,PARTIDAS!A:F,6,FALSE()),0)</f>
        <v>28</v>
      </c>
      <c r="O876" s="123">
        <f t="shared" si="329"/>
        <v>0</v>
      </c>
      <c r="P876" s="123">
        <f>+_xlfn.XLOOKUP(A876,PPTO_GENERADOR!Q:Q,PPTO_GENERADOR!E:E,"-",0)</f>
        <v>113</v>
      </c>
      <c r="Q876" s="123">
        <f t="shared" si="330"/>
        <v>0</v>
      </c>
      <c r="R876" s="125">
        <f>+_xlfn.XLOOKUP(A876,PPTO_GENERADOR!$Q:$Q,PPTO_GENERADOR!A:A,"-",0)</f>
        <v>5.0199999999999996</v>
      </c>
    </row>
    <row r="877" spans="1:18" ht="14.25" customHeight="1" x14ac:dyDescent="0.35">
      <c r="A877" s="105" t="s">
        <v>127</v>
      </c>
      <c r="B877" s="105" t="s">
        <v>1981</v>
      </c>
      <c r="C877" s="105" t="s">
        <v>1982</v>
      </c>
      <c r="D877" s="105" t="s">
        <v>538</v>
      </c>
      <c r="E877" s="95" t="str">
        <f>IFERROR(VLOOKUP(D877,MATERIALES!A:B,2,FALSE()),"?")</f>
        <v>ARENA LAVADA</v>
      </c>
      <c r="F877" s="129">
        <f>IFERROR(VLOOKUP(D877,MATERIALES!A:C,3,FALSE()),"?")</f>
        <v>0</v>
      </c>
      <c r="G877" s="119">
        <v>6.0000000000000001E-3</v>
      </c>
      <c r="H877" s="120">
        <v>0.1</v>
      </c>
      <c r="I877" s="96">
        <f>IFERROR(VLOOKUP(D877,MATERIALES!A:D,4,FALSE()),0)</f>
        <v>32620.38</v>
      </c>
      <c r="J877" s="31">
        <f t="shared" ref="J877:J879" si="342">G877*I877*(1+H877)</f>
        <v>215.29450800000004</v>
      </c>
      <c r="K877" s="32" t="str">
        <f t="shared" si="327"/>
        <v>PTO-0503|MAT</v>
      </c>
      <c r="L877" s="32">
        <f>COUNTIFS($K$2:K877,K877)</f>
        <v>1</v>
      </c>
      <c r="M877" s="32" t="str">
        <f t="shared" si="328"/>
        <v>PTO-0503|MAT|1</v>
      </c>
      <c r="N877" s="121">
        <f>IFERROR(VLOOKUP(A877,PARTIDAS!A:F,6,FALSE()),0)</f>
        <v>28</v>
      </c>
      <c r="O877" s="123">
        <f t="shared" si="329"/>
        <v>0</v>
      </c>
      <c r="P877" s="123">
        <f>+_xlfn.XLOOKUP(A877,PPTO_GENERADOR!Q:Q,PPTO_GENERADOR!E:E,"-",0)</f>
        <v>207</v>
      </c>
      <c r="Q877" s="123">
        <f t="shared" si="330"/>
        <v>0</v>
      </c>
      <c r="R877" s="125">
        <f>+_xlfn.XLOOKUP(A877,PPTO_GENERADOR!$Q:$Q,PPTO_GENERADOR!A:A,"-",0)</f>
        <v>5.03</v>
      </c>
    </row>
    <row r="878" spans="1:18" ht="14.25" customHeight="1" x14ac:dyDescent="0.35">
      <c r="A878" s="105" t="s">
        <v>127</v>
      </c>
      <c r="B878" s="105" t="s">
        <v>1981</v>
      </c>
      <c r="C878" s="105" t="s">
        <v>1982</v>
      </c>
      <c r="D878" s="105" t="s">
        <v>544</v>
      </c>
      <c r="E878" s="95" t="str">
        <f>IFERROR(VLOOKUP(D878,MATERIALES!A:B,2,FALSE()),"?")</f>
        <v>Aditivo Hidrofugo en pasta - Ceresita x 1kg</v>
      </c>
      <c r="F878" s="129">
        <f>IFERROR(VLOOKUP(D878,MATERIALES!A:C,3,FALSE()),"?")</f>
        <v>0</v>
      </c>
      <c r="G878" s="119">
        <v>0.1</v>
      </c>
      <c r="H878" s="120">
        <v>0.05</v>
      </c>
      <c r="I878" s="96">
        <f>IFERROR(VLOOKUP(D878,MATERIALES!A:D,4,FALSE()),0)</f>
        <v>1363.95</v>
      </c>
      <c r="J878" s="31">
        <f t="shared" si="342"/>
        <v>143.21475000000001</v>
      </c>
      <c r="K878" s="32" t="str">
        <f t="shared" si="327"/>
        <v>PTO-0503|MAT</v>
      </c>
      <c r="L878" s="32">
        <f>COUNTIFS($K$2:K878,K878)</f>
        <v>2</v>
      </c>
      <c r="M878" s="32" t="str">
        <f t="shared" si="328"/>
        <v>PTO-0503|MAT|2</v>
      </c>
      <c r="N878" s="121">
        <f>IFERROR(VLOOKUP(A878,PARTIDAS!A:F,6,FALSE()),0)</f>
        <v>28</v>
      </c>
      <c r="O878" s="123">
        <f t="shared" si="329"/>
        <v>0</v>
      </c>
      <c r="P878" s="123">
        <f>+_xlfn.XLOOKUP(A878,PPTO_GENERADOR!Q:Q,PPTO_GENERADOR!E:E,"-",0)</f>
        <v>207</v>
      </c>
      <c r="Q878" s="123">
        <f t="shared" si="330"/>
        <v>0</v>
      </c>
      <c r="R878" s="125">
        <f>+_xlfn.XLOOKUP(A878,PPTO_GENERADOR!$Q:$Q,PPTO_GENERADOR!A:A,"-",0)</f>
        <v>5.03</v>
      </c>
    </row>
    <row r="879" spans="1:18" ht="14.25" customHeight="1" x14ac:dyDescent="0.35">
      <c r="A879" s="105" t="s">
        <v>127</v>
      </c>
      <c r="B879" s="105" t="s">
        <v>1981</v>
      </c>
      <c r="C879" s="105" t="s">
        <v>1982</v>
      </c>
      <c r="D879" s="105" t="s">
        <v>540</v>
      </c>
      <c r="E879" s="95" t="str">
        <f>IFERROR(VLOOKUP(D879,MATERIALES!A:B,2,FALSE()),"?")</f>
        <v>Cemento Portland x 50kg</v>
      </c>
      <c r="F879" s="129">
        <f>IFERROR(VLOOKUP(D879,MATERIALES!A:C,3,FALSE()),"?")</f>
        <v>0</v>
      </c>
      <c r="G879" s="119">
        <v>5.3999999999999999E-2</v>
      </c>
      <c r="H879" s="120">
        <v>0.1</v>
      </c>
      <c r="I879" s="96">
        <f>IFERROR(VLOOKUP(D879,MATERIALES!A:D,4,FALSE()),0)</f>
        <v>7891.74</v>
      </c>
      <c r="J879" s="31">
        <f t="shared" si="342"/>
        <v>468.76935600000002</v>
      </c>
      <c r="K879" s="32" t="str">
        <f t="shared" si="327"/>
        <v>PTO-0503|MAT</v>
      </c>
      <c r="L879" s="32">
        <f>COUNTIFS($K$2:K879,K879)</f>
        <v>3</v>
      </c>
      <c r="M879" s="32" t="str">
        <f t="shared" si="328"/>
        <v>PTO-0503|MAT|3</v>
      </c>
      <c r="N879" s="121">
        <f>IFERROR(VLOOKUP(A879,PARTIDAS!A:F,6,FALSE()),0)</f>
        <v>28</v>
      </c>
      <c r="O879" s="123">
        <f t="shared" si="329"/>
        <v>0</v>
      </c>
      <c r="P879" s="123">
        <f>+_xlfn.XLOOKUP(A879,PPTO_GENERADOR!Q:Q,PPTO_GENERADOR!E:E,"-",0)</f>
        <v>207</v>
      </c>
      <c r="Q879" s="123">
        <f t="shared" si="330"/>
        <v>0</v>
      </c>
      <c r="R879" s="125">
        <f>+_xlfn.XLOOKUP(A879,PPTO_GENERADOR!$Q:$Q,PPTO_GENERADOR!A:A,"-",0)</f>
        <v>5.03</v>
      </c>
    </row>
    <row r="880" spans="1:18" ht="14.25" customHeight="1" x14ac:dyDescent="0.35">
      <c r="A880" s="105" t="s">
        <v>127</v>
      </c>
      <c r="B880" s="105" t="s">
        <v>1979</v>
      </c>
      <c r="C880" s="105" t="s">
        <v>1980</v>
      </c>
      <c r="D880" s="105" t="s">
        <v>2038</v>
      </c>
      <c r="E880" s="95" t="str">
        <f>IFERROR(VLOOKUP(D880,MANO_DE_OBRA!A:B,2,FALSE()),"?")</f>
        <v>AYUDANTE</v>
      </c>
      <c r="F880" s="129" t="s">
        <v>2042</v>
      </c>
      <c r="G880" s="119">
        <v>0.4</v>
      </c>
      <c r="H880" s="120">
        <v>0</v>
      </c>
      <c r="I880" s="96">
        <f>IFERROR(VLOOKUP(D880,MANO_DE_OBRA!A:C,3,FALSE()),0)</f>
        <v>67240.498860267602</v>
      </c>
      <c r="J880" s="31">
        <f t="shared" ref="J880:J884" si="343">G880*I880</f>
        <v>26896.199544107043</v>
      </c>
      <c r="K880" s="32" t="str">
        <f t="shared" si="327"/>
        <v>PTO-0503|MO</v>
      </c>
      <c r="L880" s="32">
        <f>COUNTIFS($K$2:K880,K880)</f>
        <v>1</v>
      </c>
      <c r="M880" s="32" t="str">
        <f t="shared" si="328"/>
        <v>PTO-0503|MO|1</v>
      </c>
      <c r="N880" s="121">
        <f>IFERROR(VLOOKUP(A880,PARTIDAS!A:F,6,FALSE()),0)</f>
        <v>28</v>
      </c>
      <c r="O880" s="123">
        <f t="shared" si="329"/>
        <v>1.4285714285714287E-2</v>
      </c>
      <c r="P880" s="123">
        <f>+_xlfn.XLOOKUP(A880,PPTO_GENERADOR!Q:Q,PPTO_GENERADOR!E:E,"-",0)</f>
        <v>207</v>
      </c>
      <c r="Q880" s="123">
        <f t="shared" si="330"/>
        <v>2.9571428571428573</v>
      </c>
      <c r="R880" s="125">
        <f>+_xlfn.XLOOKUP(A880,PPTO_GENERADOR!$Q:$Q,PPTO_GENERADOR!A:A,"-",0)</f>
        <v>5.03</v>
      </c>
    </row>
    <row r="881" spans="1:18" ht="14.25" customHeight="1" x14ac:dyDescent="0.35">
      <c r="A881" s="105" t="s">
        <v>127</v>
      </c>
      <c r="B881" s="105" t="s">
        <v>1979</v>
      </c>
      <c r="C881" s="105" t="s">
        <v>1980</v>
      </c>
      <c r="D881" s="105" t="s">
        <v>1292</v>
      </c>
      <c r="E881" s="95" t="str">
        <f>IFERROR(VLOOKUP(D881,MANO_DE_OBRA!A:B,2,FALSE()),"?")</f>
        <v>ESPECIALIZADO</v>
      </c>
      <c r="F881" s="129" t="s">
        <v>2042</v>
      </c>
      <c r="G881" s="119">
        <v>1</v>
      </c>
      <c r="H881" s="120">
        <v>0</v>
      </c>
      <c r="I881" s="96">
        <f>IFERROR(VLOOKUP(D881,MANO_DE_OBRA!A:C,3,FALSE()),0)</f>
        <v>94177.137883538904</v>
      </c>
      <c r="J881" s="31">
        <f t="shared" si="343"/>
        <v>94177.137883538904</v>
      </c>
      <c r="K881" s="32" t="str">
        <f t="shared" si="327"/>
        <v>PTO-0503|MO</v>
      </c>
      <c r="L881" s="32">
        <f>COUNTIFS($K$2:K881,K881)</f>
        <v>2</v>
      </c>
      <c r="M881" s="32" t="str">
        <f t="shared" si="328"/>
        <v>PTO-0503|MO|2</v>
      </c>
      <c r="N881" s="121">
        <f>IFERROR(VLOOKUP(A881,PARTIDAS!A:F,6,FALSE()),0)</f>
        <v>28</v>
      </c>
      <c r="O881" s="123">
        <f t="shared" si="329"/>
        <v>3.5714285714285712E-2</v>
      </c>
      <c r="P881" s="123">
        <f>+_xlfn.XLOOKUP(A881,PPTO_GENERADOR!Q:Q,PPTO_GENERADOR!E:E,"-",0)</f>
        <v>207</v>
      </c>
      <c r="Q881" s="123">
        <f t="shared" si="330"/>
        <v>7.3928571428571423</v>
      </c>
      <c r="R881" s="125">
        <f>+_xlfn.XLOOKUP(A881,PPTO_GENERADOR!$Q:$Q,PPTO_GENERADOR!A:A,"-",0)</f>
        <v>5.03</v>
      </c>
    </row>
    <row r="882" spans="1:18" ht="14.25" customHeight="1" x14ac:dyDescent="0.35">
      <c r="A882" s="105" t="s">
        <v>127</v>
      </c>
      <c r="B882" s="105" t="s">
        <v>1983</v>
      </c>
      <c r="C882" s="105"/>
      <c r="D882" s="105" t="s">
        <v>1313</v>
      </c>
      <c r="E882" s="95" t="str">
        <f>IFERROR(VLOOKUP(D882,EQUIPOS!A:B,2,FALSE()),"?")</f>
        <v>ANDAMIO TUBULAR DE UNO A TRES CUERPOS</v>
      </c>
      <c r="F882" s="129"/>
      <c r="G882" s="119">
        <v>0.5</v>
      </c>
      <c r="H882" s="120">
        <v>0</v>
      </c>
      <c r="I882" s="96">
        <f>IFERROR(VLOOKUP(D882,EQUIPOS!A:F,6,FALSE()),0)</f>
        <v>620.81078197718341</v>
      </c>
      <c r="J882" s="31">
        <f t="shared" si="343"/>
        <v>310.40539098859171</v>
      </c>
      <c r="K882" s="32" t="str">
        <f t="shared" si="327"/>
        <v>PTO-0503|EQ</v>
      </c>
      <c r="L882" s="32">
        <f>COUNTIFS($K$2:K882,K882)</f>
        <v>1</v>
      </c>
      <c r="M882" s="32" t="str">
        <f t="shared" si="328"/>
        <v>PTO-0503|EQ|1</v>
      </c>
      <c r="N882" s="121">
        <f>IFERROR(VLOOKUP(A882,PARTIDAS!A:F,6,FALSE()),0)</f>
        <v>28</v>
      </c>
      <c r="O882" s="123">
        <f t="shared" si="329"/>
        <v>0</v>
      </c>
      <c r="P882" s="123">
        <f>+_xlfn.XLOOKUP(A882,PPTO_GENERADOR!Q:Q,PPTO_GENERADOR!E:E,"-",0)</f>
        <v>207</v>
      </c>
      <c r="Q882" s="123">
        <f t="shared" si="330"/>
        <v>0</v>
      </c>
      <c r="R882" s="125">
        <f>+_xlfn.XLOOKUP(A882,PPTO_GENERADOR!$Q:$Q,PPTO_GENERADOR!A:A,"-",0)</f>
        <v>5.03</v>
      </c>
    </row>
    <row r="883" spans="1:18" ht="14.25" customHeight="1" x14ac:dyDescent="0.35">
      <c r="A883" s="105" t="s">
        <v>127</v>
      </c>
      <c r="B883" s="105" t="s">
        <v>1983</v>
      </c>
      <c r="C883" s="105"/>
      <c r="D883" s="105" t="s">
        <v>1319</v>
      </c>
      <c r="E883" s="95" t="str">
        <f>IFERROR(VLOOKUP(D883,EQUIPOS!A:B,2,FALSE()),"?")</f>
        <v>EQUIPO DE ALBAÑILERIA, carpetas, ladrillo</v>
      </c>
      <c r="F883" s="129"/>
      <c r="G883" s="119">
        <v>1</v>
      </c>
      <c r="H883" s="120">
        <v>0</v>
      </c>
      <c r="I883" s="96">
        <f>IFERROR(VLOOKUP(D883,EQUIPOS!A:F,6,FALSE()),0)</f>
        <v>2485.8709964593982</v>
      </c>
      <c r="J883" s="31">
        <f t="shared" si="343"/>
        <v>2485.8709964593982</v>
      </c>
      <c r="K883" s="32" t="str">
        <f t="shared" si="327"/>
        <v>PTO-0503|EQ</v>
      </c>
      <c r="L883" s="32">
        <f>COUNTIFS($K$2:K883,K883)</f>
        <v>2</v>
      </c>
      <c r="M883" s="32" t="str">
        <f t="shared" si="328"/>
        <v>PTO-0503|EQ|2</v>
      </c>
      <c r="N883" s="121">
        <f>IFERROR(VLOOKUP(A883,PARTIDAS!A:F,6,FALSE()),0)</f>
        <v>28</v>
      </c>
      <c r="O883" s="123">
        <f t="shared" si="329"/>
        <v>0</v>
      </c>
      <c r="P883" s="123">
        <f>+_xlfn.XLOOKUP(A883,PPTO_GENERADOR!Q:Q,PPTO_GENERADOR!E:E,"-",0)</f>
        <v>207</v>
      </c>
      <c r="Q883" s="123">
        <f t="shared" si="330"/>
        <v>0</v>
      </c>
      <c r="R883" s="125">
        <f>+_xlfn.XLOOKUP(A883,PPTO_GENERADOR!$Q:$Q,PPTO_GENERADOR!A:A,"-",0)</f>
        <v>5.03</v>
      </c>
    </row>
    <row r="884" spans="1:18" ht="14.25" customHeight="1" x14ac:dyDescent="0.35">
      <c r="A884" s="105" t="s">
        <v>127</v>
      </c>
      <c r="B884" s="105" t="s">
        <v>1983</v>
      </c>
      <c r="C884" s="105"/>
      <c r="D884" s="105" t="s">
        <v>1507</v>
      </c>
      <c r="E884" s="95" t="str">
        <f>IFERROR(VLOOKUP(D884,EQUIPOS!A:B,2,FALSE()),"?")</f>
        <v>Hormigonera De 150 Litros 1hp Con Rueda Maciza</v>
      </c>
      <c r="F884" s="129"/>
      <c r="G884" s="119">
        <v>1</v>
      </c>
      <c r="H884" s="120">
        <v>0</v>
      </c>
      <c r="I884" s="96">
        <f>IFERROR(VLOOKUP(D884,EQUIPOS!A:F,6,FALSE()),0)</f>
        <v>1040.4314486705237</v>
      </c>
      <c r="J884" s="31">
        <f t="shared" si="343"/>
        <v>1040.4314486705237</v>
      </c>
      <c r="K884" s="32" t="str">
        <f t="shared" si="327"/>
        <v>PTO-0503|EQ</v>
      </c>
      <c r="L884" s="32">
        <f>COUNTIFS($K$2:K884,K884)</f>
        <v>3</v>
      </c>
      <c r="M884" s="32" t="str">
        <f t="shared" si="328"/>
        <v>PTO-0503|EQ|3</v>
      </c>
      <c r="N884" s="121">
        <f>IFERROR(VLOOKUP(A884,PARTIDAS!A:F,6,FALSE()),0)</f>
        <v>28</v>
      </c>
      <c r="O884" s="123">
        <f t="shared" si="329"/>
        <v>0</v>
      </c>
      <c r="P884" s="123">
        <f>+_xlfn.XLOOKUP(A884,PPTO_GENERADOR!Q:Q,PPTO_GENERADOR!E:E,"-",0)</f>
        <v>207</v>
      </c>
      <c r="Q884" s="123">
        <f t="shared" si="330"/>
        <v>0</v>
      </c>
      <c r="R884" s="125">
        <f>+_xlfn.XLOOKUP(A884,PPTO_GENERADOR!$Q:$Q,PPTO_GENERADOR!A:A,"-",0)</f>
        <v>5.03</v>
      </c>
    </row>
    <row r="885" spans="1:18" ht="14.25" customHeight="1" x14ac:dyDescent="0.35">
      <c r="A885" s="105" t="s">
        <v>129</v>
      </c>
      <c r="B885" s="105" t="s">
        <v>1981</v>
      </c>
      <c r="C885" s="105" t="s">
        <v>1982</v>
      </c>
      <c r="D885" s="105" t="s">
        <v>733</v>
      </c>
      <c r="E885" s="95" t="str">
        <f>IFERROR(VLOOKUP(D885,MATERIALES!A:B,2,FALSE()),"?")</f>
        <v xml:space="preserve">Aislación térmica en terrazas, eps e:2,00 cm </v>
      </c>
      <c r="F885" s="129" t="str">
        <f>IFERROR(VLOOKUP(D885,MATERIALES!A:C,3,FALSE()),"?")</f>
        <v>u</v>
      </c>
      <c r="G885" s="119">
        <v>1</v>
      </c>
      <c r="H885" s="120">
        <v>0</v>
      </c>
      <c r="I885" s="96">
        <f>IFERROR(VLOOKUP(D885,MATERIALES!A:D,4,FALSE()),0)</f>
        <v>3538.08</v>
      </c>
      <c r="J885" s="31">
        <f t="shared" ref="J885:J890" si="344">G885*I885*(1+H885)</f>
        <v>3538.08</v>
      </c>
      <c r="K885" s="32" t="str">
        <f t="shared" ref="K885:K890" si="345">A885&amp;"|"&amp;B885</f>
        <v>PTO-0504|MAT</v>
      </c>
      <c r="L885" s="32">
        <f>COUNTIFS($K$2:K885,K885)</f>
        <v>1</v>
      </c>
      <c r="M885" s="32" t="str">
        <f t="shared" si="328"/>
        <v>PTO-0504|MAT|1</v>
      </c>
      <c r="N885" s="121">
        <f>IFERROR(VLOOKUP(A885,PARTIDAS!A:F,6,FALSE()),0)</f>
        <v>1</v>
      </c>
      <c r="O885" s="123">
        <f t="shared" si="329"/>
        <v>0</v>
      </c>
      <c r="P885" s="123">
        <f>+_xlfn.XLOOKUP(A885,PPTO_GENERADOR!Q:Q,PPTO_GENERADOR!E:E,"-",0)</f>
        <v>165</v>
      </c>
      <c r="Q885" s="123">
        <f t="shared" si="330"/>
        <v>0</v>
      </c>
      <c r="R885" s="125">
        <f>+_xlfn.XLOOKUP(A885,PPTO_GENERADOR!$Q:$Q,PPTO_GENERADOR!A:A,"-",0)</f>
        <v>5.04</v>
      </c>
    </row>
    <row r="886" spans="1:18" ht="14.25" customHeight="1" x14ac:dyDescent="0.35">
      <c r="A886" s="105" t="s">
        <v>131</v>
      </c>
      <c r="B886" s="105" t="s">
        <v>1981</v>
      </c>
      <c r="C886" s="105" t="s">
        <v>1982</v>
      </c>
      <c r="D886" s="105" t="s">
        <v>572</v>
      </c>
      <c r="E886" s="95" t="str">
        <f>IFERROR(VLOOKUP(D886,MATERIALES!A:B,2,FALSE()),"?")</f>
        <v>Pintura Asfaltica Asfasol x18ts</v>
      </c>
      <c r="F886" s="129">
        <f>IFERROR(VLOOKUP(D886,MATERIALES!A:C,3,FALSE()),"?")</f>
        <v>0</v>
      </c>
      <c r="G886" s="119">
        <v>2.7799999999999998E-2</v>
      </c>
      <c r="H886" s="120">
        <v>0.1</v>
      </c>
      <c r="I886" s="96">
        <f>IFERROR(VLOOKUP(D886,MATERIALES!A:D,4,FALSE()),0)</f>
        <v>35525.949999999997</v>
      </c>
      <c r="J886" s="31">
        <f t="shared" si="344"/>
        <v>1086.3835509999999</v>
      </c>
      <c r="K886" s="32" t="str">
        <f t="shared" si="345"/>
        <v>PTO-0505|MAT</v>
      </c>
      <c r="L886" s="32">
        <f>COUNTIFS($K$2:K886,K886)</f>
        <v>1</v>
      </c>
      <c r="M886" s="32" t="str">
        <f t="shared" si="328"/>
        <v>PTO-0505|MAT|1</v>
      </c>
      <c r="N886" s="121">
        <f>IFERROR(VLOOKUP(A886,PARTIDAS!A:F,6,FALSE()),0)</f>
        <v>80</v>
      </c>
      <c r="O886" s="123">
        <f t="shared" si="329"/>
        <v>0</v>
      </c>
      <c r="P886" s="123">
        <f>+_xlfn.XLOOKUP(A886,PPTO_GENERADOR!Q:Q,PPTO_GENERADOR!E:E,"-",0)</f>
        <v>165</v>
      </c>
      <c r="Q886" s="123">
        <f t="shared" si="330"/>
        <v>0</v>
      </c>
      <c r="R886" s="125">
        <f>+_xlfn.XLOOKUP(A886,PPTO_GENERADOR!$Q:$Q,PPTO_GENERADOR!A:A,"-",0)</f>
        <v>5.05</v>
      </c>
    </row>
    <row r="887" spans="1:18" ht="14.25" customHeight="1" x14ac:dyDescent="0.35">
      <c r="A887" s="105" t="s">
        <v>131</v>
      </c>
      <c r="B887" s="105" t="s">
        <v>1981</v>
      </c>
      <c r="C887" s="105" t="s">
        <v>1982</v>
      </c>
      <c r="D887" s="105" t="s">
        <v>922</v>
      </c>
      <c r="E887" s="95" t="str">
        <f>IFERROR(VLOOKUP(D887,MATERIALES!A:B,2,FALSE()),"?")</f>
        <v>Rodillo de lana pelo largo N°22 - El Galgo</v>
      </c>
      <c r="F887" s="129" t="str">
        <f>IFERROR(VLOOKUP(D887,MATERIALES!A:C,3,FALSE()),"?")</f>
        <v>u</v>
      </c>
      <c r="G887" s="119">
        <v>0.01</v>
      </c>
      <c r="H887" s="120">
        <v>0.05</v>
      </c>
      <c r="I887" s="96">
        <f>IFERROR(VLOOKUP(D887,MATERIALES!A:D,4,FALSE()),0)</f>
        <v>6442.15</v>
      </c>
      <c r="J887" s="31">
        <f t="shared" si="344"/>
        <v>67.642574999999994</v>
      </c>
      <c r="K887" s="32" t="str">
        <f t="shared" si="345"/>
        <v>PTO-0505|MAT</v>
      </c>
      <c r="L887" s="32">
        <f>COUNTIFS($K$2:K887,K887)</f>
        <v>2</v>
      </c>
      <c r="M887" s="32" t="str">
        <f t="shared" si="328"/>
        <v>PTO-0505|MAT|2</v>
      </c>
      <c r="N887" s="121">
        <f>IFERROR(VLOOKUP(A887,PARTIDAS!A:F,6,FALSE()),0)</f>
        <v>80</v>
      </c>
      <c r="O887" s="123">
        <f t="shared" si="329"/>
        <v>0</v>
      </c>
      <c r="P887" s="123">
        <f>+_xlfn.XLOOKUP(A887,PPTO_GENERADOR!Q:Q,PPTO_GENERADOR!E:E,"-",0)</f>
        <v>165</v>
      </c>
      <c r="Q887" s="123">
        <f t="shared" si="330"/>
        <v>0</v>
      </c>
      <c r="R887" s="125">
        <f>+_xlfn.XLOOKUP(A887,PPTO_GENERADOR!$Q:$Q,PPTO_GENERADOR!A:A,"-",0)</f>
        <v>5.05</v>
      </c>
    </row>
    <row r="888" spans="1:18" ht="14.25" customHeight="1" x14ac:dyDescent="0.35">
      <c r="A888" s="105" t="s">
        <v>131</v>
      </c>
      <c r="B888" s="105" t="s">
        <v>1981</v>
      </c>
      <c r="C888" s="105" t="s">
        <v>1982</v>
      </c>
      <c r="D888" s="105" t="s">
        <v>1007</v>
      </c>
      <c r="E888" s="95" t="str">
        <f>IFERROR(VLOOKUP(D888,MATERIALES!A:B,2,FALSE()),"?")</f>
        <v>Pincel N° 20 - El Galgo</v>
      </c>
      <c r="F888" s="129" t="str">
        <f>IFERROR(VLOOKUP(D888,MATERIALES!A:C,3,FALSE()),"?")</f>
        <v>u</v>
      </c>
      <c r="G888" s="119">
        <v>0.02</v>
      </c>
      <c r="H888" s="120">
        <v>0.05</v>
      </c>
      <c r="I888" s="96">
        <f>IFERROR(VLOOKUP(D888,MATERIALES!A:D,4,FALSE()),0)</f>
        <v>4418.1818181818198</v>
      </c>
      <c r="J888" s="31">
        <f t="shared" si="344"/>
        <v>92.781818181818224</v>
      </c>
      <c r="K888" s="32" t="str">
        <f t="shared" si="345"/>
        <v>PTO-0505|MAT</v>
      </c>
      <c r="L888" s="32">
        <f>COUNTIFS($K$2:K888,K888)</f>
        <v>3</v>
      </c>
      <c r="M888" s="32" t="str">
        <f t="shared" si="328"/>
        <v>PTO-0505|MAT|3</v>
      </c>
      <c r="N888" s="121">
        <f>IFERROR(VLOOKUP(A888,PARTIDAS!A:F,6,FALSE()),0)</f>
        <v>80</v>
      </c>
      <c r="O888" s="123">
        <f t="shared" si="329"/>
        <v>0</v>
      </c>
      <c r="P888" s="123">
        <f>+_xlfn.XLOOKUP(A888,PPTO_GENERADOR!Q:Q,PPTO_GENERADOR!E:E,"-",0)</f>
        <v>165</v>
      </c>
      <c r="Q888" s="123">
        <f t="shared" si="330"/>
        <v>0</v>
      </c>
      <c r="R888" s="125">
        <f>+_xlfn.XLOOKUP(A888,PPTO_GENERADOR!$Q:$Q,PPTO_GENERADOR!A:A,"-",0)</f>
        <v>5.05</v>
      </c>
    </row>
    <row r="889" spans="1:18" ht="14.25" customHeight="1" x14ac:dyDescent="0.35">
      <c r="A889" s="105" t="s">
        <v>131</v>
      </c>
      <c r="B889" s="105" t="s">
        <v>1981</v>
      </c>
      <c r="C889" s="105" t="s">
        <v>1982</v>
      </c>
      <c r="D889" s="105" t="s">
        <v>593</v>
      </c>
      <c r="E889" s="95" t="str">
        <f>IFERROR(VLOOKUP(D889,MATERIALES!A:B,2,FALSE()),"?")</f>
        <v>Aguarras Hydrarras Hydra x 18lts</v>
      </c>
      <c r="F889" s="129">
        <f>IFERROR(VLOOKUP(D889,MATERIALES!A:C,3,FALSE()),"?")</f>
        <v>0</v>
      </c>
      <c r="G889" s="119">
        <v>2E-3</v>
      </c>
      <c r="H889" s="120">
        <v>0.05</v>
      </c>
      <c r="I889" s="96">
        <f>IFERROR(VLOOKUP(D889,MATERIALES!A:D,4,FALSE()),0)</f>
        <v>58016.528925619801</v>
      </c>
      <c r="J889" s="31">
        <f t="shared" si="344"/>
        <v>121.83471074380159</v>
      </c>
      <c r="K889" s="32" t="str">
        <f t="shared" si="345"/>
        <v>PTO-0505|MAT</v>
      </c>
      <c r="L889" s="32">
        <f>COUNTIFS($K$2:K889,K889)</f>
        <v>4</v>
      </c>
      <c r="M889" s="32" t="str">
        <f t="shared" si="328"/>
        <v>PTO-0505|MAT|4</v>
      </c>
      <c r="N889" s="121">
        <f>IFERROR(VLOOKUP(A889,PARTIDAS!A:F,6,FALSE()),0)</f>
        <v>80</v>
      </c>
      <c r="O889" s="123">
        <f t="shared" si="329"/>
        <v>0</v>
      </c>
      <c r="P889" s="123">
        <f>+_xlfn.XLOOKUP(A889,PPTO_GENERADOR!Q:Q,PPTO_GENERADOR!E:E,"-",0)</f>
        <v>165</v>
      </c>
      <c r="Q889" s="123">
        <f t="shared" si="330"/>
        <v>0</v>
      </c>
      <c r="R889" s="125">
        <f>+_xlfn.XLOOKUP(A889,PPTO_GENERADOR!$Q:$Q,PPTO_GENERADOR!A:A,"-",0)</f>
        <v>5.05</v>
      </c>
    </row>
    <row r="890" spans="1:18" ht="14.25" customHeight="1" x14ac:dyDescent="0.35">
      <c r="A890" s="105" t="s">
        <v>131</v>
      </c>
      <c r="B890" s="105" t="s">
        <v>1981</v>
      </c>
      <c r="C890" s="105" t="s">
        <v>1982</v>
      </c>
      <c r="D890" s="105" t="s">
        <v>586</v>
      </c>
      <c r="E890" s="95" t="str">
        <f>IFERROR(VLOOKUP(D890,MATERIALES!A:B,2,FALSE()),"?")</f>
        <v>Trapo</v>
      </c>
      <c r="F890" s="129">
        <f>IFERROR(VLOOKUP(D890,MATERIALES!A:C,3,FALSE()),"?")</f>
        <v>0</v>
      </c>
      <c r="G890" s="119">
        <v>0.02</v>
      </c>
      <c r="H890" s="120">
        <v>0.05</v>
      </c>
      <c r="I890" s="96">
        <f>IFERROR(VLOOKUP(D890,MATERIALES!A:D,4,FALSE()),0)</f>
        <v>1182.6446280991699</v>
      </c>
      <c r="J890" s="31">
        <f t="shared" si="344"/>
        <v>24.835537190082572</v>
      </c>
      <c r="K890" s="32" t="str">
        <f t="shared" si="345"/>
        <v>PTO-0505|MAT</v>
      </c>
      <c r="L890" s="32">
        <f>COUNTIFS($K$2:K890,K890)</f>
        <v>5</v>
      </c>
      <c r="M890" s="32" t="str">
        <f t="shared" si="328"/>
        <v>PTO-0505|MAT|5</v>
      </c>
      <c r="N890" s="121">
        <f>IFERROR(VLOOKUP(A890,PARTIDAS!A:F,6,FALSE()),0)</f>
        <v>80</v>
      </c>
      <c r="O890" s="123">
        <f t="shared" si="329"/>
        <v>0</v>
      </c>
      <c r="P890" s="123">
        <f>+_xlfn.XLOOKUP(A890,PPTO_GENERADOR!Q:Q,PPTO_GENERADOR!E:E,"-",0)</f>
        <v>165</v>
      </c>
      <c r="Q890" s="123">
        <f t="shared" si="330"/>
        <v>0</v>
      </c>
      <c r="R890" s="125">
        <f>+_xlfn.XLOOKUP(A890,PPTO_GENERADOR!$Q:$Q,PPTO_GENERADOR!A:A,"-",0)</f>
        <v>5.05</v>
      </c>
    </row>
    <row r="891" spans="1:18" ht="14.25" customHeight="1" x14ac:dyDescent="0.35">
      <c r="A891" s="105" t="s">
        <v>131</v>
      </c>
      <c r="B891" s="105" t="s">
        <v>1979</v>
      </c>
      <c r="C891" s="105" t="s">
        <v>1980</v>
      </c>
      <c r="D891" s="105" t="s">
        <v>2038</v>
      </c>
      <c r="E891" s="95" t="str">
        <f>IFERROR(VLOOKUP(D891,MANO_DE_OBRA!A:B,2,FALSE()),"?")</f>
        <v>AYUDANTE</v>
      </c>
      <c r="F891" s="129" t="s">
        <v>2042</v>
      </c>
      <c r="G891" s="119">
        <v>1</v>
      </c>
      <c r="H891" s="120">
        <v>0</v>
      </c>
      <c r="I891" s="96">
        <f>IFERROR(VLOOKUP(D891,MANO_DE_OBRA!A:C,3,FALSE()),0)</f>
        <v>67240.498860267602</v>
      </c>
      <c r="J891" s="31">
        <f t="shared" ref="J891:J892" si="346">G891*I891</f>
        <v>67240.498860267602</v>
      </c>
      <c r="K891" s="32" t="str">
        <f t="shared" ref="K891:K948" si="347">A891&amp;"|"&amp;B891</f>
        <v>PTO-0505|MO</v>
      </c>
      <c r="L891" s="32">
        <f>COUNTIFS($K$2:K891,K891)</f>
        <v>1</v>
      </c>
      <c r="M891" s="32" t="str">
        <f t="shared" ref="M891:M896" si="348">K891&amp;"|"&amp;L891</f>
        <v>PTO-0505|MO|1</v>
      </c>
      <c r="N891" s="121">
        <f>IFERROR(VLOOKUP(A891,PARTIDAS!A:F,6,FALSE()),0)</f>
        <v>80</v>
      </c>
      <c r="O891" s="123">
        <f t="shared" si="329"/>
        <v>1.2500000000000001E-2</v>
      </c>
      <c r="P891" s="123">
        <f>+_xlfn.XLOOKUP(A891,PPTO_GENERADOR!Q:Q,PPTO_GENERADOR!E:E,"-",0)</f>
        <v>165</v>
      </c>
      <c r="Q891" s="123">
        <f t="shared" si="330"/>
        <v>2.0625</v>
      </c>
      <c r="R891" s="125">
        <f>+_xlfn.XLOOKUP(A891,PPTO_GENERADOR!$Q:$Q,PPTO_GENERADOR!A:A,"-",0)</f>
        <v>5.05</v>
      </c>
    </row>
    <row r="892" spans="1:18" ht="14.25" customHeight="1" x14ac:dyDescent="0.35">
      <c r="A892" s="105" t="s">
        <v>131</v>
      </c>
      <c r="B892" s="105" t="s">
        <v>1979</v>
      </c>
      <c r="C892" s="105" t="s">
        <v>1980</v>
      </c>
      <c r="D892" s="105" t="s">
        <v>1292</v>
      </c>
      <c r="E892" s="95" t="str">
        <f>IFERROR(VLOOKUP(D892,MANO_DE_OBRA!A:B,2,FALSE()),"?")</f>
        <v>ESPECIALIZADO</v>
      </c>
      <c r="F892" s="129" t="s">
        <v>2042</v>
      </c>
      <c r="G892" s="119">
        <v>1</v>
      </c>
      <c r="H892" s="120">
        <v>0</v>
      </c>
      <c r="I892" s="96">
        <f>IFERROR(VLOOKUP(D892,MANO_DE_OBRA!A:C,3,FALSE()),0)</f>
        <v>94177.137883538904</v>
      </c>
      <c r="J892" s="31">
        <f t="shared" si="346"/>
        <v>94177.137883538904</v>
      </c>
      <c r="K892" s="32" t="str">
        <f t="shared" si="347"/>
        <v>PTO-0505|MO</v>
      </c>
      <c r="L892" s="32">
        <f>COUNTIFS($K$2:K892,K892)</f>
        <v>2</v>
      </c>
      <c r="M892" s="32" t="str">
        <f t="shared" si="348"/>
        <v>PTO-0505|MO|2</v>
      </c>
      <c r="N892" s="121">
        <f>IFERROR(VLOOKUP(A892,PARTIDAS!A:F,6,FALSE()),0)</f>
        <v>80</v>
      </c>
      <c r="O892" s="123">
        <f t="shared" si="329"/>
        <v>1.2500000000000001E-2</v>
      </c>
      <c r="P892" s="123">
        <f>+_xlfn.XLOOKUP(A892,PPTO_GENERADOR!Q:Q,PPTO_GENERADOR!E:E,"-",0)</f>
        <v>165</v>
      </c>
      <c r="Q892" s="123">
        <f t="shared" si="330"/>
        <v>2.0625</v>
      </c>
      <c r="R892" s="125">
        <f>+_xlfn.XLOOKUP(A892,PPTO_GENERADOR!$Q:$Q,PPTO_GENERADOR!A:A,"-",0)</f>
        <v>5.05</v>
      </c>
    </row>
    <row r="893" spans="1:18" ht="14.25" customHeight="1" x14ac:dyDescent="0.35">
      <c r="A893" s="105" t="s">
        <v>131</v>
      </c>
      <c r="B893" s="105" t="s">
        <v>1983</v>
      </c>
      <c r="C893" s="105"/>
      <c r="D893" s="105" t="s">
        <v>1505</v>
      </c>
      <c r="E893" s="95" t="str">
        <f>IFERROR(VLOOKUP(D893,EQUIPOS!A:B,2,FALSE()),"?")</f>
        <v>Soldador Soplete A Gas Techista Membrana 10 Kg Boca 50mm</v>
      </c>
      <c r="F893" s="129"/>
      <c r="G893" s="119">
        <v>1</v>
      </c>
      <c r="H893" s="120">
        <v>0</v>
      </c>
      <c r="I893" s="96">
        <f>IFERROR(VLOOKUP(D893,EQUIPOS!A:F,6,FALSE()),0)</f>
        <v>874.41130614484587</v>
      </c>
      <c r="J893" s="31">
        <f>G893*I893</f>
        <v>874.41130614484587</v>
      </c>
      <c r="K893" s="32" t="str">
        <f t="shared" si="347"/>
        <v>PTO-0505|EQ</v>
      </c>
      <c r="L893" s="32">
        <f>COUNTIFS($K$2:K893,K893)</f>
        <v>1</v>
      </c>
      <c r="M893" s="32" t="str">
        <f t="shared" si="348"/>
        <v>PTO-0505|EQ|1</v>
      </c>
      <c r="N893" s="121">
        <f>IFERROR(VLOOKUP(A893,PARTIDAS!A:F,6,FALSE()),0)</f>
        <v>80</v>
      </c>
      <c r="O893" s="123">
        <f t="shared" si="329"/>
        <v>0</v>
      </c>
      <c r="P893" s="123">
        <f>+_xlfn.XLOOKUP(A893,PPTO_GENERADOR!Q:Q,PPTO_GENERADOR!E:E,"-",0)</f>
        <v>165</v>
      </c>
      <c r="Q893" s="123">
        <f t="shared" si="330"/>
        <v>0</v>
      </c>
      <c r="R893" s="125">
        <f>+_xlfn.XLOOKUP(A893,PPTO_GENERADOR!$Q:$Q,PPTO_GENERADOR!A:A,"-",0)</f>
        <v>5.05</v>
      </c>
    </row>
    <row r="894" spans="1:18" ht="14.25" customHeight="1" x14ac:dyDescent="0.35">
      <c r="A894" s="105" t="s">
        <v>134</v>
      </c>
      <c r="B894" s="105" t="s">
        <v>1981</v>
      </c>
      <c r="C894" s="105" t="s">
        <v>1982</v>
      </c>
      <c r="D894" s="105" t="s">
        <v>572</v>
      </c>
      <c r="E894" s="95" t="str">
        <f>IFERROR(VLOOKUP(D894,MATERIALES!A:B,2,FALSE()),"?")</f>
        <v>Pintura Asfaltica Asfasol x18ts</v>
      </c>
      <c r="F894" s="129">
        <f>IFERROR(VLOOKUP(D894,MATERIALES!A:C,3,FALSE()),"?")</f>
        <v>0</v>
      </c>
      <c r="G894" s="119">
        <v>2.7778000000000001E-2</v>
      </c>
      <c r="H894" s="120">
        <v>0.1</v>
      </c>
      <c r="I894" s="96">
        <f>IFERROR(VLOOKUP(D894,MATERIALES!A:D,4,FALSE()),0)</f>
        <v>35525.949999999997</v>
      </c>
      <c r="J894" s="31">
        <f t="shared" ref="J894:J896" si="349">G894*I894*(1+H894)</f>
        <v>1085.5238230100001</v>
      </c>
      <c r="K894" s="32" t="str">
        <f t="shared" si="347"/>
        <v>PTO-0506|MAT</v>
      </c>
      <c r="L894" s="32">
        <f>COUNTIFS($K$2:K894,K894)</f>
        <v>1</v>
      </c>
      <c r="M894" s="32" t="str">
        <f t="shared" si="348"/>
        <v>PTO-0506|MAT|1</v>
      </c>
      <c r="N894" s="121">
        <f>IFERROR(VLOOKUP(A894,PARTIDAS!A:F,6,FALSE()),0)</f>
        <v>1</v>
      </c>
      <c r="O894" s="123">
        <f t="shared" si="329"/>
        <v>0</v>
      </c>
      <c r="P894" s="123">
        <f>+_xlfn.XLOOKUP(A894,PPTO_GENERADOR!Q:Q,PPTO_GENERADOR!E:E,"-",0)</f>
        <v>274</v>
      </c>
      <c r="Q894" s="123">
        <f t="shared" si="330"/>
        <v>0</v>
      </c>
      <c r="R894" s="125">
        <f>+_xlfn.XLOOKUP(A894,PPTO_GENERADOR!$Q:$Q,PPTO_GENERADOR!A:A,"-",0)</f>
        <v>5.0599999999999996</v>
      </c>
    </row>
    <row r="895" spans="1:18" ht="14.25" customHeight="1" x14ac:dyDescent="0.35">
      <c r="A895" s="105" t="s">
        <v>134</v>
      </c>
      <c r="B895" s="105" t="s">
        <v>1981</v>
      </c>
      <c r="C895" s="105" t="s">
        <v>1982</v>
      </c>
      <c r="D895" s="105" t="s">
        <v>1005</v>
      </c>
      <c r="E895" s="95" t="str">
        <f>IFERROR(VLOOKUP(D895,MATERIALES!A:B,2,FALSE()),"?")</f>
        <v>Membrana Geotextil Ormiflex 4mm - (35kg) x10m</v>
      </c>
      <c r="F895" s="129" t="str">
        <f>IFERROR(VLOOKUP(D895,MATERIALES!A:C,3,FALSE()),"?")</f>
        <v>u</v>
      </c>
      <c r="G895" s="119">
        <v>0.1</v>
      </c>
      <c r="H895" s="120">
        <v>0.1</v>
      </c>
      <c r="I895" s="96">
        <f>IFERROR(VLOOKUP(D895,MATERIALES!A:D,4,FALSE()),0)</f>
        <v>57227.91</v>
      </c>
      <c r="J895" s="31">
        <f t="shared" si="349"/>
        <v>6295.0701000000017</v>
      </c>
      <c r="K895" s="32" t="str">
        <f t="shared" si="347"/>
        <v>PTO-0506|MAT</v>
      </c>
      <c r="L895" s="32">
        <f>COUNTIFS($K$2:K895,K895)</f>
        <v>2</v>
      </c>
      <c r="M895" s="32" t="str">
        <f t="shared" si="348"/>
        <v>PTO-0506|MAT|2</v>
      </c>
      <c r="N895" s="121">
        <f>IFERROR(VLOOKUP(A895,PARTIDAS!A:F,6,FALSE()),0)</f>
        <v>1</v>
      </c>
      <c r="O895" s="123">
        <f t="shared" si="329"/>
        <v>0</v>
      </c>
      <c r="P895" s="123">
        <f>+_xlfn.XLOOKUP(A895,PPTO_GENERADOR!Q:Q,PPTO_GENERADOR!E:E,"-",0)</f>
        <v>274</v>
      </c>
      <c r="Q895" s="123">
        <f t="shared" si="330"/>
        <v>0</v>
      </c>
      <c r="R895" s="125">
        <f>+_xlfn.XLOOKUP(A895,PPTO_GENERADOR!$Q:$Q,PPTO_GENERADOR!A:A,"-",0)</f>
        <v>5.0599999999999996</v>
      </c>
    </row>
    <row r="896" spans="1:18" ht="14.25" customHeight="1" x14ac:dyDescent="0.35">
      <c r="A896" s="105" t="s">
        <v>134</v>
      </c>
      <c r="B896" s="105" t="s">
        <v>1981</v>
      </c>
      <c r="C896" s="105" t="s">
        <v>1982</v>
      </c>
      <c r="D896" s="105" t="s">
        <v>922</v>
      </c>
      <c r="E896" s="95" t="str">
        <f>IFERROR(VLOOKUP(D896,MATERIALES!A:B,2,FALSE()),"?")</f>
        <v>Rodillo de lana pelo largo N°22 - El Galgo</v>
      </c>
      <c r="F896" s="129" t="str">
        <f>IFERROR(VLOOKUP(D896,MATERIALES!A:C,3,FALSE()),"?")</f>
        <v>u</v>
      </c>
      <c r="G896" s="119">
        <v>0.01</v>
      </c>
      <c r="H896" s="120">
        <v>0.05</v>
      </c>
      <c r="I896" s="96">
        <f>IFERROR(VLOOKUP(D896,MATERIALES!A:D,4,FALSE()),0)</f>
        <v>6442.15</v>
      </c>
      <c r="J896" s="31">
        <f t="shared" si="349"/>
        <v>67.642574999999994</v>
      </c>
      <c r="K896" s="32" t="str">
        <f t="shared" si="347"/>
        <v>PTO-0506|MAT</v>
      </c>
      <c r="L896" s="32">
        <f>COUNTIFS($K$2:K896,K896)</f>
        <v>3</v>
      </c>
      <c r="M896" s="32" t="str">
        <f t="shared" si="348"/>
        <v>PTO-0506|MAT|3</v>
      </c>
      <c r="N896" s="121">
        <f>IFERROR(VLOOKUP(A896,PARTIDAS!A:F,6,FALSE()),0)</f>
        <v>1</v>
      </c>
      <c r="O896" s="123">
        <f t="shared" si="329"/>
        <v>0</v>
      </c>
      <c r="P896" s="123">
        <f>+_xlfn.XLOOKUP(A896,PPTO_GENERADOR!Q:Q,PPTO_GENERADOR!E:E,"-",0)</f>
        <v>274</v>
      </c>
      <c r="Q896" s="123">
        <f t="shared" si="330"/>
        <v>0</v>
      </c>
      <c r="R896" s="125">
        <f>+_xlfn.XLOOKUP(A896,PPTO_GENERADOR!$Q:$Q,PPTO_GENERADOR!A:A,"-",0)</f>
        <v>5.0599999999999996</v>
      </c>
    </row>
    <row r="897" spans="1:18" ht="14.25" customHeight="1" x14ac:dyDescent="0.35">
      <c r="A897" s="105" t="s">
        <v>134</v>
      </c>
      <c r="B897" s="105" t="s">
        <v>1979</v>
      </c>
      <c r="C897" s="105" t="s">
        <v>1982</v>
      </c>
      <c r="D897" s="105" t="s">
        <v>1652</v>
      </c>
      <c r="E897" s="95" t="str">
        <f>IFERROR(VLOOKUP(D897,SUBCONTRATOS_PRY!A:B,2,FALSE()),"?")</f>
        <v>Colocación de membrana</v>
      </c>
      <c r="F897" s="129" t="s">
        <v>2042</v>
      </c>
      <c r="G897" s="119">
        <v>1</v>
      </c>
      <c r="H897" s="120">
        <v>0</v>
      </c>
      <c r="I897" s="96">
        <f>IFERROR(VLOOKUP(D897,SUBCONTRATOS_PRY!A:D,4,FALSE()),0)</f>
        <v>12775.619318344399</v>
      </c>
      <c r="J897" s="31">
        <f t="shared" ref="J897:J898" si="350">G897*I897</f>
        <v>12775.619318344399</v>
      </c>
      <c r="K897" s="32" t="str">
        <f t="shared" si="347"/>
        <v>PTO-0506|MO</v>
      </c>
      <c r="L897" s="32">
        <f>COUNTIFS($K$2:K897,K897)</f>
        <v>1</v>
      </c>
      <c r="M897" s="32" t="str">
        <f t="shared" ref="M897:M954" si="351">K897&amp;"|"&amp;L897</f>
        <v>PTO-0506|MO|1</v>
      </c>
      <c r="N897" s="121">
        <f>IFERROR(VLOOKUP(A897,PARTIDAS!A:F,6,FALSE()),0)</f>
        <v>1</v>
      </c>
      <c r="O897" s="123">
        <f t="shared" si="329"/>
        <v>0</v>
      </c>
      <c r="P897" s="123">
        <f>+_xlfn.XLOOKUP(A897,PPTO_GENERADOR!Q:Q,PPTO_GENERADOR!E:E,"-",0)</f>
        <v>274</v>
      </c>
      <c r="Q897" s="123">
        <f t="shared" si="330"/>
        <v>0</v>
      </c>
      <c r="R897" s="125">
        <f>+_xlfn.XLOOKUP(A897,PPTO_GENERADOR!$Q:$Q,PPTO_GENERADOR!A:A,"-",0)</f>
        <v>5.0599999999999996</v>
      </c>
    </row>
    <row r="898" spans="1:18" ht="14.25" customHeight="1" x14ac:dyDescent="0.35">
      <c r="A898" s="105" t="s">
        <v>134</v>
      </c>
      <c r="B898" s="105" t="s">
        <v>1979</v>
      </c>
      <c r="C898" s="105" t="s">
        <v>1982</v>
      </c>
      <c r="D898" s="105" t="s">
        <v>1654</v>
      </c>
      <c r="E898" s="95" t="str">
        <f>IFERROR(VLOOKUP(D898,SUBCONTRATOS_PRY!A:B,2,FALSE()),"?")</f>
        <v>Costo adicional en concepto de babetas (MO/OTR genérico)</v>
      </c>
      <c r="F898" s="129" t="s">
        <v>2042</v>
      </c>
      <c r="G898" s="119">
        <v>2555.1238636688799</v>
      </c>
      <c r="H898" s="120">
        <v>0</v>
      </c>
      <c r="I898" s="96">
        <f>IFERROR(VLOOKUP(D898,SUBCONTRATOS_PRY!A:D,4,FALSE()),0)</f>
        <v>1</v>
      </c>
      <c r="J898" s="31">
        <f t="shared" si="350"/>
        <v>2555.1238636688799</v>
      </c>
      <c r="K898" s="32" t="str">
        <f t="shared" si="347"/>
        <v>PTO-0506|MO</v>
      </c>
      <c r="L898" s="32">
        <f>COUNTIFS($K$2:K898,K898)</f>
        <v>2</v>
      </c>
      <c r="M898" s="32" t="str">
        <f t="shared" si="351"/>
        <v>PTO-0506|MO|2</v>
      </c>
      <c r="N898" s="121">
        <f>IFERROR(VLOOKUP(A898,PARTIDAS!A:F,6,FALSE()),0)</f>
        <v>1</v>
      </c>
      <c r="O898" s="123">
        <f t="shared" si="329"/>
        <v>0</v>
      </c>
      <c r="P898" s="123">
        <f>+_xlfn.XLOOKUP(A898,PPTO_GENERADOR!Q:Q,PPTO_GENERADOR!E:E,"-",0)</f>
        <v>274</v>
      </c>
      <c r="Q898" s="123">
        <f t="shared" si="330"/>
        <v>0</v>
      </c>
      <c r="R898" s="125">
        <f>+_xlfn.XLOOKUP(A898,PPTO_GENERADOR!$Q:$Q,PPTO_GENERADOR!A:A,"-",0)</f>
        <v>5.0599999999999996</v>
      </c>
    </row>
    <row r="899" spans="1:18" ht="14.25" customHeight="1" x14ac:dyDescent="0.35">
      <c r="A899" s="105" t="s">
        <v>134</v>
      </c>
      <c r="B899" s="105" t="s">
        <v>1981</v>
      </c>
      <c r="C899" s="105" t="s">
        <v>1982</v>
      </c>
      <c r="D899" s="105" t="s">
        <v>1007</v>
      </c>
      <c r="E899" s="95" t="str">
        <f>IFERROR(VLOOKUP(D899,MATERIALES!A:B,2,FALSE()),"?")</f>
        <v>Pincel N° 20 - El Galgo</v>
      </c>
      <c r="F899" s="129" t="str">
        <f>IFERROR(VLOOKUP(D899,MATERIALES!A:C,3,FALSE()),"?")</f>
        <v>u</v>
      </c>
      <c r="G899" s="119">
        <v>0.02</v>
      </c>
      <c r="H899" s="120">
        <v>0.05</v>
      </c>
      <c r="I899" s="96">
        <f>IFERROR(VLOOKUP(D899,MATERIALES!A:D,4,FALSE()),0)</f>
        <v>4418.1818181818198</v>
      </c>
      <c r="J899" s="31">
        <f t="shared" ref="J899:J900" si="352">G899*I899*(1+H899)</f>
        <v>92.781818181818224</v>
      </c>
      <c r="K899" s="32" t="str">
        <f t="shared" si="347"/>
        <v>PTO-0506|MAT</v>
      </c>
      <c r="L899" s="32">
        <f>COUNTIFS($K$2:K899,K899)</f>
        <v>4</v>
      </c>
      <c r="M899" s="32" t="str">
        <f t="shared" si="351"/>
        <v>PTO-0506|MAT|4</v>
      </c>
      <c r="N899" s="121">
        <f>IFERROR(VLOOKUP(A899,PARTIDAS!A:F,6,FALSE()),0)</f>
        <v>1</v>
      </c>
      <c r="O899" s="123">
        <f t="shared" ref="O899:O962" si="353">+IF(C899="ALB",G899/N899,0)</f>
        <v>0</v>
      </c>
      <c r="P899" s="123">
        <f>+_xlfn.XLOOKUP(A899,PPTO_GENERADOR!Q:Q,PPTO_GENERADOR!E:E,"-",0)</f>
        <v>274</v>
      </c>
      <c r="Q899" s="123">
        <f t="shared" ref="Q899:Q962" si="354">IFERROR(P899*O899,0)</f>
        <v>0</v>
      </c>
      <c r="R899" s="125">
        <f>+_xlfn.XLOOKUP(A899,PPTO_GENERADOR!$Q:$Q,PPTO_GENERADOR!A:A,"-",0)</f>
        <v>5.0599999999999996</v>
      </c>
    </row>
    <row r="900" spans="1:18" ht="14.25" customHeight="1" x14ac:dyDescent="0.35">
      <c r="A900" s="105" t="s">
        <v>134</v>
      </c>
      <c r="B900" s="105" t="s">
        <v>1981</v>
      </c>
      <c r="C900" s="105" t="s">
        <v>1982</v>
      </c>
      <c r="D900" s="105" t="s">
        <v>593</v>
      </c>
      <c r="E900" s="95" t="str">
        <f>IFERROR(VLOOKUP(D900,MATERIALES!A:B,2,FALSE()),"?")</f>
        <v>Aguarras Hydrarras Hydra x 18lts</v>
      </c>
      <c r="F900" s="129">
        <f>IFERROR(VLOOKUP(D900,MATERIALES!A:C,3,FALSE()),"?")</f>
        <v>0</v>
      </c>
      <c r="G900" s="119">
        <v>0.01</v>
      </c>
      <c r="H900" s="120">
        <v>0.05</v>
      </c>
      <c r="I900" s="96">
        <f>IFERROR(VLOOKUP(D900,MATERIALES!A:D,4,FALSE()),0)</f>
        <v>58016.528925619801</v>
      </c>
      <c r="J900" s="31">
        <f t="shared" si="352"/>
        <v>609.17355371900794</v>
      </c>
      <c r="K900" s="32" t="str">
        <f t="shared" si="347"/>
        <v>PTO-0506|MAT</v>
      </c>
      <c r="L900" s="32">
        <f>COUNTIFS($K$2:K900,K900)</f>
        <v>5</v>
      </c>
      <c r="M900" s="32" t="str">
        <f t="shared" si="351"/>
        <v>PTO-0506|MAT|5</v>
      </c>
      <c r="N900" s="121">
        <f>IFERROR(VLOOKUP(A900,PARTIDAS!A:F,6,FALSE()),0)</f>
        <v>1</v>
      </c>
      <c r="O900" s="123">
        <f t="shared" si="353"/>
        <v>0</v>
      </c>
      <c r="P900" s="123">
        <f>+_xlfn.XLOOKUP(A900,PPTO_GENERADOR!Q:Q,PPTO_GENERADOR!E:E,"-",0)</f>
        <v>274</v>
      </c>
      <c r="Q900" s="123">
        <f t="shared" si="354"/>
        <v>0</v>
      </c>
      <c r="R900" s="125">
        <f>+_xlfn.XLOOKUP(A900,PPTO_GENERADOR!$Q:$Q,PPTO_GENERADOR!A:A,"-",0)</f>
        <v>5.0599999999999996</v>
      </c>
    </row>
    <row r="901" spans="1:18" ht="14.25" customHeight="1" x14ac:dyDescent="0.35">
      <c r="A901" s="105" t="s">
        <v>134</v>
      </c>
      <c r="B901" s="105" t="s">
        <v>1983</v>
      </c>
      <c r="C901" s="105"/>
      <c r="D901" s="105" t="s">
        <v>1505</v>
      </c>
      <c r="E901" s="95" t="str">
        <f>IFERROR(VLOOKUP(D901,EQUIPOS!A:B,2,FALSE()),"?")</f>
        <v>Soldador Soplete A Gas Techista Membrana 10 Kg Boca 50mm</v>
      </c>
      <c r="F901" s="129"/>
      <c r="G901" s="119">
        <v>1</v>
      </c>
      <c r="H901" s="120">
        <v>0</v>
      </c>
      <c r="I901" s="96">
        <f>IFERROR(VLOOKUP(D901,EQUIPOS!A:F,6,FALSE()),0)</f>
        <v>874.41130614484587</v>
      </c>
      <c r="J901" s="31">
        <f>G901*I901</f>
        <v>874.41130614484587</v>
      </c>
      <c r="K901" s="32" t="str">
        <f t="shared" si="347"/>
        <v>PTO-0506|EQ</v>
      </c>
      <c r="L901" s="32">
        <f>COUNTIFS($K$2:K901,K901)</f>
        <v>1</v>
      </c>
      <c r="M901" s="32" t="str">
        <f t="shared" si="351"/>
        <v>PTO-0506|EQ|1</v>
      </c>
      <c r="N901" s="121">
        <f>IFERROR(VLOOKUP(A901,PARTIDAS!A:F,6,FALSE()),0)</f>
        <v>1</v>
      </c>
      <c r="O901" s="123">
        <f t="shared" si="353"/>
        <v>0</v>
      </c>
      <c r="P901" s="123">
        <f>+_xlfn.XLOOKUP(A901,PPTO_GENERADOR!Q:Q,PPTO_GENERADOR!E:E,"-",0)</f>
        <v>274</v>
      </c>
      <c r="Q901" s="123">
        <f t="shared" si="354"/>
        <v>0</v>
      </c>
      <c r="R901" s="125">
        <f>+_xlfn.XLOOKUP(A901,PPTO_GENERADOR!$Q:$Q,PPTO_GENERADOR!A:A,"-",0)</f>
        <v>5.0599999999999996</v>
      </c>
    </row>
    <row r="902" spans="1:18" ht="14.25" customHeight="1" x14ac:dyDescent="0.35">
      <c r="A902" s="105" t="s">
        <v>136</v>
      </c>
      <c r="B902" s="105" t="s">
        <v>1981</v>
      </c>
      <c r="C902" s="105" t="s">
        <v>1982</v>
      </c>
      <c r="D902" s="105" t="s">
        <v>734</v>
      </c>
      <c r="E902" s="95" t="str">
        <f>IFERROR(VLOOKUP(D902,MATERIALES!A:B,2,FALSE()),"?")</f>
        <v>Babeta amure gris C25 Des. 200mm x 2.44m</v>
      </c>
      <c r="F902" s="129" t="str">
        <f>IFERROR(VLOOKUP(D902,MATERIALES!A:C,3,FALSE()),"?")</f>
        <v>u</v>
      </c>
      <c r="G902" s="119">
        <v>0.45454499999999998</v>
      </c>
      <c r="H902" s="120">
        <v>0</v>
      </c>
      <c r="I902" s="96">
        <f>IFERROR(VLOOKUP(D902,MATERIALES!A:D,4,FALSE()),0)</f>
        <v>21485.39</v>
      </c>
      <c r="J902" s="31">
        <f t="shared" ref="J902:J904" si="355">G902*I902*(1+H902)</f>
        <v>9766.0765975499999</v>
      </c>
      <c r="K902" s="32" t="str">
        <f t="shared" si="347"/>
        <v>PTO-0601|MAT</v>
      </c>
      <c r="L902" s="32">
        <f>COUNTIFS($K$2:K902,K902)</f>
        <v>1</v>
      </c>
      <c r="M902" s="32" t="str">
        <f t="shared" si="351"/>
        <v>PTO-0601|MAT|1</v>
      </c>
      <c r="N902" s="121">
        <f>IFERROR(VLOOKUP(A902,PARTIDAS!A:F,6,FALSE()),0)</f>
        <v>1</v>
      </c>
      <c r="O902" s="123">
        <f t="shared" si="353"/>
        <v>0</v>
      </c>
      <c r="P902" s="123">
        <f>+_xlfn.XLOOKUP(A902,PPTO_GENERADOR!Q:Q,PPTO_GENERADOR!E:E,"-",0)</f>
        <v>44</v>
      </c>
      <c r="Q902" s="123">
        <f t="shared" si="354"/>
        <v>0</v>
      </c>
      <c r="R902" s="125">
        <f>+_xlfn.XLOOKUP(A902,PPTO_GENERADOR!$Q:$Q,PPTO_GENERADOR!A:A,"-",0)</f>
        <v>6.01</v>
      </c>
    </row>
    <row r="903" spans="1:18" ht="14.25" customHeight="1" x14ac:dyDescent="0.35">
      <c r="A903" s="105" t="s">
        <v>136</v>
      </c>
      <c r="B903" s="105" t="s">
        <v>1981</v>
      </c>
      <c r="C903" s="105" t="s">
        <v>1982</v>
      </c>
      <c r="D903" s="105" t="s">
        <v>736</v>
      </c>
      <c r="E903" s="95" t="str">
        <f>IFERROR(VLOOKUP(D903,MATERIALES!A:B,2,FALSE()),"?")</f>
        <v>Sikaflex®-1A  Sellador Poliuretano Color Gris 300ml</v>
      </c>
      <c r="F903" s="129" t="str">
        <f>IFERROR(VLOOKUP(D903,MATERIALES!A:C,3,FALSE()),"?")</f>
        <v>u</v>
      </c>
      <c r="G903" s="119">
        <v>0.204545</v>
      </c>
      <c r="H903" s="120">
        <v>0</v>
      </c>
      <c r="I903" s="96">
        <f>IFERROR(VLOOKUP(D903,MATERIALES!A:D,4,FALSE()),0)</f>
        <v>24676.900826446301</v>
      </c>
      <c r="J903" s="31">
        <f t="shared" si="355"/>
        <v>5047.5366795454584</v>
      </c>
      <c r="K903" s="32" t="str">
        <f t="shared" si="347"/>
        <v>PTO-0601|MAT</v>
      </c>
      <c r="L903" s="32">
        <f>COUNTIFS($K$2:K903,K903)</f>
        <v>2</v>
      </c>
      <c r="M903" s="32" t="str">
        <f t="shared" si="351"/>
        <v>PTO-0601|MAT|2</v>
      </c>
      <c r="N903" s="121">
        <f>IFERROR(VLOOKUP(A903,PARTIDAS!A:F,6,FALSE()),0)</f>
        <v>1</v>
      </c>
      <c r="O903" s="123">
        <f t="shared" si="353"/>
        <v>0</v>
      </c>
      <c r="P903" s="123">
        <f>+_xlfn.XLOOKUP(A903,PPTO_GENERADOR!Q:Q,PPTO_GENERADOR!E:E,"-",0)</f>
        <v>44</v>
      </c>
      <c r="Q903" s="123">
        <f t="shared" si="354"/>
        <v>0</v>
      </c>
      <c r="R903" s="125">
        <f>+_xlfn.XLOOKUP(A903,PPTO_GENERADOR!$Q:$Q,PPTO_GENERADOR!A:A,"-",0)</f>
        <v>6.01</v>
      </c>
    </row>
    <row r="904" spans="1:18" ht="14.25" customHeight="1" x14ac:dyDescent="0.35">
      <c r="A904" s="105" t="s">
        <v>136</v>
      </c>
      <c r="B904" s="105" t="s">
        <v>1981</v>
      </c>
      <c r="C904" s="105" t="s">
        <v>1982</v>
      </c>
      <c r="D904" s="105" t="s">
        <v>559</v>
      </c>
      <c r="E904" s="95" t="str">
        <f>IFERROR(VLOOKUP(D904,MATERIALES!A:B,2,FALSE()),"?")</f>
        <v>CONSUMIBLES (varios)</v>
      </c>
      <c r="F904" s="129" t="str">
        <f>IFERROR(VLOOKUP(D904,MATERIALES!A:C,3,FALSE()),"?")</f>
        <v>gl</v>
      </c>
      <c r="G904" s="119">
        <v>1481.3634259954899</v>
      </c>
      <c r="H904" s="120">
        <v>0</v>
      </c>
      <c r="I904" s="96">
        <f>IFERROR(VLOOKUP(D904,MATERIALES!A:D,4,FALSE()),0)</f>
        <v>1</v>
      </c>
      <c r="J904" s="31">
        <f t="shared" si="355"/>
        <v>1481.3634259954899</v>
      </c>
      <c r="K904" s="32" t="str">
        <f t="shared" si="347"/>
        <v>PTO-0601|MAT</v>
      </c>
      <c r="L904" s="32">
        <f>COUNTIFS($K$2:K904,K904)</f>
        <v>3</v>
      </c>
      <c r="M904" s="32" t="str">
        <f t="shared" si="351"/>
        <v>PTO-0601|MAT|3</v>
      </c>
      <c r="N904" s="121">
        <f>IFERROR(VLOOKUP(A904,PARTIDAS!A:F,6,FALSE()),0)</f>
        <v>1</v>
      </c>
      <c r="O904" s="123">
        <f t="shared" si="353"/>
        <v>0</v>
      </c>
      <c r="P904" s="123">
        <f>+_xlfn.XLOOKUP(A904,PPTO_GENERADOR!Q:Q,PPTO_GENERADOR!E:E,"-",0)</f>
        <v>44</v>
      </c>
      <c r="Q904" s="123">
        <f t="shared" si="354"/>
        <v>0</v>
      </c>
      <c r="R904" s="125">
        <f>+_xlfn.XLOOKUP(A904,PPTO_GENERADOR!$Q:$Q,PPTO_GENERADOR!A:A,"-",0)</f>
        <v>6.01</v>
      </c>
    </row>
    <row r="905" spans="1:18" ht="14.25" customHeight="1" x14ac:dyDescent="0.35">
      <c r="A905" s="105" t="s">
        <v>136</v>
      </c>
      <c r="B905" s="105" t="s">
        <v>1979</v>
      </c>
      <c r="C905" s="105" t="s">
        <v>1980</v>
      </c>
      <c r="D905" s="105" t="s">
        <v>1292</v>
      </c>
      <c r="E905" s="95" t="str">
        <f>IFERROR(VLOOKUP(D905,MANO_DE_OBRA!A:B,2,FALSE()),"?")</f>
        <v>ESPECIALIZADO</v>
      </c>
      <c r="F905" s="129" t="s">
        <v>2042</v>
      </c>
      <c r="G905" s="119">
        <v>4.5455000000000002E-2</v>
      </c>
      <c r="H905" s="120">
        <v>0</v>
      </c>
      <c r="I905" s="96">
        <f>IFERROR(VLOOKUP(D905,MANO_DE_OBRA!A:C,3,FALSE()),0)</f>
        <v>94177.137883538904</v>
      </c>
      <c r="J905" s="31">
        <f t="shared" ref="J905:J906" si="356">G905*I905</f>
        <v>4280.8218024962607</v>
      </c>
      <c r="K905" s="32" t="str">
        <f t="shared" si="347"/>
        <v>PTO-0601|MO</v>
      </c>
      <c r="L905" s="32">
        <f>COUNTIFS($K$2:K905,K905)</f>
        <v>1</v>
      </c>
      <c r="M905" s="32" t="str">
        <f t="shared" si="351"/>
        <v>PTO-0601|MO|1</v>
      </c>
      <c r="N905" s="121">
        <f>IFERROR(VLOOKUP(A905,PARTIDAS!A:F,6,FALSE()),0)</f>
        <v>1</v>
      </c>
      <c r="O905" s="123">
        <f t="shared" si="353"/>
        <v>4.5455000000000002E-2</v>
      </c>
      <c r="P905" s="123">
        <f>+_xlfn.XLOOKUP(A905,PPTO_GENERADOR!Q:Q,PPTO_GENERADOR!E:E,"-",0)</f>
        <v>44</v>
      </c>
      <c r="Q905" s="123">
        <f t="shared" si="354"/>
        <v>2.0000200000000001</v>
      </c>
      <c r="R905" s="125">
        <f>+_xlfn.XLOOKUP(A905,PPTO_GENERADOR!$Q:$Q,PPTO_GENERADOR!A:A,"-",0)</f>
        <v>6.01</v>
      </c>
    </row>
    <row r="906" spans="1:18" ht="14.25" customHeight="1" x14ac:dyDescent="0.35">
      <c r="A906" s="105" t="s">
        <v>136</v>
      </c>
      <c r="B906" s="105" t="s">
        <v>1979</v>
      </c>
      <c r="C906" s="105" t="s">
        <v>1980</v>
      </c>
      <c r="D906" s="105" t="s">
        <v>1290</v>
      </c>
      <c r="E906" s="95" t="str">
        <f>IFERROR(VLOOKUP(D906,MANO_DE_OBRA!A:B,2,FALSE()),"?")</f>
        <v>OFICIAL</v>
      </c>
      <c r="F906" s="129" t="s">
        <v>2042</v>
      </c>
      <c r="G906" s="119">
        <v>4.5455000000000002E-2</v>
      </c>
      <c r="H906" s="120">
        <v>0</v>
      </c>
      <c r="I906" s="96">
        <f>IFERROR(VLOOKUP(D906,MANO_DE_OBRA!A:C,3,FALSE()),0)</f>
        <v>84612.512709566407</v>
      </c>
      <c r="J906" s="31">
        <f t="shared" si="356"/>
        <v>3846.061765213341</v>
      </c>
      <c r="K906" s="32" t="str">
        <f t="shared" si="347"/>
        <v>PTO-0601|MO</v>
      </c>
      <c r="L906" s="32">
        <f>COUNTIFS($K$2:K906,K906)</f>
        <v>2</v>
      </c>
      <c r="M906" s="32" t="str">
        <f t="shared" si="351"/>
        <v>PTO-0601|MO|2</v>
      </c>
      <c r="N906" s="121">
        <f>IFERROR(VLOOKUP(A906,PARTIDAS!A:F,6,FALSE()),0)</f>
        <v>1</v>
      </c>
      <c r="O906" s="123">
        <f t="shared" si="353"/>
        <v>4.5455000000000002E-2</v>
      </c>
      <c r="P906" s="123">
        <f>+_xlfn.XLOOKUP(A906,PPTO_GENERADOR!Q:Q,PPTO_GENERADOR!E:E,"-",0)</f>
        <v>44</v>
      </c>
      <c r="Q906" s="123">
        <f t="shared" si="354"/>
        <v>2.0000200000000001</v>
      </c>
      <c r="R906" s="125">
        <f>+_xlfn.XLOOKUP(A906,PPTO_GENERADOR!$Q:$Q,PPTO_GENERADOR!A:A,"-",0)</f>
        <v>6.01</v>
      </c>
    </row>
    <row r="907" spans="1:18" ht="14.25" customHeight="1" x14ac:dyDescent="0.35">
      <c r="A907" s="105" t="s">
        <v>136</v>
      </c>
      <c r="B907" s="105" t="s">
        <v>1983</v>
      </c>
      <c r="C907" s="105"/>
      <c r="D907" s="105" t="s">
        <v>1385</v>
      </c>
      <c r="E907" s="95" t="str">
        <f>IFERROR(VLOOKUP(D907,EQUIPOS!A:B,2,FALSE()),"?")</f>
        <v>Herramientas — Babeta de chapa galvanizada en medianera</v>
      </c>
      <c r="F907" s="129"/>
      <c r="G907" s="119">
        <v>1</v>
      </c>
      <c r="H907" s="120">
        <v>0</v>
      </c>
      <c r="I907" s="96">
        <f>IFERROR(VLOOKUP(D907,EQUIPOS!A:F,6,FALSE()),0)</f>
        <v>366.32699978455503</v>
      </c>
      <c r="J907" s="31">
        <f>G907*I907</f>
        <v>366.32699978455503</v>
      </c>
      <c r="K907" s="32" t="str">
        <f t="shared" si="347"/>
        <v>PTO-0601|EQ</v>
      </c>
      <c r="L907" s="32">
        <f>COUNTIFS($K$2:K907,K907)</f>
        <v>1</v>
      </c>
      <c r="M907" s="32" t="str">
        <f t="shared" si="351"/>
        <v>PTO-0601|EQ|1</v>
      </c>
      <c r="N907" s="121">
        <f>IFERROR(VLOOKUP(A907,PARTIDAS!A:F,6,FALSE()),0)</f>
        <v>1</v>
      </c>
      <c r="O907" s="123">
        <f t="shared" si="353"/>
        <v>0</v>
      </c>
      <c r="P907" s="123">
        <f>+_xlfn.XLOOKUP(A907,PPTO_GENERADOR!Q:Q,PPTO_GENERADOR!E:E,"-",0)</f>
        <v>44</v>
      </c>
      <c r="Q907" s="123">
        <f t="shared" si="354"/>
        <v>0</v>
      </c>
      <c r="R907" s="125">
        <f>+_xlfn.XLOOKUP(A907,PPTO_GENERADOR!$Q:$Q,PPTO_GENERADOR!A:A,"-",0)</f>
        <v>6.01</v>
      </c>
    </row>
    <row r="908" spans="1:18" ht="14.25" customHeight="1" x14ac:dyDescent="0.35">
      <c r="A908" s="105" t="s">
        <v>138</v>
      </c>
      <c r="B908" s="105" t="s">
        <v>1981</v>
      </c>
      <c r="C908" s="105" t="s">
        <v>1982</v>
      </c>
      <c r="D908" s="105" t="s">
        <v>538</v>
      </c>
      <c r="E908" s="95" t="str">
        <f>IFERROR(VLOOKUP(D908,MATERIALES!A:B,2,FALSE()),"?")</f>
        <v>ARENA LAVADA</v>
      </c>
      <c r="F908" s="129">
        <f>IFERROR(VLOOKUP(D908,MATERIALES!A:C,3,FALSE()),"?")</f>
        <v>0</v>
      </c>
      <c r="G908" s="119">
        <v>2.5999999999999999E-2</v>
      </c>
      <c r="H908" s="120">
        <v>0.1</v>
      </c>
      <c r="I908" s="96">
        <f>IFERROR(VLOOKUP(D908,MATERIALES!A:D,4,FALSE()),0)</f>
        <v>32620.38</v>
      </c>
      <c r="J908" s="31">
        <f t="shared" ref="J908:J911" si="357">G908*I908*(1+H908)</f>
        <v>932.94286799999998</v>
      </c>
      <c r="K908" s="32" t="str">
        <f t="shared" si="347"/>
        <v>PTO-0701|MAT</v>
      </c>
      <c r="L908" s="32">
        <f>COUNTIFS($K$2:K908,K908)</f>
        <v>1</v>
      </c>
      <c r="M908" s="32" t="str">
        <f t="shared" si="351"/>
        <v>PTO-0701|MAT|1</v>
      </c>
      <c r="N908" s="121">
        <f>IFERROR(VLOOKUP(A908,PARTIDAS!A:F,6,FALSE()),0)</f>
        <v>11.5</v>
      </c>
      <c r="O908" s="123">
        <f t="shared" si="353"/>
        <v>0</v>
      </c>
      <c r="P908" s="123">
        <f>+_xlfn.XLOOKUP(A908,PPTO_GENERADOR!Q:Q,PPTO_GENERADOR!E:E,"-",0)</f>
        <v>663</v>
      </c>
      <c r="Q908" s="123">
        <f t="shared" si="354"/>
        <v>0</v>
      </c>
      <c r="R908" s="125">
        <f>+_xlfn.XLOOKUP(A908,PPTO_GENERADOR!$Q:$Q,PPTO_GENERADOR!A:A,"-",0)</f>
        <v>7.01</v>
      </c>
    </row>
    <row r="909" spans="1:18" ht="14.25" customHeight="1" x14ac:dyDescent="0.35">
      <c r="A909" s="105" t="s">
        <v>138</v>
      </c>
      <c r="B909" s="105" t="s">
        <v>1981</v>
      </c>
      <c r="C909" s="105" t="s">
        <v>1982</v>
      </c>
      <c r="D909" s="105" t="s">
        <v>544</v>
      </c>
      <c r="E909" s="95" t="str">
        <f>IFERROR(VLOOKUP(D909,MATERIALES!A:B,2,FALSE()),"?")</f>
        <v>Aditivo Hidrofugo en pasta - Ceresita x 1kg</v>
      </c>
      <c r="F909" s="129">
        <f>IFERROR(VLOOKUP(D909,MATERIALES!A:C,3,FALSE()),"?")</f>
        <v>0</v>
      </c>
      <c r="G909" s="119">
        <v>0.1</v>
      </c>
      <c r="H909" s="120">
        <v>0.05</v>
      </c>
      <c r="I909" s="96">
        <f>IFERROR(VLOOKUP(D909,MATERIALES!A:D,4,FALSE()),0)</f>
        <v>1363.95</v>
      </c>
      <c r="J909" s="31">
        <f t="shared" si="357"/>
        <v>143.21475000000001</v>
      </c>
      <c r="K909" s="32" t="str">
        <f t="shared" si="347"/>
        <v>PTO-0701|MAT</v>
      </c>
      <c r="L909" s="32">
        <f>COUNTIFS($K$2:K909,K909)</f>
        <v>2</v>
      </c>
      <c r="M909" s="32" t="str">
        <f t="shared" si="351"/>
        <v>PTO-0701|MAT|2</v>
      </c>
      <c r="N909" s="121">
        <f>IFERROR(VLOOKUP(A909,PARTIDAS!A:F,6,FALSE()),0)</f>
        <v>11.5</v>
      </c>
      <c r="O909" s="123">
        <f t="shared" si="353"/>
        <v>0</v>
      </c>
      <c r="P909" s="123">
        <f>+_xlfn.XLOOKUP(A909,PPTO_GENERADOR!Q:Q,PPTO_GENERADOR!E:E,"-",0)</f>
        <v>663</v>
      </c>
      <c r="Q909" s="123">
        <f t="shared" si="354"/>
        <v>0</v>
      </c>
      <c r="R909" s="125">
        <f>+_xlfn.XLOOKUP(A909,PPTO_GENERADOR!$Q:$Q,PPTO_GENERADOR!A:A,"-",0)</f>
        <v>7.01</v>
      </c>
    </row>
    <row r="910" spans="1:18" ht="14.25" customHeight="1" x14ac:dyDescent="0.35">
      <c r="A910" s="105" t="s">
        <v>138</v>
      </c>
      <c r="B910" s="105" t="s">
        <v>1981</v>
      </c>
      <c r="C910" s="105" t="s">
        <v>1982</v>
      </c>
      <c r="D910" s="105" t="s">
        <v>540</v>
      </c>
      <c r="E910" s="95" t="str">
        <f>IFERROR(VLOOKUP(D910,MATERIALES!A:B,2,FALSE()),"?")</f>
        <v>Cemento Portland x 50kg</v>
      </c>
      <c r="F910" s="129">
        <f>IFERROR(VLOOKUP(D910,MATERIALES!A:C,3,FALSE()),"?")</f>
        <v>0</v>
      </c>
      <c r="G910" s="119">
        <v>0.314</v>
      </c>
      <c r="H910" s="120">
        <v>0.1</v>
      </c>
      <c r="I910" s="96">
        <f>IFERROR(VLOOKUP(D910,MATERIALES!A:D,4,FALSE()),0)</f>
        <v>7891.74</v>
      </c>
      <c r="J910" s="31">
        <f t="shared" si="357"/>
        <v>2725.8069960000003</v>
      </c>
      <c r="K910" s="32" t="str">
        <f t="shared" si="347"/>
        <v>PTO-0701|MAT</v>
      </c>
      <c r="L910" s="32">
        <f>COUNTIFS($K$2:K910,K910)</f>
        <v>3</v>
      </c>
      <c r="M910" s="32" t="str">
        <f t="shared" si="351"/>
        <v>PTO-0701|MAT|3</v>
      </c>
      <c r="N910" s="121">
        <f>IFERROR(VLOOKUP(A910,PARTIDAS!A:F,6,FALSE()),0)</f>
        <v>11.5</v>
      </c>
      <c r="O910" s="123">
        <f t="shared" si="353"/>
        <v>0</v>
      </c>
      <c r="P910" s="123">
        <f>+_xlfn.XLOOKUP(A910,PPTO_GENERADOR!Q:Q,PPTO_GENERADOR!E:E,"-",0)</f>
        <v>663</v>
      </c>
      <c r="Q910" s="123">
        <f t="shared" si="354"/>
        <v>0</v>
      </c>
      <c r="R910" s="125">
        <f>+_xlfn.XLOOKUP(A910,PPTO_GENERADOR!$Q:$Q,PPTO_GENERADOR!A:A,"-",0)</f>
        <v>7.01</v>
      </c>
    </row>
    <row r="911" spans="1:18" ht="14.25" customHeight="1" x14ac:dyDescent="0.35">
      <c r="A911" s="105" t="s">
        <v>138</v>
      </c>
      <c r="B911" s="105" t="s">
        <v>1981</v>
      </c>
      <c r="C911" s="105" t="s">
        <v>1982</v>
      </c>
      <c r="D911" s="105" t="s">
        <v>542</v>
      </c>
      <c r="E911" s="95" t="str">
        <f>IFERROR(VLOOKUP(D911,MATERIALES!A:B,2,FALSE()),"?")</f>
        <v>Cal Comun x 25kg</v>
      </c>
      <c r="F911" s="129">
        <f>IFERROR(VLOOKUP(D911,MATERIALES!A:C,3,FALSE()),"?")</f>
        <v>0</v>
      </c>
      <c r="G911" s="119">
        <v>0.06</v>
      </c>
      <c r="H911" s="120">
        <v>0.1</v>
      </c>
      <c r="I911" s="96">
        <f>IFERROR(VLOOKUP(D911,MATERIALES!A:D,4,FALSE()),0)</f>
        <v>3927.28</v>
      </c>
      <c r="J911" s="31">
        <f t="shared" si="357"/>
        <v>259.20048000000003</v>
      </c>
      <c r="K911" s="32" t="str">
        <f t="shared" si="347"/>
        <v>PTO-0701|MAT</v>
      </c>
      <c r="L911" s="32">
        <f>COUNTIFS($K$2:K911,K911)</f>
        <v>4</v>
      </c>
      <c r="M911" s="32" t="str">
        <f t="shared" si="351"/>
        <v>PTO-0701|MAT|4</v>
      </c>
      <c r="N911" s="121">
        <f>IFERROR(VLOOKUP(A911,PARTIDAS!A:F,6,FALSE()),0)</f>
        <v>11.5</v>
      </c>
      <c r="O911" s="123">
        <f t="shared" si="353"/>
        <v>0</v>
      </c>
      <c r="P911" s="123">
        <f>+_xlfn.XLOOKUP(A911,PPTO_GENERADOR!Q:Q,PPTO_GENERADOR!E:E,"-",0)</f>
        <v>663</v>
      </c>
      <c r="Q911" s="123">
        <f t="shared" si="354"/>
        <v>0</v>
      </c>
      <c r="R911" s="125">
        <f>+_xlfn.XLOOKUP(A911,PPTO_GENERADOR!$Q:$Q,PPTO_GENERADOR!A:A,"-",0)</f>
        <v>7.01</v>
      </c>
    </row>
    <row r="912" spans="1:18" ht="14.25" customHeight="1" x14ac:dyDescent="0.35">
      <c r="A912" s="105" t="s">
        <v>138</v>
      </c>
      <c r="B912" s="105" t="s">
        <v>1979</v>
      </c>
      <c r="C912" s="105" t="s">
        <v>1980</v>
      </c>
      <c r="D912" s="105" t="s">
        <v>1292</v>
      </c>
      <c r="E912" s="95" t="str">
        <f>IFERROR(VLOOKUP(D912,MANO_DE_OBRA!A:B,2,FALSE()),"?")</f>
        <v>ESPECIALIZADO</v>
      </c>
      <c r="F912" s="129" t="s">
        <v>2042</v>
      </c>
      <c r="G912" s="119">
        <v>1</v>
      </c>
      <c r="H912" s="120">
        <v>0</v>
      </c>
      <c r="I912" s="96">
        <f>IFERROR(VLOOKUP(D912,MANO_DE_OBRA!A:C,3,FALSE()),0)</f>
        <v>94177.137883538904</v>
      </c>
      <c r="J912" s="31">
        <f t="shared" ref="J912:J916" si="358">G912*I912</f>
        <v>94177.137883538904</v>
      </c>
      <c r="K912" s="32" t="str">
        <f t="shared" si="347"/>
        <v>PTO-0701|MO</v>
      </c>
      <c r="L912" s="32">
        <f>COUNTIFS($K$2:K912,K912)</f>
        <v>1</v>
      </c>
      <c r="M912" s="32" t="str">
        <f t="shared" si="351"/>
        <v>PTO-0701|MO|1</v>
      </c>
      <c r="N912" s="121">
        <f>IFERROR(VLOOKUP(A912,PARTIDAS!A:F,6,FALSE()),0)</f>
        <v>11.5</v>
      </c>
      <c r="O912" s="123">
        <f t="shared" si="353"/>
        <v>8.6956521739130432E-2</v>
      </c>
      <c r="P912" s="123">
        <f>+_xlfn.XLOOKUP(A912,PPTO_GENERADOR!Q:Q,PPTO_GENERADOR!E:E,"-",0)</f>
        <v>663</v>
      </c>
      <c r="Q912" s="123">
        <f t="shared" si="354"/>
        <v>57.652173913043477</v>
      </c>
      <c r="R912" s="125">
        <f>+_xlfn.XLOOKUP(A912,PPTO_GENERADOR!$Q:$Q,PPTO_GENERADOR!A:A,"-",0)</f>
        <v>7.01</v>
      </c>
    </row>
    <row r="913" spans="1:18" ht="14.25" customHeight="1" x14ac:dyDescent="0.35">
      <c r="A913" s="105" t="s">
        <v>138</v>
      </c>
      <c r="B913" s="105" t="s">
        <v>1979</v>
      </c>
      <c r="C913" s="105" t="s">
        <v>1980</v>
      </c>
      <c r="D913" s="105" t="s">
        <v>2038</v>
      </c>
      <c r="E913" s="95" t="str">
        <f>IFERROR(VLOOKUP(D913,MANO_DE_OBRA!A:B,2,FALSE()),"?")</f>
        <v>AYUDANTE</v>
      </c>
      <c r="F913" s="129" t="s">
        <v>2042</v>
      </c>
      <c r="G913" s="119">
        <v>0.6</v>
      </c>
      <c r="H913" s="120">
        <v>0</v>
      </c>
      <c r="I913" s="96">
        <f>IFERROR(VLOOKUP(D913,MANO_DE_OBRA!A:C,3,FALSE()),0)</f>
        <v>67240.498860267602</v>
      </c>
      <c r="J913" s="31">
        <f t="shared" si="358"/>
        <v>40344.299316160563</v>
      </c>
      <c r="K913" s="32" t="str">
        <f t="shared" si="347"/>
        <v>PTO-0701|MO</v>
      </c>
      <c r="L913" s="32">
        <f>COUNTIFS($K$2:K913,K913)</f>
        <v>2</v>
      </c>
      <c r="M913" s="32" t="str">
        <f t="shared" si="351"/>
        <v>PTO-0701|MO|2</v>
      </c>
      <c r="N913" s="121">
        <f>IFERROR(VLOOKUP(A913,PARTIDAS!A:F,6,FALSE()),0)</f>
        <v>11.5</v>
      </c>
      <c r="O913" s="123">
        <f t="shared" si="353"/>
        <v>5.2173913043478258E-2</v>
      </c>
      <c r="P913" s="123">
        <f>+_xlfn.XLOOKUP(A913,PPTO_GENERADOR!Q:Q,PPTO_GENERADOR!E:E,"-",0)</f>
        <v>663</v>
      </c>
      <c r="Q913" s="123">
        <f t="shared" si="354"/>
        <v>34.591304347826082</v>
      </c>
      <c r="R913" s="125">
        <f>+_xlfn.XLOOKUP(A913,PPTO_GENERADOR!$Q:$Q,PPTO_GENERADOR!A:A,"-",0)</f>
        <v>7.01</v>
      </c>
    </row>
    <row r="914" spans="1:18" ht="14.25" customHeight="1" x14ac:dyDescent="0.35">
      <c r="A914" s="105" t="s">
        <v>138</v>
      </c>
      <c r="B914" s="105" t="s">
        <v>1983</v>
      </c>
      <c r="C914" s="105"/>
      <c r="D914" s="105" t="s">
        <v>1313</v>
      </c>
      <c r="E914" s="95" t="str">
        <f>IFERROR(VLOOKUP(D914,EQUIPOS!A:B,2,FALSE()),"?")</f>
        <v>ANDAMIO TUBULAR DE UNO A TRES CUERPOS</v>
      </c>
      <c r="F914" s="129"/>
      <c r="G914" s="119">
        <v>0.5</v>
      </c>
      <c r="H914" s="120">
        <v>0</v>
      </c>
      <c r="I914" s="96">
        <f>IFERROR(VLOOKUP(D914,EQUIPOS!A:F,6,FALSE()),0)</f>
        <v>620.81078197718341</v>
      </c>
      <c r="J914" s="31">
        <f t="shared" si="358"/>
        <v>310.40539098859171</v>
      </c>
      <c r="K914" s="32" t="str">
        <f t="shared" si="347"/>
        <v>PTO-0701|EQ</v>
      </c>
      <c r="L914" s="32">
        <f>COUNTIFS($K$2:K914,K914)</f>
        <v>1</v>
      </c>
      <c r="M914" s="32" t="str">
        <f t="shared" si="351"/>
        <v>PTO-0701|EQ|1</v>
      </c>
      <c r="N914" s="121">
        <f>IFERROR(VLOOKUP(A914,PARTIDAS!A:F,6,FALSE()),0)</f>
        <v>11.5</v>
      </c>
      <c r="O914" s="123">
        <f t="shared" si="353"/>
        <v>0</v>
      </c>
      <c r="P914" s="123">
        <f>+_xlfn.XLOOKUP(A914,PPTO_GENERADOR!Q:Q,PPTO_GENERADOR!E:E,"-",0)</f>
        <v>663</v>
      </c>
      <c r="Q914" s="123">
        <f t="shared" si="354"/>
        <v>0</v>
      </c>
      <c r="R914" s="125">
        <f>+_xlfn.XLOOKUP(A914,PPTO_GENERADOR!$Q:$Q,PPTO_GENERADOR!A:A,"-",0)</f>
        <v>7.01</v>
      </c>
    </row>
    <row r="915" spans="1:18" ht="14.25" customHeight="1" x14ac:dyDescent="0.35">
      <c r="A915" s="105" t="s">
        <v>138</v>
      </c>
      <c r="B915" s="105" t="s">
        <v>1983</v>
      </c>
      <c r="C915" s="105"/>
      <c r="D915" s="105" t="s">
        <v>1319</v>
      </c>
      <c r="E915" s="95" t="str">
        <f>IFERROR(VLOOKUP(D915,EQUIPOS!A:B,2,FALSE()),"?")</f>
        <v>EQUIPO DE ALBAÑILERIA, carpetas, ladrillo</v>
      </c>
      <c r="F915" s="129"/>
      <c r="G915" s="119">
        <v>1</v>
      </c>
      <c r="H915" s="120">
        <v>0</v>
      </c>
      <c r="I915" s="96">
        <f>IFERROR(VLOOKUP(D915,EQUIPOS!A:F,6,FALSE()),0)</f>
        <v>2485.8709964593982</v>
      </c>
      <c r="J915" s="31">
        <f t="shared" si="358"/>
        <v>2485.8709964593982</v>
      </c>
      <c r="K915" s="32" t="str">
        <f t="shared" si="347"/>
        <v>PTO-0701|EQ</v>
      </c>
      <c r="L915" s="32">
        <f>COUNTIFS($K$2:K915,K915)</f>
        <v>2</v>
      </c>
      <c r="M915" s="32" t="str">
        <f t="shared" si="351"/>
        <v>PTO-0701|EQ|2</v>
      </c>
      <c r="N915" s="121">
        <f>IFERROR(VLOOKUP(A915,PARTIDAS!A:F,6,FALSE()),0)</f>
        <v>11.5</v>
      </c>
      <c r="O915" s="123">
        <f t="shared" si="353"/>
        <v>0</v>
      </c>
      <c r="P915" s="123">
        <f>+_xlfn.XLOOKUP(A915,PPTO_GENERADOR!Q:Q,PPTO_GENERADOR!E:E,"-",0)</f>
        <v>663</v>
      </c>
      <c r="Q915" s="123">
        <f t="shared" si="354"/>
        <v>0</v>
      </c>
      <c r="R915" s="125">
        <f>+_xlfn.XLOOKUP(A915,PPTO_GENERADOR!$Q:$Q,PPTO_GENERADOR!A:A,"-",0)</f>
        <v>7.01</v>
      </c>
    </row>
    <row r="916" spans="1:18" ht="14.25" customHeight="1" x14ac:dyDescent="0.35">
      <c r="A916" s="105" t="s">
        <v>138</v>
      </c>
      <c r="B916" s="105" t="s">
        <v>1983</v>
      </c>
      <c r="C916" s="105"/>
      <c r="D916" s="105" t="s">
        <v>1507</v>
      </c>
      <c r="E916" s="95" t="str">
        <f>IFERROR(VLOOKUP(D916,EQUIPOS!A:B,2,FALSE()),"?")</f>
        <v>Hormigonera De 150 Litros 1hp Con Rueda Maciza</v>
      </c>
      <c r="F916" s="129"/>
      <c r="G916" s="119">
        <v>1</v>
      </c>
      <c r="H916" s="120">
        <v>0</v>
      </c>
      <c r="I916" s="96">
        <f>IFERROR(VLOOKUP(D916,EQUIPOS!A:F,6,FALSE()),0)</f>
        <v>1040.4314486705237</v>
      </c>
      <c r="J916" s="31">
        <f t="shared" si="358"/>
        <v>1040.4314486705237</v>
      </c>
      <c r="K916" s="32" t="str">
        <f t="shared" si="347"/>
        <v>PTO-0701|EQ</v>
      </c>
      <c r="L916" s="32">
        <f>COUNTIFS($K$2:K916,K916)</f>
        <v>3</v>
      </c>
      <c r="M916" s="32" t="str">
        <f t="shared" si="351"/>
        <v>PTO-0701|EQ|3</v>
      </c>
      <c r="N916" s="121">
        <f>IFERROR(VLOOKUP(A916,PARTIDAS!A:F,6,FALSE()),0)</f>
        <v>11.5</v>
      </c>
      <c r="O916" s="123">
        <f t="shared" si="353"/>
        <v>0</v>
      </c>
      <c r="P916" s="123">
        <f>+_xlfn.XLOOKUP(A916,PPTO_GENERADOR!Q:Q,PPTO_GENERADOR!E:E,"-",0)</f>
        <v>663</v>
      </c>
      <c r="Q916" s="123">
        <f t="shared" si="354"/>
        <v>0</v>
      </c>
      <c r="R916" s="125">
        <f>+_xlfn.XLOOKUP(A916,PPTO_GENERADOR!$Q:$Q,PPTO_GENERADOR!A:A,"-",0)</f>
        <v>7.01</v>
      </c>
    </row>
    <row r="917" spans="1:18" ht="14.25" customHeight="1" x14ac:dyDescent="0.35">
      <c r="A917" s="105" t="s">
        <v>141</v>
      </c>
      <c r="B917" s="105" t="s">
        <v>1981</v>
      </c>
      <c r="C917" s="105" t="s">
        <v>1982</v>
      </c>
      <c r="D917" s="105" t="s">
        <v>538</v>
      </c>
      <c r="E917" s="95" t="str">
        <f>IFERROR(VLOOKUP(D917,MATERIALES!A:B,2,FALSE()),"?")</f>
        <v>ARENA LAVADA</v>
      </c>
      <c r="F917" s="129">
        <f>IFERROR(VLOOKUP(D917,MATERIALES!A:C,3,FALSE()),"?")</f>
        <v>0</v>
      </c>
      <c r="G917" s="119">
        <v>2.5999999999999999E-2</v>
      </c>
      <c r="H917" s="120">
        <v>0.1</v>
      </c>
      <c r="I917" s="96">
        <f>IFERROR(VLOOKUP(D917,MATERIALES!A:D,4,FALSE()),0)</f>
        <v>32620.38</v>
      </c>
      <c r="J917" s="31">
        <f t="shared" ref="J917:J920" si="359">G917*I917*(1+H917)</f>
        <v>932.94286799999998</v>
      </c>
      <c r="K917" s="32" t="str">
        <f t="shared" si="347"/>
        <v>PTO-0702|MAT</v>
      </c>
      <c r="L917" s="32">
        <f>COUNTIFS($K$2:K917,K917)</f>
        <v>1</v>
      </c>
      <c r="M917" s="32" t="str">
        <f t="shared" si="351"/>
        <v>PTO-0702|MAT|1</v>
      </c>
      <c r="N917" s="121">
        <f>IFERROR(VLOOKUP(A917,PARTIDAS!A:F,6,FALSE()),0)</f>
        <v>8</v>
      </c>
      <c r="O917" s="123">
        <f t="shared" si="353"/>
        <v>0</v>
      </c>
      <c r="P917" s="123">
        <f>+_xlfn.XLOOKUP(A917,PPTO_GENERADOR!Q:Q,PPTO_GENERADOR!E:E,"-",0)</f>
        <v>1164</v>
      </c>
      <c r="Q917" s="123">
        <f t="shared" si="354"/>
        <v>0</v>
      </c>
      <c r="R917" s="125">
        <f>+_xlfn.XLOOKUP(A917,PPTO_GENERADOR!$Q:$Q,PPTO_GENERADOR!A:A,"-",0)</f>
        <v>7.02</v>
      </c>
    </row>
    <row r="918" spans="1:18" ht="14.25" customHeight="1" x14ac:dyDescent="0.35">
      <c r="A918" s="105" t="s">
        <v>141</v>
      </c>
      <c r="B918" s="105" t="s">
        <v>1981</v>
      </c>
      <c r="C918" s="105" t="s">
        <v>1982</v>
      </c>
      <c r="D918" s="105" t="s">
        <v>544</v>
      </c>
      <c r="E918" s="95" t="str">
        <f>IFERROR(VLOOKUP(D918,MATERIALES!A:B,2,FALSE()),"?")</f>
        <v>Aditivo Hidrofugo en pasta - Ceresita x 1kg</v>
      </c>
      <c r="F918" s="129">
        <f>IFERROR(VLOOKUP(D918,MATERIALES!A:C,3,FALSE()),"?")</f>
        <v>0</v>
      </c>
      <c r="G918" s="119">
        <v>0.1</v>
      </c>
      <c r="H918" s="120">
        <v>0.05</v>
      </c>
      <c r="I918" s="96">
        <f>IFERROR(VLOOKUP(D918,MATERIALES!A:D,4,FALSE()),0)</f>
        <v>1363.95</v>
      </c>
      <c r="J918" s="31">
        <f t="shared" si="359"/>
        <v>143.21475000000001</v>
      </c>
      <c r="K918" s="32" t="str">
        <f t="shared" si="347"/>
        <v>PTO-0702|MAT</v>
      </c>
      <c r="L918" s="32">
        <f>COUNTIFS($K$2:K918,K918)</f>
        <v>2</v>
      </c>
      <c r="M918" s="32" t="str">
        <f t="shared" si="351"/>
        <v>PTO-0702|MAT|2</v>
      </c>
      <c r="N918" s="121">
        <f>IFERROR(VLOOKUP(A918,PARTIDAS!A:F,6,FALSE()),0)</f>
        <v>8</v>
      </c>
      <c r="O918" s="123">
        <f t="shared" si="353"/>
        <v>0</v>
      </c>
      <c r="P918" s="123">
        <f>+_xlfn.XLOOKUP(A918,PPTO_GENERADOR!Q:Q,PPTO_GENERADOR!E:E,"-",0)</f>
        <v>1164</v>
      </c>
      <c r="Q918" s="123">
        <f t="shared" si="354"/>
        <v>0</v>
      </c>
      <c r="R918" s="125">
        <f>+_xlfn.XLOOKUP(A918,PPTO_GENERADOR!$Q:$Q,PPTO_GENERADOR!A:A,"-",0)</f>
        <v>7.02</v>
      </c>
    </row>
    <row r="919" spans="1:18" ht="14.25" customHeight="1" x14ac:dyDescent="0.35">
      <c r="A919" s="105" t="s">
        <v>141</v>
      </c>
      <c r="B919" s="105" t="s">
        <v>1981</v>
      </c>
      <c r="C919" s="105" t="s">
        <v>1982</v>
      </c>
      <c r="D919" s="105" t="s">
        <v>540</v>
      </c>
      <c r="E919" s="95" t="str">
        <f>IFERROR(VLOOKUP(D919,MATERIALES!A:B,2,FALSE()),"?")</f>
        <v>Cemento Portland x 50kg</v>
      </c>
      <c r="F919" s="129">
        <f>IFERROR(VLOOKUP(D919,MATERIALES!A:C,3,FALSE()),"?")</f>
        <v>0</v>
      </c>
      <c r="G919" s="119">
        <v>0.314</v>
      </c>
      <c r="H919" s="120">
        <v>0.1</v>
      </c>
      <c r="I919" s="96">
        <f>IFERROR(VLOOKUP(D919,MATERIALES!A:D,4,FALSE()),0)</f>
        <v>7891.74</v>
      </c>
      <c r="J919" s="31">
        <f t="shared" si="359"/>
        <v>2725.8069960000003</v>
      </c>
      <c r="K919" s="32" t="str">
        <f t="shared" si="347"/>
        <v>PTO-0702|MAT</v>
      </c>
      <c r="L919" s="32">
        <f>COUNTIFS($K$2:K919,K919)</f>
        <v>3</v>
      </c>
      <c r="M919" s="32" t="str">
        <f t="shared" si="351"/>
        <v>PTO-0702|MAT|3</v>
      </c>
      <c r="N919" s="121">
        <f>IFERROR(VLOOKUP(A919,PARTIDAS!A:F,6,FALSE()),0)</f>
        <v>8</v>
      </c>
      <c r="O919" s="123">
        <f t="shared" si="353"/>
        <v>0</v>
      </c>
      <c r="P919" s="123">
        <f>+_xlfn.XLOOKUP(A919,PPTO_GENERADOR!Q:Q,PPTO_GENERADOR!E:E,"-",0)</f>
        <v>1164</v>
      </c>
      <c r="Q919" s="123">
        <f t="shared" si="354"/>
        <v>0</v>
      </c>
      <c r="R919" s="125">
        <f>+_xlfn.XLOOKUP(A919,PPTO_GENERADOR!$Q:$Q,PPTO_GENERADOR!A:A,"-",0)</f>
        <v>7.02</v>
      </c>
    </row>
    <row r="920" spans="1:18" ht="14.25" customHeight="1" x14ac:dyDescent="0.35">
      <c r="A920" s="105" t="s">
        <v>141</v>
      </c>
      <c r="B920" s="105" t="s">
        <v>1981</v>
      </c>
      <c r="C920" s="105" t="s">
        <v>1982</v>
      </c>
      <c r="D920" s="105" t="s">
        <v>542</v>
      </c>
      <c r="E920" s="95" t="str">
        <f>IFERROR(VLOOKUP(D920,MATERIALES!A:B,2,FALSE()),"?")</f>
        <v>Cal Comun x 25kg</v>
      </c>
      <c r="F920" s="129">
        <f>IFERROR(VLOOKUP(D920,MATERIALES!A:C,3,FALSE()),"?")</f>
        <v>0</v>
      </c>
      <c r="G920" s="119">
        <v>0.06</v>
      </c>
      <c r="H920" s="120">
        <v>0.1</v>
      </c>
      <c r="I920" s="96">
        <f>IFERROR(VLOOKUP(D920,MATERIALES!A:D,4,FALSE()),0)</f>
        <v>3927.28</v>
      </c>
      <c r="J920" s="31">
        <f t="shared" si="359"/>
        <v>259.20048000000003</v>
      </c>
      <c r="K920" s="32" t="str">
        <f t="shared" si="347"/>
        <v>PTO-0702|MAT</v>
      </c>
      <c r="L920" s="32">
        <f>COUNTIFS($K$2:K920,K920)</f>
        <v>4</v>
      </c>
      <c r="M920" s="32" t="str">
        <f t="shared" si="351"/>
        <v>PTO-0702|MAT|4</v>
      </c>
      <c r="N920" s="121">
        <f>IFERROR(VLOOKUP(A920,PARTIDAS!A:F,6,FALSE()),0)</f>
        <v>8</v>
      </c>
      <c r="O920" s="123">
        <f t="shared" si="353"/>
        <v>0</v>
      </c>
      <c r="P920" s="123">
        <f>+_xlfn.XLOOKUP(A920,PPTO_GENERADOR!Q:Q,PPTO_GENERADOR!E:E,"-",0)</f>
        <v>1164</v>
      </c>
      <c r="Q920" s="123">
        <f t="shared" si="354"/>
        <v>0</v>
      </c>
      <c r="R920" s="125">
        <f>+_xlfn.XLOOKUP(A920,PPTO_GENERADOR!$Q:$Q,PPTO_GENERADOR!A:A,"-",0)</f>
        <v>7.02</v>
      </c>
    </row>
    <row r="921" spans="1:18" ht="14.25" customHeight="1" x14ac:dyDescent="0.35">
      <c r="A921" s="105" t="s">
        <v>141</v>
      </c>
      <c r="B921" s="105" t="s">
        <v>1979</v>
      </c>
      <c r="C921" s="105" t="s">
        <v>1980</v>
      </c>
      <c r="D921" s="105" t="s">
        <v>1292</v>
      </c>
      <c r="E921" s="95" t="str">
        <f>IFERROR(VLOOKUP(D921,MANO_DE_OBRA!A:B,2,FALSE()),"?")</f>
        <v>ESPECIALIZADO</v>
      </c>
      <c r="F921" s="129" t="s">
        <v>2042</v>
      </c>
      <c r="G921" s="119">
        <v>1</v>
      </c>
      <c r="H921" s="120">
        <v>0</v>
      </c>
      <c r="I921" s="96">
        <f>IFERROR(VLOOKUP(D921,MANO_DE_OBRA!A:C,3,FALSE()),0)</f>
        <v>94177.137883538904</v>
      </c>
      <c r="J921" s="31">
        <f t="shared" ref="J921:J926" si="360">G921*I921</f>
        <v>94177.137883538904</v>
      </c>
      <c r="K921" s="32" t="str">
        <f t="shared" si="347"/>
        <v>PTO-0702|MO</v>
      </c>
      <c r="L921" s="32">
        <f>COUNTIFS($K$2:K921,K921)</f>
        <v>1</v>
      </c>
      <c r="M921" s="32" t="str">
        <f t="shared" si="351"/>
        <v>PTO-0702|MO|1</v>
      </c>
      <c r="N921" s="121">
        <f>IFERROR(VLOOKUP(A921,PARTIDAS!A:F,6,FALSE()),0)</f>
        <v>8</v>
      </c>
      <c r="O921" s="123">
        <f t="shared" si="353"/>
        <v>0.125</v>
      </c>
      <c r="P921" s="123">
        <f>+_xlfn.XLOOKUP(A921,PPTO_GENERADOR!Q:Q,PPTO_GENERADOR!E:E,"-",0)</f>
        <v>1164</v>
      </c>
      <c r="Q921" s="123">
        <f t="shared" si="354"/>
        <v>145.5</v>
      </c>
      <c r="R921" s="125">
        <f>+_xlfn.XLOOKUP(A921,PPTO_GENERADOR!$Q:$Q,PPTO_GENERADOR!A:A,"-",0)</f>
        <v>7.02</v>
      </c>
    </row>
    <row r="922" spans="1:18" ht="14.25" customHeight="1" x14ac:dyDescent="0.35">
      <c r="A922" s="105" t="s">
        <v>141</v>
      </c>
      <c r="B922" s="105" t="s">
        <v>1979</v>
      </c>
      <c r="C922" s="105" t="s">
        <v>1980</v>
      </c>
      <c r="D922" s="105" t="s">
        <v>2038</v>
      </c>
      <c r="E922" s="95" t="str">
        <f>IFERROR(VLOOKUP(D922,MANO_DE_OBRA!A:B,2,FALSE()),"?")</f>
        <v>AYUDANTE</v>
      </c>
      <c r="F922" s="129" t="s">
        <v>2042</v>
      </c>
      <c r="G922" s="119">
        <v>0.6</v>
      </c>
      <c r="H922" s="120">
        <v>0</v>
      </c>
      <c r="I922" s="96">
        <f>IFERROR(VLOOKUP(D922,MANO_DE_OBRA!A:C,3,FALSE()),0)</f>
        <v>67240.498860267602</v>
      </c>
      <c r="J922" s="31">
        <f t="shared" si="360"/>
        <v>40344.299316160563</v>
      </c>
      <c r="K922" s="32" t="str">
        <f t="shared" si="347"/>
        <v>PTO-0702|MO</v>
      </c>
      <c r="L922" s="32">
        <f>COUNTIFS($K$2:K922,K922)</f>
        <v>2</v>
      </c>
      <c r="M922" s="32" t="str">
        <f t="shared" si="351"/>
        <v>PTO-0702|MO|2</v>
      </c>
      <c r="N922" s="121">
        <f>IFERROR(VLOOKUP(A922,PARTIDAS!A:F,6,FALSE()),0)</f>
        <v>8</v>
      </c>
      <c r="O922" s="123">
        <f t="shared" si="353"/>
        <v>7.4999999999999997E-2</v>
      </c>
      <c r="P922" s="123">
        <f>+_xlfn.XLOOKUP(A922,PPTO_GENERADOR!Q:Q,PPTO_GENERADOR!E:E,"-",0)</f>
        <v>1164</v>
      </c>
      <c r="Q922" s="123">
        <f t="shared" si="354"/>
        <v>87.3</v>
      </c>
      <c r="R922" s="125">
        <f>+_xlfn.XLOOKUP(A922,PPTO_GENERADOR!$Q:$Q,PPTO_GENERADOR!A:A,"-",0)</f>
        <v>7.02</v>
      </c>
    </row>
    <row r="923" spans="1:18" ht="14.25" customHeight="1" x14ac:dyDescent="0.35">
      <c r="A923" s="105" t="s">
        <v>141</v>
      </c>
      <c r="B923" s="105" t="s">
        <v>1983</v>
      </c>
      <c r="C923" s="105"/>
      <c r="D923" s="105" t="s">
        <v>1315</v>
      </c>
      <c r="E923" s="95" t="str">
        <f>IFERROR(VLOOKUP(D923,EQUIPOS!A:B,2,FALSE()),"?")</f>
        <v>Balancin</v>
      </c>
      <c r="F923" s="129"/>
      <c r="G923" s="119">
        <v>1</v>
      </c>
      <c r="H923" s="120">
        <v>0</v>
      </c>
      <c r="I923" s="96">
        <f>IFERROR(VLOOKUP(D923,EQUIPOS!A:F,6,FALSE()),0)</f>
        <v>3380.6</v>
      </c>
      <c r="J923" s="31">
        <f t="shared" si="360"/>
        <v>3380.6</v>
      </c>
      <c r="K923" s="32" t="str">
        <f t="shared" si="347"/>
        <v>PTO-0702|EQ</v>
      </c>
      <c r="L923" s="32">
        <f>COUNTIFS($K$2:K923,K923)</f>
        <v>1</v>
      </c>
      <c r="M923" s="32" t="str">
        <f t="shared" si="351"/>
        <v>PTO-0702|EQ|1</v>
      </c>
      <c r="N923" s="121">
        <f>IFERROR(VLOOKUP(A923,PARTIDAS!A:F,6,FALSE()),0)</f>
        <v>8</v>
      </c>
      <c r="O923" s="123">
        <f t="shared" si="353"/>
        <v>0</v>
      </c>
      <c r="P923" s="123">
        <f>+_xlfn.XLOOKUP(A923,PPTO_GENERADOR!Q:Q,PPTO_GENERADOR!E:E,"-",0)</f>
        <v>1164</v>
      </c>
      <c r="Q923" s="123">
        <f t="shared" si="354"/>
        <v>0</v>
      </c>
      <c r="R923" s="125">
        <f>+_xlfn.XLOOKUP(A923,PPTO_GENERADOR!$Q:$Q,PPTO_GENERADOR!A:A,"-",0)</f>
        <v>7.02</v>
      </c>
    </row>
    <row r="924" spans="1:18" ht="14.25" customHeight="1" x14ac:dyDescent="0.35">
      <c r="A924" s="105" t="s">
        <v>141</v>
      </c>
      <c r="B924" s="105" t="s">
        <v>1983</v>
      </c>
      <c r="C924" s="105"/>
      <c r="D924" s="105" t="s">
        <v>1313</v>
      </c>
      <c r="E924" s="95" t="str">
        <f>IFERROR(VLOOKUP(D924,EQUIPOS!A:B,2,FALSE()),"?")</f>
        <v>ANDAMIO TUBULAR DE UNO A TRES CUERPOS</v>
      </c>
      <c r="F924" s="129"/>
      <c r="G924" s="119">
        <v>0</v>
      </c>
      <c r="H924" s="120">
        <v>0</v>
      </c>
      <c r="I924" s="96">
        <f>IFERROR(VLOOKUP(D924,EQUIPOS!A:F,6,FALSE()),0)</f>
        <v>620.81078197718341</v>
      </c>
      <c r="J924" s="31">
        <f t="shared" si="360"/>
        <v>0</v>
      </c>
      <c r="K924" s="32" t="str">
        <f t="shared" si="347"/>
        <v>PTO-0702|EQ</v>
      </c>
      <c r="L924" s="32">
        <f>COUNTIFS($K$2:K924,K924)</f>
        <v>2</v>
      </c>
      <c r="M924" s="32" t="str">
        <f t="shared" si="351"/>
        <v>PTO-0702|EQ|2</v>
      </c>
      <c r="N924" s="121">
        <f>IFERROR(VLOOKUP(A924,PARTIDAS!A:F,6,FALSE()),0)</f>
        <v>8</v>
      </c>
      <c r="O924" s="123">
        <f t="shared" si="353"/>
        <v>0</v>
      </c>
      <c r="P924" s="123">
        <f>+_xlfn.XLOOKUP(A924,PPTO_GENERADOR!Q:Q,PPTO_GENERADOR!E:E,"-",0)</f>
        <v>1164</v>
      </c>
      <c r="Q924" s="123">
        <f t="shared" si="354"/>
        <v>0</v>
      </c>
      <c r="R924" s="125">
        <f>+_xlfn.XLOOKUP(A924,PPTO_GENERADOR!$Q:$Q,PPTO_GENERADOR!A:A,"-",0)</f>
        <v>7.02</v>
      </c>
    </row>
    <row r="925" spans="1:18" ht="14.25" customHeight="1" x14ac:dyDescent="0.35">
      <c r="A925" s="105" t="s">
        <v>141</v>
      </c>
      <c r="B925" s="105" t="s">
        <v>1983</v>
      </c>
      <c r="C925" s="105"/>
      <c r="D925" s="105" t="s">
        <v>1319</v>
      </c>
      <c r="E925" s="95" t="str">
        <f>IFERROR(VLOOKUP(D925,EQUIPOS!A:B,2,FALSE()),"?")</f>
        <v>EQUIPO DE ALBAÑILERIA, carpetas, ladrillo</v>
      </c>
      <c r="F925" s="129"/>
      <c r="G925" s="119">
        <v>1</v>
      </c>
      <c r="H925" s="120">
        <v>0</v>
      </c>
      <c r="I925" s="96">
        <f>IFERROR(VLOOKUP(D925,EQUIPOS!A:F,6,FALSE()),0)</f>
        <v>2485.8709964593982</v>
      </c>
      <c r="J925" s="31">
        <f t="shared" si="360"/>
        <v>2485.8709964593982</v>
      </c>
      <c r="K925" s="32" t="str">
        <f t="shared" si="347"/>
        <v>PTO-0702|EQ</v>
      </c>
      <c r="L925" s="32">
        <f>COUNTIFS($K$2:K925,K925)</f>
        <v>3</v>
      </c>
      <c r="M925" s="32" t="str">
        <f t="shared" si="351"/>
        <v>PTO-0702|EQ|3</v>
      </c>
      <c r="N925" s="121">
        <f>IFERROR(VLOOKUP(A925,PARTIDAS!A:F,6,FALSE()),0)</f>
        <v>8</v>
      </c>
      <c r="O925" s="123">
        <f t="shared" si="353"/>
        <v>0</v>
      </c>
      <c r="P925" s="123">
        <f>+_xlfn.XLOOKUP(A925,PPTO_GENERADOR!Q:Q,PPTO_GENERADOR!E:E,"-",0)</f>
        <v>1164</v>
      </c>
      <c r="Q925" s="123">
        <f t="shared" si="354"/>
        <v>0</v>
      </c>
      <c r="R925" s="125">
        <f>+_xlfn.XLOOKUP(A925,PPTO_GENERADOR!$Q:$Q,PPTO_GENERADOR!A:A,"-",0)</f>
        <v>7.02</v>
      </c>
    </row>
    <row r="926" spans="1:18" ht="14.25" customHeight="1" x14ac:dyDescent="0.35">
      <c r="A926" s="105" t="s">
        <v>141</v>
      </c>
      <c r="B926" s="105" t="s">
        <v>1983</v>
      </c>
      <c r="C926" s="105"/>
      <c r="D926" s="105" t="s">
        <v>1507</v>
      </c>
      <c r="E926" s="95" t="str">
        <f>IFERROR(VLOOKUP(D926,EQUIPOS!A:B,2,FALSE()),"?")</f>
        <v>Hormigonera De 150 Litros 1hp Con Rueda Maciza</v>
      </c>
      <c r="F926" s="129"/>
      <c r="G926" s="119">
        <v>1</v>
      </c>
      <c r="H926" s="120">
        <v>0</v>
      </c>
      <c r="I926" s="96">
        <f>IFERROR(VLOOKUP(D926,EQUIPOS!A:F,6,FALSE()),0)</f>
        <v>1040.4314486705237</v>
      </c>
      <c r="J926" s="31">
        <f t="shared" si="360"/>
        <v>1040.4314486705237</v>
      </c>
      <c r="K926" s="32" t="str">
        <f t="shared" si="347"/>
        <v>PTO-0702|EQ</v>
      </c>
      <c r="L926" s="32">
        <f>COUNTIFS($K$2:K926,K926)</f>
        <v>4</v>
      </c>
      <c r="M926" s="32" t="str">
        <f t="shared" si="351"/>
        <v>PTO-0702|EQ|4</v>
      </c>
      <c r="N926" s="121">
        <f>IFERROR(VLOOKUP(A926,PARTIDAS!A:F,6,FALSE()),0)</f>
        <v>8</v>
      </c>
      <c r="O926" s="123">
        <f t="shared" si="353"/>
        <v>0</v>
      </c>
      <c r="P926" s="123">
        <f>+_xlfn.XLOOKUP(A926,PPTO_GENERADOR!Q:Q,PPTO_GENERADOR!E:E,"-",0)</f>
        <v>1164</v>
      </c>
      <c r="Q926" s="123">
        <f t="shared" si="354"/>
        <v>0</v>
      </c>
      <c r="R926" s="125">
        <f>+_xlfn.XLOOKUP(A926,PPTO_GENERADOR!$Q:$Q,PPTO_GENERADOR!A:A,"-",0)</f>
        <v>7.02</v>
      </c>
    </row>
    <row r="927" spans="1:18" ht="14.25" customHeight="1" x14ac:dyDescent="0.35">
      <c r="A927" s="105" t="s">
        <v>144</v>
      </c>
      <c r="B927" s="105" t="s">
        <v>1979</v>
      </c>
      <c r="C927" s="105" t="s">
        <v>1982</v>
      </c>
      <c r="D927" s="105" t="s">
        <v>1586</v>
      </c>
      <c r="E927" s="95" t="str">
        <f>IFERROR(VLOOKUP(D927,SUBCONTRATOS_PRY!A:B,2,FALSE()),"?")</f>
        <v>Buña en revoque</v>
      </c>
      <c r="F927" s="129" t="s">
        <v>2042</v>
      </c>
      <c r="G927" s="119">
        <v>1</v>
      </c>
      <c r="H927" s="120">
        <v>0</v>
      </c>
      <c r="I927" s="96">
        <f>IFERROR(VLOOKUP(D927,SUBCONTRATOS_PRY!A:D,4,FALSE()),0)</f>
        <v>11122.3391600798</v>
      </c>
      <c r="J927" s="31">
        <f>G927*I927</f>
        <v>11122.3391600798</v>
      </c>
      <c r="K927" s="32" t="str">
        <f t="shared" si="347"/>
        <v>PTO-0703|MO</v>
      </c>
      <c r="L927" s="32">
        <f>COUNTIFS($K$2:K927,K927)</f>
        <v>1</v>
      </c>
      <c r="M927" s="32" t="str">
        <f t="shared" si="351"/>
        <v>PTO-0703|MO|1</v>
      </c>
      <c r="N927" s="121">
        <f>IFERROR(VLOOKUP(A927,PARTIDAS!A:F,6,FALSE()),0)</f>
        <v>1</v>
      </c>
      <c r="O927" s="123">
        <f t="shared" si="353"/>
        <v>0</v>
      </c>
      <c r="P927" s="123">
        <f>+_xlfn.XLOOKUP(A927,PPTO_GENERADOR!Q:Q,PPTO_GENERADOR!E:E,"-",0)</f>
        <v>500</v>
      </c>
      <c r="Q927" s="123">
        <f t="shared" si="354"/>
        <v>0</v>
      </c>
      <c r="R927" s="125">
        <f>+_xlfn.XLOOKUP(A927,PPTO_GENERADOR!$Q:$Q,PPTO_GENERADOR!A:A,"-",0)</f>
        <v>7.03</v>
      </c>
    </row>
    <row r="928" spans="1:18" ht="14.25" customHeight="1" x14ac:dyDescent="0.35">
      <c r="A928" s="105" t="s">
        <v>146</v>
      </c>
      <c r="B928" s="105" t="s">
        <v>1981</v>
      </c>
      <c r="C928" s="105" t="s">
        <v>1982</v>
      </c>
      <c r="D928" s="105" t="s">
        <v>538</v>
      </c>
      <c r="E928" s="95" t="str">
        <f>IFERROR(VLOOKUP(D928,MATERIALES!A:B,2,FALSE()),"?")</f>
        <v>ARENA LAVADA</v>
      </c>
      <c r="F928" s="129">
        <f>IFERROR(VLOOKUP(D928,MATERIALES!A:C,3,FALSE()),"?")</f>
        <v>0</v>
      </c>
      <c r="G928" s="119">
        <v>2.7E-2</v>
      </c>
      <c r="H928" s="120">
        <v>0.1</v>
      </c>
      <c r="I928" s="96">
        <f>IFERROR(VLOOKUP(D928,MATERIALES!A:D,4,FALSE()),0)</f>
        <v>32620.38</v>
      </c>
      <c r="J928" s="31">
        <f t="shared" ref="J928:J930" si="361">G928*I928*(1+H928)</f>
        <v>968.82528600000012</v>
      </c>
      <c r="K928" s="32" t="str">
        <f t="shared" si="347"/>
        <v>PTO-0704|MAT</v>
      </c>
      <c r="L928" s="32">
        <f>COUNTIFS($K$2:K928,K928)</f>
        <v>1</v>
      </c>
      <c r="M928" s="32" t="str">
        <f t="shared" si="351"/>
        <v>PTO-0704|MAT|1</v>
      </c>
      <c r="N928" s="121">
        <f>IFERROR(VLOOKUP(A928,PARTIDAS!A:F,6,FALSE()),0)</f>
        <v>6</v>
      </c>
      <c r="O928" s="123">
        <f t="shared" si="353"/>
        <v>0</v>
      </c>
      <c r="P928" s="123">
        <f>+_xlfn.XLOOKUP(A928,PPTO_GENERADOR!Q:Q,PPTO_GENERADOR!E:E,"-",0)</f>
        <v>521</v>
      </c>
      <c r="Q928" s="123">
        <f t="shared" si="354"/>
        <v>0</v>
      </c>
      <c r="R928" s="125">
        <f>+_xlfn.XLOOKUP(A928,PPTO_GENERADOR!$Q:$Q,PPTO_GENERADOR!A:A,"-",0)</f>
        <v>7.04</v>
      </c>
    </row>
    <row r="929" spans="1:18" ht="14.25" customHeight="1" x14ac:dyDescent="0.35">
      <c r="A929" s="105" t="s">
        <v>146</v>
      </c>
      <c r="B929" s="105" t="s">
        <v>1981</v>
      </c>
      <c r="C929" s="105" t="s">
        <v>1982</v>
      </c>
      <c r="D929" s="105" t="s">
        <v>542</v>
      </c>
      <c r="E929" s="95" t="str">
        <f>IFERROR(VLOOKUP(D929,MATERIALES!A:B,2,FALSE()),"?")</f>
        <v>Cal Comun x 25kg</v>
      </c>
      <c r="F929" s="129">
        <f>IFERROR(VLOOKUP(D929,MATERIALES!A:C,3,FALSE()),"?")</f>
        <v>0</v>
      </c>
      <c r="G929" s="119">
        <v>0.14399999999999999</v>
      </c>
      <c r="H929" s="120">
        <v>0.1</v>
      </c>
      <c r="I929" s="96">
        <f>IFERROR(VLOOKUP(D929,MATERIALES!A:D,4,FALSE()),0)</f>
        <v>3927.28</v>
      </c>
      <c r="J929" s="31">
        <f t="shared" si="361"/>
        <v>622.08115200000009</v>
      </c>
      <c r="K929" s="32" t="str">
        <f t="shared" si="347"/>
        <v>PTO-0704|MAT</v>
      </c>
      <c r="L929" s="32">
        <f>COUNTIFS($K$2:K929,K929)</f>
        <v>2</v>
      </c>
      <c r="M929" s="32" t="str">
        <f t="shared" si="351"/>
        <v>PTO-0704|MAT|2</v>
      </c>
      <c r="N929" s="121">
        <f>IFERROR(VLOOKUP(A929,PARTIDAS!A:F,6,FALSE()),0)</f>
        <v>6</v>
      </c>
      <c r="O929" s="123">
        <f t="shared" si="353"/>
        <v>0</v>
      </c>
      <c r="P929" s="123">
        <f>+_xlfn.XLOOKUP(A929,PPTO_GENERADOR!Q:Q,PPTO_GENERADOR!E:E,"-",0)</f>
        <v>521</v>
      </c>
      <c r="Q929" s="123">
        <f t="shared" si="354"/>
        <v>0</v>
      </c>
      <c r="R929" s="125">
        <f>+_xlfn.XLOOKUP(A929,PPTO_GENERADOR!$Q:$Q,PPTO_GENERADOR!A:A,"-",0)</f>
        <v>7.04</v>
      </c>
    </row>
    <row r="930" spans="1:18" ht="14.25" customHeight="1" x14ac:dyDescent="0.35">
      <c r="A930" s="105" t="s">
        <v>146</v>
      </c>
      <c r="B930" s="105" t="s">
        <v>1981</v>
      </c>
      <c r="C930" s="105" t="s">
        <v>1982</v>
      </c>
      <c r="D930" s="105" t="s">
        <v>540</v>
      </c>
      <c r="E930" s="95" t="str">
        <f>IFERROR(VLOOKUP(D930,MATERIALES!A:B,2,FALSE()),"?")</f>
        <v>Cemento Portland x 50kg</v>
      </c>
      <c r="F930" s="129">
        <f>IFERROR(VLOOKUP(D930,MATERIALES!A:C,3,FALSE()),"?")</f>
        <v>0</v>
      </c>
      <c r="G930" s="119">
        <v>4.5999999999999999E-2</v>
      </c>
      <c r="H930" s="120">
        <v>0.1</v>
      </c>
      <c r="I930" s="96">
        <f>IFERROR(VLOOKUP(D930,MATERIALES!A:D,4,FALSE()),0)</f>
        <v>7891.74</v>
      </c>
      <c r="J930" s="31">
        <f t="shared" si="361"/>
        <v>399.32204400000001</v>
      </c>
      <c r="K930" s="32" t="str">
        <f t="shared" si="347"/>
        <v>PTO-0704|MAT</v>
      </c>
      <c r="L930" s="32">
        <f>COUNTIFS($K$2:K930,K930)</f>
        <v>3</v>
      </c>
      <c r="M930" s="32" t="str">
        <f t="shared" si="351"/>
        <v>PTO-0704|MAT|3</v>
      </c>
      <c r="N930" s="121">
        <f>IFERROR(VLOOKUP(A930,PARTIDAS!A:F,6,FALSE()),0)</f>
        <v>6</v>
      </c>
      <c r="O930" s="123">
        <f t="shared" si="353"/>
        <v>0</v>
      </c>
      <c r="P930" s="123">
        <f>+_xlfn.XLOOKUP(A930,PPTO_GENERADOR!Q:Q,PPTO_GENERADOR!E:E,"-",0)</f>
        <v>521</v>
      </c>
      <c r="Q930" s="123">
        <f t="shared" si="354"/>
        <v>0</v>
      </c>
      <c r="R930" s="125">
        <f>+_xlfn.XLOOKUP(A930,PPTO_GENERADOR!$Q:$Q,PPTO_GENERADOR!A:A,"-",0)</f>
        <v>7.04</v>
      </c>
    </row>
    <row r="931" spans="1:18" ht="14.25" customHeight="1" x14ac:dyDescent="0.35">
      <c r="A931" s="105" t="s">
        <v>146</v>
      </c>
      <c r="B931" s="105" t="s">
        <v>1979</v>
      </c>
      <c r="C931" s="105" t="s">
        <v>1980</v>
      </c>
      <c r="D931" s="105" t="s">
        <v>2038</v>
      </c>
      <c r="E931" s="95" t="str">
        <f>IFERROR(VLOOKUP(D931,MANO_DE_OBRA!A:B,2,FALSE()),"?")</f>
        <v>AYUDANTE</v>
      </c>
      <c r="F931" s="129" t="s">
        <v>2042</v>
      </c>
      <c r="G931" s="119">
        <v>0.65</v>
      </c>
      <c r="H931" s="120">
        <v>0</v>
      </c>
      <c r="I931" s="96">
        <f>IFERROR(VLOOKUP(D931,MANO_DE_OBRA!A:C,3,FALSE()),0)</f>
        <v>67240.498860267602</v>
      </c>
      <c r="J931" s="31">
        <f t="shared" ref="J931:J935" si="362">G931*I931</f>
        <v>43706.32425917394</v>
      </c>
      <c r="K931" s="32" t="str">
        <f t="shared" si="347"/>
        <v>PTO-0704|MO</v>
      </c>
      <c r="L931" s="32">
        <f>COUNTIFS($K$2:K931,K931)</f>
        <v>1</v>
      </c>
      <c r="M931" s="32" t="str">
        <f t="shared" si="351"/>
        <v>PTO-0704|MO|1</v>
      </c>
      <c r="N931" s="121">
        <f>IFERROR(VLOOKUP(A931,PARTIDAS!A:F,6,FALSE()),0)</f>
        <v>6</v>
      </c>
      <c r="O931" s="123">
        <f t="shared" si="353"/>
        <v>0.10833333333333334</v>
      </c>
      <c r="P931" s="123">
        <f>+_xlfn.XLOOKUP(A931,PPTO_GENERADOR!Q:Q,PPTO_GENERADOR!E:E,"-",0)</f>
        <v>521</v>
      </c>
      <c r="Q931" s="123">
        <f t="shared" si="354"/>
        <v>56.44166666666667</v>
      </c>
      <c r="R931" s="125">
        <f>+_xlfn.XLOOKUP(A931,PPTO_GENERADOR!$Q:$Q,PPTO_GENERADOR!A:A,"-",0)</f>
        <v>7.04</v>
      </c>
    </row>
    <row r="932" spans="1:18" ht="14.25" customHeight="1" x14ac:dyDescent="0.35">
      <c r="A932" s="105" t="s">
        <v>146</v>
      </c>
      <c r="B932" s="105" t="s">
        <v>1979</v>
      </c>
      <c r="C932" s="105" t="s">
        <v>1980</v>
      </c>
      <c r="D932" s="105" t="s">
        <v>1292</v>
      </c>
      <c r="E932" s="95" t="str">
        <f>IFERROR(VLOOKUP(D932,MANO_DE_OBRA!A:B,2,FALSE()),"?")</f>
        <v>ESPECIALIZADO</v>
      </c>
      <c r="F932" s="129" t="s">
        <v>2042</v>
      </c>
      <c r="G932" s="119">
        <v>1</v>
      </c>
      <c r="H932" s="120">
        <v>0</v>
      </c>
      <c r="I932" s="96">
        <f>IFERROR(VLOOKUP(D932,MANO_DE_OBRA!A:C,3,FALSE()),0)</f>
        <v>94177.137883538904</v>
      </c>
      <c r="J932" s="31">
        <f t="shared" si="362"/>
        <v>94177.137883538904</v>
      </c>
      <c r="K932" s="32" t="str">
        <f t="shared" si="347"/>
        <v>PTO-0704|MO</v>
      </c>
      <c r="L932" s="32">
        <f>COUNTIFS($K$2:K932,K932)</f>
        <v>2</v>
      </c>
      <c r="M932" s="32" t="str">
        <f t="shared" si="351"/>
        <v>PTO-0704|MO|2</v>
      </c>
      <c r="N932" s="121">
        <f>IFERROR(VLOOKUP(A932,PARTIDAS!A:F,6,FALSE()),0)</f>
        <v>6</v>
      </c>
      <c r="O932" s="123">
        <f t="shared" si="353"/>
        <v>0.16666666666666666</v>
      </c>
      <c r="P932" s="123">
        <f>+_xlfn.XLOOKUP(A932,PPTO_GENERADOR!Q:Q,PPTO_GENERADOR!E:E,"-",0)</f>
        <v>521</v>
      </c>
      <c r="Q932" s="123">
        <f t="shared" si="354"/>
        <v>86.833333333333329</v>
      </c>
      <c r="R932" s="125">
        <f>+_xlfn.XLOOKUP(A932,PPTO_GENERADOR!$Q:$Q,PPTO_GENERADOR!A:A,"-",0)</f>
        <v>7.04</v>
      </c>
    </row>
    <row r="933" spans="1:18" ht="14.25" customHeight="1" x14ac:dyDescent="0.35">
      <c r="A933" s="105" t="s">
        <v>146</v>
      </c>
      <c r="B933" s="105" t="s">
        <v>1983</v>
      </c>
      <c r="C933" s="105"/>
      <c r="D933" s="105" t="s">
        <v>1313</v>
      </c>
      <c r="E933" s="95" t="str">
        <f>IFERROR(VLOOKUP(D933,EQUIPOS!A:B,2,FALSE()),"?")</f>
        <v>ANDAMIO TUBULAR DE UNO A TRES CUERPOS</v>
      </c>
      <c r="F933" s="129"/>
      <c r="G933" s="119">
        <v>0.5</v>
      </c>
      <c r="H933" s="120">
        <v>0</v>
      </c>
      <c r="I933" s="96">
        <f>IFERROR(VLOOKUP(D933,EQUIPOS!A:F,6,FALSE()),0)</f>
        <v>620.81078197718341</v>
      </c>
      <c r="J933" s="31">
        <f t="shared" si="362"/>
        <v>310.40539098859171</v>
      </c>
      <c r="K933" s="32" t="str">
        <f t="shared" si="347"/>
        <v>PTO-0704|EQ</v>
      </c>
      <c r="L933" s="32">
        <f>COUNTIFS($K$2:K933,K933)</f>
        <v>1</v>
      </c>
      <c r="M933" s="32" t="str">
        <f t="shared" si="351"/>
        <v>PTO-0704|EQ|1</v>
      </c>
      <c r="N933" s="121">
        <f>IFERROR(VLOOKUP(A933,PARTIDAS!A:F,6,FALSE()),0)</f>
        <v>6</v>
      </c>
      <c r="O933" s="123">
        <f t="shared" si="353"/>
        <v>0</v>
      </c>
      <c r="P933" s="123">
        <f>+_xlfn.XLOOKUP(A933,PPTO_GENERADOR!Q:Q,PPTO_GENERADOR!E:E,"-",0)</f>
        <v>521</v>
      </c>
      <c r="Q933" s="123">
        <f t="shared" si="354"/>
        <v>0</v>
      </c>
      <c r="R933" s="125">
        <f>+_xlfn.XLOOKUP(A933,PPTO_GENERADOR!$Q:$Q,PPTO_GENERADOR!A:A,"-",0)</f>
        <v>7.04</v>
      </c>
    </row>
    <row r="934" spans="1:18" ht="14.25" customHeight="1" x14ac:dyDescent="0.35">
      <c r="A934" s="105" t="s">
        <v>146</v>
      </c>
      <c r="B934" s="105" t="s">
        <v>1983</v>
      </c>
      <c r="C934" s="105"/>
      <c r="D934" s="105" t="s">
        <v>1319</v>
      </c>
      <c r="E934" s="95" t="str">
        <f>IFERROR(VLOOKUP(D934,EQUIPOS!A:B,2,FALSE()),"?")</f>
        <v>EQUIPO DE ALBAÑILERIA, carpetas, ladrillo</v>
      </c>
      <c r="F934" s="129"/>
      <c r="G934" s="119">
        <v>1</v>
      </c>
      <c r="H934" s="120">
        <v>0</v>
      </c>
      <c r="I934" s="96">
        <f>IFERROR(VLOOKUP(D934,EQUIPOS!A:F,6,FALSE()),0)</f>
        <v>2485.8709964593982</v>
      </c>
      <c r="J934" s="31">
        <f t="shared" si="362"/>
        <v>2485.8709964593982</v>
      </c>
      <c r="K934" s="32" t="str">
        <f t="shared" si="347"/>
        <v>PTO-0704|EQ</v>
      </c>
      <c r="L934" s="32">
        <f>COUNTIFS($K$2:K934,K934)</f>
        <v>2</v>
      </c>
      <c r="M934" s="32" t="str">
        <f t="shared" si="351"/>
        <v>PTO-0704|EQ|2</v>
      </c>
      <c r="N934" s="121">
        <f>IFERROR(VLOOKUP(A934,PARTIDAS!A:F,6,FALSE()),0)</f>
        <v>6</v>
      </c>
      <c r="O934" s="123">
        <f t="shared" si="353"/>
        <v>0</v>
      </c>
      <c r="P934" s="123">
        <f>+_xlfn.XLOOKUP(A934,PPTO_GENERADOR!Q:Q,PPTO_GENERADOR!E:E,"-",0)</f>
        <v>521</v>
      </c>
      <c r="Q934" s="123">
        <f t="shared" si="354"/>
        <v>0</v>
      </c>
      <c r="R934" s="125">
        <f>+_xlfn.XLOOKUP(A934,PPTO_GENERADOR!$Q:$Q,PPTO_GENERADOR!A:A,"-",0)</f>
        <v>7.04</v>
      </c>
    </row>
    <row r="935" spans="1:18" ht="14.25" customHeight="1" x14ac:dyDescent="0.35">
      <c r="A935" s="105" t="s">
        <v>146</v>
      </c>
      <c r="B935" s="105" t="s">
        <v>1983</v>
      </c>
      <c r="C935" s="105"/>
      <c r="D935" s="105" t="s">
        <v>1507</v>
      </c>
      <c r="E935" s="95" t="str">
        <f>IFERROR(VLOOKUP(D935,EQUIPOS!A:B,2,FALSE()),"?")</f>
        <v>Hormigonera De 150 Litros 1hp Con Rueda Maciza</v>
      </c>
      <c r="F935" s="129"/>
      <c r="G935" s="119">
        <v>1</v>
      </c>
      <c r="H935" s="120">
        <v>0</v>
      </c>
      <c r="I935" s="96">
        <f>IFERROR(VLOOKUP(D935,EQUIPOS!A:F,6,FALSE()),0)</f>
        <v>1040.4314486705237</v>
      </c>
      <c r="J935" s="31">
        <f t="shared" si="362"/>
        <v>1040.4314486705237</v>
      </c>
      <c r="K935" s="32" t="str">
        <f t="shared" si="347"/>
        <v>PTO-0704|EQ</v>
      </c>
      <c r="L935" s="32">
        <f>COUNTIFS($K$2:K935,K935)</f>
        <v>3</v>
      </c>
      <c r="M935" s="32" t="str">
        <f t="shared" si="351"/>
        <v>PTO-0704|EQ|3</v>
      </c>
      <c r="N935" s="121">
        <f>IFERROR(VLOOKUP(A935,PARTIDAS!A:F,6,FALSE()),0)</f>
        <v>6</v>
      </c>
      <c r="O935" s="123">
        <f t="shared" si="353"/>
        <v>0</v>
      </c>
      <c r="P935" s="123">
        <f>+_xlfn.XLOOKUP(A935,PPTO_GENERADOR!Q:Q,PPTO_GENERADOR!E:E,"-",0)</f>
        <v>521</v>
      </c>
      <c r="Q935" s="123">
        <f t="shared" si="354"/>
        <v>0</v>
      </c>
      <c r="R935" s="125">
        <f>+_xlfn.XLOOKUP(A935,PPTO_GENERADOR!$Q:$Q,PPTO_GENERADOR!A:A,"-",0)</f>
        <v>7.04</v>
      </c>
    </row>
    <row r="936" spans="1:18" ht="14.25" customHeight="1" x14ac:dyDescent="0.35">
      <c r="A936" s="105" t="s">
        <v>149</v>
      </c>
      <c r="B936" s="105" t="s">
        <v>1981</v>
      </c>
      <c r="C936" s="105" t="s">
        <v>1984</v>
      </c>
      <c r="D936" s="105" t="s">
        <v>738</v>
      </c>
      <c r="E936" s="95" t="str">
        <f>IFERROR(VLOOKUP(D936,MATERIALES!A:B,2,FALSE()),"?")</f>
        <v>Yeso Knauf MP 40/75 Proyectable x 25 kg - (17 kg/m2)</v>
      </c>
      <c r="F936" s="129" t="str">
        <f>IFERROR(VLOOKUP(D936,MATERIALES!A:C,3,FALSE()),"?")</f>
        <v>u</v>
      </c>
      <c r="G936" s="119">
        <v>0.71421999999999997</v>
      </c>
      <c r="H936" s="120">
        <v>0</v>
      </c>
      <c r="I936" s="96">
        <f>IFERROR(VLOOKUP(D936,MATERIALES!A:D,4,FALSE()),0)</f>
        <v>7524.72</v>
      </c>
      <c r="J936" s="31">
        <f t="shared" ref="J936:J938" si="363">G936*I936*(1+H936)</f>
        <v>5374.3055183999995</v>
      </c>
      <c r="K936" s="32" t="str">
        <f t="shared" si="347"/>
        <v>PTO-0705|MAT</v>
      </c>
      <c r="L936" s="32">
        <f>COUNTIFS($K$2:K936,K936)</f>
        <v>1</v>
      </c>
      <c r="M936" s="32" t="str">
        <f t="shared" si="351"/>
        <v>PTO-0705|MAT|1</v>
      </c>
      <c r="N936" s="121">
        <f>IFERROR(VLOOKUP(A936,PARTIDAS!A:F,6,FALSE()),0)</f>
        <v>1</v>
      </c>
      <c r="O936" s="123">
        <f t="shared" si="353"/>
        <v>0</v>
      </c>
      <c r="P936" s="123">
        <f>+_xlfn.XLOOKUP(A936,PPTO_GENERADOR!Q:Q,PPTO_GENERADOR!E:E,"-",0)</f>
        <v>2180</v>
      </c>
      <c r="Q936" s="123">
        <f t="shared" si="354"/>
        <v>0</v>
      </c>
      <c r="R936" s="125">
        <f>+_xlfn.XLOOKUP(A936,PPTO_GENERADOR!$Q:$Q,PPTO_GENERADOR!A:A,"-",0)</f>
        <v>7.05</v>
      </c>
    </row>
    <row r="937" spans="1:18" ht="14.25" customHeight="1" x14ac:dyDescent="0.35">
      <c r="A937" s="105" t="s">
        <v>149</v>
      </c>
      <c r="B937" s="105" t="s">
        <v>1981</v>
      </c>
      <c r="C937" s="105" t="s">
        <v>1984</v>
      </c>
      <c r="D937" s="105" t="s">
        <v>740</v>
      </c>
      <c r="E937" s="95" t="str">
        <f>IFERROR(VLOOKUP(D937,MATERIALES!A:B,2,FALSE()),"?")</f>
        <v>PA-MAX PUENTE DE ADHERENCIA 20LT (150 m2/tac) - Contemplo el 20% de los m2</v>
      </c>
      <c r="F937" s="129" t="str">
        <f>IFERROR(VLOOKUP(D937,MATERIALES!A:C,3,FALSE()),"?")</f>
        <v>u</v>
      </c>
      <c r="G937" s="119">
        <v>1.3760000000000001E-3</v>
      </c>
      <c r="H937" s="120">
        <v>0</v>
      </c>
      <c r="I937" s="96">
        <f>IFERROR(VLOOKUP(D937,MATERIALES!A:D,4,FALSE()),0)</f>
        <v>152600</v>
      </c>
      <c r="J937" s="31">
        <f t="shared" si="363"/>
        <v>209.9776</v>
      </c>
      <c r="K937" s="32" t="str">
        <f t="shared" si="347"/>
        <v>PTO-0705|MAT</v>
      </c>
      <c r="L937" s="32">
        <f>COUNTIFS($K$2:K937,K937)</f>
        <v>2</v>
      </c>
      <c r="M937" s="32" t="str">
        <f t="shared" si="351"/>
        <v>PTO-0705|MAT|2</v>
      </c>
      <c r="N937" s="121">
        <f>IFERROR(VLOOKUP(A937,PARTIDAS!A:F,6,FALSE()),0)</f>
        <v>1</v>
      </c>
      <c r="O937" s="123">
        <f t="shared" si="353"/>
        <v>0</v>
      </c>
      <c r="P937" s="123">
        <f>+_xlfn.XLOOKUP(A937,PPTO_GENERADOR!Q:Q,PPTO_GENERADOR!E:E,"-",0)</f>
        <v>2180</v>
      </c>
      <c r="Q937" s="123">
        <f t="shared" si="354"/>
        <v>0</v>
      </c>
      <c r="R937" s="125">
        <f>+_xlfn.XLOOKUP(A937,PPTO_GENERADOR!$Q:$Q,PPTO_GENERADOR!A:A,"-",0)</f>
        <v>7.05</v>
      </c>
    </row>
    <row r="938" spans="1:18" ht="14.25" customHeight="1" x14ac:dyDescent="0.35">
      <c r="A938" s="105" t="s">
        <v>149</v>
      </c>
      <c r="B938" s="105" t="s">
        <v>1981</v>
      </c>
      <c r="C938" s="105" t="s">
        <v>1984</v>
      </c>
      <c r="D938" s="105" t="s">
        <v>742</v>
      </c>
      <c r="E938" s="95" t="str">
        <f>IFERROR(VLOOKUP(D938,MATERIALES!A:B,2,FALSE()),"?")</f>
        <v>Malla de fibra 5 x 5 90 gr, rollo 1 x 50 mts - Contemplo el 20% de los m2</v>
      </c>
      <c r="F938" s="129" t="str">
        <f>IFERROR(VLOOKUP(D938,MATERIALES!A:C,3,FALSE()),"?")</f>
        <v>u</v>
      </c>
      <c r="G938" s="119">
        <v>4.5869999999999999E-3</v>
      </c>
      <c r="H938" s="120">
        <v>0</v>
      </c>
      <c r="I938" s="96">
        <f>IFERROR(VLOOKUP(D938,MATERIALES!A:D,4,FALSE()),0)</f>
        <v>42850.080000000002</v>
      </c>
      <c r="J938" s="31">
        <f t="shared" si="363"/>
        <v>196.55331696000002</v>
      </c>
      <c r="K938" s="32" t="str">
        <f t="shared" si="347"/>
        <v>PTO-0705|MAT</v>
      </c>
      <c r="L938" s="32">
        <f>COUNTIFS($K$2:K938,K938)</f>
        <v>3</v>
      </c>
      <c r="M938" s="32" t="str">
        <f t="shared" si="351"/>
        <v>PTO-0705|MAT|3</v>
      </c>
      <c r="N938" s="121">
        <f>IFERROR(VLOOKUP(A938,PARTIDAS!A:F,6,FALSE()),0)</f>
        <v>1</v>
      </c>
      <c r="O938" s="123">
        <f t="shared" si="353"/>
        <v>0</v>
      </c>
      <c r="P938" s="123">
        <f>+_xlfn.XLOOKUP(A938,PPTO_GENERADOR!Q:Q,PPTO_GENERADOR!E:E,"-",0)</f>
        <v>2180</v>
      </c>
      <c r="Q938" s="123">
        <f t="shared" si="354"/>
        <v>0</v>
      </c>
      <c r="R938" s="125">
        <f>+_xlfn.XLOOKUP(A938,PPTO_GENERADOR!$Q:$Q,PPTO_GENERADOR!A:A,"-",0)</f>
        <v>7.05</v>
      </c>
    </row>
    <row r="939" spans="1:18" ht="14.25" customHeight="1" x14ac:dyDescent="0.35">
      <c r="A939" s="105" t="s">
        <v>149</v>
      </c>
      <c r="B939" s="105" t="s">
        <v>1979</v>
      </c>
      <c r="C939" s="105" t="s">
        <v>1982</v>
      </c>
      <c r="D939" s="105" t="s">
        <v>1588</v>
      </c>
      <c r="E939" s="95" t="str">
        <f>IFERROR(VLOOKUP(D939,SUBCONTRATOS_PRY!A:B,2,FALSE()),"?")</f>
        <v>Yeso</v>
      </c>
      <c r="F939" s="129" t="s">
        <v>2042</v>
      </c>
      <c r="G939" s="119">
        <v>1</v>
      </c>
      <c r="H939" s="120">
        <v>0</v>
      </c>
      <c r="I939" s="96">
        <f>IFERROR(VLOOKUP(D939,SUBCONTRATOS_PRY!A:D,4,FALSE()),0)</f>
        <v>12252.5485737202</v>
      </c>
      <c r="J939" s="31">
        <f>G939*I939</f>
        <v>12252.5485737202</v>
      </c>
      <c r="K939" s="32" t="str">
        <f t="shared" si="347"/>
        <v>PTO-0705|MO</v>
      </c>
      <c r="L939" s="32">
        <f>COUNTIFS($K$2:K939,K939)</f>
        <v>1</v>
      </c>
      <c r="M939" s="32" t="str">
        <f t="shared" si="351"/>
        <v>PTO-0705|MO|1</v>
      </c>
      <c r="N939" s="121">
        <f>IFERROR(VLOOKUP(A939,PARTIDAS!A:F,6,FALSE()),0)</f>
        <v>1</v>
      </c>
      <c r="O939" s="123">
        <f t="shared" si="353"/>
        <v>0</v>
      </c>
      <c r="P939" s="123">
        <f>+_xlfn.XLOOKUP(A939,PPTO_GENERADOR!Q:Q,PPTO_GENERADOR!E:E,"-",0)</f>
        <v>2180</v>
      </c>
      <c r="Q939" s="123">
        <f t="shared" si="354"/>
        <v>0</v>
      </c>
      <c r="R939" s="125">
        <f>+_xlfn.XLOOKUP(A939,PPTO_GENERADOR!$Q:$Q,PPTO_GENERADOR!A:A,"-",0)</f>
        <v>7.05</v>
      </c>
    </row>
    <row r="940" spans="1:18" ht="14.25" customHeight="1" x14ac:dyDescent="0.35">
      <c r="A940" s="105" t="s">
        <v>149</v>
      </c>
      <c r="B940" s="105" t="s">
        <v>1983</v>
      </c>
      <c r="C940" s="105"/>
      <c r="D940" s="105" t="s">
        <v>1387</v>
      </c>
      <c r="E940" s="95" t="str">
        <f>IFERROR(VLOOKUP(D940,EQUIPOS!A:B,2,FALSE()),"?")</f>
        <v>Herramientas — Yeso interior</v>
      </c>
      <c r="F940" s="129"/>
      <c r="G940" s="119">
        <v>1</v>
      </c>
      <c r="H940" s="120">
        <v>0</v>
      </c>
      <c r="I940" s="96">
        <f>IFERROR(VLOOKUP(D940,EQUIPOS!A:F,6,FALSE()),0)</f>
        <v>270.50123209204202</v>
      </c>
      <c r="J940" s="31">
        <f>G940*I940</f>
        <v>270.50123209204202</v>
      </c>
      <c r="K940" s="32" t="str">
        <f t="shared" si="347"/>
        <v>PTO-0705|EQ</v>
      </c>
      <c r="L940" s="32">
        <f>COUNTIFS($K$2:K940,K940)</f>
        <v>1</v>
      </c>
      <c r="M940" s="32" t="str">
        <f t="shared" si="351"/>
        <v>PTO-0705|EQ|1</v>
      </c>
      <c r="N940" s="121">
        <f>IFERROR(VLOOKUP(A940,PARTIDAS!A:F,6,FALSE()),0)</f>
        <v>1</v>
      </c>
      <c r="O940" s="123">
        <f t="shared" si="353"/>
        <v>0</v>
      </c>
      <c r="P940" s="123">
        <f>+_xlfn.XLOOKUP(A940,PPTO_GENERADOR!Q:Q,PPTO_GENERADOR!E:E,"-",0)</f>
        <v>2180</v>
      </c>
      <c r="Q940" s="123">
        <f t="shared" si="354"/>
        <v>0</v>
      </c>
      <c r="R940" s="125">
        <f>+_xlfn.XLOOKUP(A940,PPTO_GENERADOR!$Q:$Q,PPTO_GENERADOR!A:A,"-",0)</f>
        <v>7.05</v>
      </c>
    </row>
    <row r="941" spans="1:18" ht="14.25" customHeight="1" x14ac:dyDescent="0.35">
      <c r="A941" s="105" t="s">
        <v>151</v>
      </c>
      <c r="B941" s="105" t="s">
        <v>1979</v>
      </c>
      <c r="C941" s="105" t="s">
        <v>1982</v>
      </c>
      <c r="D941" s="105" t="s">
        <v>1589</v>
      </c>
      <c r="E941" s="95" t="str">
        <f>IFERROR(VLOOKUP(D941,SUBCONTRATOS_PRY!A:B,2,FALSE()),"?")</f>
        <v>Arista / Buña</v>
      </c>
      <c r="F941" s="129" t="s">
        <v>2042</v>
      </c>
      <c r="G941" s="119">
        <v>1</v>
      </c>
      <c r="H941" s="120">
        <v>0</v>
      </c>
      <c r="I941" s="96">
        <f>IFERROR(VLOOKUP(D941,SUBCONTRATOS_PRY!A:D,4,FALSE()),0)</f>
        <v>13144.582643730701</v>
      </c>
      <c r="J941" s="31">
        <f>G941*I941</f>
        <v>13144.582643730701</v>
      </c>
      <c r="K941" s="32" t="str">
        <f t="shared" si="347"/>
        <v>PTO-0706|MO</v>
      </c>
      <c r="L941" s="32">
        <f>COUNTIFS($K$2:K941,K941)</f>
        <v>1</v>
      </c>
      <c r="M941" s="32" t="str">
        <f t="shared" si="351"/>
        <v>PTO-0706|MO|1</v>
      </c>
      <c r="N941" s="121">
        <f>IFERROR(VLOOKUP(A941,PARTIDAS!A:F,6,FALSE()),0)</f>
        <v>1</v>
      </c>
      <c r="O941" s="123">
        <f t="shared" si="353"/>
        <v>0</v>
      </c>
      <c r="P941" s="123">
        <f>+_xlfn.XLOOKUP(A941,PPTO_GENERADOR!Q:Q,PPTO_GENERADOR!E:E,"-",0)</f>
        <v>255</v>
      </c>
      <c r="Q941" s="123">
        <f t="shared" si="354"/>
        <v>0</v>
      </c>
      <c r="R941" s="125">
        <f>+_xlfn.XLOOKUP(A941,PPTO_GENERADOR!$Q:$Q,PPTO_GENERADOR!A:A,"-",0)</f>
        <v>7.06</v>
      </c>
    </row>
    <row r="942" spans="1:18" ht="14.25" customHeight="1" x14ac:dyDescent="0.35">
      <c r="A942" s="105" t="s">
        <v>151</v>
      </c>
      <c r="B942" s="105" t="s">
        <v>1983</v>
      </c>
      <c r="C942" s="105"/>
      <c r="D942" s="105" t="s">
        <v>1389</v>
      </c>
      <c r="E942" s="95" t="str">
        <f>IFERROR(VLOOKUP(D942,EQUIPOS!A:B,2,FALSE()),"?")</f>
        <v xml:space="preserve">Herramientas — Arista en yeso </v>
      </c>
      <c r="F942" s="129"/>
      <c r="G942" s="119">
        <v>1</v>
      </c>
      <c r="H942" s="120">
        <v>0</v>
      </c>
      <c r="I942" s="96">
        <f>IFERROR(VLOOKUP(D942,EQUIPOS!A:F,6,FALSE()),0)</f>
        <v>197.16873965596</v>
      </c>
      <c r="J942" s="31">
        <f>G942*I942</f>
        <v>197.16873965596</v>
      </c>
      <c r="K942" s="32" t="str">
        <f t="shared" si="347"/>
        <v>PTO-0706|EQ</v>
      </c>
      <c r="L942" s="32">
        <f>COUNTIFS($K$2:K942,K942)</f>
        <v>1</v>
      </c>
      <c r="M942" s="32" t="str">
        <f t="shared" si="351"/>
        <v>PTO-0706|EQ|1</v>
      </c>
      <c r="N942" s="121">
        <f>IFERROR(VLOOKUP(A942,PARTIDAS!A:F,6,FALSE()),0)</f>
        <v>1</v>
      </c>
      <c r="O942" s="123">
        <f t="shared" si="353"/>
        <v>0</v>
      </c>
      <c r="P942" s="123">
        <f>+_xlfn.XLOOKUP(A942,PPTO_GENERADOR!Q:Q,PPTO_GENERADOR!E:E,"-",0)</f>
        <v>255</v>
      </c>
      <c r="Q942" s="123">
        <f t="shared" si="354"/>
        <v>0</v>
      </c>
      <c r="R942" s="125">
        <f>+_xlfn.XLOOKUP(A942,PPTO_GENERADOR!$Q:$Q,PPTO_GENERADOR!A:A,"-",0)</f>
        <v>7.06</v>
      </c>
    </row>
    <row r="943" spans="1:18" ht="14.25" customHeight="1" x14ac:dyDescent="0.35">
      <c r="A943" s="105" t="s">
        <v>153</v>
      </c>
      <c r="B943" s="105" t="s">
        <v>1981</v>
      </c>
      <c r="C943" s="105" t="s">
        <v>1984</v>
      </c>
      <c r="D943" s="105" t="s">
        <v>744</v>
      </c>
      <c r="E943" s="95" t="str">
        <f>IFERROR(VLOOKUP(D943,MATERIALES!A:B,2,FALSE()),"?")</f>
        <v>Guardacanto yesero 2,00 mts</v>
      </c>
      <c r="F943" s="129" t="str">
        <f>IFERROR(VLOOKUP(D943,MATERIALES!A:C,3,FALSE()),"?")</f>
        <v>u</v>
      </c>
      <c r="G943" s="119">
        <v>1.058824</v>
      </c>
      <c r="H943" s="120">
        <v>0</v>
      </c>
      <c r="I943" s="96">
        <f>IFERROR(VLOOKUP(D943,MATERIALES!A:D,4,FALSE()),0)</f>
        <v>1566</v>
      </c>
      <c r="J943" s="31">
        <f>G943*I943*(1+H943)</f>
        <v>1658.1183839999999</v>
      </c>
      <c r="K943" s="32" t="str">
        <f t="shared" si="347"/>
        <v>PTO-0707|MAT</v>
      </c>
      <c r="L943" s="32">
        <f>COUNTIFS($K$2:K943,K943)</f>
        <v>1</v>
      </c>
      <c r="M943" s="32" t="str">
        <f t="shared" si="351"/>
        <v>PTO-0707|MAT|1</v>
      </c>
      <c r="N943" s="121">
        <f>IFERROR(VLOOKUP(A943,PARTIDAS!A:F,6,FALSE()),0)</f>
        <v>1</v>
      </c>
      <c r="O943" s="123">
        <f t="shared" si="353"/>
        <v>0</v>
      </c>
      <c r="P943" s="123">
        <f>+_xlfn.XLOOKUP(A943,PPTO_GENERADOR!Q:Q,PPTO_GENERADOR!E:E,"-",0)</f>
        <v>102</v>
      </c>
      <c r="Q943" s="123">
        <f t="shared" si="354"/>
        <v>0</v>
      </c>
      <c r="R943" s="125">
        <f>+_xlfn.XLOOKUP(A943,PPTO_GENERADOR!$Q:$Q,PPTO_GENERADOR!A:A,"-",0)</f>
        <v>7.07</v>
      </c>
    </row>
    <row r="944" spans="1:18" ht="14.25" customHeight="1" x14ac:dyDescent="0.35">
      <c r="A944" s="105" t="s">
        <v>153</v>
      </c>
      <c r="B944" s="105" t="s">
        <v>1979</v>
      </c>
      <c r="C944" s="105" t="s">
        <v>1982</v>
      </c>
      <c r="D944" s="105" t="s">
        <v>1591</v>
      </c>
      <c r="E944" s="95" t="str">
        <f>IFERROR(VLOOKUP(D944,SUBCONTRATOS_PRY!A:B,2,FALSE()),"?")</f>
        <v>Guardacanto yesero 2,00 mts</v>
      </c>
      <c r="F944" s="129" t="s">
        <v>2042</v>
      </c>
      <c r="G944" s="119">
        <v>1.058824</v>
      </c>
      <c r="H944" s="120">
        <v>0</v>
      </c>
      <c r="I944" s="96">
        <f>IFERROR(VLOOKUP(D944,SUBCONTRATOS_PRY!A:D,4,FALSE()),0)</f>
        <v>13144.582643730701</v>
      </c>
      <c r="J944" s="31">
        <f>G944*I944</f>
        <v>13917.799573165516</v>
      </c>
      <c r="K944" s="32" t="str">
        <f t="shared" si="347"/>
        <v>PTO-0707|MO</v>
      </c>
      <c r="L944" s="32">
        <f>COUNTIFS($K$2:K944,K944)</f>
        <v>1</v>
      </c>
      <c r="M944" s="32" t="str">
        <f t="shared" si="351"/>
        <v>PTO-0707|MO|1</v>
      </c>
      <c r="N944" s="121">
        <f>IFERROR(VLOOKUP(A944,PARTIDAS!A:F,6,FALSE()),0)</f>
        <v>1</v>
      </c>
      <c r="O944" s="123">
        <f t="shared" si="353"/>
        <v>0</v>
      </c>
      <c r="P944" s="123">
        <f>+_xlfn.XLOOKUP(A944,PPTO_GENERADOR!Q:Q,PPTO_GENERADOR!E:E,"-",0)</f>
        <v>102</v>
      </c>
      <c r="Q944" s="123">
        <f t="shared" si="354"/>
        <v>0</v>
      </c>
      <c r="R944" s="125">
        <f>+_xlfn.XLOOKUP(A944,PPTO_GENERADOR!$Q:$Q,PPTO_GENERADOR!A:A,"-",0)</f>
        <v>7.07</v>
      </c>
    </row>
    <row r="945" spans="1:18" ht="14.25" customHeight="1" x14ac:dyDescent="0.35">
      <c r="A945" s="105" t="s">
        <v>153</v>
      </c>
      <c r="B945" s="105" t="s">
        <v>1983</v>
      </c>
      <c r="C945" s="105"/>
      <c r="D945" s="105" t="s">
        <v>1391</v>
      </c>
      <c r="E945" s="95" t="str">
        <f>IFERROR(VLOOKUP(D945,EQUIPOS!A:B,2,FALSE()),"?")</f>
        <v>Herramientas — Provisión y colocación de guardacanto ye</v>
      </c>
      <c r="F945" s="129"/>
      <c r="G945" s="119">
        <v>1</v>
      </c>
      <c r="H945" s="120">
        <v>0</v>
      </c>
      <c r="I945" s="96">
        <f>IFERROR(VLOOKUP(D945,EQUIPOS!A:F,6,FALSE()),0)</f>
        <v>233.63866551807499</v>
      </c>
      <c r="J945" s="31">
        <f>G945*I945</f>
        <v>233.63866551807499</v>
      </c>
      <c r="K945" s="32" t="str">
        <f t="shared" si="347"/>
        <v>PTO-0707|EQ</v>
      </c>
      <c r="L945" s="32">
        <f>COUNTIFS($K$2:K945,K945)</f>
        <v>1</v>
      </c>
      <c r="M945" s="32" t="str">
        <f t="shared" si="351"/>
        <v>PTO-0707|EQ|1</v>
      </c>
      <c r="N945" s="121">
        <f>IFERROR(VLOOKUP(A945,PARTIDAS!A:F,6,FALSE()),0)</f>
        <v>1</v>
      </c>
      <c r="O945" s="123">
        <f t="shared" si="353"/>
        <v>0</v>
      </c>
      <c r="P945" s="123">
        <f>+_xlfn.XLOOKUP(A945,PPTO_GENERADOR!Q:Q,PPTO_GENERADOR!E:E,"-",0)</f>
        <v>102</v>
      </c>
      <c r="Q945" s="123">
        <f t="shared" si="354"/>
        <v>0</v>
      </c>
      <c r="R945" s="125">
        <f>+_xlfn.XLOOKUP(A945,PPTO_GENERADOR!$Q:$Q,PPTO_GENERADOR!A:A,"-",0)</f>
        <v>7.07</v>
      </c>
    </row>
    <row r="946" spans="1:18" ht="14.25" customHeight="1" x14ac:dyDescent="0.35">
      <c r="A946" s="105" t="s">
        <v>155</v>
      </c>
      <c r="B946" s="105" t="s">
        <v>1981</v>
      </c>
      <c r="C946" s="105" t="s">
        <v>1982</v>
      </c>
      <c r="D946" s="105" t="s">
        <v>538</v>
      </c>
      <c r="E946" s="95" t="str">
        <f>IFERROR(VLOOKUP(D946,MATERIALES!A:B,2,FALSE()),"?")</f>
        <v>ARENA LAVADA</v>
      </c>
      <c r="F946" s="129">
        <f>IFERROR(VLOOKUP(D946,MATERIALES!A:C,3,FALSE()),"?")</f>
        <v>0</v>
      </c>
      <c r="G946" s="119">
        <v>2.5999999999999999E-2</v>
      </c>
      <c r="H946" s="120">
        <v>0.1</v>
      </c>
      <c r="I946" s="96">
        <f>IFERROR(VLOOKUP(D946,MATERIALES!A:D,4,FALSE()),0)</f>
        <v>32620.38</v>
      </c>
      <c r="J946" s="31">
        <f t="shared" ref="J946:J949" si="364">G946*I946*(1+H946)</f>
        <v>932.94286799999998</v>
      </c>
      <c r="K946" s="32" t="str">
        <f t="shared" si="347"/>
        <v>PTO-0708|MAT</v>
      </c>
      <c r="L946" s="32">
        <f>COUNTIFS($K$2:K946,K946)</f>
        <v>1</v>
      </c>
      <c r="M946" s="32" t="str">
        <f t="shared" si="351"/>
        <v>PTO-0708|MAT|1</v>
      </c>
      <c r="N946" s="121">
        <f>IFERROR(VLOOKUP(A946,PARTIDAS!A:F,6,FALSE()),0)</f>
        <v>11.5</v>
      </c>
      <c r="O946" s="123">
        <f t="shared" si="353"/>
        <v>0</v>
      </c>
      <c r="P946" s="123">
        <f>+_xlfn.XLOOKUP(A946,PPTO_GENERADOR!Q:Q,PPTO_GENERADOR!E:E,"-",0)</f>
        <v>715</v>
      </c>
      <c r="Q946" s="123">
        <f t="shared" si="354"/>
        <v>0</v>
      </c>
      <c r="R946" s="125">
        <f>+_xlfn.XLOOKUP(A946,PPTO_GENERADOR!$Q:$Q,PPTO_GENERADOR!A:A,"-",0)</f>
        <v>7.08</v>
      </c>
    </row>
    <row r="947" spans="1:18" ht="14.25" customHeight="1" x14ac:dyDescent="0.35">
      <c r="A947" s="105" t="s">
        <v>155</v>
      </c>
      <c r="B947" s="105" t="s">
        <v>1981</v>
      </c>
      <c r="C947" s="105" t="s">
        <v>1982</v>
      </c>
      <c r="D947" s="105" t="s">
        <v>544</v>
      </c>
      <c r="E947" s="95" t="str">
        <f>IFERROR(VLOOKUP(D947,MATERIALES!A:B,2,FALSE()),"?")</f>
        <v>Aditivo Hidrofugo en pasta - Ceresita x 1kg</v>
      </c>
      <c r="F947" s="129">
        <f>IFERROR(VLOOKUP(D947,MATERIALES!A:C,3,FALSE()),"?")</f>
        <v>0</v>
      </c>
      <c r="G947" s="119">
        <v>0.1</v>
      </c>
      <c r="H947" s="120">
        <v>0.05</v>
      </c>
      <c r="I947" s="96">
        <f>IFERROR(VLOOKUP(D947,MATERIALES!A:D,4,FALSE()),0)</f>
        <v>1363.95</v>
      </c>
      <c r="J947" s="31">
        <f t="shared" si="364"/>
        <v>143.21475000000001</v>
      </c>
      <c r="K947" s="32" t="str">
        <f t="shared" si="347"/>
        <v>PTO-0708|MAT</v>
      </c>
      <c r="L947" s="32">
        <f>COUNTIFS($K$2:K947,K947)</f>
        <v>2</v>
      </c>
      <c r="M947" s="32" t="str">
        <f t="shared" si="351"/>
        <v>PTO-0708|MAT|2</v>
      </c>
      <c r="N947" s="121">
        <f>IFERROR(VLOOKUP(A947,PARTIDAS!A:F,6,FALSE()),0)</f>
        <v>11.5</v>
      </c>
      <c r="O947" s="123">
        <f t="shared" si="353"/>
        <v>0</v>
      </c>
      <c r="P947" s="123">
        <f>+_xlfn.XLOOKUP(A947,PPTO_GENERADOR!Q:Q,PPTO_GENERADOR!E:E,"-",0)</f>
        <v>715</v>
      </c>
      <c r="Q947" s="123">
        <f t="shared" si="354"/>
        <v>0</v>
      </c>
      <c r="R947" s="125">
        <f>+_xlfn.XLOOKUP(A947,PPTO_GENERADOR!$Q:$Q,PPTO_GENERADOR!A:A,"-",0)</f>
        <v>7.08</v>
      </c>
    </row>
    <row r="948" spans="1:18" ht="14.25" customHeight="1" x14ac:dyDescent="0.35">
      <c r="A948" s="105" t="s">
        <v>155</v>
      </c>
      <c r="B948" s="105" t="s">
        <v>1981</v>
      </c>
      <c r="C948" s="105" t="s">
        <v>1982</v>
      </c>
      <c r="D948" s="105" t="s">
        <v>540</v>
      </c>
      <c r="E948" s="95" t="str">
        <f>IFERROR(VLOOKUP(D948,MATERIALES!A:B,2,FALSE()),"?")</f>
        <v>Cemento Portland x 50kg</v>
      </c>
      <c r="F948" s="129">
        <f>IFERROR(VLOOKUP(D948,MATERIALES!A:C,3,FALSE()),"?")</f>
        <v>0</v>
      </c>
      <c r="G948" s="119">
        <v>0.314</v>
      </c>
      <c r="H948" s="120">
        <v>0.1</v>
      </c>
      <c r="I948" s="96">
        <f>IFERROR(VLOOKUP(D948,MATERIALES!A:D,4,FALSE()),0)</f>
        <v>7891.74</v>
      </c>
      <c r="J948" s="31">
        <f t="shared" si="364"/>
        <v>2725.8069960000003</v>
      </c>
      <c r="K948" s="32" t="str">
        <f t="shared" si="347"/>
        <v>PTO-0708|MAT</v>
      </c>
      <c r="L948" s="32">
        <f>COUNTIFS($K$2:K948,K948)</f>
        <v>3</v>
      </c>
      <c r="M948" s="32" t="str">
        <f t="shared" si="351"/>
        <v>PTO-0708|MAT|3</v>
      </c>
      <c r="N948" s="121">
        <f>IFERROR(VLOOKUP(A948,PARTIDAS!A:F,6,FALSE()),0)</f>
        <v>11.5</v>
      </c>
      <c r="O948" s="123">
        <f t="shared" si="353"/>
        <v>0</v>
      </c>
      <c r="P948" s="123">
        <f>+_xlfn.XLOOKUP(A948,PPTO_GENERADOR!Q:Q,PPTO_GENERADOR!E:E,"-",0)</f>
        <v>715</v>
      </c>
      <c r="Q948" s="123">
        <f t="shared" si="354"/>
        <v>0</v>
      </c>
      <c r="R948" s="125">
        <f>+_xlfn.XLOOKUP(A948,PPTO_GENERADOR!$Q:$Q,PPTO_GENERADOR!A:A,"-",0)</f>
        <v>7.08</v>
      </c>
    </row>
    <row r="949" spans="1:18" ht="14.25" customHeight="1" x14ac:dyDescent="0.35">
      <c r="A949" s="105" t="s">
        <v>155</v>
      </c>
      <c r="B949" s="105" t="s">
        <v>1981</v>
      </c>
      <c r="C949" s="105" t="s">
        <v>1982</v>
      </c>
      <c r="D949" s="105" t="s">
        <v>542</v>
      </c>
      <c r="E949" s="95" t="str">
        <f>IFERROR(VLOOKUP(D949,MATERIALES!A:B,2,FALSE()),"?")</f>
        <v>Cal Comun x 25kg</v>
      </c>
      <c r="F949" s="129">
        <f>IFERROR(VLOOKUP(D949,MATERIALES!A:C,3,FALSE()),"?")</f>
        <v>0</v>
      </c>
      <c r="G949" s="119">
        <v>0.06</v>
      </c>
      <c r="H949" s="120">
        <v>0.1</v>
      </c>
      <c r="I949" s="96">
        <f>IFERROR(VLOOKUP(D949,MATERIALES!A:D,4,FALSE()),0)</f>
        <v>3927.28</v>
      </c>
      <c r="J949" s="31">
        <f t="shared" si="364"/>
        <v>259.20048000000003</v>
      </c>
      <c r="K949" s="32" t="str">
        <f t="shared" ref="K949" si="365">A949&amp;"|"&amp;B949</f>
        <v>PTO-0708|MAT</v>
      </c>
      <c r="L949" s="32">
        <f>COUNTIFS($K$2:K949,K949)</f>
        <v>4</v>
      </c>
      <c r="M949" s="32" t="str">
        <f t="shared" si="351"/>
        <v>PTO-0708|MAT|4</v>
      </c>
      <c r="N949" s="121">
        <f>IFERROR(VLOOKUP(A949,PARTIDAS!A:F,6,FALSE()),0)</f>
        <v>11.5</v>
      </c>
      <c r="O949" s="123">
        <f t="shared" si="353"/>
        <v>0</v>
      </c>
      <c r="P949" s="123">
        <f>+_xlfn.XLOOKUP(A949,PPTO_GENERADOR!Q:Q,PPTO_GENERADOR!E:E,"-",0)</f>
        <v>715</v>
      </c>
      <c r="Q949" s="123">
        <f t="shared" si="354"/>
        <v>0</v>
      </c>
      <c r="R949" s="125">
        <f>+_xlfn.XLOOKUP(A949,PPTO_GENERADOR!$Q:$Q,PPTO_GENERADOR!A:A,"-",0)</f>
        <v>7.08</v>
      </c>
    </row>
    <row r="950" spans="1:18" ht="14.25" customHeight="1" x14ac:dyDescent="0.35">
      <c r="A950" s="105" t="s">
        <v>155</v>
      </c>
      <c r="B950" s="105" t="s">
        <v>1979</v>
      </c>
      <c r="C950" s="105" t="s">
        <v>1980</v>
      </c>
      <c r="D950" s="105" t="s">
        <v>1292</v>
      </c>
      <c r="E950" s="95" t="str">
        <f>IFERROR(VLOOKUP(D950,MANO_DE_OBRA!A:B,2,FALSE()),"?")</f>
        <v>ESPECIALIZADO</v>
      </c>
      <c r="F950" s="129" t="s">
        <v>2042</v>
      </c>
      <c r="G950" s="119">
        <v>1</v>
      </c>
      <c r="H950" s="120">
        <v>0</v>
      </c>
      <c r="I950" s="96">
        <f>IFERROR(VLOOKUP(D950,MANO_DE_OBRA!A:C,3,FALSE()),0)</f>
        <v>94177.137883538904</v>
      </c>
      <c r="J950" s="31">
        <f t="shared" ref="J950:J954" si="366">G950*I950</f>
        <v>94177.137883538904</v>
      </c>
      <c r="K950" s="32" t="str">
        <f t="shared" ref="K950:K1002" si="367">A950&amp;"|"&amp;B950</f>
        <v>PTO-0708|MO</v>
      </c>
      <c r="L950" s="32">
        <f>COUNTIFS($K$2:K950,K950)</f>
        <v>1</v>
      </c>
      <c r="M950" s="32" t="str">
        <f t="shared" si="351"/>
        <v>PTO-0708|MO|1</v>
      </c>
      <c r="N950" s="121">
        <f>IFERROR(VLOOKUP(A950,PARTIDAS!A:F,6,FALSE()),0)</f>
        <v>11.5</v>
      </c>
      <c r="O950" s="123">
        <f t="shared" si="353"/>
        <v>8.6956521739130432E-2</v>
      </c>
      <c r="P950" s="123">
        <f>+_xlfn.XLOOKUP(A950,PPTO_GENERADOR!Q:Q,PPTO_GENERADOR!E:E,"-",0)</f>
        <v>715</v>
      </c>
      <c r="Q950" s="123">
        <f t="shared" si="354"/>
        <v>62.173913043478258</v>
      </c>
      <c r="R950" s="125">
        <f>+_xlfn.XLOOKUP(A950,PPTO_GENERADOR!$Q:$Q,PPTO_GENERADOR!A:A,"-",0)</f>
        <v>7.08</v>
      </c>
    </row>
    <row r="951" spans="1:18" ht="14.25" customHeight="1" x14ac:dyDescent="0.35">
      <c r="A951" s="105" t="s">
        <v>155</v>
      </c>
      <c r="B951" s="105" t="s">
        <v>1979</v>
      </c>
      <c r="C951" s="105" t="s">
        <v>1980</v>
      </c>
      <c r="D951" s="105" t="s">
        <v>2038</v>
      </c>
      <c r="E951" s="95" t="str">
        <f>IFERROR(VLOOKUP(D951,MANO_DE_OBRA!A:B,2,FALSE()),"?")</f>
        <v>AYUDANTE</v>
      </c>
      <c r="F951" s="129" t="s">
        <v>2042</v>
      </c>
      <c r="G951" s="119">
        <v>0.6</v>
      </c>
      <c r="H951" s="120">
        <v>0</v>
      </c>
      <c r="I951" s="96">
        <f>IFERROR(VLOOKUP(D951,MANO_DE_OBRA!A:C,3,FALSE()),0)</f>
        <v>67240.498860267602</v>
      </c>
      <c r="J951" s="31">
        <f t="shared" si="366"/>
        <v>40344.299316160563</v>
      </c>
      <c r="K951" s="32" t="str">
        <f t="shared" si="367"/>
        <v>PTO-0708|MO</v>
      </c>
      <c r="L951" s="32">
        <f>COUNTIFS($K$2:K951,K951)</f>
        <v>2</v>
      </c>
      <c r="M951" s="32" t="str">
        <f t="shared" si="351"/>
        <v>PTO-0708|MO|2</v>
      </c>
      <c r="N951" s="121">
        <f>IFERROR(VLOOKUP(A951,PARTIDAS!A:F,6,FALSE()),0)</f>
        <v>11.5</v>
      </c>
      <c r="O951" s="123">
        <f t="shared" si="353"/>
        <v>5.2173913043478258E-2</v>
      </c>
      <c r="P951" s="123">
        <f>+_xlfn.XLOOKUP(A951,PPTO_GENERADOR!Q:Q,PPTO_GENERADOR!E:E,"-",0)</f>
        <v>715</v>
      </c>
      <c r="Q951" s="123">
        <f t="shared" si="354"/>
        <v>37.304347826086953</v>
      </c>
      <c r="R951" s="125">
        <f>+_xlfn.XLOOKUP(A951,PPTO_GENERADOR!$Q:$Q,PPTO_GENERADOR!A:A,"-",0)</f>
        <v>7.08</v>
      </c>
    </row>
    <row r="952" spans="1:18" ht="14.25" customHeight="1" x14ac:dyDescent="0.35">
      <c r="A952" s="105" t="s">
        <v>155</v>
      </c>
      <c r="B952" s="105" t="s">
        <v>1983</v>
      </c>
      <c r="C952" s="105"/>
      <c r="D952" s="105" t="s">
        <v>1313</v>
      </c>
      <c r="E952" s="95" t="str">
        <f>IFERROR(VLOOKUP(D952,EQUIPOS!A:B,2,FALSE()),"?")</f>
        <v>ANDAMIO TUBULAR DE UNO A TRES CUERPOS</v>
      </c>
      <c r="F952" s="129"/>
      <c r="G952" s="119">
        <v>0.5</v>
      </c>
      <c r="H952" s="120">
        <v>0</v>
      </c>
      <c r="I952" s="96">
        <f>IFERROR(VLOOKUP(D952,EQUIPOS!A:F,6,FALSE()),0)</f>
        <v>620.81078197718341</v>
      </c>
      <c r="J952" s="31">
        <f t="shared" si="366"/>
        <v>310.40539098859171</v>
      </c>
      <c r="K952" s="32" t="str">
        <f t="shared" si="367"/>
        <v>PTO-0708|EQ</v>
      </c>
      <c r="L952" s="32">
        <f>COUNTIFS($K$2:K952,K952)</f>
        <v>1</v>
      </c>
      <c r="M952" s="32" t="str">
        <f t="shared" si="351"/>
        <v>PTO-0708|EQ|1</v>
      </c>
      <c r="N952" s="121">
        <f>IFERROR(VLOOKUP(A952,PARTIDAS!A:F,6,FALSE()),0)</f>
        <v>11.5</v>
      </c>
      <c r="O952" s="123">
        <f t="shared" si="353"/>
        <v>0</v>
      </c>
      <c r="P952" s="123">
        <f>+_xlfn.XLOOKUP(A952,PPTO_GENERADOR!Q:Q,PPTO_GENERADOR!E:E,"-",0)</f>
        <v>715</v>
      </c>
      <c r="Q952" s="123">
        <f t="shared" si="354"/>
        <v>0</v>
      </c>
      <c r="R952" s="125">
        <f>+_xlfn.XLOOKUP(A952,PPTO_GENERADOR!$Q:$Q,PPTO_GENERADOR!A:A,"-",0)</f>
        <v>7.08</v>
      </c>
    </row>
    <row r="953" spans="1:18" ht="14.25" customHeight="1" x14ac:dyDescent="0.35">
      <c r="A953" s="105" t="s">
        <v>155</v>
      </c>
      <c r="B953" s="105" t="s">
        <v>1983</v>
      </c>
      <c r="C953" s="105"/>
      <c r="D953" s="105" t="s">
        <v>1319</v>
      </c>
      <c r="E953" s="95" t="str">
        <f>IFERROR(VLOOKUP(D953,EQUIPOS!A:B,2,FALSE()),"?")</f>
        <v>EQUIPO DE ALBAÑILERIA, carpetas, ladrillo</v>
      </c>
      <c r="F953" s="129"/>
      <c r="G953" s="119">
        <v>1</v>
      </c>
      <c r="H953" s="120">
        <v>0</v>
      </c>
      <c r="I953" s="96">
        <f>IFERROR(VLOOKUP(D953,EQUIPOS!A:F,6,FALSE()),0)</f>
        <v>2485.8709964593982</v>
      </c>
      <c r="J953" s="31">
        <f t="shared" si="366"/>
        <v>2485.8709964593982</v>
      </c>
      <c r="K953" s="32" t="str">
        <f t="shared" si="367"/>
        <v>PTO-0708|EQ</v>
      </c>
      <c r="L953" s="32">
        <f>COUNTIFS($K$2:K953,K953)</f>
        <v>2</v>
      </c>
      <c r="M953" s="32" t="str">
        <f t="shared" si="351"/>
        <v>PTO-0708|EQ|2</v>
      </c>
      <c r="N953" s="121">
        <f>IFERROR(VLOOKUP(A953,PARTIDAS!A:F,6,FALSE()),0)</f>
        <v>11.5</v>
      </c>
      <c r="O953" s="123">
        <f t="shared" si="353"/>
        <v>0</v>
      </c>
      <c r="P953" s="123">
        <f>+_xlfn.XLOOKUP(A953,PPTO_GENERADOR!Q:Q,PPTO_GENERADOR!E:E,"-",0)</f>
        <v>715</v>
      </c>
      <c r="Q953" s="123">
        <f t="shared" si="354"/>
        <v>0</v>
      </c>
      <c r="R953" s="125">
        <f>+_xlfn.XLOOKUP(A953,PPTO_GENERADOR!$Q:$Q,PPTO_GENERADOR!A:A,"-",0)</f>
        <v>7.08</v>
      </c>
    </row>
    <row r="954" spans="1:18" ht="14.25" customHeight="1" x14ac:dyDescent="0.35">
      <c r="A954" s="105" t="s">
        <v>155</v>
      </c>
      <c r="B954" s="105" t="s">
        <v>1983</v>
      </c>
      <c r="C954" s="105"/>
      <c r="D954" s="105" t="s">
        <v>1507</v>
      </c>
      <c r="E954" s="95" t="str">
        <f>IFERROR(VLOOKUP(D954,EQUIPOS!A:B,2,FALSE()),"?")</f>
        <v>Hormigonera De 150 Litros 1hp Con Rueda Maciza</v>
      </c>
      <c r="F954" s="129"/>
      <c r="G954" s="119">
        <v>1</v>
      </c>
      <c r="H954" s="120">
        <v>0</v>
      </c>
      <c r="I954" s="96">
        <f>IFERROR(VLOOKUP(D954,EQUIPOS!A:F,6,FALSE()),0)</f>
        <v>1040.4314486705237</v>
      </c>
      <c r="J954" s="31">
        <f t="shared" si="366"/>
        <v>1040.4314486705237</v>
      </c>
      <c r="K954" s="32" t="str">
        <f t="shared" si="367"/>
        <v>PTO-0708|EQ</v>
      </c>
      <c r="L954" s="32">
        <f>COUNTIFS($K$2:K954,K954)</f>
        <v>3</v>
      </c>
      <c r="M954" s="32" t="str">
        <f t="shared" si="351"/>
        <v>PTO-0708|EQ|3</v>
      </c>
      <c r="N954" s="121">
        <f>IFERROR(VLOOKUP(A954,PARTIDAS!A:F,6,FALSE()),0)</f>
        <v>11.5</v>
      </c>
      <c r="O954" s="123">
        <f t="shared" si="353"/>
        <v>0</v>
      </c>
      <c r="P954" s="123">
        <f>+_xlfn.XLOOKUP(A954,PPTO_GENERADOR!Q:Q,PPTO_GENERADOR!E:E,"-",0)</f>
        <v>715</v>
      </c>
      <c r="Q954" s="123">
        <f t="shared" si="354"/>
        <v>0</v>
      </c>
      <c r="R954" s="125">
        <f>+_xlfn.XLOOKUP(A954,PPTO_GENERADOR!$Q:$Q,PPTO_GENERADOR!A:A,"-",0)</f>
        <v>7.08</v>
      </c>
    </row>
    <row r="955" spans="1:18" ht="14.25" customHeight="1" x14ac:dyDescent="0.35">
      <c r="A955" s="105" t="s">
        <v>157</v>
      </c>
      <c r="B955" s="105" t="s">
        <v>1981</v>
      </c>
      <c r="C955" s="105" t="s">
        <v>1982</v>
      </c>
      <c r="D955" s="105" t="s">
        <v>540</v>
      </c>
      <c r="E955" s="95" t="str">
        <f>IFERROR(VLOOKUP(D955,MATERIALES!A:B,2,FALSE()),"?")</f>
        <v>Cemento Portland x 50kg</v>
      </c>
      <c r="F955" s="129">
        <f>IFERROR(VLOOKUP(D955,MATERIALES!A:C,3,FALSE()),"?")</f>
        <v>0</v>
      </c>
      <c r="G955" s="119">
        <v>0.14960000000000001</v>
      </c>
      <c r="H955" s="120">
        <v>0.1</v>
      </c>
      <c r="I955" s="96">
        <f>IFERROR(VLOOKUP(D955,MATERIALES!A:D,4,FALSE()),0)</f>
        <v>7891.74</v>
      </c>
      <c r="J955" s="31">
        <f t="shared" ref="J955:J958" si="368">G955*I955*(1+H955)</f>
        <v>1298.6647344</v>
      </c>
      <c r="K955" s="32" t="str">
        <f t="shared" si="367"/>
        <v>PTO-0801|MAT</v>
      </c>
      <c r="L955" s="32">
        <f>COUNTIFS($K$2:K955,K955)</f>
        <v>1</v>
      </c>
      <c r="M955" s="32" t="str">
        <f t="shared" ref="M955:M958" si="369">K955&amp;"|"&amp;L955</f>
        <v>PTO-0801|MAT|1</v>
      </c>
      <c r="N955" s="121">
        <f>IFERROR(VLOOKUP(A955,PARTIDAS!A:F,6,FALSE()),0)</f>
        <v>1.4</v>
      </c>
      <c r="O955" s="123">
        <f t="shared" si="353"/>
        <v>0</v>
      </c>
      <c r="P955" s="123">
        <f>+_xlfn.XLOOKUP(A955,PPTO_GENERADOR!Q:Q,PPTO_GENERADOR!E:E,"-",0)</f>
        <v>21</v>
      </c>
      <c r="Q955" s="123">
        <f t="shared" si="354"/>
        <v>0</v>
      </c>
      <c r="R955" s="125">
        <f>+_xlfn.XLOOKUP(A955,PPTO_GENERADOR!$Q:$Q,PPTO_GENERADOR!A:A,"-",0)</f>
        <v>8.01</v>
      </c>
    </row>
    <row r="956" spans="1:18" ht="14.25" customHeight="1" x14ac:dyDescent="0.35">
      <c r="A956" s="105" t="s">
        <v>157</v>
      </c>
      <c r="B956" s="105" t="s">
        <v>1981</v>
      </c>
      <c r="C956" s="105" t="s">
        <v>1982</v>
      </c>
      <c r="D956" s="105" t="s">
        <v>542</v>
      </c>
      <c r="E956" s="95" t="str">
        <f>IFERROR(VLOOKUP(D956,MATERIALES!A:B,2,FALSE()),"?")</f>
        <v>Cal Comun x 25kg</v>
      </c>
      <c r="F956" s="129">
        <f>IFERROR(VLOOKUP(D956,MATERIALES!A:C,3,FALSE()),"?")</f>
        <v>0</v>
      </c>
      <c r="G956" s="119">
        <v>0.64800000000000002</v>
      </c>
      <c r="H956" s="120">
        <v>0.1</v>
      </c>
      <c r="I956" s="96">
        <f>IFERROR(VLOOKUP(D956,MATERIALES!A:D,4,FALSE()),0)</f>
        <v>3927.28</v>
      </c>
      <c r="J956" s="31">
        <f t="shared" si="368"/>
        <v>2799.3651840000002</v>
      </c>
      <c r="K956" s="32" t="str">
        <f t="shared" si="367"/>
        <v>PTO-0801|MAT</v>
      </c>
      <c r="L956" s="32">
        <f>COUNTIFS($K$2:K956,K956)</f>
        <v>2</v>
      </c>
      <c r="M956" s="32" t="str">
        <f t="shared" si="369"/>
        <v>PTO-0801|MAT|2</v>
      </c>
      <c r="N956" s="121">
        <f>IFERROR(VLOOKUP(A956,PARTIDAS!A:F,6,FALSE()),0)</f>
        <v>1.4</v>
      </c>
      <c r="O956" s="123">
        <f t="shared" si="353"/>
        <v>0</v>
      </c>
      <c r="P956" s="123">
        <f>+_xlfn.XLOOKUP(A956,PPTO_GENERADOR!Q:Q,PPTO_GENERADOR!E:E,"-",0)</f>
        <v>21</v>
      </c>
      <c r="Q956" s="123">
        <f t="shared" si="354"/>
        <v>0</v>
      </c>
      <c r="R956" s="125">
        <f>+_xlfn.XLOOKUP(A956,PPTO_GENERADOR!$Q:$Q,PPTO_GENERADOR!A:A,"-",0)</f>
        <v>8.01</v>
      </c>
    </row>
    <row r="957" spans="1:18" ht="14.25" customHeight="1" x14ac:dyDescent="0.35">
      <c r="A957" s="105" t="s">
        <v>157</v>
      </c>
      <c r="B957" s="105" t="s">
        <v>1981</v>
      </c>
      <c r="C957" s="105" t="s">
        <v>1982</v>
      </c>
      <c r="D957" s="105" t="s">
        <v>1031</v>
      </c>
      <c r="E957" s="95" t="str">
        <f>IFERROR(VLOOKUP(D957,MATERIALES!A:B,2,FALSE()),"?")</f>
        <v>Cascote</v>
      </c>
      <c r="F957" s="129" t="str">
        <f>IFERROR(VLOOKUP(D957,MATERIALES!A:C,3,FALSE()),"?")</f>
        <v>m3</v>
      </c>
      <c r="G957" s="119">
        <v>0.154</v>
      </c>
      <c r="H957" s="120">
        <v>0.1</v>
      </c>
      <c r="I957" s="96">
        <f>IFERROR(VLOOKUP(D957,MATERIALES!A:D,4,FALSE()),0)</f>
        <v>34246.800000000003</v>
      </c>
      <c r="J957" s="31">
        <f t="shared" si="368"/>
        <v>5801.4079200000006</v>
      </c>
      <c r="K957" s="32" t="str">
        <f t="shared" si="367"/>
        <v>PTO-0801|MAT</v>
      </c>
      <c r="L957" s="32">
        <f>COUNTIFS($K$2:K957,K957)</f>
        <v>3</v>
      </c>
      <c r="M957" s="32" t="str">
        <f t="shared" si="369"/>
        <v>PTO-0801|MAT|3</v>
      </c>
      <c r="N957" s="121">
        <f>IFERROR(VLOOKUP(A957,PARTIDAS!A:F,6,FALSE()),0)</f>
        <v>1.4</v>
      </c>
      <c r="O957" s="123">
        <f t="shared" si="353"/>
        <v>0</v>
      </c>
      <c r="P957" s="123">
        <f>+_xlfn.XLOOKUP(A957,PPTO_GENERADOR!Q:Q,PPTO_GENERADOR!E:E,"-",0)</f>
        <v>21</v>
      </c>
      <c r="Q957" s="123">
        <f t="shared" si="354"/>
        <v>0</v>
      </c>
      <c r="R957" s="125">
        <f>+_xlfn.XLOOKUP(A957,PPTO_GENERADOR!$Q:$Q,PPTO_GENERADOR!A:A,"-",0)</f>
        <v>8.01</v>
      </c>
    </row>
    <row r="958" spans="1:18" ht="14.25" customHeight="1" x14ac:dyDescent="0.35">
      <c r="A958" s="105" t="s">
        <v>157</v>
      </c>
      <c r="B958" s="105" t="s">
        <v>1981</v>
      </c>
      <c r="C958" s="105" t="s">
        <v>1982</v>
      </c>
      <c r="D958" s="105" t="s">
        <v>538</v>
      </c>
      <c r="E958" s="95" t="str">
        <f>IFERROR(VLOOKUP(D958,MATERIALES!A:B,2,FALSE()),"?")</f>
        <v>ARENA LAVADA</v>
      </c>
      <c r="F958" s="129">
        <f>IFERROR(VLOOKUP(D958,MATERIALES!A:C,3,FALSE()),"?")</f>
        <v>0</v>
      </c>
      <c r="G958" s="119">
        <v>0.10299999999999999</v>
      </c>
      <c r="H958" s="120">
        <v>0.1</v>
      </c>
      <c r="I958" s="96">
        <f>IFERROR(VLOOKUP(D958,MATERIALES!A:D,4,FALSE()),0)</f>
        <v>32620.38</v>
      </c>
      <c r="J958" s="31">
        <f t="shared" si="368"/>
        <v>3695.8890540000002</v>
      </c>
      <c r="K958" s="32" t="str">
        <f t="shared" si="367"/>
        <v>PTO-0801|MAT</v>
      </c>
      <c r="L958" s="32">
        <f>COUNTIFS($K$2:K958,K958)</f>
        <v>4</v>
      </c>
      <c r="M958" s="32" t="str">
        <f t="shared" si="369"/>
        <v>PTO-0801|MAT|4</v>
      </c>
      <c r="N958" s="121">
        <f>IFERROR(VLOOKUP(A958,PARTIDAS!A:F,6,FALSE()),0)</f>
        <v>1.4</v>
      </c>
      <c r="O958" s="123">
        <f t="shared" si="353"/>
        <v>0</v>
      </c>
      <c r="P958" s="123">
        <f>+_xlfn.XLOOKUP(A958,PPTO_GENERADOR!Q:Q,PPTO_GENERADOR!E:E,"-",0)</f>
        <v>21</v>
      </c>
      <c r="Q958" s="123">
        <f t="shared" si="354"/>
        <v>0</v>
      </c>
      <c r="R958" s="125">
        <f>+_xlfn.XLOOKUP(A958,PPTO_GENERADOR!$Q:$Q,PPTO_GENERADOR!A:A,"-",0)</f>
        <v>8.01</v>
      </c>
    </row>
    <row r="959" spans="1:18" ht="14.25" customHeight="1" x14ac:dyDescent="0.35">
      <c r="A959" s="105" t="s">
        <v>157</v>
      </c>
      <c r="B959" s="105" t="s">
        <v>1979</v>
      </c>
      <c r="C959" s="105" t="s">
        <v>1980</v>
      </c>
      <c r="D959" s="105" t="s">
        <v>2038</v>
      </c>
      <c r="E959" s="95" t="str">
        <f>IFERROR(VLOOKUP(D959,MANO_DE_OBRA!A:B,2,FALSE()),"?")</f>
        <v>AYUDANTE</v>
      </c>
      <c r="F959" s="129" t="s">
        <v>2042</v>
      </c>
      <c r="G959" s="119">
        <v>0.2</v>
      </c>
      <c r="H959" s="120">
        <v>0</v>
      </c>
      <c r="I959" s="96">
        <f>IFERROR(VLOOKUP(D959,MANO_DE_OBRA!A:C,3,FALSE()),0)</f>
        <v>67240.498860267602</v>
      </c>
      <c r="J959" s="31">
        <f t="shared" ref="J959:J962" si="370">G959*I959</f>
        <v>13448.099772053522</v>
      </c>
      <c r="K959" s="32" t="str">
        <f t="shared" si="367"/>
        <v>PTO-0801|MO</v>
      </c>
      <c r="L959" s="32">
        <f>COUNTIFS($K$2:K959,K959)</f>
        <v>1</v>
      </c>
      <c r="M959" s="32" t="str">
        <f t="shared" ref="M959:M1018" si="371">K959&amp;"|"&amp;L959</f>
        <v>PTO-0801|MO|1</v>
      </c>
      <c r="N959" s="121">
        <f>IFERROR(VLOOKUP(A959,PARTIDAS!A:F,6,FALSE()),0)</f>
        <v>1.4</v>
      </c>
      <c r="O959" s="123">
        <f t="shared" si="353"/>
        <v>0.14285714285714288</v>
      </c>
      <c r="P959" s="123">
        <f>+_xlfn.XLOOKUP(A959,PPTO_GENERADOR!Q:Q,PPTO_GENERADOR!E:E,"-",0)</f>
        <v>21</v>
      </c>
      <c r="Q959" s="123">
        <f t="shared" si="354"/>
        <v>3.0000000000000004</v>
      </c>
      <c r="R959" s="125">
        <f>+_xlfn.XLOOKUP(A959,PPTO_GENERADOR!$Q:$Q,PPTO_GENERADOR!A:A,"-",0)</f>
        <v>8.01</v>
      </c>
    </row>
    <row r="960" spans="1:18" ht="14.25" customHeight="1" x14ac:dyDescent="0.35">
      <c r="A960" s="105" t="s">
        <v>157</v>
      </c>
      <c r="B960" s="105" t="s">
        <v>1979</v>
      </c>
      <c r="C960" s="105" t="s">
        <v>1980</v>
      </c>
      <c r="D960" s="105" t="s">
        <v>1292</v>
      </c>
      <c r="E960" s="95" t="str">
        <f>IFERROR(VLOOKUP(D960,MANO_DE_OBRA!A:B,2,FALSE()),"?")</f>
        <v>ESPECIALIZADO</v>
      </c>
      <c r="F960" s="129" t="s">
        <v>2042</v>
      </c>
      <c r="G960" s="119">
        <v>0.15</v>
      </c>
      <c r="H960" s="120">
        <v>0</v>
      </c>
      <c r="I960" s="96">
        <f>IFERROR(VLOOKUP(D960,MANO_DE_OBRA!A:C,3,FALSE()),0)</f>
        <v>94177.137883538904</v>
      </c>
      <c r="J960" s="31">
        <f t="shared" si="370"/>
        <v>14126.570682530835</v>
      </c>
      <c r="K960" s="32" t="str">
        <f t="shared" si="367"/>
        <v>PTO-0801|MO</v>
      </c>
      <c r="L960" s="32">
        <f>COUNTIFS($K$2:K960,K960)</f>
        <v>2</v>
      </c>
      <c r="M960" s="32" t="str">
        <f t="shared" si="371"/>
        <v>PTO-0801|MO|2</v>
      </c>
      <c r="N960" s="121">
        <f>IFERROR(VLOOKUP(A960,PARTIDAS!A:F,6,FALSE()),0)</f>
        <v>1.4</v>
      </c>
      <c r="O960" s="123">
        <f t="shared" si="353"/>
        <v>0.10714285714285715</v>
      </c>
      <c r="P960" s="123">
        <f>+_xlfn.XLOOKUP(A960,PPTO_GENERADOR!Q:Q,PPTO_GENERADOR!E:E,"-",0)</f>
        <v>21</v>
      </c>
      <c r="Q960" s="123">
        <f t="shared" si="354"/>
        <v>2.25</v>
      </c>
      <c r="R960" s="125">
        <f>+_xlfn.XLOOKUP(A960,PPTO_GENERADOR!$Q:$Q,PPTO_GENERADOR!A:A,"-",0)</f>
        <v>8.01</v>
      </c>
    </row>
    <row r="961" spans="1:18" ht="14.25" customHeight="1" x14ac:dyDescent="0.35">
      <c r="A961" s="105" t="s">
        <v>157</v>
      </c>
      <c r="B961" s="105" t="s">
        <v>1983</v>
      </c>
      <c r="C961" s="105"/>
      <c r="D961" s="105" t="s">
        <v>1507</v>
      </c>
      <c r="E961" s="95" t="str">
        <f>IFERROR(VLOOKUP(D961,EQUIPOS!A:B,2,FALSE()),"?")</f>
        <v>Hormigonera De 150 Litros 1hp Con Rueda Maciza</v>
      </c>
      <c r="F961" s="129"/>
      <c r="G961" s="119">
        <v>0.2</v>
      </c>
      <c r="H961" s="120">
        <v>0</v>
      </c>
      <c r="I961" s="96">
        <f>IFERROR(VLOOKUP(D961,EQUIPOS!A:F,6,FALSE()),0)</f>
        <v>1040.4314486705237</v>
      </c>
      <c r="J961" s="31">
        <f t="shared" si="370"/>
        <v>208.08628973410475</v>
      </c>
      <c r="K961" s="32" t="str">
        <f t="shared" si="367"/>
        <v>PTO-0801|EQ</v>
      </c>
      <c r="L961" s="32">
        <f>COUNTIFS($K$2:K961,K961)</f>
        <v>1</v>
      </c>
      <c r="M961" s="32" t="str">
        <f t="shared" si="371"/>
        <v>PTO-0801|EQ|1</v>
      </c>
      <c r="N961" s="121">
        <f>IFERROR(VLOOKUP(A961,PARTIDAS!A:F,6,FALSE()),0)</f>
        <v>1.4</v>
      </c>
      <c r="O961" s="123">
        <f t="shared" si="353"/>
        <v>0</v>
      </c>
      <c r="P961" s="123">
        <f>+_xlfn.XLOOKUP(A961,PPTO_GENERADOR!Q:Q,PPTO_GENERADOR!E:E,"-",0)</f>
        <v>21</v>
      </c>
      <c r="Q961" s="123">
        <f t="shared" si="354"/>
        <v>0</v>
      </c>
      <c r="R961" s="125">
        <f>+_xlfn.XLOOKUP(A961,PPTO_GENERADOR!$Q:$Q,PPTO_GENERADOR!A:A,"-",0)</f>
        <v>8.01</v>
      </c>
    </row>
    <row r="962" spans="1:18" ht="14.25" customHeight="1" x14ac:dyDescent="0.35">
      <c r="A962" s="105" t="s">
        <v>157</v>
      </c>
      <c r="B962" s="105" t="s">
        <v>1983</v>
      </c>
      <c r="C962" s="105"/>
      <c r="D962" s="105" t="s">
        <v>1319</v>
      </c>
      <c r="E962" s="95" t="str">
        <f>IFERROR(VLOOKUP(D962,EQUIPOS!A:B,2,FALSE()),"?")</f>
        <v>EQUIPO DE ALBAÑILERIA, carpetas, ladrillo</v>
      </c>
      <c r="F962" s="129"/>
      <c r="G962" s="119">
        <v>0.2</v>
      </c>
      <c r="H962" s="120">
        <v>0</v>
      </c>
      <c r="I962" s="96">
        <f>IFERROR(VLOOKUP(D962,EQUIPOS!A:F,6,FALSE()),0)</f>
        <v>2485.8709964593982</v>
      </c>
      <c r="J962" s="31">
        <f t="shared" si="370"/>
        <v>497.17419929187963</v>
      </c>
      <c r="K962" s="32" t="str">
        <f t="shared" si="367"/>
        <v>PTO-0801|EQ</v>
      </c>
      <c r="L962" s="32">
        <f>COUNTIFS($K$2:K962,K962)</f>
        <v>2</v>
      </c>
      <c r="M962" s="32" t="str">
        <f t="shared" si="371"/>
        <v>PTO-0801|EQ|2</v>
      </c>
      <c r="N962" s="121">
        <f>IFERROR(VLOOKUP(A962,PARTIDAS!A:F,6,FALSE()),0)</f>
        <v>1.4</v>
      </c>
      <c r="O962" s="123">
        <f t="shared" si="353"/>
        <v>0</v>
      </c>
      <c r="P962" s="123">
        <f>+_xlfn.XLOOKUP(A962,PPTO_GENERADOR!Q:Q,PPTO_GENERADOR!E:E,"-",0)</f>
        <v>21</v>
      </c>
      <c r="Q962" s="123">
        <f t="shared" si="354"/>
        <v>0</v>
      </c>
      <c r="R962" s="125">
        <f>+_xlfn.XLOOKUP(A962,PPTO_GENERADOR!$Q:$Q,PPTO_GENERADOR!A:A,"-",0)</f>
        <v>8.01</v>
      </c>
    </row>
    <row r="963" spans="1:18" ht="14.25" customHeight="1" x14ac:dyDescent="0.35">
      <c r="A963" s="105" t="s">
        <v>160</v>
      </c>
      <c r="B963" s="105" t="s">
        <v>1981</v>
      </c>
      <c r="C963" s="105" t="s">
        <v>1982</v>
      </c>
      <c r="D963" s="105" t="s">
        <v>746</v>
      </c>
      <c r="E963" s="95" t="str">
        <f>IFERROR(VLOOKUP(D963,MATERIALES!A:B,2,FALSE()),"?")</f>
        <v>H13 6.20</v>
      </c>
      <c r="F963" s="129" t="str">
        <f>IFERROR(VLOOKUP(D963,MATERIALES!A:C,3,FALSE()),"?")</f>
        <v>u</v>
      </c>
      <c r="G963" s="119">
        <v>0.21393000000000001</v>
      </c>
      <c r="H963" s="120">
        <v>0</v>
      </c>
      <c r="I963" s="96">
        <f>IFERROR(VLOOKUP(D963,MATERIALES!A:D,4,FALSE()),0)</f>
        <v>115100</v>
      </c>
      <c r="J963" s="31">
        <f t="shared" ref="J963:J968" si="372">G963*I963*(1+H963)</f>
        <v>24623.343000000001</v>
      </c>
      <c r="K963" s="32" t="str">
        <f t="shared" si="367"/>
        <v>PTO-0802|MAT</v>
      </c>
      <c r="L963" s="32">
        <f>COUNTIFS($K$2:K963,K963)</f>
        <v>1</v>
      </c>
      <c r="M963" s="32" t="str">
        <f t="shared" si="371"/>
        <v>PTO-0802|MAT|1</v>
      </c>
      <c r="N963" s="121">
        <f>IFERROR(VLOOKUP(A963,PARTIDAS!A:F,6,FALSE()),0)</f>
        <v>1</v>
      </c>
      <c r="O963" s="123">
        <f t="shared" ref="O963:O1026" si="373">+IF(C963="ALB",G963/N963,0)</f>
        <v>0</v>
      </c>
      <c r="P963" s="123">
        <f>+_xlfn.XLOOKUP(A963,PPTO_GENERADOR!Q:Q,PPTO_GENERADOR!E:E,"-",0)</f>
        <v>201</v>
      </c>
      <c r="Q963" s="123">
        <f t="shared" ref="Q963:Q1026" si="374">IFERROR(P963*O963,0)</f>
        <v>0</v>
      </c>
      <c r="R963" s="125">
        <f>+_xlfn.XLOOKUP(A963,PPTO_GENERADOR!$Q:$Q,PPTO_GENERADOR!A:A,"-",0)</f>
        <v>8.02</v>
      </c>
    </row>
    <row r="964" spans="1:18" ht="14.25" customHeight="1" x14ac:dyDescent="0.35">
      <c r="A964" s="105" t="s">
        <v>160</v>
      </c>
      <c r="B964" s="105" t="s">
        <v>1981</v>
      </c>
      <c r="C964" s="105" t="s">
        <v>1982</v>
      </c>
      <c r="D964" s="105" t="s">
        <v>748</v>
      </c>
      <c r="E964" s="95" t="str">
        <f>IFERROR(VLOOKUP(D964,MATERIALES!A:B,2,FALSE()),"?")</f>
        <v>Acarreo</v>
      </c>
      <c r="F964" s="129" t="str">
        <f>IFERROR(VLOOKUP(D964,MATERIALES!A:C,3,FALSE()),"?")</f>
        <v>u</v>
      </c>
      <c r="G964" s="119">
        <v>4.9750000000000003E-3</v>
      </c>
      <c r="H964" s="120">
        <v>0</v>
      </c>
      <c r="I964" s="96">
        <f>IFERROR(VLOOKUP(D964,MATERIALES!A:D,4,FALSE()),0)</f>
        <v>533000</v>
      </c>
      <c r="J964" s="31">
        <f t="shared" si="372"/>
        <v>2651.6750000000002</v>
      </c>
      <c r="K964" s="32" t="str">
        <f t="shared" si="367"/>
        <v>PTO-0802|MAT</v>
      </c>
      <c r="L964" s="32">
        <f>COUNTIFS($K$2:K964,K964)</f>
        <v>2</v>
      </c>
      <c r="M964" s="32" t="str">
        <f t="shared" si="371"/>
        <v>PTO-0802|MAT|2</v>
      </c>
      <c r="N964" s="121">
        <f>IFERROR(VLOOKUP(A964,PARTIDAS!A:F,6,FALSE()),0)</f>
        <v>1</v>
      </c>
      <c r="O964" s="123">
        <f t="shared" si="373"/>
        <v>0</v>
      </c>
      <c r="P964" s="123">
        <f>+_xlfn.XLOOKUP(A964,PPTO_GENERADOR!Q:Q,PPTO_GENERADOR!E:E,"-",0)</f>
        <v>201</v>
      </c>
      <c r="Q964" s="123">
        <f t="shared" si="374"/>
        <v>0</v>
      </c>
      <c r="R964" s="125">
        <f>+_xlfn.XLOOKUP(A964,PPTO_GENERADOR!$Q:$Q,PPTO_GENERADOR!A:A,"-",0)</f>
        <v>8.02</v>
      </c>
    </row>
    <row r="965" spans="1:18" ht="14.25" customHeight="1" x14ac:dyDescent="0.35">
      <c r="A965" s="105" t="s">
        <v>160</v>
      </c>
      <c r="B965" s="105" t="s">
        <v>1981</v>
      </c>
      <c r="C965" s="105" t="s">
        <v>1982</v>
      </c>
      <c r="D965" s="105" t="s">
        <v>677</v>
      </c>
      <c r="E965" s="95" t="str">
        <f>IFERROR(VLOOKUP(D965,MATERIALES!A:B,2,FALSE()),"?")</f>
        <v>Bombeo</v>
      </c>
      <c r="F965" s="129" t="str">
        <f>IFERROR(VLOOKUP(D965,MATERIALES!A:C,3,FALSE()),"?")</f>
        <v>u</v>
      </c>
      <c r="G965" s="119">
        <v>0.21393000000000001</v>
      </c>
      <c r="H965" s="120">
        <v>0</v>
      </c>
      <c r="I965" s="96">
        <f>IFERROR(VLOOKUP(D965,MATERIALES!A:D,4,FALSE()),0)</f>
        <v>5330</v>
      </c>
      <c r="J965" s="31">
        <f t="shared" si="372"/>
        <v>1140.2469000000001</v>
      </c>
      <c r="K965" s="32" t="str">
        <f t="shared" si="367"/>
        <v>PTO-0802|MAT</v>
      </c>
      <c r="L965" s="32">
        <f>COUNTIFS($K$2:K965,K965)</f>
        <v>3</v>
      </c>
      <c r="M965" s="32" t="str">
        <f t="shared" si="371"/>
        <v>PTO-0802|MAT|3</v>
      </c>
      <c r="N965" s="121">
        <f>IFERROR(VLOOKUP(A965,PARTIDAS!A:F,6,FALSE()),0)</f>
        <v>1</v>
      </c>
      <c r="O965" s="123">
        <f t="shared" si="373"/>
        <v>0</v>
      </c>
      <c r="P965" s="123">
        <f>+_xlfn.XLOOKUP(A965,PPTO_GENERADOR!Q:Q,PPTO_GENERADOR!E:E,"-",0)</f>
        <v>201</v>
      </c>
      <c r="Q965" s="123">
        <f t="shared" si="374"/>
        <v>0</v>
      </c>
      <c r="R965" s="125">
        <f>+_xlfn.XLOOKUP(A965,PPTO_GENERADOR!$Q:$Q,PPTO_GENERADOR!A:A,"-",0)</f>
        <v>8.02</v>
      </c>
    </row>
    <row r="966" spans="1:18" ht="14.25" customHeight="1" x14ac:dyDescent="0.35">
      <c r="A966" s="105" t="s">
        <v>160</v>
      </c>
      <c r="B966" s="105" t="s">
        <v>1981</v>
      </c>
      <c r="C966" s="105" t="s">
        <v>1984</v>
      </c>
      <c r="D966" s="105" t="s">
        <v>750</v>
      </c>
      <c r="E966" s="95" t="str">
        <f>IFERROR(VLOOKUP(D966,MATERIALES!A:B,2,FALSE()),"?")</f>
        <v>Malla N° 4 Liv 15 x 15 3 x 2 mt</v>
      </c>
      <c r="F966" s="129" t="str">
        <f>IFERROR(VLOOKUP(D966,MATERIALES!A:C,3,FALSE()),"?")</f>
        <v>u</v>
      </c>
      <c r="G966" s="119">
        <v>0.18407999999999999</v>
      </c>
      <c r="H966" s="120">
        <v>0</v>
      </c>
      <c r="I966" s="96">
        <f>IFERROR(VLOOKUP(D966,MATERIALES!A:D,4,FALSE()),0)</f>
        <v>10716.59</v>
      </c>
      <c r="J966" s="31">
        <f t="shared" si="372"/>
        <v>1972.7098871999999</v>
      </c>
      <c r="K966" s="32" t="str">
        <f t="shared" si="367"/>
        <v>PTO-0802|MAT</v>
      </c>
      <c r="L966" s="32">
        <f>COUNTIFS($K$2:K966,K966)</f>
        <v>4</v>
      </c>
      <c r="M966" s="32" t="str">
        <f t="shared" si="371"/>
        <v>PTO-0802|MAT|4</v>
      </c>
      <c r="N966" s="121">
        <f>IFERROR(VLOOKUP(A966,PARTIDAS!A:F,6,FALSE()),0)</f>
        <v>1</v>
      </c>
      <c r="O966" s="123">
        <f t="shared" si="373"/>
        <v>0</v>
      </c>
      <c r="P966" s="123">
        <f>+_xlfn.XLOOKUP(A966,PPTO_GENERADOR!Q:Q,PPTO_GENERADOR!E:E,"-",0)</f>
        <v>201</v>
      </c>
      <c r="Q966" s="123">
        <f t="shared" si="374"/>
        <v>0</v>
      </c>
      <c r="R966" s="125">
        <f>+_xlfn.XLOOKUP(A966,PPTO_GENERADOR!$Q:$Q,PPTO_GENERADOR!A:A,"-",0)</f>
        <v>8.02</v>
      </c>
    </row>
    <row r="967" spans="1:18" ht="14.25" customHeight="1" x14ac:dyDescent="0.35">
      <c r="A967" s="105" t="s">
        <v>160</v>
      </c>
      <c r="B967" s="105" t="s">
        <v>1981</v>
      </c>
      <c r="C967" s="105" t="s">
        <v>1984</v>
      </c>
      <c r="D967" s="105" t="s">
        <v>752</v>
      </c>
      <c r="E967" s="95" t="str">
        <f>IFERROR(VLOOKUP(D967,MATERIALES!A:B,2,FALSE()),"?")</f>
        <v>Rollo Polietileno negro 2x50 mt x 200mic</v>
      </c>
      <c r="F967" s="129" t="str">
        <f>IFERROR(VLOOKUP(D967,MATERIALES!A:C,3,FALSE()),"?")</f>
        <v>u</v>
      </c>
      <c r="G967" s="119">
        <v>1.2437999999999999E-2</v>
      </c>
      <c r="H967" s="120">
        <v>0</v>
      </c>
      <c r="I967" s="96">
        <f>IFERROR(VLOOKUP(D967,MATERIALES!A:D,4,FALSE()),0)</f>
        <v>27000</v>
      </c>
      <c r="J967" s="31">
        <f t="shared" si="372"/>
        <v>335.82599999999996</v>
      </c>
      <c r="K967" s="32" t="str">
        <f t="shared" si="367"/>
        <v>PTO-0802|MAT</v>
      </c>
      <c r="L967" s="32">
        <f>COUNTIFS($K$2:K967,K967)</f>
        <v>5</v>
      </c>
      <c r="M967" s="32" t="str">
        <f t="shared" si="371"/>
        <v>PTO-0802|MAT|5</v>
      </c>
      <c r="N967" s="121">
        <f>IFERROR(VLOOKUP(A967,PARTIDAS!A:F,6,FALSE()),0)</f>
        <v>1</v>
      </c>
      <c r="O967" s="123">
        <f t="shared" si="373"/>
        <v>0</v>
      </c>
      <c r="P967" s="123">
        <f>+_xlfn.XLOOKUP(A967,PPTO_GENERADOR!Q:Q,PPTO_GENERADOR!E:E,"-",0)</f>
        <v>201</v>
      </c>
      <c r="Q967" s="123">
        <f t="shared" si="374"/>
        <v>0</v>
      </c>
      <c r="R967" s="125">
        <f>+_xlfn.XLOOKUP(A967,PPTO_GENERADOR!$Q:$Q,PPTO_GENERADOR!A:A,"-",0)</f>
        <v>8.02</v>
      </c>
    </row>
    <row r="968" spans="1:18" ht="14.25" customHeight="1" x14ac:dyDescent="0.35">
      <c r="A968" s="105" t="s">
        <v>160</v>
      </c>
      <c r="B968" s="105" t="s">
        <v>1981</v>
      </c>
      <c r="C968" s="105" t="s">
        <v>1982</v>
      </c>
      <c r="D968" s="105" t="s">
        <v>559</v>
      </c>
      <c r="E968" s="95" t="str">
        <f>IFERROR(VLOOKUP(D968,MATERIALES!A:B,2,FALSE()),"?")</f>
        <v>CONSUMIBLES (varios)</v>
      </c>
      <c r="F968" s="129" t="str">
        <f>IFERROR(VLOOKUP(D968,MATERIALES!A:C,3,FALSE()),"?")</f>
        <v>gl</v>
      </c>
      <c r="G968" s="119">
        <v>230.85265200000001</v>
      </c>
      <c r="H968" s="120">
        <v>0</v>
      </c>
      <c r="I968" s="96">
        <f>IFERROR(VLOOKUP(D968,MATERIALES!A:D,4,FALSE()),0)</f>
        <v>1</v>
      </c>
      <c r="J968" s="31">
        <f t="shared" si="372"/>
        <v>230.85265200000001</v>
      </c>
      <c r="K968" s="32" t="str">
        <f t="shared" si="367"/>
        <v>PTO-0802|MAT</v>
      </c>
      <c r="L968" s="32">
        <f>COUNTIFS($K$2:K968,K968)</f>
        <v>6</v>
      </c>
      <c r="M968" s="32" t="str">
        <f t="shared" si="371"/>
        <v>PTO-0802|MAT|6</v>
      </c>
      <c r="N968" s="121">
        <f>IFERROR(VLOOKUP(A968,PARTIDAS!A:F,6,FALSE()),0)</f>
        <v>1</v>
      </c>
      <c r="O968" s="123">
        <f t="shared" si="373"/>
        <v>0</v>
      </c>
      <c r="P968" s="123">
        <f>+_xlfn.XLOOKUP(A968,PPTO_GENERADOR!Q:Q,PPTO_GENERADOR!E:E,"-",0)</f>
        <v>201</v>
      </c>
      <c r="Q968" s="123">
        <f t="shared" si="374"/>
        <v>0</v>
      </c>
      <c r="R968" s="125">
        <f>+_xlfn.XLOOKUP(A968,PPTO_GENERADOR!$Q:$Q,PPTO_GENERADOR!A:A,"-",0)</f>
        <v>8.02</v>
      </c>
    </row>
    <row r="969" spans="1:18" ht="14.25" customHeight="1" x14ac:dyDescent="0.35">
      <c r="A969" s="105" t="s">
        <v>160</v>
      </c>
      <c r="B969" s="105" t="s">
        <v>1979</v>
      </c>
      <c r="C969" s="105" t="s">
        <v>1980</v>
      </c>
      <c r="D969" s="105" t="s">
        <v>1292</v>
      </c>
      <c r="E969" s="95" t="str">
        <f>IFERROR(VLOOKUP(D969,MANO_DE_OBRA!A:B,2,FALSE()),"?")</f>
        <v>ESPECIALIZADO</v>
      </c>
      <c r="F969" s="129" t="s">
        <v>2042</v>
      </c>
      <c r="G969" s="119">
        <v>2.9850999999999999E-2</v>
      </c>
      <c r="H969" s="120">
        <v>0</v>
      </c>
      <c r="I969" s="96">
        <f>IFERROR(VLOOKUP(D969,MANO_DE_OBRA!A:C,3,FALSE()),0)</f>
        <v>94177.137883538904</v>
      </c>
      <c r="J969" s="31">
        <f t="shared" ref="J969:J971" si="375">G969*I969</f>
        <v>2811.2817429615197</v>
      </c>
      <c r="K969" s="32" t="str">
        <f t="shared" si="367"/>
        <v>PTO-0802|MO</v>
      </c>
      <c r="L969" s="32">
        <f>COUNTIFS($K$2:K969,K969)</f>
        <v>1</v>
      </c>
      <c r="M969" s="32" t="str">
        <f t="shared" si="371"/>
        <v>PTO-0802|MO|1</v>
      </c>
      <c r="N969" s="121">
        <f>IFERROR(VLOOKUP(A969,PARTIDAS!A:F,6,FALSE()),0)</f>
        <v>1</v>
      </c>
      <c r="O969" s="123">
        <f t="shared" si="373"/>
        <v>2.9850999999999999E-2</v>
      </c>
      <c r="P969" s="123">
        <f>+_xlfn.XLOOKUP(A969,PPTO_GENERADOR!Q:Q,PPTO_GENERADOR!E:E,"-",0)</f>
        <v>201</v>
      </c>
      <c r="Q969" s="123">
        <f t="shared" si="374"/>
        <v>6.000051</v>
      </c>
      <c r="R969" s="125">
        <f>+_xlfn.XLOOKUP(A969,PPTO_GENERADOR!$Q:$Q,PPTO_GENERADOR!A:A,"-",0)</f>
        <v>8.02</v>
      </c>
    </row>
    <row r="970" spans="1:18" ht="14.25" customHeight="1" x14ac:dyDescent="0.35">
      <c r="A970" s="105" t="s">
        <v>160</v>
      </c>
      <c r="B970" s="105" t="s">
        <v>1979</v>
      </c>
      <c r="C970" s="105" t="s">
        <v>1980</v>
      </c>
      <c r="D970" s="105" t="s">
        <v>1290</v>
      </c>
      <c r="E970" s="95" t="str">
        <f>IFERROR(VLOOKUP(D970,MANO_DE_OBRA!A:B,2,FALSE()),"?")</f>
        <v>OFICIAL</v>
      </c>
      <c r="F970" s="129" t="s">
        <v>2042</v>
      </c>
      <c r="G970" s="119">
        <v>3.4826000000000003E-2</v>
      </c>
      <c r="H970" s="120">
        <v>0</v>
      </c>
      <c r="I970" s="96">
        <f>IFERROR(VLOOKUP(D970,MANO_DE_OBRA!A:C,3,FALSE()),0)</f>
        <v>84612.512709566407</v>
      </c>
      <c r="J970" s="31">
        <f t="shared" si="375"/>
        <v>2946.7153676233597</v>
      </c>
      <c r="K970" s="32" t="str">
        <f t="shared" si="367"/>
        <v>PTO-0802|MO</v>
      </c>
      <c r="L970" s="32">
        <f>COUNTIFS($K$2:K970,K970)</f>
        <v>2</v>
      </c>
      <c r="M970" s="32" t="str">
        <f t="shared" si="371"/>
        <v>PTO-0802|MO|2</v>
      </c>
      <c r="N970" s="121">
        <f>IFERROR(VLOOKUP(A970,PARTIDAS!A:F,6,FALSE()),0)</f>
        <v>1</v>
      </c>
      <c r="O970" s="123">
        <f t="shared" si="373"/>
        <v>3.4826000000000003E-2</v>
      </c>
      <c r="P970" s="123">
        <f>+_xlfn.XLOOKUP(A970,PPTO_GENERADOR!Q:Q,PPTO_GENERADOR!E:E,"-",0)</f>
        <v>201</v>
      </c>
      <c r="Q970" s="123">
        <f t="shared" si="374"/>
        <v>7.000026000000001</v>
      </c>
      <c r="R970" s="125">
        <f>+_xlfn.XLOOKUP(A970,PPTO_GENERADOR!$Q:$Q,PPTO_GENERADOR!A:A,"-",0)</f>
        <v>8.02</v>
      </c>
    </row>
    <row r="971" spans="1:18" ht="14.25" customHeight="1" x14ac:dyDescent="0.35">
      <c r="A971" s="105" t="s">
        <v>160</v>
      </c>
      <c r="B971" s="105" t="s">
        <v>1979</v>
      </c>
      <c r="C971" s="105" t="s">
        <v>1980</v>
      </c>
      <c r="D971" s="105" t="s">
        <v>2038</v>
      </c>
      <c r="E971" s="95" t="str">
        <f>IFERROR(VLOOKUP(D971,MANO_DE_OBRA!A:B,2,FALSE()),"?")</f>
        <v>AYUDANTE</v>
      </c>
      <c r="F971" s="129" t="s">
        <v>2042</v>
      </c>
      <c r="G971" s="119">
        <v>4.4776000000000003E-2</v>
      </c>
      <c r="H971" s="120">
        <v>0</v>
      </c>
      <c r="I971" s="96">
        <f>IFERROR(VLOOKUP(D971,MANO_DE_OBRA!A:C,3,FALSE()),0)</f>
        <v>67240.498860267602</v>
      </c>
      <c r="J971" s="31">
        <f t="shared" si="375"/>
        <v>3010.7605769673423</v>
      </c>
      <c r="K971" s="32" t="str">
        <f t="shared" si="367"/>
        <v>PTO-0802|MO</v>
      </c>
      <c r="L971" s="32">
        <f>COUNTIFS($K$2:K971,K971)</f>
        <v>3</v>
      </c>
      <c r="M971" s="32" t="str">
        <f t="shared" si="371"/>
        <v>PTO-0802|MO|3</v>
      </c>
      <c r="N971" s="121">
        <f>IFERROR(VLOOKUP(A971,PARTIDAS!A:F,6,FALSE()),0)</f>
        <v>1</v>
      </c>
      <c r="O971" s="123">
        <f t="shared" si="373"/>
        <v>4.4776000000000003E-2</v>
      </c>
      <c r="P971" s="123">
        <f>+_xlfn.XLOOKUP(A971,PPTO_GENERADOR!Q:Q,PPTO_GENERADOR!E:E,"-",0)</f>
        <v>201</v>
      </c>
      <c r="Q971" s="123">
        <f t="shared" si="374"/>
        <v>8.9999760000000002</v>
      </c>
      <c r="R971" s="125">
        <f>+_xlfn.XLOOKUP(A971,PPTO_GENERADOR!$Q:$Q,PPTO_GENERADOR!A:A,"-",0)</f>
        <v>8.02</v>
      </c>
    </row>
    <row r="972" spans="1:18" ht="14.25" customHeight="1" x14ac:dyDescent="0.35">
      <c r="A972" s="105" t="s">
        <v>160</v>
      </c>
      <c r="B972" s="105" t="s">
        <v>1983</v>
      </c>
      <c r="C972" s="105"/>
      <c r="D972" s="105" t="s">
        <v>1393</v>
      </c>
      <c r="E972" s="95" t="str">
        <f>IFERROR(VLOOKUP(D972,EQUIPOS!A:B,2,FALSE()),"?")</f>
        <v xml:space="preserve">Herramientas — Contrapiso armado de H° pobre s/terreno </v>
      </c>
      <c r="F972" s="129"/>
      <c r="G972" s="119">
        <v>1</v>
      </c>
      <c r="H972" s="120">
        <v>0</v>
      </c>
      <c r="I972" s="96">
        <f>IFERROR(VLOOKUP(D972,EQUIPOS!A:F,6,FALSE()),0)</f>
        <v>595.85224768735895</v>
      </c>
      <c r="J972" s="31">
        <f>G972*I972</f>
        <v>595.85224768735895</v>
      </c>
      <c r="K972" s="32" t="str">
        <f t="shared" si="367"/>
        <v>PTO-0802|EQ</v>
      </c>
      <c r="L972" s="32">
        <f>COUNTIFS($K$2:K972,K972)</f>
        <v>1</v>
      </c>
      <c r="M972" s="32" t="str">
        <f t="shared" si="371"/>
        <v>PTO-0802|EQ|1</v>
      </c>
      <c r="N972" s="121">
        <f>IFERROR(VLOOKUP(A972,PARTIDAS!A:F,6,FALSE()),0)</f>
        <v>1</v>
      </c>
      <c r="O972" s="123">
        <f t="shared" si="373"/>
        <v>0</v>
      </c>
      <c r="P972" s="123">
        <f>+_xlfn.XLOOKUP(A972,PPTO_GENERADOR!Q:Q,PPTO_GENERADOR!E:E,"-",0)</f>
        <v>201</v>
      </c>
      <c r="Q972" s="123">
        <f t="shared" si="374"/>
        <v>0</v>
      </c>
      <c r="R972" s="125">
        <f>+_xlfn.XLOOKUP(A972,PPTO_GENERADOR!$Q:$Q,PPTO_GENERADOR!A:A,"-",0)</f>
        <v>8.02</v>
      </c>
    </row>
    <row r="973" spans="1:18" ht="14.25" customHeight="1" x14ac:dyDescent="0.35">
      <c r="A973" s="105" t="s">
        <v>162</v>
      </c>
      <c r="B973" s="105" t="s">
        <v>1981</v>
      </c>
      <c r="C973" s="105" t="s">
        <v>1982</v>
      </c>
      <c r="D973" s="105" t="s">
        <v>540</v>
      </c>
      <c r="E973" s="95" t="str">
        <f>IFERROR(VLOOKUP(D973,MATERIALES!A:B,2,FALSE()),"?")</f>
        <v>Cemento Portland x 50kg</v>
      </c>
      <c r="F973" s="129">
        <f>IFERROR(VLOOKUP(D973,MATERIALES!A:C,3,FALSE()),"?")</f>
        <v>0</v>
      </c>
      <c r="G973" s="119">
        <v>0.14960000000000001</v>
      </c>
      <c r="H973" s="120">
        <v>0.1</v>
      </c>
      <c r="I973" s="96">
        <f>IFERROR(VLOOKUP(D973,MATERIALES!A:D,4,FALSE()),0)</f>
        <v>7891.74</v>
      </c>
      <c r="J973" s="31">
        <f t="shared" ref="J973:J976" si="376">G973*I973*(1+H973)</f>
        <v>1298.6647344</v>
      </c>
      <c r="K973" s="32" t="str">
        <f t="shared" si="367"/>
        <v>PTO-0803|MAT</v>
      </c>
      <c r="L973" s="32">
        <f>COUNTIFS($K$2:K973,K973)</f>
        <v>1</v>
      </c>
      <c r="M973" s="32" t="str">
        <f t="shared" si="371"/>
        <v>PTO-0803|MAT|1</v>
      </c>
      <c r="N973" s="121">
        <f>IFERROR(VLOOKUP(A973,PARTIDAS!A:F,6,FALSE()),0)</f>
        <v>1.4</v>
      </c>
      <c r="O973" s="123">
        <f t="shared" si="373"/>
        <v>0</v>
      </c>
      <c r="P973" s="123">
        <f>+_xlfn.XLOOKUP(A973,PPTO_GENERADOR!Q:Q,PPTO_GENERADOR!E:E,"-",0)</f>
        <v>107</v>
      </c>
      <c r="Q973" s="123">
        <f t="shared" si="374"/>
        <v>0</v>
      </c>
      <c r="R973" s="125">
        <f>+_xlfn.XLOOKUP(A973,PPTO_GENERADOR!$Q:$Q,PPTO_GENERADOR!A:A,"-",0)</f>
        <v>8.0299999999999994</v>
      </c>
    </row>
    <row r="974" spans="1:18" ht="14.25" customHeight="1" x14ac:dyDescent="0.35">
      <c r="A974" s="105" t="s">
        <v>162</v>
      </c>
      <c r="B974" s="105" t="s">
        <v>1981</v>
      </c>
      <c r="C974" s="105" t="s">
        <v>1982</v>
      </c>
      <c r="D974" s="105" t="s">
        <v>542</v>
      </c>
      <c r="E974" s="95" t="str">
        <f>IFERROR(VLOOKUP(D974,MATERIALES!A:B,2,FALSE()),"?")</f>
        <v>Cal Comun x 25kg</v>
      </c>
      <c r="F974" s="129">
        <f>IFERROR(VLOOKUP(D974,MATERIALES!A:C,3,FALSE()),"?")</f>
        <v>0</v>
      </c>
      <c r="G974" s="119">
        <v>0.64800000000000002</v>
      </c>
      <c r="H974" s="120">
        <v>0.1</v>
      </c>
      <c r="I974" s="96">
        <f>IFERROR(VLOOKUP(D974,MATERIALES!A:D,4,FALSE()),0)</f>
        <v>3927.28</v>
      </c>
      <c r="J974" s="31">
        <f t="shared" si="376"/>
        <v>2799.3651840000002</v>
      </c>
      <c r="K974" s="32" t="str">
        <f t="shared" si="367"/>
        <v>PTO-0803|MAT</v>
      </c>
      <c r="L974" s="32">
        <f>COUNTIFS($K$2:K974,K974)</f>
        <v>2</v>
      </c>
      <c r="M974" s="32" t="str">
        <f t="shared" si="371"/>
        <v>PTO-0803|MAT|2</v>
      </c>
      <c r="N974" s="121">
        <f>IFERROR(VLOOKUP(A974,PARTIDAS!A:F,6,FALSE()),0)</f>
        <v>1.4</v>
      </c>
      <c r="O974" s="123">
        <f t="shared" si="373"/>
        <v>0</v>
      </c>
      <c r="P974" s="123">
        <f>+_xlfn.XLOOKUP(A974,PPTO_GENERADOR!Q:Q,PPTO_GENERADOR!E:E,"-",0)</f>
        <v>107</v>
      </c>
      <c r="Q974" s="123">
        <f t="shared" si="374"/>
        <v>0</v>
      </c>
      <c r="R974" s="125">
        <f>+_xlfn.XLOOKUP(A974,PPTO_GENERADOR!$Q:$Q,PPTO_GENERADOR!A:A,"-",0)</f>
        <v>8.0299999999999994</v>
      </c>
    </row>
    <row r="975" spans="1:18" ht="14.25" customHeight="1" x14ac:dyDescent="0.35">
      <c r="A975" s="105" t="s">
        <v>162</v>
      </c>
      <c r="B975" s="105" t="s">
        <v>1981</v>
      </c>
      <c r="C975" s="105" t="s">
        <v>1982</v>
      </c>
      <c r="D975" s="105" t="s">
        <v>1031</v>
      </c>
      <c r="E975" s="95" t="str">
        <f>IFERROR(VLOOKUP(D975,MATERIALES!A:B,2,FALSE()),"?")</f>
        <v>Cascote</v>
      </c>
      <c r="F975" s="129" t="str">
        <f>IFERROR(VLOOKUP(D975,MATERIALES!A:C,3,FALSE()),"?")</f>
        <v>m3</v>
      </c>
      <c r="G975" s="119">
        <v>0.154</v>
      </c>
      <c r="H975" s="120">
        <v>0.1</v>
      </c>
      <c r="I975" s="96">
        <f>IFERROR(VLOOKUP(D975,MATERIALES!A:D,4,FALSE()),0)</f>
        <v>34246.800000000003</v>
      </c>
      <c r="J975" s="31">
        <f t="shared" si="376"/>
        <v>5801.4079200000006</v>
      </c>
      <c r="K975" s="32" t="str">
        <f t="shared" si="367"/>
        <v>PTO-0803|MAT</v>
      </c>
      <c r="L975" s="32">
        <f>COUNTIFS($K$2:K975,K975)</f>
        <v>3</v>
      </c>
      <c r="M975" s="32" t="str">
        <f t="shared" si="371"/>
        <v>PTO-0803|MAT|3</v>
      </c>
      <c r="N975" s="121">
        <f>IFERROR(VLOOKUP(A975,PARTIDAS!A:F,6,FALSE()),0)</f>
        <v>1.4</v>
      </c>
      <c r="O975" s="123">
        <f t="shared" si="373"/>
        <v>0</v>
      </c>
      <c r="P975" s="123">
        <f>+_xlfn.XLOOKUP(A975,PPTO_GENERADOR!Q:Q,PPTO_GENERADOR!E:E,"-",0)</f>
        <v>107</v>
      </c>
      <c r="Q975" s="123">
        <f t="shared" si="374"/>
        <v>0</v>
      </c>
      <c r="R975" s="125">
        <f>+_xlfn.XLOOKUP(A975,PPTO_GENERADOR!$Q:$Q,PPTO_GENERADOR!A:A,"-",0)</f>
        <v>8.0299999999999994</v>
      </c>
    </row>
    <row r="976" spans="1:18" ht="14.25" customHeight="1" x14ac:dyDescent="0.35">
      <c r="A976" s="105" t="s">
        <v>162</v>
      </c>
      <c r="B976" s="105" t="s">
        <v>1981</v>
      </c>
      <c r="C976" s="105" t="s">
        <v>1982</v>
      </c>
      <c r="D976" s="105" t="s">
        <v>538</v>
      </c>
      <c r="E976" s="95" t="str">
        <f>IFERROR(VLOOKUP(D976,MATERIALES!A:B,2,FALSE()),"?")</f>
        <v>ARENA LAVADA</v>
      </c>
      <c r="F976" s="129">
        <f>IFERROR(VLOOKUP(D976,MATERIALES!A:C,3,FALSE()),"?")</f>
        <v>0</v>
      </c>
      <c r="G976" s="119">
        <v>0.10299999999999999</v>
      </c>
      <c r="H976" s="120">
        <v>0.1</v>
      </c>
      <c r="I976" s="96">
        <f>IFERROR(VLOOKUP(D976,MATERIALES!A:D,4,FALSE()),0)</f>
        <v>32620.38</v>
      </c>
      <c r="J976" s="31">
        <f t="shared" si="376"/>
        <v>3695.8890540000002</v>
      </c>
      <c r="K976" s="32" t="str">
        <f t="shared" si="367"/>
        <v>PTO-0803|MAT</v>
      </c>
      <c r="L976" s="32">
        <f>COUNTIFS($K$2:K976,K976)</f>
        <v>4</v>
      </c>
      <c r="M976" s="32" t="str">
        <f t="shared" si="371"/>
        <v>PTO-0803|MAT|4</v>
      </c>
      <c r="N976" s="121">
        <f>IFERROR(VLOOKUP(A976,PARTIDAS!A:F,6,FALSE()),0)</f>
        <v>1.4</v>
      </c>
      <c r="O976" s="123">
        <f t="shared" si="373"/>
        <v>0</v>
      </c>
      <c r="P976" s="123">
        <f>+_xlfn.XLOOKUP(A976,PPTO_GENERADOR!Q:Q,PPTO_GENERADOR!E:E,"-",0)</f>
        <v>107</v>
      </c>
      <c r="Q976" s="123">
        <f t="shared" si="374"/>
        <v>0</v>
      </c>
      <c r="R976" s="125">
        <f>+_xlfn.XLOOKUP(A976,PPTO_GENERADOR!$Q:$Q,PPTO_GENERADOR!A:A,"-",0)</f>
        <v>8.0299999999999994</v>
      </c>
    </row>
    <row r="977" spans="1:18" ht="14.25" customHeight="1" x14ac:dyDescent="0.35">
      <c r="A977" s="105" t="s">
        <v>162</v>
      </c>
      <c r="B977" s="105" t="s">
        <v>1979</v>
      </c>
      <c r="C977" s="105" t="s">
        <v>1980</v>
      </c>
      <c r="D977" s="105" t="s">
        <v>2038</v>
      </c>
      <c r="E977" s="95" t="str">
        <f>IFERROR(VLOOKUP(D977,MANO_DE_OBRA!A:B,2,FALSE()),"?")</f>
        <v>AYUDANTE</v>
      </c>
      <c r="F977" s="129" t="s">
        <v>2042</v>
      </c>
      <c r="G977" s="119">
        <v>0.2</v>
      </c>
      <c r="H977" s="120">
        <v>0</v>
      </c>
      <c r="I977" s="96">
        <f>IFERROR(VLOOKUP(D977,MANO_DE_OBRA!A:C,3,FALSE()),0)</f>
        <v>67240.498860267602</v>
      </c>
      <c r="J977" s="31">
        <f t="shared" ref="J977:J980" si="377">G977*I977</f>
        <v>13448.099772053522</v>
      </c>
      <c r="K977" s="32" t="str">
        <f t="shared" si="367"/>
        <v>PTO-0803|MO</v>
      </c>
      <c r="L977" s="32">
        <f>COUNTIFS($K$2:K977,K977)</f>
        <v>1</v>
      </c>
      <c r="M977" s="32" t="str">
        <f t="shared" si="371"/>
        <v>PTO-0803|MO|1</v>
      </c>
      <c r="N977" s="121">
        <f>IFERROR(VLOOKUP(A977,PARTIDAS!A:F,6,FALSE()),0)</f>
        <v>1.4</v>
      </c>
      <c r="O977" s="123">
        <f t="shared" si="373"/>
        <v>0.14285714285714288</v>
      </c>
      <c r="P977" s="123">
        <f>+_xlfn.XLOOKUP(A977,PPTO_GENERADOR!Q:Q,PPTO_GENERADOR!E:E,"-",0)</f>
        <v>107</v>
      </c>
      <c r="Q977" s="123">
        <f t="shared" si="374"/>
        <v>15.285714285714288</v>
      </c>
      <c r="R977" s="125">
        <f>+_xlfn.XLOOKUP(A977,PPTO_GENERADOR!$Q:$Q,PPTO_GENERADOR!A:A,"-",0)</f>
        <v>8.0299999999999994</v>
      </c>
    </row>
    <row r="978" spans="1:18" ht="14.25" customHeight="1" x14ac:dyDescent="0.35">
      <c r="A978" s="105" t="s">
        <v>162</v>
      </c>
      <c r="B978" s="105" t="s">
        <v>1979</v>
      </c>
      <c r="C978" s="105" t="s">
        <v>1980</v>
      </c>
      <c r="D978" s="105" t="s">
        <v>1292</v>
      </c>
      <c r="E978" s="95" t="str">
        <f>IFERROR(VLOOKUP(D978,MANO_DE_OBRA!A:B,2,FALSE()),"?")</f>
        <v>ESPECIALIZADO</v>
      </c>
      <c r="F978" s="129" t="s">
        <v>2042</v>
      </c>
      <c r="G978" s="119">
        <v>0.15</v>
      </c>
      <c r="H978" s="120">
        <v>0</v>
      </c>
      <c r="I978" s="96">
        <f>IFERROR(VLOOKUP(D978,MANO_DE_OBRA!A:C,3,FALSE()),0)</f>
        <v>94177.137883538904</v>
      </c>
      <c r="J978" s="31">
        <f t="shared" si="377"/>
        <v>14126.570682530835</v>
      </c>
      <c r="K978" s="32" t="str">
        <f t="shared" si="367"/>
        <v>PTO-0803|MO</v>
      </c>
      <c r="L978" s="32">
        <f>COUNTIFS($K$2:K978,K978)</f>
        <v>2</v>
      </c>
      <c r="M978" s="32" t="str">
        <f t="shared" si="371"/>
        <v>PTO-0803|MO|2</v>
      </c>
      <c r="N978" s="121">
        <f>IFERROR(VLOOKUP(A978,PARTIDAS!A:F,6,FALSE()),0)</f>
        <v>1.4</v>
      </c>
      <c r="O978" s="123">
        <f t="shared" si="373"/>
        <v>0.10714285714285715</v>
      </c>
      <c r="P978" s="123">
        <f>+_xlfn.XLOOKUP(A978,PPTO_GENERADOR!Q:Q,PPTO_GENERADOR!E:E,"-",0)</f>
        <v>107</v>
      </c>
      <c r="Q978" s="123">
        <f t="shared" si="374"/>
        <v>11.464285714285715</v>
      </c>
      <c r="R978" s="125">
        <f>+_xlfn.XLOOKUP(A978,PPTO_GENERADOR!$Q:$Q,PPTO_GENERADOR!A:A,"-",0)</f>
        <v>8.0299999999999994</v>
      </c>
    </row>
    <row r="979" spans="1:18" ht="14.25" customHeight="1" x14ac:dyDescent="0.35">
      <c r="A979" s="105" t="s">
        <v>162</v>
      </c>
      <c r="B979" s="105" t="s">
        <v>1983</v>
      </c>
      <c r="C979" s="105"/>
      <c r="D979" s="105" t="s">
        <v>1507</v>
      </c>
      <c r="E979" s="95" t="str">
        <f>IFERROR(VLOOKUP(D979,EQUIPOS!A:B,2,FALSE()),"?")</f>
        <v>Hormigonera De 150 Litros 1hp Con Rueda Maciza</v>
      </c>
      <c r="F979" s="129"/>
      <c r="G979" s="119">
        <v>0.2</v>
      </c>
      <c r="H979" s="120">
        <v>0</v>
      </c>
      <c r="I979" s="96">
        <f>IFERROR(VLOOKUP(D979,EQUIPOS!A:F,6,FALSE()),0)</f>
        <v>1040.4314486705237</v>
      </c>
      <c r="J979" s="31">
        <f t="shared" si="377"/>
        <v>208.08628973410475</v>
      </c>
      <c r="K979" s="32" t="str">
        <f t="shared" si="367"/>
        <v>PTO-0803|EQ</v>
      </c>
      <c r="L979" s="32">
        <f>COUNTIFS($K$2:K979,K979)</f>
        <v>1</v>
      </c>
      <c r="M979" s="32" t="str">
        <f t="shared" si="371"/>
        <v>PTO-0803|EQ|1</v>
      </c>
      <c r="N979" s="121">
        <f>IFERROR(VLOOKUP(A979,PARTIDAS!A:F,6,FALSE()),0)</f>
        <v>1.4</v>
      </c>
      <c r="O979" s="123">
        <f t="shared" si="373"/>
        <v>0</v>
      </c>
      <c r="P979" s="123">
        <f>+_xlfn.XLOOKUP(A979,PPTO_GENERADOR!Q:Q,PPTO_GENERADOR!E:E,"-",0)</f>
        <v>107</v>
      </c>
      <c r="Q979" s="123">
        <f t="shared" si="374"/>
        <v>0</v>
      </c>
      <c r="R979" s="125">
        <f>+_xlfn.XLOOKUP(A979,PPTO_GENERADOR!$Q:$Q,PPTO_GENERADOR!A:A,"-",0)</f>
        <v>8.0299999999999994</v>
      </c>
    </row>
    <row r="980" spans="1:18" ht="14.25" customHeight="1" x14ac:dyDescent="0.35">
      <c r="A980" s="105" t="s">
        <v>162</v>
      </c>
      <c r="B980" s="105" t="s">
        <v>1983</v>
      </c>
      <c r="C980" s="105"/>
      <c r="D980" s="105" t="s">
        <v>1319</v>
      </c>
      <c r="E980" s="95" t="str">
        <f>IFERROR(VLOOKUP(D980,EQUIPOS!A:B,2,FALSE()),"?")</f>
        <v>EQUIPO DE ALBAÑILERIA, carpetas, ladrillo</v>
      </c>
      <c r="F980" s="129"/>
      <c r="G980" s="119">
        <v>0.2</v>
      </c>
      <c r="H980" s="120">
        <v>0</v>
      </c>
      <c r="I980" s="96">
        <f>IFERROR(VLOOKUP(D980,EQUIPOS!A:F,6,FALSE()),0)</f>
        <v>2485.8709964593982</v>
      </c>
      <c r="J980" s="31">
        <f t="shared" si="377"/>
        <v>497.17419929187963</v>
      </c>
      <c r="K980" s="32" t="str">
        <f t="shared" si="367"/>
        <v>PTO-0803|EQ</v>
      </c>
      <c r="L980" s="32">
        <f>COUNTIFS($K$2:K980,K980)</f>
        <v>2</v>
      </c>
      <c r="M980" s="32" t="str">
        <f t="shared" si="371"/>
        <v>PTO-0803|EQ|2</v>
      </c>
      <c r="N980" s="121">
        <f>IFERROR(VLOOKUP(A980,PARTIDAS!A:F,6,FALSE()),0)</f>
        <v>1.4</v>
      </c>
      <c r="O980" s="123">
        <f t="shared" si="373"/>
        <v>0</v>
      </c>
      <c r="P980" s="123">
        <f>+_xlfn.XLOOKUP(A980,PPTO_GENERADOR!Q:Q,PPTO_GENERADOR!E:E,"-",0)</f>
        <v>107</v>
      </c>
      <c r="Q980" s="123">
        <f t="shared" si="374"/>
        <v>0</v>
      </c>
      <c r="R980" s="125">
        <f>+_xlfn.XLOOKUP(A980,PPTO_GENERADOR!$Q:$Q,PPTO_GENERADOR!A:A,"-",0)</f>
        <v>8.0299999999999994</v>
      </c>
    </row>
    <row r="981" spans="1:18" ht="14.25" customHeight="1" x14ac:dyDescent="0.35">
      <c r="A981" s="105" t="s">
        <v>164</v>
      </c>
      <c r="B981" s="105" t="s">
        <v>1981</v>
      </c>
      <c r="C981" s="105" t="s">
        <v>1982</v>
      </c>
      <c r="D981" s="105" t="s">
        <v>538</v>
      </c>
      <c r="E981" s="95" t="str">
        <f>IFERROR(VLOOKUP(D981,MATERIALES!A:B,2,FALSE()),"?")</f>
        <v>ARENA LAVADA</v>
      </c>
      <c r="F981" s="129">
        <f>IFERROR(VLOOKUP(D981,MATERIALES!A:C,3,FALSE()),"?")</f>
        <v>0</v>
      </c>
      <c r="G981" s="119">
        <v>5.9499999999999997E-2</v>
      </c>
      <c r="H981" s="120">
        <v>0.1</v>
      </c>
      <c r="I981" s="96">
        <f>IFERROR(VLOOKUP(D981,MATERIALES!A:D,4,FALSE()),0)</f>
        <v>32620.38</v>
      </c>
      <c r="J981" s="31">
        <f t="shared" ref="J981:J984" si="378">G981*I981*(1+H981)</f>
        <v>2135.0038710000003</v>
      </c>
      <c r="K981" s="32" t="str">
        <f t="shared" si="367"/>
        <v>PTO-0804|MAT</v>
      </c>
      <c r="L981" s="32">
        <f>COUNTIFS($K$2:K981,K981)</f>
        <v>1</v>
      </c>
      <c r="M981" s="32" t="str">
        <f t="shared" si="371"/>
        <v>PTO-0804|MAT|1</v>
      </c>
      <c r="N981" s="121">
        <f>IFERROR(VLOOKUP(A981,PARTIDAS!A:F,6,FALSE()),0)</f>
        <v>35</v>
      </c>
      <c r="O981" s="123">
        <f t="shared" si="373"/>
        <v>0</v>
      </c>
      <c r="P981" s="123">
        <f>+_xlfn.XLOOKUP(A981,PPTO_GENERADOR!Q:Q,PPTO_GENERADOR!E:E,"-",0)</f>
        <v>850</v>
      </c>
      <c r="Q981" s="123">
        <f t="shared" si="374"/>
        <v>0</v>
      </c>
      <c r="R981" s="125">
        <f>+_xlfn.XLOOKUP(A981,PPTO_GENERADOR!$Q:$Q,PPTO_GENERADOR!A:A,"-",0)</f>
        <v>8.0399999999999991</v>
      </c>
    </row>
    <row r="982" spans="1:18" ht="14.25" customHeight="1" x14ac:dyDescent="0.35">
      <c r="A982" s="105" t="s">
        <v>164</v>
      </c>
      <c r="B982" s="105" t="s">
        <v>1981</v>
      </c>
      <c r="C982" s="105" t="s">
        <v>1982</v>
      </c>
      <c r="D982" s="105" t="s">
        <v>540</v>
      </c>
      <c r="E982" s="95" t="str">
        <f>IFERROR(VLOOKUP(D982,MATERIALES!A:B,2,FALSE()),"?")</f>
        <v>Cemento Portland x 50kg</v>
      </c>
      <c r="F982" s="129">
        <f>IFERROR(VLOOKUP(D982,MATERIALES!A:C,3,FALSE()),"?")</f>
        <v>0</v>
      </c>
      <c r="G982" s="119">
        <v>0.42</v>
      </c>
      <c r="H982" s="120">
        <v>0.1</v>
      </c>
      <c r="I982" s="96">
        <f>IFERROR(VLOOKUP(D982,MATERIALES!A:D,4,FALSE()),0)</f>
        <v>7891.74</v>
      </c>
      <c r="J982" s="31">
        <f t="shared" si="378"/>
        <v>3645.9838800000002</v>
      </c>
      <c r="K982" s="32" t="str">
        <f t="shared" si="367"/>
        <v>PTO-0804|MAT</v>
      </c>
      <c r="L982" s="32">
        <f>COUNTIFS($K$2:K982,K982)</f>
        <v>2</v>
      </c>
      <c r="M982" s="32" t="str">
        <f t="shared" si="371"/>
        <v>PTO-0804|MAT|2</v>
      </c>
      <c r="N982" s="121">
        <f>IFERROR(VLOOKUP(A982,PARTIDAS!A:F,6,FALSE()),0)</f>
        <v>35</v>
      </c>
      <c r="O982" s="123">
        <f t="shared" si="373"/>
        <v>0</v>
      </c>
      <c r="P982" s="123">
        <f>+_xlfn.XLOOKUP(A982,PPTO_GENERADOR!Q:Q,PPTO_GENERADOR!E:E,"-",0)</f>
        <v>850</v>
      </c>
      <c r="Q982" s="123">
        <f t="shared" si="374"/>
        <v>0</v>
      </c>
      <c r="R982" s="125">
        <f>+_xlfn.XLOOKUP(A982,PPTO_GENERADOR!$Q:$Q,PPTO_GENERADOR!A:A,"-",0)</f>
        <v>8.0399999999999991</v>
      </c>
    </row>
    <row r="983" spans="1:18" ht="14.25" customHeight="1" x14ac:dyDescent="0.35">
      <c r="A983" s="105" t="s">
        <v>164</v>
      </c>
      <c r="B983" s="105" t="s">
        <v>1981</v>
      </c>
      <c r="C983" s="105" t="s">
        <v>1982</v>
      </c>
      <c r="D983" s="105" t="s">
        <v>542</v>
      </c>
      <c r="E983" s="95" t="str">
        <f>IFERROR(VLOOKUP(D983,MATERIALES!A:B,2,FALSE()),"?")</f>
        <v>Cal Comun x 25kg</v>
      </c>
      <c r="F983" s="129">
        <f>IFERROR(VLOOKUP(D983,MATERIALES!A:C,3,FALSE()),"?")</f>
        <v>0</v>
      </c>
      <c r="G983" s="119">
        <v>0.14000000000000001</v>
      </c>
      <c r="H983" s="120">
        <v>0.1</v>
      </c>
      <c r="I983" s="96">
        <f>IFERROR(VLOOKUP(D983,MATERIALES!A:D,4,FALSE()),0)</f>
        <v>3927.28</v>
      </c>
      <c r="J983" s="31">
        <f t="shared" si="378"/>
        <v>604.8011200000002</v>
      </c>
      <c r="K983" s="32" t="str">
        <f t="shared" si="367"/>
        <v>PTO-0804|MAT</v>
      </c>
      <c r="L983" s="32">
        <f>COUNTIFS($K$2:K983,K983)</f>
        <v>3</v>
      </c>
      <c r="M983" s="32" t="str">
        <f t="shared" si="371"/>
        <v>PTO-0804|MAT|3</v>
      </c>
      <c r="N983" s="121">
        <f>IFERROR(VLOOKUP(A983,PARTIDAS!A:F,6,FALSE()),0)</f>
        <v>35</v>
      </c>
      <c r="O983" s="123">
        <f t="shared" si="373"/>
        <v>0</v>
      </c>
      <c r="P983" s="123">
        <f>+_xlfn.XLOOKUP(A983,PPTO_GENERADOR!Q:Q,PPTO_GENERADOR!E:E,"-",0)</f>
        <v>850</v>
      </c>
      <c r="Q983" s="123">
        <f t="shared" si="374"/>
        <v>0</v>
      </c>
      <c r="R983" s="125">
        <f>+_xlfn.XLOOKUP(A983,PPTO_GENERADOR!$Q:$Q,PPTO_GENERADOR!A:A,"-",0)</f>
        <v>8.0399999999999991</v>
      </c>
    </row>
    <row r="984" spans="1:18" ht="14.25" customHeight="1" x14ac:dyDescent="0.35">
      <c r="A984" s="105" t="s">
        <v>164</v>
      </c>
      <c r="B984" s="105" t="s">
        <v>1981</v>
      </c>
      <c r="C984" s="105" t="s">
        <v>1982</v>
      </c>
      <c r="D984" s="105" t="s">
        <v>1078</v>
      </c>
      <c r="E984" s="95" t="str">
        <f>IFERROR(VLOOKUP(D984,MATERIALES!A:B,2,FALSE()),"?")</f>
        <v>Sika Poro Plus x 10 kg</v>
      </c>
      <c r="F984" s="129" t="str">
        <f>IFERROR(VLOOKUP(D984,MATERIALES!A:C,3,FALSE()),"?")</f>
        <v>bal</v>
      </c>
      <c r="G984" s="119">
        <v>2.4499999999999999E-3</v>
      </c>
      <c r="H984" s="120">
        <v>0.05</v>
      </c>
      <c r="I984" s="96">
        <f>IFERROR(VLOOKUP(D984,MATERIALES!A:D,4,FALSE()),0)</f>
        <v>129090.91</v>
      </c>
      <c r="J984" s="31">
        <f t="shared" si="378"/>
        <v>332.08636597500004</v>
      </c>
      <c r="K984" s="32" t="str">
        <f t="shared" si="367"/>
        <v>PTO-0804|MAT</v>
      </c>
      <c r="L984" s="32">
        <f>COUNTIFS($K$2:K984,K984)</f>
        <v>4</v>
      </c>
      <c r="M984" s="32" t="str">
        <f t="shared" si="371"/>
        <v>PTO-0804|MAT|4</v>
      </c>
      <c r="N984" s="121">
        <f>IFERROR(VLOOKUP(A984,PARTIDAS!A:F,6,FALSE()),0)</f>
        <v>35</v>
      </c>
      <c r="O984" s="123">
        <f t="shared" si="373"/>
        <v>0</v>
      </c>
      <c r="P984" s="123">
        <f>+_xlfn.XLOOKUP(A984,PPTO_GENERADOR!Q:Q,PPTO_GENERADOR!E:E,"-",0)</f>
        <v>850</v>
      </c>
      <c r="Q984" s="123">
        <f t="shared" si="374"/>
        <v>0</v>
      </c>
      <c r="R984" s="125">
        <f>+_xlfn.XLOOKUP(A984,PPTO_GENERADOR!$Q:$Q,PPTO_GENERADOR!A:A,"-",0)</f>
        <v>8.0399999999999991</v>
      </c>
    </row>
    <row r="985" spans="1:18" ht="14.25" customHeight="1" x14ac:dyDescent="0.35">
      <c r="A985" s="105" t="s">
        <v>164</v>
      </c>
      <c r="B985" s="105" t="s">
        <v>1979</v>
      </c>
      <c r="C985" s="105" t="s">
        <v>1980</v>
      </c>
      <c r="D985" s="105" t="s">
        <v>2038</v>
      </c>
      <c r="E985" s="95" t="str">
        <f>IFERROR(VLOOKUP(D985,MANO_DE_OBRA!A:B,2,FALSE()),"?")</f>
        <v>AYUDANTE</v>
      </c>
      <c r="F985" s="129" t="s">
        <v>2042</v>
      </c>
      <c r="G985" s="119">
        <v>3</v>
      </c>
      <c r="H985" s="120">
        <v>0</v>
      </c>
      <c r="I985" s="96">
        <f>IFERROR(VLOOKUP(D985,MANO_DE_OBRA!A:C,3,FALSE()),0)</f>
        <v>67240.498860267602</v>
      </c>
      <c r="J985" s="31">
        <f t="shared" ref="J985:J988" si="379">G985*I985</f>
        <v>201721.49658080281</v>
      </c>
      <c r="K985" s="32" t="str">
        <f t="shared" si="367"/>
        <v>PTO-0804|MO</v>
      </c>
      <c r="L985" s="32">
        <f>COUNTIFS($K$2:K985,K985)</f>
        <v>1</v>
      </c>
      <c r="M985" s="32" t="str">
        <f t="shared" si="371"/>
        <v>PTO-0804|MO|1</v>
      </c>
      <c r="N985" s="121">
        <f>IFERROR(VLOOKUP(A985,PARTIDAS!A:F,6,FALSE()),0)</f>
        <v>35</v>
      </c>
      <c r="O985" s="123">
        <f t="shared" si="373"/>
        <v>8.5714285714285715E-2</v>
      </c>
      <c r="P985" s="123">
        <f>+_xlfn.XLOOKUP(A985,PPTO_GENERADOR!Q:Q,PPTO_GENERADOR!E:E,"-",0)</f>
        <v>850</v>
      </c>
      <c r="Q985" s="123">
        <f t="shared" si="374"/>
        <v>72.857142857142861</v>
      </c>
      <c r="R985" s="125">
        <f>+_xlfn.XLOOKUP(A985,PPTO_GENERADOR!$Q:$Q,PPTO_GENERADOR!A:A,"-",0)</f>
        <v>8.0399999999999991</v>
      </c>
    </row>
    <row r="986" spans="1:18" ht="14.25" customHeight="1" x14ac:dyDescent="0.35">
      <c r="A986" s="105" t="s">
        <v>164</v>
      </c>
      <c r="B986" s="105" t="s">
        <v>1979</v>
      </c>
      <c r="C986" s="105" t="s">
        <v>1980</v>
      </c>
      <c r="D986" s="105" t="s">
        <v>1292</v>
      </c>
      <c r="E986" s="95" t="str">
        <f>IFERROR(VLOOKUP(D986,MANO_DE_OBRA!A:B,2,FALSE()),"?")</f>
        <v>ESPECIALIZADO</v>
      </c>
      <c r="F986" s="129" t="s">
        <v>2042</v>
      </c>
      <c r="G986" s="119">
        <v>2</v>
      </c>
      <c r="H986" s="120">
        <v>0</v>
      </c>
      <c r="I986" s="96">
        <f>IFERROR(VLOOKUP(D986,MANO_DE_OBRA!A:C,3,FALSE()),0)</f>
        <v>94177.137883538904</v>
      </c>
      <c r="J986" s="31">
        <f t="shared" si="379"/>
        <v>188354.27576707781</v>
      </c>
      <c r="K986" s="32" t="str">
        <f t="shared" si="367"/>
        <v>PTO-0804|MO</v>
      </c>
      <c r="L986" s="32">
        <f>COUNTIFS($K$2:K986,K986)</f>
        <v>2</v>
      </c>
      <c r="M986" s="32" t="str">
        <f t="shared" si="371"/>
        <v>PTO-0804|MO|2</v>
      </c>
      <c r="N986" s="121">
        <f>IFERROR(VLOOKUP(A986,PARTIDAS!A:F,6,FALSE()),0)</f>
        <v>35</v>
      </c>
      <c r="O986" s="123">
        <f t="shared" si="373"/>
        <v>5.7142857142857141E-2</v>
      </c>
      <c r="P986" s="123">
        <f>+_xlfn.XLOOKUP(A986,PPTO_GENERADOR!Q:Q,PPTO_GENERADOR!E:E,"-",0)</f>
        <v>850</v>
      </c>
      <c r="Q986" s="123">
        <f t="shared" si="374"/>
        <v>48.571428571428569</v>
      </c>
      <c r="R986" s="125">
        <f>+_xlfn.XLOOKUP(A986,PPTO_GENERADOR!$Q:$Q,PPTO_GENERADOR!A:A,"-",0)</f>
        <v>8.0399999999999991</v>
      </c>
    </row>
    <row r="987" spans="1:18" ht="14.25" customHeight="1" x14ac:dyDescent="0.35">
      <c r="A987" s="105" t="s">
        <v>164</v>
      </c>
      <c r="B987" s="105" t="s">
        <v>1983</v>
      </c>
      <c r="C987" s="105"/>
      <c r="D987" s="105" t="s">
        <v>1507</v>
      </c>
      <c r="E987" s="95" t="str">
        <f>IFERROR(VLOOKUP(D987,EQUIPOS!A:B,2,FALSE()),"?")</f>
        <v>Hormigonera De 150 Litros 1hp Con Rueda Maciza</v>
      </c>
      <c r="F987" s="129"/>
      <c r="G987" s="119">
        <v>2</v>
      </c>
      <c r="H987" s="120">
        <v>0</v>
      </c>
      <c r="I987" s="96">
        <f>IFERROR(VLOOKUP(D987,EQUIPOS!A:F,6,FALSE()),0)</f>
        <v>1040.4314486705237</v>
      </c>
      <c r="J987" s="31">
        <f t="shared" si="379"/>
        <v>2080.8628973410473</v>
      </c>
      <c r="K987" s="32" t="str">
        <f t="shared" si="367"/>
        <v>PTO-0804|EQ</v>
      </c>
      <c r="L987" s="32">
        <f>COUNTIFS($K$2:K987,K987)</f>
        <v>1</v>
      </c>
      <c r="M987" s="32" t="str">
        <f t="shared" si="371"/>
        <v>PTO-0804|EQ|1</v>
      </c>
      <c r="N987" s="121">
        <f>IFERROR(VLOOKUP(A987,PARTIDAS!A:F,6,FALSE()),0)</f>
        <v>35</v>
      </c>
      <c r="O987" s="123">
        <f t="shared" si="373"/>
        <v>0</v>
      </c>
      <c r="P987" s="123">
        <f>+_xlfn.XLOOKUP(A987,PPTO_GENERADOR!Q:Q,PPTO_GENERADOR!E:E,"-",0)</f>
        <v>850</v>
      </c>
      <c r="Q987" s="123">
        <f t="shared" si="374"/>
        <v>0</v>
      </c>
      <c r="R987" s="125">
        <f>+_xlfn.XLOOKUP(A987,PPTO_GENERADOR!$Q:$Q,PPTO_GENERADOR!A:A,"-",0)</f>
        <v>8.0399999999999991</v>
      </c>
    </row>
    <row r="988" spans="1:18" ht="14.25" customHeight="1" x14ac:dyDescent="0.35">
      <c r="A988" s="105" t="s">
        <v>164</v>
      </c>
      <c r="B988" s="105" t="s">
        <v>1983</v>
      </c>
      <c r="C988" s="105"/>
      <c r="D988" s="105" t="s">
        <v>1319</v>
      </c>
      <c r="E988" s="95" t="str">
        <f>IFERROR(VLOOKUP(D988,EQUIPOS!A:B,2,FALSE()),"?")</f>
        <v>EQUIPO DE ALBAÑILERIA, carpetas, ladrillo</v>
      </c>
      <c r="F988" s="129"/>
      <c r="G988" s="119">
        <v>1</v>
      </c>
      <c r="H988" s="120">
        <v>0</v>
      </c>
      <c r="I988" s="96">
        <f>IFERROR(VLOOKUP(D988,EQUIPOS!A:F,6,FALSE()),0)</f>
        <v>2485.8709964593982</v>
      </c>
      <c r="J988" s="31">
        <f t="shared" si="379"/>
        <v>2485.8709964593982</v>
      </c>
      <c r="K988" s="32" t="str">
        <f t="shared" si="367"/>
        <v>PTO-0804|EQ</v>
      </c>
      <c r="L988" s="32">
        <f>COUNTIFS($K$2:K988,K988)</f>
        <v>2</v>
      </c>
      <c r="M988" s="32" t="str">
        <f t="shared" si="371"/>
        <v>PTO-0804|EQ|2</v>
      </c>
      <c r="N988" s="121">
        <f>IFERROR(VLOOKUP(A988,PARTIDAS!A:F,6,FALSE()),0)</f>
        <v>35</v>
      </c>
      <c r="O988" s="123">
        <f t="shared" si="373"/>
        <v>0</v>
      </c>
      <c r="P988" s="123">
        <f>+_xlfn.XLOOKUP(A988,PPTO_GENERADOR!Q:Q,PPTO_GENERADOR!E:E,"-",0)</f>
        <v>850</v>
      </c>
      <c r="Q988" s="123">
        <f t="shared" si="374"/>
        <v>0</v>
      </c>
      <c r="R988" s="125">
        <f>+_xlfn.XLOOKUP(A988,PPTO_GENERADOR!$Q:$Q,PPTO_GENERADOR!A:A,"-",0)</f>
        <v>8.0399999999999991</v>
      </c>
    </row>
    <row r="989" spans="1:18" ht="14.25" customHeight="1" x14ac:dyDescent="0.35">
      <c r="A989" s="105" t="s">
        <v>167</v>
      </c>
      <c r="B989" s="105" t="s">
        <v>1981</v>
      </c>
      <c r="C989" s="105" t="s">
        <v>1982</v>
      </c>
      <c r="D989" s="105" t="s">
        <v>540</v>
      </c>
      <c r="E989" s="95" t="str">
        <f>IFERROR(VLOOKUP(D989,MATERIALES!A:B,2,FALSE()),"?")</f>
        <v>Cemento Portland x 50kg</v>
      </c>
      <c r="F989" s="129">
        <f>IFERROR(VLOOKUP(D989,MATERIALES!A:C,3,FALSE()),"?")</f>
        <v>0</v>
      </c>
      <c r="G989" s="119">
        <v>0.27</v>
      </c>
      <c r="H989" s="120">
        <v>0.1</v>
      </c>
      <c r="I989" s="96">
        <f>IFERROR(VLOOKUP(D989,MATERIALES!A:D,4,FALSE()),0)</f>
        <v>7891.74</v>
      </c>
      <c r="J989" s="31">
        <f t="shared" ref="J989:J990" si="380">G989*I989*(1+H989)</f>
        <v>2343.8467800000003</v>
      </c>
      <c r="K989" s="32" t="str">
        <f t="shared" si="367"/>
        <v>PTO-0805|MAT</v>
      </c>
      <c r="L989" s="32">
        <f>COUNTIFS($K$2:K989,K989)</f>
        <v>1</v>
      </c>
      <c r="M989" s="32" t="str">
        <f t="shared" si="371"/>
        <v>PTO-0805|MAT|1</v>
      </c>
      <c r="N989" s="121">
        <f>IFERROR(VLOOKUP(A989,PARTIDAS!A:F,6,FALSE()),0)</f>
        <v>15</v>
      </c>
      <c r="O989" s="123">
        <f t="shared" si="373"/>
        <v>0</v>
      </c>
      <c r="P989" s="123">
        <f>+_xlfn.XLOOKUP(A989,PPTO_GENERADOR!Q:Q,PPTO_GENERADOR!E:E,"-",0)</f>
        <v>365</v>
      </c>
      <c r="Q989" s="123">
        <f t="shared" si="374"/>
        <v>0</v>
      </c>
      <c r="R989" s="125">
        <f>+_xlfn.XLOOKUP(A989,PPTO_GENERADOR!$Q:$Q,PPTO_GENERADOR!A:A,"-",0)</f>
        <v>8.0500000000000007</v>
      </c>
    </row>
    <row r="990" spans="1:18" ht="14.25" customHeight="1" x14ac:dyDescent="0.35">
      <c r="A990" s="105" t="s">
        <v>167</v>
      </c>
      <c r="B990" s="105" t="s">
        <v>1981</v>
      </c>
      <c r="C990" s="105" t="s">
        <v>1982</v>
      </c>
      <c r="D990" s="105" t="s">
        <v>538</v>
      </c>
      <c r="E990" s="95" t="str">
        <f>IFERROR(VLOOKUP(D990,MATERIALES!A:B,2,FALSE()),"?")</f>
        <v>ARENA LAVADA</v>
      </c>
      <c r="F990" s="129">
        <f>IFERROR(VLOOKUP(D990,MATERIALES!A:C,3,FALSE()),"?")</f>
        <v>0</v>
      </c>
      <c r="G990" s="119">
        <v>0.03</v>
      </c>
      <c r="H990" s="120">
        <v>0.1</v>
      </c>
      <c r="I990" s="96">
        <f>IFERROR(VLOOKUP(D990,MATERIALES!A:D,4,FALSE()),0)</f>
        <v>32620.38</v>
      </c>
      <c r="J990" s="31">
        <f t="shared" si="380"/>
        <v>1076.47254</v>
      </c>
      <c r="K990" s="32" t="str">
        <f t="shared" si="367"/>
        <v>PTO-0805|MAT</v>
      </c>
      <c r="L990" s="32">
        <f>COUNTIFS($K$2:K990,K990)</f>
        <v>2</v>
      </c>
      <c r="M990" s="32" t="str">
        <f t="shared" si="371"/>
        <v>PTO-0805|MAT|2</v>
      </c>
      <c r="N990" s="121">
        <f>IFERROR(VLOOKUP(A990,PARTIDAS!A:F,6,FALSE()),0)</f>
        <v>15</v>
      </c>
      <c r="O990" s="123">
        <f t="shared" si="373"/>
        <v>0</v>
      </c>
      <c r="P990" s="123">
        <f>+_xlfn.XLOOKUP(A990,PPTO_GENERADOR!Q:Q,PPTO_GENERADOR!E:E,"-",0)</f>
        <v>365</v>
      </c>
      <c r="Q990" s="123">
        <f t="shared" si="374"/>
        <v>0</v>
      </c>
      <c r="R990" s="125">
        <f>+_xlfn.XLOOKUP(A990,PPTO_GENERADOR!$Q:$Q,PPTO_GENERADOR!A:A,"-",0)</f>
        <v>8.0500000000000007</v>
      </c>
    </row>
    <row r="991" spans="1:18" ht="14.25" customHeight="1" x14ac:dyDescent="0.35">
      <c r="A991" s="105" t="s">
        <v>167</v>
      </c>
      <c r="B991" s="105" t="s">
        <v>1979</v>
      </c>
      <c r="C991" s="105" t="s">
        <v>1980</v>
      </c>
      <c r="D991" s="105" t="s">
        <v>2038</v>
      </c>
      <c r="E991" s="95" t="str">
        <f>IFERROR(VLOOKUP(D991,MANO_DE_OBRA!A:B,2,FALSE()),"?")</f>
        <v>AYUDANTE</v>
      </c>
      <c r="F991" s="129" t="s">
        <v>2042</v>
      </c>
      <c r="G991" s="119">
        <v>0.45</v>
      </c>
      <c r="H991" s="120">
        <v>0</v>
      </c>
      <c r="I991" s="96">
        <f>IFERROR(VLOOKUP(D991,MANO_DE_OBRA!A:C,3,FALSE()),0)</f>
        <v>67240.498860267602</v>
      </c>
      <c r="J991" s="31">
        <f t="shared" ref="J991:J994" si="381">G991*I991</f>
        <v>30258.22448712042</v>
      </c>
      <c r="K991" s="32" t="str">
        <f t="shared" si="367"/>
        <v>PTO-0805|MO</v>
      </c>
      <c r="L991" s="32">
        <f>COUNTIFS($K$2:K991,K991)</f>
        <v>1</v>
      </c>
      <c r="M991" s="32" t="str">
        <f t="shared" si="371"/>
        <v>PTO-0805|MO|1</v>
      </c>
      <c r="N991" s="121">
        <f>IFERROR(VLOOKUP(A991,PARTIDAS!A:F,6,FALSE()),0)</f>
        <v>15</v>
      </c>
      <c r="O991" s="123">
        <f t="shared" si="373"/>
        <v>3.0000000000000002E-2</v>
      </c>
      <c r="P991" s="123">
        <f>+_xlfn.XLOOKUP(A991,PPTO_GENERADOR!Q:Q,PPTO_GENERADOR!E:E,"-",0)</f>
        <v>365</v>
      </c>
      <c r="Q991" s="123">
        <f t="shared" si="374"/>
        <v>10.950000000000001</v>
      </c>
      <c r="R991" s="125">
        <f>+_xlfn.XLOOKUP(A991,PPTO_GENERADOR!$Q:$Q,PPTO_GENERADOR!A:A,"-",0)</f>
        <v>8.0500000000000007</v>
      </c>
    </row>
    <row r="992" spans="1:18" ht="14.25" customHeight="1" x14ac:dyDescent="0.35">
      <c r="A992" s="105" t="s">
        <v>167</v>
      </c>
      <c r="B992" s="105" t="s">
        <v>1979</v>
      </c>
      <c r="C992" s="105" t="s">
        <v>1980</v>
      </c>
      <c r="D992" s="105" t="s">
        <v>1292</v>
      </c>
      <c r="E992" s="95" t="str">
        <f>IFERROR(VLOOKUP(D992,MANO_DE_OBRA!A:B,2,FALSE()),"?")</f>
        <v>ESPECIALIZADO</v>
      </c>
      <c r="F992" s="129" t="s">
        <v>2042</v>
      </c>
      <c r="G992" s="119">
        <v>1</v>
      </c>
      <c r="H992" s="120">
        <v>0</v>
      </c>
      <c r="I992" s="96">
        <f>IFERROR(VLOOKUP(D992,MANO_DE_OBRA!A:C,3,FALSE()),0)</f>
        <v>94177.137883538904</v>
      </c>
      <c r="J992" s="31">
        <f t="shared" si="381"/>
        <v>94177.137883538904</v>
      </c>
      <c r="K992" s="32" t="str">
        <f t="shared" si="367"/>
        <v>PTO-0805|MO</v>
      </c>
      <c r="L992" s="32">
        <f>COUNTIFS($K$2:K992,K992)</f>
        <v>2</v>
      </c>
      <c r="M992" s="32" t="str">
        <f t="shared" si="371"/>
        <v>PTO-0805|MO|2</v>
      </c>
      <c r="N992" s="121">
        <f>IFERROR(VLOOKUP(A992,PARTIDAS!A:F,6,FALSE()),0)</f>
        <v>15</v>
      </c>
      <c r="O992" s="123">
        <f t="shared" si="373"/>
        <v>6.6666666666666666E-2</v>
      </c>
      <c r="P992" s="123">
        <f>+_xlfn.XLOOKUP(A992,PPTO_GENERADOR!Q:Q,PPTO_GENERADOR!E:E,"-",0)</f>
        <v>365</v>
      </c>
      <c r="Q992" s="123">
        <f t="shared" si="374"/>
        <v>24.333333333333332</v>
      </c>
      <c r="R992" s="125">
        <f>+_xlfn.XLOOKUP(A992,PPTO_GENERADOR!$Q:$Q,PPTO_GENERADOR!A:A,"-",0)</f>
        <v>8.0500000000000007</v>
      </c>
    </row>
    <row r="993" spans="1:18" ht="14.25" customHeight="1" x14ac:dyDescent="0.35">
      <c r="A993" s="105" t="s">
        <v>167</v>
      </c>
      <c r="B993" s="105" t="s">
        <v>1983</v>
      </c>
      <c r="C993" s="105"/>
      <c r="D993" s="105" t="s">
        <v>1507</v>
      </c>
      <c r="E993" s="95" t="str">
        <f>IFERROR(VLOOKUP(D993,EQUIPOS!A:B,2,FALSE()),"?")</f>
        <v>Hormigonera De 150 Litros 1hp Con Rueda Maciza</v>
      </c>
      <c r="F993" s="129"/>
      <c r="G993" s="119">
        <v>1</v>
      </c>
      <c r="H993" s="120">
        <v>0</v>
      </c>
      <c r="I993" s="96">
        <f>IFERROR(VLOOKUP(D993,EQUIPOS!A:F,6,FALSE()),0)</f>
        <v>1040.4314486705237</v>
      </c>
      <c r="J993" s="31">
        <f t="shared" si="381"/>
        <v>1040.4314486705237</v>
      </c>
      <c r="K993" s="32" t="str">
        <f t="shared" si="367"/>
        <v>PTO-0805|EQ</v>
      </c>
      <c r="L993" s="32">
        <f>COUNTIFS($K$2:K993,K993)</f>
        <v>1</v>
      </c>
      <c r="M993" s="32" t="str">
        <f t="shared" si="371"/>
        <v>PTO-0805|EQ|1</v>
      </c>
      <c r="N993" s="121">
        <f>IFERROR(VLOOKUP(A993,PARTIDAS!A:F,6,FALSE()),0)</f>
        <v>15</v>
      </c>
      <c r="O993" s="123">
        <f t="shared" si="373"/>
        <v>0</v>
      </c>
      <c r="P993" s="123">
        <f>+_xlfn.XLOOKUP(A993,PPTO_GENERADOR!Q:Q,PPTO_GENERADOR!E:E,"-",0)</f>
        <v>365</v>
      </c>
      <c r="Q993" s="123">
        <f t="shared" si="374"/>
        <v>0</v>
      </c>
      <c r="R993" s="125">
        <f>+_xlfn.XLOOKUP(A993,PPTO_GENERADOR!$Q:$Q,PPTO_GENERADOR!A:A,"-",0)</f>
        <v>8.0500000000000007</v>
      </c>
    </row>
    <row r="994" spans="1:18" ht="14.25" customHeight="1" x14ac:dyDescent="0.35">
      <c r="A994" s="105" t="s">
        <v>167</v>
      </c>
      <c r="B994" s="105" t="s">
        <v>1983</v>
      </c>
      <c r="C994" s="105"/>
      <c r="D994" s="105" t="s">
        <v>1319</v>
      </c>
      <c r="E994" s="95" t="str">
        <f>IFERROR(VLOOKUP(D994,EQUIPOS!A:B,2,FALSE()),"?")</f>
        <v>EQUIPO DE ALBAÑILERIA, carpetas, ladrillo</v>
      </c>
      <c r="F994" s="129"/>
      <c r="G994" s="119">
        <v>1</v>
      </c>
      <c r="H994" s="120">
        <v>0</v>
      </c>
      <c r="I994" s="96">
        <f>IFERROR(VLOOKUP(D994,EQUIPOS!A:F,6,FALSE()),0)</f>
        <v>2485.8709964593982</v>
      </c>
      <c r="J994" s="31">
        <f t="shared" si="381"/>
        <v>2485.8709964593982</v>
      </c>
      <c r="K994" s="32" t="str">
        <f t="shared" si="367"/>
        <v>PTO-0805|EQ</v>
      </c>
      <c r="L994" s="32">
        <f>COUNTIFS($K$2:K994,K994)</f>
        <v>2</v>
      </c>
      <c r="M994" s="32" t="str">
        <f t="shared" si="371"/>
        <v>PTO-0805|EQ|2</v>
      </c>
      <c r="N994" s="121">
        <f>IFERROR(VLOOKUP(A994,PARTIDAS!A:F,6,FALSE()),0)</f>
        <v>15</v>
      </c>
      <c r="O994" s="123">
        <f t="shared" si="373"/>
        <v>0</v>
      </c>
      <c r="P994" s="123">
        <f>+_xlfn.XLOOKUP(A994,PPTO_GENERADOR!Q:Q,PPTO_GENERADOR!E:E,"-",0)</f>
        <v>365</v>
      </c>
      <c r="Q994" s="123">
        <f t="shared" si="374"/>
        <v>0</v>
      </c>
      <c r="R994" s="125">
        <f>+_xlfn.XLOOKUP(A994,PPTO_GENERADOR!$Q:$Q,PPTO_GENERADOR!A:A,"-",0)</f>
        <v>8.0500000000000007</v>
      </c>
    </row>
    <row r="995" spans="1:18" ht="14.25" customHeight="1" x14ac:dyDescent="0.35">
      <c r="A995" s="105" t="s">
        <v>170</v>
      </c>
      <c r="B995" s="105" t="s">
        <v>1981</v>
      </c>
      <c r="C995" s="105" t="s">
        <v>1982</v>
      </c>
      <c r="D995" s="105" t="s">
        <v>540</v>
      </c>
      <c r="E995" s="95" t="str">
        <f>IFERROR(VLOOKUP(D995,MATERIALES!A:B,2,FALSE()),"?")</f>
        <v>Cemento Portland x 50kg</v>
      </c>
      <c r="F995" s="129">
        <f>IFERROR(VLOOKUP(D995,MATERIALES!A:C,3,FALSE()),"?")</f>
        <v>0</v>
      </c>
      <c r="G995" s="119">
        <v>0.27</v>
      </c>
      <c r="H995" s="120">
        <v>0.1</v>
      </c>
      <c r="I995" s="96">
        <f>IFERROR(VLOOKUP(D995,MATERIALES!A:D,4,FALSE()),0)</f>
        <v>7891.74</v>
      </c>
      <c r="J995" s="31">
        <f t="shared" ref="J995:J996" si="382">G995*I995*(1+H995)</f>
        <v>2343.8467800000003</v>
      </c>
      <c r="K995" s="32" t="str">
        <f t="shared" si="367"/>
        <v>PTO-0806|MAT</v>
      </c>
      <c r="L995" s="32">
        <f>COUNTIFS($K$2:K995,K995)</f>
        <v>1</v>
      </c>
      <c r="M995" s="32" t="str">
        <f t="shared" si="371"/>
        <v>PTO-0806|MAT|1</v>
      </c>
      <c r="N995" s="121">
        <f>IFERROR(VLOOKUP(A995,PARTIDAS!A:F,6,FALSE()),0)</f>
        <v>15</v>
      </c>
      <c r="O995" s="123">
        <f t="shared" si="373"/>
        <v>0</v>
      </c>
      <c r="P995" s="123">
        <f>+_xlfn.XLOOKUP(A995,PPTO_GENERADOR!Q:Q,PPTO_GENERADOR!E:E,"-",0)</f>
        <v>357</v>
      </c>
      <c r="Q995" s="123">
        <f t="shared" si="374"/>
        <v>0</v>
      </c>
      <c r="R995" s="125">
        <f>+_xlfn.XLOOKUP(A995,PPTO_GENERADOR!$Q:$Q,PPTO_GENERADOR!A:A,"-",0)</f>
        <v>8.06</v>
      </c>
    </row>
    <row r="996" spans="1:18" ht="14.25" customHeight="1" x14ac:dyDescent="0.35">
      <c r="A996" s="105" t="s">
        <v>170</v>
      </c>
      <c r="B996" s="105" t="s">
        <v>1981</v>
      </c>
      <c r="C996" s="105" t="s">
        <v>1982</v>
      </c>
      <c r="D996" s="105" t="s">
        <v>538</v>
      </c>
      <c r="E996" s="95" t="str">
        <f>IFERROR(VLOOKUP(D996,MATERIALES!A:B,2,FALSE()),"?")</f>
        <v>ARENA LAVADA</v>
      </c>
      <c r="F996" s="129">
        <f>IFERROR(VLOOKUP(D996,MATERIALES!A:C,3,FALSE()),"?")</f>
        <v>0</v>
      </c>
      <c r="G996" s="119">
        <v>0.03</v>
      </c>
      <c r="H996" s="120">
        <v>0.1</v>
      </c>
      <c r="I996" s="96">
        <f>IFERROR(VLOOKUP(D996,MATERIALES!A:D,4,FALSE()),0)</f>
        <v>32620.38</v>
      </c>
      <c r="J996" s="31">
        <f t="shared" si="382"/>
        <v>1076.47254</v>
      </c>
      <c r="K996" s="32" t="str">
        <f t="shared" si="367"/>
        <v>PTO-0806|MAT</v>
      </c>
      <c r="L996" s="32">
        <f>COUNTIFS($K$2:K996,K996)</f>
        <v>2</v>
      </c>
      <c r="M996" s="32" t="str">
        <f t="shared" si="371"/>
        <v>PTO-0806|MAT|2</v>
      </c>
      <c r="N996" s="121">
        <f>IFERROR(VLOOKUP(A996,PARTIDAS!A:F,6,FALSE()),0)</f>
        <v>15</v>
      </c>
      <c r="O996" s="123">
        <f t="shared" si="373"/>
        <v>0</v>
      </c>
      <c r="P996" s="123">
        <f>+_xlfn.XLOOKUP(A996,PPTO_GENERADOR!Q:Q,PPTO_GENERADOR!E:E,"-",0)</f>
        <v>357</v>
      </c>
      <c r="Q996" s="123">
        <f t="shared" si="374"/>
        <v>0</v>
      </c>
      <c r="R996" s="125">
        <f>+_xlfn.XLOOKUP(A996,PPTO_GENERADOR!$Q:$Q,PPTO_GENERADOR!A:A,"-",0)</f>
        <v>8.06</v>
      </c>
    </row>
    <row r="997" spans="1:18" ht="14.25" customHeight="1" x14ac:dyDescent="0.35">
      <c r="A997" s="105" t="s">
        <v>170</v>
      </c>
      <c r="B997" s="105" t="s">
        <v>1979</v>
      </c>
      <c r="C997" s="105" t="s">
        <v>1980</v>
      </c>
      <c r="D997" s="105" t="s">
        <v>2038</v>
      </c>
      <c r="E997" s="95" t="str">
        <f>IFERROR(VLOOKUP(D997,MANO_DE_OBRA!A:B,2,FALSE()),"?")</f>
        <v>AYUDANTE</v>
      </c>
      <c r="F997" s="129" t="s">
        <v>2042</v>
      </c>
      <c r="G997" s="119">
        <v>0.45</v>
      </c>
      <c r="H997" s="120">
        <v>0</v>
      </c>
      <c r="I997" s="96">
        <f>IFERROR(VLOOKUP(D997,MANO_DE_OBRA!A:C,3,FALSE()),0)</f>
        <v>67240.498860267602</v>
      </c>
      <c r="J997" s="31">
        <f t="shared" ref="J997:J1000" si="383">G997*I997</f>
        <v>30258.22448712042</v>
      </c>
      <c r="K997" s="32" t="str">
        <f t="shared" si="367"/>
        <v>PTO-0806|MO</v>
      </c>
      <c r="L997" s="32">
        <f>COUNTIFS($K$2:K997,K997)</f>
        <v>1</v>
      </c>
      <c r="M997" s="32" t="str">
        <f t="shared" si="371"/>
        <v>PTO-0806|MO|1</v>
      </c>
      <c r="N997" s="121">
        <f>IFERROR(VLOOKUP(A997,PARTIDAS!A:F,6,FALSE()),0)</f>
        <v>15</v>
      </c>
      <c r="O997" s="123">
        <f t="shared" si="373"/>
        <v>3.0000000000000002E-2</v>
      </c>
      <c r="P997" s="123">
        <f>+_xlfn.XLOOKUP(A997,PPTO_GENERADOR!Q:Q,PPTO_GENERADOR!E:E,"-",0)</f>
        <v>357</v>
      </c>
      <c r="Q997" s="123">
        <f t="shared" si="374"/>
        <v>10.71</v>
      </c>
      <c r="R997" s="125">
        <f>+_xlfn.XLOOKUP(A997,PPTO_GENERADOR!$Q:$Q,PPTO_GENERADOR!A:A,"-",0)</f>
        <v>8.06</v>
      </c>
    </row>
    <row r="998" spans="1:18" ht="14.25" customHeight="1" x14ac:dyDescent="0.35">
      <c r="A998" s="105" t="s">
        <v>170</v>
      </c>
      <c r="B998" s="105" t="s">
        <v>1979</v>
      </c>
      <c r="C998" s="105" t="s">
        <v>1980</v>
      </c>
      <c r="D998" s="105" t="s">
        <v>1292</v>
      </c>
      <c r="E998" s="95" t="str">
        <f>IFERROR(VLOOKUP(D998,MANO_DE_OBRA!A:B,2,FALSE()),"?")</f>
        <v>ESPECIALIZADO</v>
      </c>
      <c r="F998" s="129" t="s">
        <v>2042</v>
      </c>
      <c r="G998" s="119">
        <v>1</v>
      </c>
      <c r="H998" s="120">
        <v>0</v>
      </c>
      <c r="I998" s="96">
        <f>IFERROR(VLOOKUP(D998,MANO_DE_OBRA!A:C,3,FALSE()),0)</f>
        <v>94177.137883538904</v>
      </c>
      <c r="J998" s="31">
        <f t="shared" si="383"/>
        <v>94177.137883538904</v>
      </c>
      <c r="K998" s="32" t="str">
        <f t="shared" si="367"/>
        <v>PTO-0806|MO</v>
      </c>
      <c r="L998" s="32">
        <f>COUNTIFS($K$2:K998,K998)</f>
        <v>2</v>
      </c>
      <c r="M998" s="32" t="str">
        <f t="shared" si="371"/>
        <v>PTO-0806|MO|2</v>
      </c>
      <c r="N998" s="121">
        <f>IFERROR(VLOOKUP(A998,PARTIDAS!A:F,6,FALSE()),0)</f>
        <v>15</v>
      </c>
      <c r="O998" s="123">
        <f t="shared" si="373"/>
        <v>6.6666666666666666E-2</v>
      </c>
      <c r="P998" s="123">
        <f>+_xlfn.XLOOKUP(A998,PPTO_GENERADOR!Q:Q,PPTO_GENERADOR!E:E,"-",0)</f>
        <v>357</v>
      </c>
      <c r="Q998" s="123">
        <f t="shared" si="374"/>
        <v>23.8</v>
      </c>
      <c r="R998" s="125">
        <f>+_xlfn.XLOOKUP(A998,PPTO_GENERADOR!$Q:$Q,PPTO_GENERADOR!A:A,"-",0)</f>
        <v>8.06</v>
      </c>
    </row>
    <row r="999" spans="1:18" ht="14.25" customHeight="1" x14ac:dyDescent="0.35">
      <c r="A999" s="105" t="s">
        <v>170</v>
      </c>
      <c r="B999" s="105" t="s">
        <v>1983</v>
      </c>
      <c r="C999" s="105"/>
      <c r="D999" s="105" t="s">
        <v>1507</v>
      </c>
      <c r="E999" s="95" t="str">
        <f>IFERROR(VLOOKUP(D999,EQUIPOS!A:B,2,FALSE()),"?")</f>
        <v>Hormigonera De 150 Litros 1hp Con Rueda Maciza</v>
      </c>
      <c r="F999" s="129"/>
      <c r="G999" s="119">
        <v>1</v>
      </c>
      <c r="H999" s="120">
        <v>0</v>
      </c>
      <c r="I999" s="96">
        <f>IFERROR(VLOOKUP(D999,EQUIPOS!A:F,6,FALSE()),0)</f>
        <v>1040.4314486705237</v>
      </c>
      <c r="J999" s="31">
        <f t="shared" si="383"/>
        <v>1040.4314486705237</v>
      </c>
      <c r="K999" s="32" t="str">
        <f t="shared" si="367"/>
        <v>PTO-0806|EQ</v>
      </c>
      <c r="L999" s="32">
        <f>COUNTIFS($K$2:K999,K999)</f>
        <v>1</v>
      </c>
      <c r="M999" s="32" t="str">
        <f t="shared" si="371"/>
        <v>PTO-0806|EQ|1</v>
      </c>
      <c r="N999" s="121">
        <f>IFERROR(VLOOKUP(A999,PARTIDAS!A:F,6,FALSE()),0)</f>
        <v>15</v>
      </c>
      <c r="O999" s="123">
        <f t="shared" si="373"/>
        <v>0</v>
      </c>
      <c r="P999" s="123">
        <f>+_xlfn.XLOOKUP(A999,PPTO_GENERADOR!Q:Q,PPTO_GENERADOR!E:E,"-",0)</f>
        <v>357</v>
      </c>
      <c r="Q999" s="123">
        <f t="shared" si="374"/>
        <v>0</v>
      </c>
      <c r="R999" s="125">
        <f>+_xlfn.XLOOKUP(A999,PPTO_GENERADOR!$Q:$Q,PPTO_GENERADOR!A:A,"-",0)</f>
        <v>8.06</v>
      </c>
    </row>
    <row r="1000" spans="1:18" ht="14.25" customHeight="1" x14ac:dyDescent="0.35">
      <c r="A1000" s="105" t="s">
        <v>170</v>
      </c>
      <c r="B1000" s="105" t="s">
        <v>1983</v>
      </c>
      <c r="C1000" s="105"/>
      <c r="D1000" s="105" t="s">
        <v>1319</v>
      </c>
      <c r="E1000" s="95" t="str">
        <f>IFERROR(VLOOKUP(D1000,EQUIPOS!A:B,2,FALSE()),"?")</f>
        <v>EQUIPO DE ALBAÑILERIA, carpetas, ladrillo</v>
      </c>
      <c r="F1000" s="129"/>
      <c r="G1000" s="119">
        <v>1</v>
      </c>
      <c r="H1000" s="120">
        <v>0</v>
      </c>
      <c r="I1000" s="96">
        <f>IFERROR(VLOOKUP(D1000,EQUIPOS!A:F,6,FALSE()),0)</f>
        <v>2485.8709964593982</v>
      </c>
      <c r="J1000" s="31">
        <f t="shared" si="383"/>
        <v>2485.8709964593982</v>
      </c>
      <c r="K1000" s="32" t="str">
        <f t="shared" si="367"/>
        <v>PTO-0806|EQ</v>
      </c>
      <c r="L1000" s="32">
        <f>COUNTIFS($K$2:K1000,K1000)</f>
        <v>2</v>
      </c>
      <c r="M1000" s="32" t="str">
        <f t="shared" si="371"/>
        <v>PTO-0806|EQ|2</v>
      </c>
      <c r="N1000" s="121">
        <f>IFERROR(VLOOKUP(A1000,PARTIDAS!A:F,6,FALSE()),0)</f>
        <v>15</v>
      </c>
      <c r="O1000" s="123">
        <f t="shared" si="373"/>
        <v>0</v>
      </c>
      <c r="P1000" s="123">
        <f>+_xlfn.XLOOKUP(A1000,PPTO_GENERADOR!Q:Q,PPTO_GENERADOR!E:E,"-",0)</f>
        <v>357</v>
      </c>
      <c r="Q1000" s="123">
        <f t="shared" si="374"/>
        <v>0</v>
      </c>
      <c r="R1000" s="125">
        <f>+_xlfn.XLOOKUP(A1000,PPTO_GENERADOR!$Q:$Q,PPTO_GENERADOR!A:A,"-",0)</f>
        <v>8.06</v>
      </c>
    </row>
    <row r="1001" spans="1:18" ht="14.25" customHeight="1" x14ac:dyDescent="0.35">
      <c r="A1001" s="105" t="s">
        <v>174</v>
      </c>
      <c r="B1001" s="105" t="s">
        <v>1981</v>
      </c>
      <c r="C1001" s="105" t="s">
        <v>1984</v>
      </c>
      <c r="D1001" s="105" t="s">
        <v>540</v>
      </c>
      <c r="E1001" s="95" t="str">
        <f>IFERROR(VLOOKUP(D1001,MATERIALES!A:B,2,FALSE()),"?")</f>
        <v>Cemento Portland x 50kg</v>
      </c>
      <c r="F1001" s="129">
        <f>IFERROR(VLOOKUP(D1001,MATERIALES!A:C,3,FALSE()),"?")</f>
        <v>0</v>
      </c>
      <c r="G1001" s="119">
        <v>2.3679999999999999</v>
      </c>
      <c r="H1001" s="120">
        <v>0.1</v>
      </c>
      <c r="I1001" s="96">
        <f>IFERROR(VLOOKUP(D1001,MATERIALES!A:D,4,FALSE()),0)</f>
        <v>7891.74</v>
      </c>
      <c r="J1001" s="31">
        <f t="shared" ref="J1001:J1002" si="384">G1001*I1001*(1+H1001)</f>
        <v>20556.404352000001</v>
      </c>
      <c r="K1001" s="32" t="str">
        <f t="shared" si="367"/>
        <v>PTO-0808|MAT</v>
      </c>
      <c r="L1001" s="32">
        <f>COUNTIFS($K$2:K1001,K1001)</f>
        <v>1</v>
      </c>
      <c r="M1001" s="32" t="str">
        <f t="shared" si="371"/>
        <v>PTO-0808|MAT|1</v>
      </c>
      <c r="N1001" s="121">
        <f>IFERROR(VLOOKUP(A1001,PARTIDAS!A:F,6,FALSE()),0)</f>
        <v>1</v>
      </c>
      <c r="O1001" s="123">
        <f t="shared" si="373"/>
        <v>0</v>
      </c>
      <c r="P1001" s="123">
        <f>+_xlfn.XLOOKUP(A1001,PPTO_GENERADOR!Q:Q,PPTO_GENERADOR!E:E,"-",0)</f>
        <v>1</v>
      </c>
      <c r="Q1001" s="123">
        <f t="shared" si="374"/>
        <v>0</v>
      </c>
      <c r="R1001" s="125">
        <f>+_xlfn.XLOOKUP(A1001,PPTO_GENERADOR!$Q:$Q,PPTO_GENERADOR!A:A,"-",0)</f>
        <v>8.08</v>
      </c>
    </row>
    <row r="1002" spans="1:18" ht="14.25" customHeight="1" x14ac:dyDescent="0.35">
      <c r="A1002" s="105" t="s">
        <v>174</v>
      </c>
      <c r="B1002" s="105" t="s">
        <v>1981</v>
      </c>
      <c r="C1002" s="105" t="s">
        <v>1982</v>
      </c>
      <c r="D1002" s="105" t="s">
        <v>538</v>
      </c>
      <c r="E1002" s="95" t="str">
        <f>IFERROR(VLOOKUP(D1002,MATERIALES!A:B,2,FALSE()),"?")</f>
        <v>ARENA LAVADA</v>
      </c>
      <c r="F1002" s="129">
        <f>IFERROR(VLOOKUP(D1002,MATERIALES!A:C,3,FALSE()),"?")</f>
        <v>0</v>
      </c>
      <c r="G1002" s="119">
        <v>0.69499999999999995</v>
      </c>
      <c r="H1002" s="120">
        <v>0.1</v>
      </c>
      <c r="I1002" s="96">
        <f>IFERROR(VLOOKUP(D1002,MATERIALES!A:D,4,FALSE()),0)</f>
        <v>32620.38</v>
      </c>
      <c r="J1002" s="31">
        <f t="shared" si="384"/>
        <v>24938.280510000001</v>
      </c>
      <c r="K1002" s="32" t="str">
        <f t="shared" si="367"/>
        <v>PTO-0808|MAT</v>
      </c>
      <c r="L1002" s="32">
        <f>COUNTIFS($K$2:K1002,K1002)</f>
        <v>2</v>
      </c>
      <c r="M1002" s="32" t="str">
        <f t="shared" si="371"/>
        <v>PTO-0808|MAT|2</v>
      </c>
      <c r="N1002" s="121">
        <f>IFERROR(VLOOKUP(A1002,PARTIDAS!A:F,6,FALSE()),0)</f>
        <v>1</v>
      </c>
      <c r="O1002" s="123">
        <f t="shared" si="373"/>
        <v>0</v>
      </c>
      <c r="P1002" s="123">
        <f>+_xlfn.XLOOKUP(A1002,PPTO_GENERADOR!Q:Q,PPTO_GENERADOR!E:E,"-",0)</f>
        <v>1</v>
      </c>
      <c r="Q1002" s="123">
        <f t="shared" si="374"/>
        <v>0</v>
      </c>
      <c r="R1002" s="125">
        <f>+_xlfn.XLOOKUP(A1002,PPTO_GENERADOR!$Q:$Q,PPTO_GENERADOR!A:A,"-",0)</f>
        <v>8.08</v>
      </c>
    </row>
    <row r="1003" spans="1:18" ht="14.25" customHeight="1" x14ac:dyDescent="0.35">
      <c r="A1003" s="105" t="s">
        <v>174</v>
      </c>
      <c r="B1003" s="105" t="s">
        <v>1979</v>
      </c>
      <c r="C1003" s="105" t="s">
        <v>1980</v>
      </c>
      <c r="D1003" s="105" t="s">
        <v>1290</v>
      </c>
      <c r="E1003" s="95" t="str">
        <f>IFERROR(VLOOKUP(D1003,MANO_DE_OBRA!A:B,2,FALSE()),"?")</f>
        <v>OFICIAL</v>
      </c>
      <c r="F1003" s="129" t="s">
        <v>2042</v>
      </c>
      <c r="G1003" s="119">
        <v>2</v>
      </c>
      <c r="H1003" s="120">
        <v>0</v>
      </c>
      <c r="I1003" s="96">
        <f>IFERROR(VLOOKUP(D1003,MANO_DE_OBRA!A:C,3,FALSE()),0)</f>
        <v>84612.512709566407</v>
      </c>
      <c r="J1003" s="31">
        <f t="shared" ref="J1003:J1004" si="385">G1003*I1003</f>
        <v>169225.02541913281</v>
      </c>
      <c r="K1003" s="32" t="str">
        <f t="shared" ref="K1003:K1065" si="386">A1003&amp;"|"&amp;B1003</f>
        <v>PTO-0808|MO</v>
      </c>
      <c r="L1003" s="32">
        <f>COUNTIFS($K$2:K1003,K1003)</f>
        <v>1</v>
      </c>
      <c r="M1003" s="32" t="str">
        <f t="shared" si="371"/>
        <v>PTO-0808|MO|1</v>
      </c>
      <c r="N1003" s="121">
        <f>IFERROR(VLOOKUP(A1003,PARTIDAS!A:F,6,FALSE()),0)</f>
        <v>1</v>
      </c>
      <c r="O1003" s="123">
        <f t="shared" si="373"/>
        <v>2</v>
      </c>
      <c r="P1003" s="123">
        <f>+_xlfn.XLOOKUP(A1003,PPTO_GENERADOR!Q:Q,PPTO_GENERADOR!E:E,"-",0)</f>
        <v>1</v>
      </c>
      <c r="Q1003" s="123">
        <f t="shared" si="374"/>
        <v>2</v>
      </c>
      <c r="R1003" s="125">
        <f>+_xlfn.XLOOKUP(A1003,PPTO_GENERADOR!$Q:$Q,PPTO_GENERADOR!A:A,"-",0)</f>
        <v>8.08</v>
      </c>
    </row>
    <row r="1004" spans="1:18" ht="14.25" customHeight="1" x14ac:dyDescent="0.35">
      <c r="A1004" s="105" t="s">
        <v>174</v>
      </c>
      <c r="B1004" s="105" t="s">
        <v>1979</v>
      </c>
      <c r="C1004" s="105" t="s">
        <v>1980</v>
      </c>
      <c r="D1004" s="105" t="s">
        <v>2038</v>
      </c>
      <c r="E1004" s="95" t="str">
        <f>IFERROR(VLOOKUP(D1004,MANO_DE_OBRA!A:B,2,FALSE()),"?")</f>
        <v>AYUDANTE</v>
      </c>
      <c r="F1004" s="129" t="s">
        <v>2042</v>
      </c>
      <c r="G1004" s="119">
        <v>2</v>
      </c>
      <c r="H1004" s="120">
        <v>0</v>
      </c>
      <c r="I1004" s="96">
        <f>IFERROR(VLOOKUP(D1004,MANO_DE_OBRA!A:C,3,FALSE()),0)</f>
        <v>67240.498860267602</v>
      </c>
      <c r="J1004" s="31">
        <f t="shared" si="385"/>
        <v>134480.9977205352</v>
      </c>
      <c r="K1004" s="32" t="str">
        <f t="shared" si="386"/>
        <v>PTO-0808|MO</v>
      </c>
      <c r="L1004" s="32">
        <f>COUNTIFS($K$2:K1004,K1004)</f>
        <v>2</v>
      </c>
      <c r="M1004" s="32" t="str">
        <f t="shared" si="371"/>
        <v>PTO-0808|MO|2</v>
      </c>
      <c r="N1004" s="121">
        <f>IFERROR(VLOOKUP(A1004,PARTIDAS!A:F,6,FALSE()),0)</f>
        <v>1</v>
      </c>
      <c r="O1004" s="123">
        <f t="shared" si="373"/>
        <v>2</v>
      </c>
      <c r="P1004" s="123">
        <f>+_xlfn.XLOOKUP(A1004,PPTO_GENERADOR!Q:Q,PPTO_GENERADOR!E:E,"-",0)</f>
        <v>1</v>
      </c>
      <c r="Q1004" s="123">
        <f t="shared" si="374"/>
        <v>2</v>
      </c>
      <c r="R1004" s="125">
        <f>+_xlfn.XLOOKUP(A1004,PPTO_GENERADOR!$Q:$Q,PPTO_GENERADOR!A:A,"-",0)</f>
        <v>8.08</v>
      </c>
    </row>
    <row r="1005" spans="1:18" ht="14.25" customHeight="1" x14ac:dyDescent="0.35">
      <c r="A1005" s="105" t="s">
        <v>174</v>
      </c>
      <c r="B1005" s="105" t="s">
        <v>1983</v>
      </c>
      <c r="C1005" s="105"/>
      <c r="D1005" s="105" t="s">
        <v>1395</v>
      </c>
      <c r="E1005" s="95" t="str">
        <f>IFERROR(VLOOKUP(D1005,EQUIPOS!A:B,2,FALSE()),"?")</f>
        <v>Herramientas — Banquinas para bombas, TT, etc. h: 15 cm</v>
      </c>
      <c r="F1005" s="129"/>
      <c r="G1005" s="119">
        <v>1</v>
      </c>
      <c r="H1005" s="120">
        <v>0</v>
      </c>
      <c r="I1005" s="96">
        <f>IFERROR(VLOOKUP(D1005,EQUIPOS!A:F,6,FALSE()),0)</f>
        <v>5957.8657009641702</v>
      </c>
      <c r="J1005" s="31">
        <f>G1005*I1005</f>
        <v>5957.8657009641702</v>
      </c>
      <c r="K1005" s="32" t="str">
        <f t="shared" si="386"/>
        <v>PTO-0808|EQ</v>
      </c>
      <c r="L1005" s="32">
        <f>COUNTIFS($K$2:K1005,K1005)</f>
        <v>1</v>
      </c>
      <c r="M1005" s="32" t="str">
        <f t="shared" si="371"/>
        <v>PTO-0808|EQ|1</v>
      </c>
      <c r="N1005" s="121">
        <f>IFERROR(VLOOKUP(A1005,PARTIDAS!A:F,6,FALSE()),0)</f>
        <v>1</v>
      </c>
      <c r="O1005" s="123">
        <f t="shared" si="373"/>
        <v>0</v>
      </c>
      <c r="P1005" s="123">
        <f>+_xlfn.XLOOKUP(A1005,PPTO_GENERADOR!Q:Q,PPTO_GENERADOR!E:E,"-",0)</f>
        <v>1</v>
      </c>
      <c r="Q1005" s="123">
        <f t="shared" si="374"/>
        <v>0</v>
      </c>
      <c r="R1005" s="125">
        <f>+_xlfn.XLOOKUP(A1005,PPTO_GENERADOR!$Q:$Q,PPTO_GENERADOR!A:A,"-",0)</f>
        <v>8.08</v>
      </c>
    </row>
    <row r="1006" spans="1:18" ht="14.25" customHeight="1" x14ac:dyDescent="0.35">
      <c r="A1006" s="105" t="s">
        <v>177</v>
      </c>
      <c r="B1006" s="105" t="s">
        <v>1981</v>
      </c>
      <c r="C1006" s="105" t="s">
        <v>1982</v>
      </c>
      <c r="D1006" s="105" t="s">
        <v>540</v>
      </c>
      <c r="E1006" s="95" t="str">
        <f>IFERROR(VLOOKUP(D1006,MATERIALES!A:B,2,FALSE()),"?")</f>
        <v>Cemento Portland x 50kg</v>
      </c>
      <c r="F1006" s="129">
        <f>IFERROR(VLOOKUP(D1006,MATERIALES!A:C,3,FALSE()),"?")</f>
        <v>0</v>
      </c>
      <c r="G1006" s="119">
        <v>29.346299999999999</v>
      </c>
      <c r="H1006" s="120">
        <v>0.1</v>
      </c>
      <c r="I1006" s="96">
        <f>IFERROR(VLOOKUP(D1006,MATERIALES!A:D,4,FALSE()),0)</f>
        <v>7891.74</v>
      </c>
      <c r="J1006" s="31">
        <f t="shared" ref="J1006:J1008" si="387">G1006*I1006*(1+H1006)</f>
        <v>254752.70651819999</v>
      </c>
      <c r="K1006" s="32" t="str">
        <f t="shared" si="386"/>
        <v>PTO-0901|MAT</v>
      </c>
      <c r="L1006" s="32">
        <f>COUNTIFS($K$2:K1006,K1006)</f>
        <v>1</v>
      </c>
      <c r="M1006" s="32" t="str">
        <f t="shared" si="371"/>
        <v>PTO-0901|MAT|1</v>
      </c>
      <c r="N1006" s="121">
        <f>IFERROR(VLOOKUP(A1006,PARTIDAS!A:F,6,FALSE()),0)</f>
        <v>1</v>
      </c>
      <c r="O1006" s="123">
        <f t="shared" si="373"/>
        <v>0</v>
      </c>
      <c r="P1006" s="123">
        <f>+_xlfn.XLOOKUP(A1006,PPTO_GENERADOR!Q:Q,PPTO_GENERADOR!E:E,"-",0)</f>
        <v>1</v>
      </c>
      <c r="Q1006" s="123">
        <f t="shared" si="374"/>
        <v>0</v>
      </c>
      <c r="R1006" s="125">
        <f>+_xlfn.XLOOKUP(A1006,PPTO_GENERADOR!$Q:$Q,PPTO_GENERADOR!A:A,"-",0)</f>
        <v>9.01</v>
      </c>
    </row>
    <row r="1007" spans="1:18" ht="14.25" customHeight="1" x14ac:dyDescent="0.35">
      <c r="A1007" s="105" t="s">
        <v>177</v>
      </c>
      <c r="B1007" s="105" t="s">
        <v>1981</v>
      </c>
      <c r="C1007" s="105" t="s">
        <v>1982</v>
      </c>
      <c r="D1007" s="105" t="s">
        <v>538</v>
      </c>
      <c r="E1007" s="95" t="str">
        <f>IFERROR(VLOOKUP(D1007,MATERIALES!A:B,2,FALSE()),"?")</f>
        <v>ARENA LAVADA</v>
      </c>
      <c r="F1007" s="129">
        <f>IFERROR(VLOOKUP(D1007,MATERIALES!A:C,3,FALSE()),"?")</f>
        <v>0</v>
      </c>
      <c r="G1007" s="119">
        <v>3.2606999999999999</v>
      </c>
      <c r="H1007" s="120">
        <v>0.1</v>
      </c>
      <c r="I1007" s="96">
        <f>IFERROR(VLOOKUP(D1007,MATERIALES!A:D,4,FALSE()),0)</f>
        <v>32620.38</v>
      </c>
      <c r="J1007" s="31">
        <f t="shared" si="387"/>
        <v>117001.8003726</v>
      </c>
      <c r="K1007" s="32" t="str">
        <f t="shared" si="386"/>
        <v>PTO-0901|MAT</v>
      </c>
      <c r="L1007" s="32">
        <f>COUNTIFS($K$2:K1007,K1007)</f>
        <v>2</v>
      </c>
      <c r="M1007" s="32" t="str">
        <f t="shared" si="371"/>
        <v>PTO-0901|MAT|2</v>
      </c>
      <c r="N1007" s="121">
        <f>IFERROR(VLOOKUP(A1007,PARTIDAS!A:F,6,FALSE()),0)</f>
        <v>1</v>
      </c>
      <c r="O1007" s="123">
        <f t="shared" si="373"/>
        <v>0</v>
      </c>
      <c r="P1007" s="123">
        <f>+_xlfn.XLOOKUP(A1007,PPTO_GENERADOR!Q:Q,PPTO_GENERADOR!E:E,"-",0)</f>
        <v>1</v>
      </c>
      <c r="Q1007" s="123">
        <f t="shared" si="374"/>
        <v>0</v>
      </c>
      <c r="R1007" s="125">
        <f>+_xlfn.XLOOKUP(A1007,PPTO_GENERADOR!$Q:$Q,PPTO_GENERADOR!A:A,"-",0)</f>
        <v>9.01</v>
      </c>
    </row>
    <row r="1008" spans="1:18" ht="14.25" customHeight="1" x14ac:dyDescent="0.35">
      <c r="A1008" s="105" t="s">
        <v>177</v>
      </c>
      <c r="B1008" s="105" t="s">
        <v>1981</v>
      </c>
      <c r="C1008" s="105" t="s">
        <v>1982</v>
      </c>
      <c r="D1008" s="105" t="s">
        <v>559</v>
      </c>
      <c r="E1008" s="95" t="str">
        <f>IFERROR(VLOOKUP(D1008,MATERIALES!A:B,2,FALSE()),"?")</f>
        <v>CONSUMIBLES (varios)</v>
      </c>
      <c r="F1008" s="129" t="str">
        <f>IFERROR(VLOOKUP(D1008,MATERIALES!A:C,3,FALSE()),"?")</f>
        <v>gl</v>
      </c>
      <c r="G1008" s="119">
        <v>55761.944718664803</v>
      </c>
      <c r="H1008" s="120">
        <v>0</v>
      </c>
      <c r="I1008" s="96">
        <f>IFERROR(VLOOKUP(D1008,MATERIALES!A:D,4,FALSE()),0)</f>
        <v>1</v>
      </c>
      <c r="J1008" s="31">
        <f t="shared" si="387"/>
        <v>55761.944718664803</v>
      </c>
      <c r="K1008" s="32" t="str">
        <f t="shared" si="386"/>
        <v>PTO-0901|MAT</v>
      </c>
      <c r="L1008" s="32">
        <f>COUNTIFS($K$2:K1008,K1008)</f>
        <v>3</v>
      </c>
      <c r="M1008" s="32" t="str">
        <f t="shared" si="371"/>
        <v>PTO-0901|MAT|3</v>
      </c>
      <c r="N1008" s="121">
        <f>IFERROR(VLOOKUP(A1008,PARTIDAS!A:F,6,FALSE()),0)</f>
        <v>1</v>
      </c>
      <c r="O1008" s="123">
        <f t="shared" si="373"/>
        <v>0</v>
      </c>
      <c r="P1008" s="123">
        <f>+_xlfn.XLOOKUP(A1008,PPTO_GENERADOR!Q:Q,PPTO_GENERADOR!E:E,"-",0)</f>
        <v>1</v>
      </c>
      <c r="Q1008" s="123">
        <f t="shared" si="374"/>
        <v>0</v>
      </c>
      <c r="R1008" s="125">
        <f>+_xlfn.XLOOKUP(A1008,PPTO_GENERADOR!$Q:$Q,PPTO_GENERADOR!A:A,"-",0)</f>
        <v>9.01</v>
      </c>
    </row>
    <row r="1009" spans="1:18" ht="14.25" customHeight="1" x14ac:dyDescent="0.35">
      <c r="A1009" s="105" t="s">
        <v>177</v>
      </c>
      <c r="B1009" s="105" t="s">
        <v>1979</v>
      </c>
      <c r="C1009" s="105" t="s">
        <v>1980</v>
      </c>
      <c r="D1009" s="105" t="s">
        <v>1292</v>
      </c>
      <c r="E1009" s="95" t="str">
        <f>IFERROR(VLOOKUP(D1009,MANO_DE_OBRA!A:B,2,FALSE()),"?")</f>
        <v>ESPECIALIZADO</v>
      </c>
      <c r="F1009" s="129" t="s">
        <v>2042</v>
      </c>
      <c r="G1009" s="119">
        <v>16</v>
      </c>
      <c r="H1009" s="120">
        <v>0</v>
      </c>
      <c r="I1009" s="96">
        <f>IFERROR(VLOOKUP(D1009,MANO_DE_OBRA!A:C,3,FALSE()),0)</f>
        <v>94177.137883538904</v>
      </c>
      <c r="J1009" s="31">
        <f t="shared" ref="J1009:J1010" si="388">G1009*I1009</f>
        <v>1506834.2061366225</v>
      </c>
      <c r="K1009" s="32" t="str">
        <f t="shared" si="386"/>
        <v>PTO-0901|MO</v>
      </c>
      <c r="L1009" s="32">
        <f>COUNTIFS($K$2:K1009,K1009)</f>
        <v>1</v>
      </c>
      <c r="M1009" s="32" t="str">
        <f t="shared" si="371"/>
        <v>PTO-0901|MO|1</v>
      </c>
      <c r="N1009" s="121">
        <f>IFERROR(VLOOKUP(A1009,PARTIDAS!A:F,6,FALSE()),0)</f>
        <v>1</v>
      </c>
      <c r="O1009" s="123">
        <f t="shared" si="373"/>
        <v>16</v>
      </c>
      <c r="P1009" s="123">
        <f>+_xlfn.XLOOKUP(A1009,PPTO_GENERADOR!Q:Q,PPTO_GENERADOR!E:E,"-",0)</f>
        <v>1</v>
      </c>
      <c r="Q1009" s="123">
        <f t="shared" si="374"/>
        <v>16</v>
      </c>
      <c r="R1009" s="125">
        <f>+_xlfn.XLOOKUP(A1009,PPTO_GENERADOR!$Q:$Q,PPTO_GENERADOR!A:A,"-",0)</f>
        <v>9.01</v>
      </c>
    </row>
    <row r="1010" spans="1:18" ht="14.25" customHeight="1" x14ac:dyDescent="0.35">
      <c r="A1010" s="105" t="s">
        <v>177</v>
      </c>
      <c r="B1010" s="105" t="s">
        <v>1979</v>
      </c>
      <c r="C1010" s="105" t="s">
        <v>1980</v>
      </c>
      <c r="D1010" s="105" t="s">
        <v>2038</v>
      </c>
      <c r="E1010" s="95" t="str">
        <f>IFERROR(VLOOKUP(D1010,MANO_DE_OBRA!A:B,2,FALSE()),"?")</f>
        <v>AYUDANTE</v>
      </c>
      <c r="F1010" s="129" t="s">
        <v>2042</v>
      </c>
      <c r="G1010" s="119">
        <v>8</v>
      </c>
      <c r="H1010" s="120">
        <v>0</v>
      </c>
      <c r="I1010" s="96">
        <f>IFERROR(VLOOKUP(D1010,MANO_DE_OBRA!A:C,3,FALSE()),0)</f>
        <v>67240.498860267602</v>
      </c>
      <c r="J1010" s="31">
        <f t="shared" si="388"/>
        <v>537923.99088214082</v>
      </c>
      <c r="K1010" s="32" t="str">
        <f t="shared" si="386"/>
        <v>PTO-0901|MO</v>
      </c>
      <c r="L1010" s="32">
        <f>COUNTIFS($K$2:K1010,K1010)</f>
        <v>2</v>
      </c>
      <c r="M1010" s="32" t="str">
        <f t="shared" si="371"/>
        <v>PTO-0901|MO|2</v>
      </c>
      <c r="N1010" s="121">
        <f>IFERROR(VLOOKUP(A1010,PARTIDAS!A:F,6,FALSE()),0)</f>
        <v>1</v>
      </c>
      <c r="O1010" s="123">
        <f t="shared" si="373"/>
        <v>8</v>
      </c>
      <c r="P1010" s="123">
        <f>+_xlfn.XLOOKUP(A1010,PPTO_GENERADOR!Q:Q,PPTO_GENERADOR!E:E,"-",0)</f>
        <v>1</v>
      </c>
      <c r="Q1010" s="123">
        <f t="shared" si="374"/>
        <v>8</v>
      </c>
      <c r="R1010" s="125">
        <f>+_xlfn.XLOOKUP(A1010,PPTO_GENERADOR!$Q:$Q,PPTO_GENERADOR!A:A,"-",0)</f>
        <v>9.01</v>
      </c>
    </row>
    <row r="1011" spans="1:18" ht="14.25" customHeight="1" x14ac:dyDescent="0.35">
      <c r="A1011" s="105" t="s">
        <v>177</v>
      </c>
      <c r="B1011" s="105" t="s">
        <v>1983</v>
      </c>
      <c r="C1011" s="105"/>
      <c r="D1011" s="105" t="s">
        <v>1397</v>
      </c>
      <c r="E1011" s="95" t="str">
        <f>IFERROR(VLOOKUP(D1011,EQUIPOS!A:B,2,FALSE()),"?")</f>
        <v>Herramientas — Provisión y ejecución de alisado de ceme</v>
      </c>
      <c r="F1011" s="129"/>
      <c r="G1011" s="119">
        <v>1</v>
      </c>
      <c r="H1011" s="120">
        <v>0</v>
      </c>
      <c r="I1011" s="96">
        <f>IFERROR(VLOOKUP(D1011,EQUIPOS!A:F,6,FALSE()),0)</f>
        <v>37083.9965979279</v>
      </c>
      <c r="J1011" s="31">
        <f>G1011*I1011</f>
        <v>37083.9965979279</v>
      </c>
      <c r="K1011" s="32" t="str">
        <f t="shared" si="386"/>
        <v>PTO-0901|EQ</v>
      </c>
      <c r="L1011" s="32">
        <f>COUNTIFS($K$2:K1011,K1011)</f>
        <v>1</v>
      </c>
      <c r="M1011" s="32" t="str">
        <f t="shared" si="371"/>
        <v>PTO-0901|EQ|1</v>
      </c>
      <c r="N1011" s="121">
        <f>IFERROR(VLOOKUP(A1011,PARTIDAS!A:F,6,FALSE()),0)</f>
        <v>1</v>
      </c>
      <c r="O1011" s="123">
        <f t="shared" si="373"/>
        <v>0</v>
      </c>
      <c r="P1011" s="123">
        <f>+_xlfn.XLOOKUP(A1011,PPTO_GENERADOR!Q:Q,PPTO_GENERADOR!E:E,"-",0)</f>
        <v>1</v>
      </c>
      <c r="Q1011" s="123">
        <f t="shared" si="374"/>
        <v>0</v>
      </c>
      <c r="R1011" s="125">
        <f>+_xlfn.XLOOKUP(A1011,PPTO_GENERADOR!$Q:$Q,PPTO_GENERADOR!A:A,"-",0)</f>
        <v>9.01</v>
      </c>
    </row>
    <row r="1012" spans="1:18" ht="14.25" customHeight="1" x14ac:dyDescent="0.35">
      <c r="A1012" s="105" t="s">
        <v>179</v>
      </c>
      <c r="B1012" s="105" t="s">
        <v>1981</v>
      </c>
      <c r="C1012" s="105" t="s">
        <v>1982</v>
      </c>
      <c r="D1012" s="105" t="s">
        <v>760</v>
      </c>
      <c r="E1012" s="95" t="str">
        <f>IFERROR(VLOOKUP(D1012,MATERIALES!A:B,2,FALSE()),"?")</f>
        <v>PERFIL ANGULO ALAS IGUALES ESTRUCTURAL ACERO 6M X 5/8" X 1/8</v>
      </c>
      <c r="F1012" s="129" t="str">
        <f>IFERROR(VLOOKUP(D1012,MATERIALES!A:C,3,FALSE()),"?")</f>
        <v>u</v>
      </c>
      <c r="G1012" s="119">
        <v>30</v>
      </c>
      <c r="H1012" s="120">
        <v>0</v>
      </c>
      <c r="I1012" s="96">
        <f>IFERROR(VLOOKUP(D1012,MATERIALES!A:D,4,FALSE()),0)</f>
        <v>10308.9504132231</v>
      </c>
      <c r="J1012" s="31">
        <f t="shared" ref="J1012:J1013" si="389">G1012*I1012*(1+H1012)</f>
        <v>309268.512396693</v>
      </c>
      <c r="K1012" s="32" t="str">
        <f t="shared" si="386"/>
        <v>PTO-0902|MAT</v>
      </c>
      <c r="L1012" s="32">
        <f>COUNTIFS($K$2:K1012,K1012)</f>
        <v>1</v>
      </c>
      <c r="M1012" s="32" t="str">
        <f t="shared" si="371"/>
        <v>PTO-0902|MAT|1</v>
      </c>
      <c r="N1012" s="121">
        <f>IFERROR(VLOOKUP(A1012,PARTIDAS!A:F,6,FALSE()),0)</f>
        <v>1</v>
      </c>
      <c r="O1012" s="123">
        <f t="shared" si="373"/>
        <v>0</v>
      </c>
      <c r="P1012" s="123">
        <f>+_xlfn.XLOOKUP(A1012,PPTO_GENERADOR!Q:Q,PPTO_GENERADOR!E:E,"-",0)</f>
        <v>1</v>
      </c>
      <c r="Q1012" s="123">
        <f t="shared" si="374"/>
        <v>0</v>
      </c>
      <c r="R1012" s="125">
        <f>+_xlfn.XLOOKUP(A1012,PPTO_GENERADOR!$Q:$Q,PPTO_GENERADOR!A:A,"-",0)</f>
        <v>9.02</v>
      </c>
    </row>
    <row r="1013" spans="1:18" ht="14.25" customHeight="1" x14ac:dyDescent="0.35">
      <c r="A1013" s="105" t="s">
        <v>179</v>
      </c>
      <c r="B1013" s="105" t="s">
        <v>1981</v>
      </c>
      <c r="C1013" s="105" t="s">
        <v>1982</v>
      </c>
      <c r="D1013" s="105" t="s">
        <v>559</v>
      </c>
      <c r="E1013" s="95" t="str">
        <f>IFERROR(VLOOKUP(D1013,MATERIALES!A:B,2,FALSE()),"?")</f>
        <v>CONSUMIBLES (varios)</v>
      </c>
      <c r="F1013" s="129" t="str">
        <f>IFERROR(VLOOKUP(D1013,MATERIALES!A:C,3,FALSE()),"?")</f>
        <v>gl</v>
      </c>
      <c r="G1013" s="119">
        <v>154634.25619834699</v>
      </c>
      <c r="H1013" s="120">
        <v>0</v>
      </c>
      <c r="I1013" s="96">
        <f>IFERROR(VLOOKUP(D1013,MATERIALES!A:D,4,FALSE()),0)</f>
        <v>1</v>
      </c>
      <c r="J1013" s="31">
        <f t="shared" si="389"/>
        <v>154634.25619834699</v>
      </c>
      <c r="K1013" s="32" t="str">
        <f t="shared" si="386"/>
        <v>PTO-0902|MAT</v>
      </c>
      <c r="L1013" s="32">
        <f>COUNTIFS($K$2:K1013,K1013)</f>
        <v>2</v>
      </c>
      <c r="M1013" s="32" t="str">
        <f t="shared" si="371"/>
        <v>PTO-0902|MAT|2</v>
      </c>
      <c r="N1013" s="121">
        <f>IFERROR(VLOOKUP(A1013,PARTIDAS!A:F,6,FALSE()),0)</f>
        <v>1</v>
      </c>
      <c r="O1013" s="123">
        <f t="shared" si="373"/>
        <v>0</v>
      </c>
      <c r="P1013" s="123">
        <f>+_xlfn.XLOOKUP(A1013,PPTO_GENERADOR!Q:Q,PPTO_GENERADOR!E:E,"-",0)</f>
        <v>1</v>
      </c>
      <c r="Q1013" s="123">
        <f t="shared" si="374"/>
        <v>0</v>
      </c>
      <c r="R1013" s="125">
        <f>+_xlfn.XLOOKUP(A1013,PPTO_GENERADOR!$Q:$Q,PPTO_GENERADOR!A:A,"-",0)</f>
        <v>9.02</v>
      </c>
    </row>
    <row r="1014" spans="1:18" ht="14.25" customHeight="1" x14ac:dyDescent="0.35">
      <c r="A1014" s="105" t="s">
        <v>179</v>
      </c>
      <c r="B1014" s="105" t="s">
        <v>1979</v>
      </c>
      <c r="C1014" s="105" t="s">
        <v>1980</v>
      </c>
      <c r="D1014" s="105" t="s">
        <v>1292</v>
      </c>
      <c r="E1014" s="95" t="str">
        <f>IFERROR(VLOOKUP(D1014,MANO_DE_OBRA!A:B,2,FALSE()),"?")</f>
        <v>ESPECIALIZADO</v>
      </c>
      <c r="F1014" s="129" t="s">
        <v>2042</v>
      </c>
      <c r="G1014" s="119">
        <v>16</v>
      </c>
      <c r="H1014" s="120">
        <v>0</v>
      </c>
      <c r="I1014" s="96">
        <f>IFERROR(VLOOKUP(D1014,MANO_DE_OBRA!A:C,3,FALSE()),0)</f>
        <v>94177.137883538904</v>
      </c>
      <c r="J1014" s="31">
        <f t="shared" ref="J1014:J1015" si="390">G1014*I1014</f>
        <v>1506834.2061366225</v>
      </c>
      <c r="K1014" s="32" t="str">
        <f t="shared" si="386"/>
        <v>PTO-0902|MO</v>
      </c>
      <c r="L1014" s="32">
        <f>COUNTIFS($K$2:K1014,K1014)</f>
        <v>1</v>
      </c>
      <c r="M1014" s="32" t="str">
        <f t="shared" si="371"/>
        <v>PTO-0902|MO|1</v>
      </c>
      <c r="N1014" s="121">
        <f>IFERROR(VLOOKUP(A1014,PARTIDAS!A:F,6,FALSE()),0)</f>
        <v>1</v>
      </c>
      <c r="O1014" s="123">
        <f t="shared" si="373"/>
        <v>16</v>
      </c>
      <c r="P1014" s="123">
        <f>+_xlfn.XLOOKUP(A1014,PPTO_GENERADOR!Q:Q,PPTO_GENERADOR!E:E,"-",0)</f>
        <v>1</v>
      </c>
      <c r="Q1014" s="123">
        <f t="shared" si="374"/>
        <v>16</v>
      </c>
      <c r="R1014" s="125">
        <f>+_xlfn.XLOOKUP(A1014,PPTO_GENERADOR!$Q:$Q,PPTO_GENERADOR!A:A,"-",0)</f>
        <v>9.02</v>
      </c>
    </row>
    <row r="1015" spans="1:18" ht="14.25" customHeight="1" x14ac:dyDescent="0.35">
      <c r="A1015" s="105" t="s">
        <v>179</v>
      </c>
      <c r="B1015" s="105" t="s">
        <v>1979</v>
      </c>
      <c r="C1015" s="105" t="s">
        <v>1980</v>
      </c>
      <c r="D1015" s="105" t="s">
        <v>2038</v>
      </c>
      <c r="E1015" s="95" t="str">
        <f>IFERROR(VLOOKUP(D1015,MANO_DE_OBRA!A:B,2,FALSE()),"?")</f>
        <v>AYUDANTE</v>
      </c>
      <c r="F1015" s="129" t="s">
        <v>2042</v>
      </c>
      <c r="G1015" s="119">
        <v>4</v>
      </c>
      <c r="H1015" s="120">
        <v>0</v>
      </c>
      <c r="I1015" s="96">
        <f>IFERROR(VLOOKUP(D1015,MANO_DE_OBRA!A:C,3,FALSE()),0)</f>
        <v>67240.498860267602</v>
      </c>
      <c r="J1015" s="31">
        <f t="shared" si="390"/>
        <v>268961.99544107041</v>
      </c>
      <c r="K1015" s="32" t="str">
        <f t="shared" si="386"/>
        <v>PTO-0902|MO</v>
      </c>
      <c r="L1015" s="32">
        <f>COUNTIFS($K$2:K1015,K1015)</f>
        <v>2</v>
      </c>
      <c r="M1015" s="32" t="str">
        <f t="shared" si="371"/>
        <v>PTO-0902|MO|2</v>
      </c>
      <c r="N1015" s="121">
        <f>IFERROR(VLOOKUP(A1015,PARTIDAS!A:F,6,FALSE()),0)</f>
        <v>1</v>
      </c>
      <c r="O1015" s="123">
        <f t="shared" si="373"/>
        <v>4</v>
      </c>
      <c r="P1015" s="123">
        <f>+_xlfn.XLOOKUP(A1015,PPTO_GENERADOR!Q:Q,PPTO_GENERADOR!E:E,"-",0)</f>
        <v>1</v>
      </c>
      <c r="Q1015" s="123">
        <f t="shared" si="374"/>
        <v>4</v>
      </c>
      <c r="R1015" s="125">
        <f>+_xlfn.XLOOKUP(A1015,PPTO_GENERADOR!$Q:$Q,PPTO_GENERADOR!A:A,"-",0)</f>
        <v>9.02</v>
      </c>
    </row>
    <row r="1016" spans="1:18" ht="14.25" customHeight="1" x14ac:dyDescent="0.35">
      <c r="A1016" s="105" t="s">
        <v>179</v>
      </c>
      <c r="B1016" s="105" t="s">
        <v>1983</v>
      </c>
      <c r="C1016" s="105"/>
      <c r="D1016" s="105" t="s">
        <v>1399</v>
      </c>
      <c r="E1016" s="95" t="str">
        <f>IFERROR(VLOOKUP(D1016,EQUIPOS!A:B,2,FALSE()),"?")</f>
        <v>Herramientas — Provisión y colocación de nariz metálica</v>
      </c>
      <c r="F1016" s="129"/>
      <c r="G1016" s="119">
        <v>1</v>
      </c>
      <c r="H1016" s="120">
        <v>0</v>
      </c>
      <c r="I1016" s="96">
        <f>IFERROR(VLOOKUP(D1016,EQUIPOS!A:F,6,FALSE()),0)</f>
        <v>33595.484552590999</v>
      </c>
      <c r="J1016" s="31">
        <f>G1016*I1016</f>
        <v>33595.484552590999</v>
      </c>
      <c r="K1016" s="32" t="str">
        <f t="shared" si="386"/>
        <v>PTO-0902|EQ</v>
      </c>
      <c r="L1016" s="32">
        <f>COUNTIFS($K$2:K1016,K1016)</f>
        <v>1</v>
      </c>
      <c r="M1016" s="32" t="str">
        <f t="shared" si="371"/>
        <v>PTO-0902|EQ|1</v>
      </c>
      <c r="N1016" s="121">
        <f>IFERROR(VLOOKUP(A1016,PARTIDAS!A:F,6,FALSE()),0)</f>
        <v>1</v>
      </c>
      <c r="O1016" s="123">
        <f t="shared" si="373"/>
        <v>0</v>
      </c>
      <c r="P1016" s="123">
        <f>+_xlfn.XLOOKUP(A1016,PPTO_GENERADOR!Q:Q,PPTO_GENERADOR!E:E,"-",0)</f>
        <v>1</v>
      </c>
      <c r="Q1016" s="123">
        <f t="shared" si="374"/>
        <v>0</v>
      </c>
      <c r="R1016" s="125">
        <f>+_xlfn.XLOOKUP(A1016,PPTO_GENERADOR!$Q:$Q,PPTO_GENERADOR!A:A,"-",0)</f>
        <v>9.02</v>
      </c>
    </row>
    <row r="1017" spans="1:18" ht="14.25" customHeight="1" x14ac:dyDescent="0.35">
      <c r="A1017" s="105" t="s">
        <v>181</v>
      </c>
      <c r="B1017" s="105" t="s">
        <v>1981</v>
      </c>
      <c r="C1017" s="105" t="s">
        <v>1982</v>
      </c>
      <c r="D1017" s="105" t="s">
        <v>538</v>
      </c>
      <c r="E1017" s="95" t="str">
        <f>IFERROR(VLOOKUP(D1017,MATERIALES!A:B,2,FALSE()),"?")</f>
        <v>ARENA LAVADA</v>
      </c>
      <c r="F1017" s="129">
        <f>IFERROR(VLOOKUP(D1017,MATERIALES!A:C,3,FALSE()),"?")</f>
        <v>0</v>
      </c>
      <c r="G1017" s="119">
        <v>6.0000000000000001E-3</v>
      </c>
      <c r="H1017" s="120">
        <v>0.1</v>
      </c>
      <c r="I1017" s="96">
        <f>IFERROR(VLOOKUP(D1017,MATERIALES!A:D,4,FALSE()),0)</f>
        <v>32620.38</v>
      </c>
      <c r="J1017" s="31">
        <f t="shared" ref="J1017:J1019" si="391">G1017*I1017*(1+H1017)</f>
        <v>215.29450800000004</v>
      </c>
      <c r="K1017" s="32" t="str">
        <f t="shared" si="386"/>
        <v>PTO-0903|MAT</v>
      </c>
      <c r="L1017" s="32">
        <f>COUNTIFS($K$2:K1017,K1017)</f>
        <v>1</v>
      </c>
      <c r="M1017" s="32" t="str">
        <f t="shared" si="371"/>
        <v>PTO-0903|MAT|1</v>
      </c>
      <c r="N1017" s="121">
        <f>IFERROR(VLOOKUP(A1017,PARTIDAS!A:F,6,FALSE()),0)</f>
        <v>28</v>
      </c>
      <c r="O1017" s="123">
        <f t="shared" si="373"/>
        <v>0</v>
      </c>
      <c r="P1017" s="123">
        <f>+_xlfn.XLOOKUP(A1017,PPTO_GENERADOR!Q:Q,PPTO_GENERADOR!E:E,"-",0)</f>
        <v>114</v>
      </c>
      <c r="Q1017" s="123">
        <f t="shared" si="374"/>
        <v>0</v>
      </c>
      <c r="R1017" s="125">
        <f>+_xlfn.XLOOKUP(A1017,PPTO_GENERADOR!$Q:$Q,PPTO_GENERADOR!A:A,"-",0)</f>
        <v>9.0299999999999994</v>
      </c>
    </row>
    <row r="1018" spans="1:18" ht="14.25" customHeight="1" x14ac:dyDescent="0.35">
      <c r="A1018" s="105" t="s">
        <v>181</v>
      </c>
      <c r="B1018" s="105" t="s">
        <v>1981</v>
      </c>
      <c r="C1018" s="105" t="s">
        <v>1982</v>
      </c>
      <c r="D1018" s="105" t="s">
        <v>544</v>
      </c>
      <c r="E1018" s="95" t="str">
        <f>IFERROR(VLOOKUP(D1018,MATERIALES!A:B,2,FALSE()),"?")</f>
        <v>Aditivo Hidrofugo en pasta - Ceresita x 1kg</v>
      </c>
      <c r="F1018" s="129">
        <f>IFERROR(VLOOKUP(D1018,MATERIALES!A:C,3,FALSE()),"?")</f>
        <v>0</v>
      </c>
      <c r="G1018" s="119">
        <v>0.1</v>
      </c>
      <c r="H1018" s="120">
        <v>0.05</v>
      </c>
      <c r="I1018" s="96">
        <f>IFERROR(VLOOKUP(D1018,MATERIALES!A:D,4,FALSE()),0)</f>
        <v>1363.95</v>
      </c>
      <c r="J1018" s="31">
        <f t="shared" si="391"/>
        <v>143.21475000000001</v>
      </c>
      <c r="K1018" s="32" t="str">
        <f t="shared" si="386"/>
        <v>PTO-0903|MAT</v>
      </c>
      <c r="L1018" s="32">
        <f>COUNTIFS($K$2:K1018,K1018)</f>
        <v>2</v>
      </c>
      <c r="M1018" s="32" t="str">
        <f t="shared" si="371"/>
        <v>PTO-0903|MAT|2</v>
      </c>
      <c r="N1018" s="121">
        <f>IFERROR(VLOOKUP(A1018,PARTIDAS!A:F,6,FALSE()),0)</f>
        <v>28</v>
      </c>
      <c r="O1018" s="123">
        <f t="shared" si="373"/>
        <v>0</v>
      </c>
      <c r="P1018" s="123">
        <f>+_xlfn.XLOOKUP(A1018,PPTO_GENERADOR!Q:Q,PPTO_GENERADOR!E:E,"-",0)</f>
        <v>114</v>
      </c>
      <c r="Q1018" s="123">
        <f t="shared" si="374"/>
        <v>0</v>
      </c>
      <c r="R1018" s="125">
        <f>+_xlfn.XLOOKUP(A1018,PPTO_GENERADOR!$Q:$Q,PPTO_GENERADOR!A:A,"-",0)</f>
        <v>9.0299999999999994</v>
      </c>
    </row>
    <row r="1019" spans="1:18" ht="14.25" customHeight="1" x14ac:dyDescent="0.35">
      <c r="A1019" s="105" t="s">
        <v>181</v>
      </c>
      <c r="B1019" s="105" t="s">
        <v>1981</v>
      </c>
      <c r="C1019" s="105" t="s">
        <v>1982</v>
      </c>
      <c r="D1019" s="105" t="s">
        <v>540</v>
      </c>
      <c r="E1019" s="95" t="str">
        <f>IFERROR(VLOOKUP(D1019,MATERIALES!A:B,2,FALSE()),"?")</f>
        <v>Cemento Portland x 50kg</v>
      </c>
      <c r="F1019" s="129">
        <f>IFERROR(VLOOKUP(D1019,MATERIALES!A:C,3,FALSE()),"?")</f>
        <v>0</v>
      </c>
      <c r="G1019" s="119">
        <v>5.3999999999999999E-2</v>
      </c>
      <c r="H1019" s="120">
        <v>0.1</v>
      </c>
      <c r="I1019" s="96">
        <f>IFERROR(VLOOKUP(D1019,MATERIALES!A:D,4,FALSE()),0)</f>
        <v>7891.74</v>
      </c>
      <c r="J1019" s="31">
        <f t="shared" si="391"/>
        <v>468.76935600000002</v>
      </c>
      <c r="K1019" s="32" t="str">
        <f t="shared" si="386"/>
        <v>PTO-0903|MAT</v>
      </c>
      <c r="L1019" s="32">
        <f>COUNTIFS($K$2:K1019,K1019)</f>
        <v>3</v>
      </c>
      <c r="M1019" s="32" t="str">
        <f t="shared" ref="M1019" si="392">K1019&amp;"|"&amp;L1019</f>
        <v>PTO-0903|MAT|3</v>
      </c>
      <c r="N1019" s="121">
        <f>IFERROR(VLOOKUP(A1019,PARTIDAS!A:F,6,FALSE()),0)</f>
        <v>28</v>
      </c>
      <c r="O1019" s="123">
        <f t="shared" si="373"/>
        <v>0</v>
      </c>
      <c r="P1019" s="123">
        <f>+_xlfn.XLOOKUP(A1019,PPTO_GENERADOR!Q:Q,PPTO_GENERADOR!E:E,"-",0)</f>
        <v>114</v>
      </c>
      <c r="Q1019" s="123">
        <f t="shared" si="374"/>
        <v>0</v>
      </c>
      <c r="R1019" s="125">
        <f>+_xlfn.XLOOKUP(A1019,PPTO_GENERADOR!$Q:$Q,PPTO_GENERADOR!A:A,"-",0)</f>
        <v>9.0299999999999994</v>
      </c>
    </row>
    <row r="1020" spans="1:18" ht="14.25" customHeight="1" x14ac:dyDescent="0.35">
      <c r="A1020" s="105" t="s">
        <v>181</v>
      </c>
      <c r="B1020" s="105" t="s">
        <v>1979</v>
      </c>
      <c r="C1020" s="105" t="s">
        <v>1980</v>
      </c>
      <c r="D1020" s="105" t="s">
        <v>2038</v>
      </c>
      <c r="E1020" s="95" t="str">
        <f>IFERROR(VLOOKUP(D1020,MANO_DE_OBRA!A:B,2,FALSE()),"?")</f>
        <v>AYUDANTE</v>
      </c>
      <c r="F1020" s="129" t="s">
        <v>2042</v>
      </c>
      <c r="G1020" s="119">
        <v>0.4</v>
      </c>
      <c r="H1020" s="120">
        <v>0</v>
      </c>
      <c r="I1020" s="96">
        <f>IFERROR(VLOOKUP(D1020,MANO_DE_OBRA!A:C,3,FALSE()),0)</f>
        <v>67240.498860267602</v>
      </c>
      <c r="J1020" s="31">
        <f t="shared" ref="J1020:J1021" si="393">G1020*I1020</f>
        <v>26896.199544107043</v>
      </c>
      <c r="K1020" s="32" t="str">
        <f t="shared" si="386"/>
        <v>PTO-0903|MO</v>
      </c>
      <c r="L1020" s="32">
        <f>COUNTIFS($K$2:K1020,K1020)</f>
        <v>1</v>
      </c>
      <c r="M1020" s="32" t="str">
        <f t="shared" ref="M1020:M1081" si="394">K1020&amp;"|"&amp;L1020</f>
        <v>PTO-0903|MO|1</v>
      </c>
      <c r="N1020" s="121">
        <f>IFERROR(VLOOKUP(A1020,PARTIDAS!A:F,6,FALSE()),0)</f>
        <v>28</v>
      </c>
      <c r="O1020" s="123">
        <f t="shared" si="373"/>
        <v>1.4285714285714287E-2</v>
      </c>
      <c r="P1020" s="123">
        <f>+_xlfn.XLOOKUP(A1020,PPTO_GENERADOR!Q:Q,PPTO_GENERADOR!E:E,"-",0)</f>
        <v>114</v>
      </c>
      <c r="Q1020" s="123">
        <f t="shared" si="374"/>
        <v>1.6285714285714288</v>
      </c>
      <c r="R1020" s="125">
        <f>+_xlfn.XLOOKUP(A1020,PPTO_GENERADOR!$Q:$Q,PPTO_GENERADOR!A:A,"-",0)</f>
        <v>9.0299999999999994</v>
      </c>
    </row>
    <row r="1021" spans="1:18" ht="14.25" customHeight="1" x14ac:dyDescent="0.35">
      <c r="A1021" s="105" t="s">
        <v>181</v>
      </c>
      <c r="B1021" s="105" t="s">
        <v>1979</v>
      </c>
      <c r="C1021" s="105" t="s">
        <v>1980</v>
      </c>
      <c r="D1021" s="105" t="s">
        <v>1292</v>
      </c>
      <c r="E1021" s="95" t="str">
        <f>IFERROR(VLOOKUP(D1021,MANO_DE_OBRA!A:B,2,FALSE()),"?")</f>
        <v>ESPECIALIZADO</v>
      </c>
      <c r="F1021" s="129" t="s">
        <v>2042</v>
      </c>
      <c r="G1021" s="119">
        <v>1</v>
      </c>
      <c r="H1021" s="120">
        <v>0</v>
      </c>
      <c r="I1021" s="96">
        <f>IFERROR(VLOOKUP(D1021,MANO_DE_OBRA!A:C,3,FALSE()),0)</f>
        <v>94177.137883538904</v>
      </c>
      <c r="J1021" s="31">
        <f t="shared" si="393"/>
        <v>94177.137883538904</v>
      </c>
      <c r="K1021" s="32" t="str">
        <f t="shared" si="386"/>
        <v>PTO-0903|MO</v>
      </c>
      <c r="L1021" s="32">
        <f>COUNTIFS($K$2:K1021,K1021)</f>
        <v>2</v>
      </c>
      <c r="M1021" s="32" t="str">
        <f t="shared" si="394"/>
        <v>PTO-0903|MO|2</v>
      </c>
      <c r="N1021" s="121">
        <f>IFERROR(VLOOKUP(A1021,PARTIDAS!A:F,6,FALSE()),0)</f>
        <v>28</v>
      </c>
      <c r="O1021" s="123">
        <f t="shared" si="373"/>
        <v>3.5714285714285712E-2</v>
      </c>
      <c r="P1021" s="123">
        <f>+_xlfn.XLOOKUP(A1021,PPTO_GENERADOR!Q:Q,PPTO_GENERADOR!E:E,"-",0)</f>
        <v>114</v>
      </c>
      <c r="Q1021" s="123">
        <f t="shared" si="374"/>
        <v>4.0714285714285712</v>
      </c>
      <c r="R1021" s="125">
        <f>+_xlfn.XLOOKUP(A1021,PPTO_GENERADOR!$Q:$Q,PPTO_GENERADOR!A:A,"-",0)</f>
        <v>9.0299999999999994</v>
      </c>
    </row>
    <row r="1022" spans="1:18" ht="14.25" customHeight="1" x14ac:dyDescent="0.35">
      <c r="A1022" s="105" t="s">
        <v>181</v>
      </c>
      <c r="B1022" s="105" t="s">
        <v>1979</v>
      </c>
      <c r="C1022" s="105" t="s">
        <v>1982</v>
      </c>
      <c r="D1022" s="105" t="s">
        <v>1694</v>
      </c>
      <c r="E1022" s="95" t="str">
        <f>IFERROR(VLOOKUP(D1022,SUBCONTRATOS_PRY!A:B,2,FALSE()),"?")</f>
        <v>MO — Zócalo de concreto en escalera</v>
      </c>
      <c r="F1022" s="129" t="s">
        <v>2042</v>
      </c>
      <c r="G1022" s="119">
        <v>1</v>
      </c>
      <c r="H1022" s="120">
        <v>0</v>
      </c>
      <c r="I1022" s="96">
        <f>IFERROR(VLOOKUP(D1022,SUBCONTRATOS_PRY!A:D,4,FALSE()),0)</f>
        <v>121073.33742764595</v>
      </c>
      <c r="J1022" s="31">
        <f>G1022*I1022</f>
        <v>121073.33742764595</v>
      </c>
      <c r="K1022" s="32" t="str">
        <f t="shared" si="386"/>
        <v>PTO-0903|MO</v>
      </c>
      <c r="L1022" s="32">
        <f>COUNTIFS($K$2:K1022,K1022)</f>
        <v>3</v>
      </c>
      <c r="M1022" s="32" t="str">
        <f t="shared" si="394"/>
        <v>PTO-0903|MO|3</v>
      </c>
      <c r="N1022" s="121">
        <f>IFERROR(VLOOKUP(A1022,PARTIDAS!A:F,6,FALSE()),0)</f>
        <v>28</v>
      </c>
      <c r="O1022" s="123">
        <f t="shared" si="373"/>
        <v>0</v>
      </c>
      <c r="P1022" s="123">
        <f>+_xlfn.XLOOKUP(A1022,PPTO_GENERADOR!Q:Q,PPTO_GENERADOR!E:E,"-",0)</f>
        <v>114</v>
      </c>
      <c r="Q1022" s="123">
        <f t="shared" si="374"/>
        <v>0</v>
      </c>
      <c r="R1022" s="125">
        <f>+_xlfn.XLOOKUP(A1022,PPTO_GENERADOR!$Q:$Q,PPTO_GENERADOR!A:A,"-",0)</f>
        <v>9.0299999999999994</v>
      </c>
    </row>
    <row r="1023" spans="1:18" ht="14.25" customHeight="1" x14ac:dyDescent="0.35">
      <c r="A1023" s="105" t="s">
        <v>181</v>
      </c>
      <c r="B1023" s="105" t="s">
        <v>1983</v>
      </c>
      <c r="C1023" s="105"/>
      <c r="D1023" s="105" t="s">
        <v>1313</v>
      </c>
      <c r="E1023" s="95" t="str">
        <f>IFERROR(VLOOKUP(D1023,EQUIPOS!A:B,2,FALSE()),"?")</f>
        <v>ANDAMIO TUBULAR DE UNO A TRES CUERPOS</v>
      </c>
      <c r="F1023" s="129"/>
      <c r="G1023" s="119">
        <v>0.5</v>
      </c>
      <c r="H1023" s="120">
        <v>0</v>
      </c>
      <c r="I1023" s="96">
        <f>IFERROR(VLOOKUP(D1023,EQUIPOS!A:F,6,FALSE()),0)</f>
        <v>620.81078197718341</v>
      </c>
      <c r="J1023" s="31">
        <f t="shared" ref="J1023:J1025" si="395">G1023*I1023</f>
        <v>310.40539098859171</v>
      </c>
      <c r="K1023" s="32" t="str">
        <f t="shared" si="386"/>
        <v>PTO-0903|EQ</v>
      </c>
      <c r="L1023" s="32">
        <f>COUNTIFS($K$2:K1023,K1023)</f>
        <v>1</v>
      </c>
      <c r="M1023" s="32" t="str">
        <f t="shared" si="394"/>
        <v>PTO-0903|EQ|1</v>
      </c>
      <c r="N1023" s="121">
        <f>IFERROR(VLOOKUP(A1023,PARTIDAS!A:F,6,FALSE()),0)</f>
        <v>28</v>
      </c>
      <c r="O1023" s="123">
        <f t="shared" si="373"/>
        <v>0</v>
      </c>
      <c r="P1023" s="123">
        <f>+_xlfn.XLOOKUP(A1023,PPTO_GENERADOR!Q:Q,PPTO_GENERADOR!E:E,"-",0)</f>
        <v>114</v>
      </c>
      <c r="Q1023" s="123">
        <f t="shared" si="374"/>
        <v>0</v>
      </c>
      <c r="R1023" s="125">
        <f>+_xlfn.XLOOKUP(A1023,PPTO_GENERADOR!$Q:$Q,PPTO_GENERADOR!A:A,"-",0)</f>
        <v>9.0299999999999994</v>
      </c>
    </row>
    <row r="1024" spans="1:18" ht="14.25" customHeight="1" x14ac:dyDescent="0.35">
      <c r="A1024" s="105" t="s">
        <v>181</v>
      </c>
      <c r="B1024" s="105" t="s">
        <v>1983</v>
      </c>
      <c r="C1024" s="105"/>
      <c r="D1024" s="105" t="s">
        <v>1319</v>
      </c>
      <c r="E1024" s="95" t="str">
        <f>IFERROR(VLOOKUP(D1024,EQUIPOS!A:B,2,FALSE()),"?")</f>
        <v>EQUIPO DE ALBAÑILERIA, carpetas, ladrillo</v>
      </c>
      <c r="F1024" s="129"/>
      <c r="G1024" s="119">
        <v>1</v>
      </c>
      <c r="H1024" s="120">
        <v>0</v>
      </c>
      <c r="I1024" s="96">
        <f>IFERROR(VLOOKUP(D1024,EQUIPOS!A:F,6,FALSE()),0)</f>
        <v>2485.8709964593982</v>
      </c>
      <c r="J1024" s="31">
        <f t="shared" si="395"/>
        <v>2485.8709964593982</v>
      </c>
      <c r="K1024" s="32" t="str">
        <f t="shared" si="386"/>
        <v>PTO-0903|EQ</v>
      </c>
      <c r="L1024" s="32">
        <f>COUNTIFS($K$2:K1024,K1024)</f>
        <v>2</v>
      </c>
      <c r="M1024" s="32" t="str">
        <f t="shared" si="394"/>
        <v>PTO-0903|EQ|2</v>
      </c>
      <c r="N1024" s="121">
        <f>IFERROR(VLOOKUP(A1024,PARTIDAS!A:F,6,FALSE()),0)</f>
        <v>28</v>
      </c>
      <c r="O1024" s="123">
        <f t="shared" si="373"/>
        <v>0</v>
      </c>
      <c r="P1024" s="123">
        <f>+_xlfn.XLOOKUP(A1024,PPTO_GENERADOR!Q:Q,PPTO_GENERADOR!E:E,"-",0)</f>
        <v>114</v>
      </c>
      <c r="Q1024" s="123">
        <f t="shared" si="374"/>
        <v>0</v>
      </c>
      <c r="R1024" s="125">
        <f>+_xlfn.XLOOKUP(A1024,PPTO_GENERADOR!$Q:$Q,PPTO_GENERADOR!A:A,"-",0)</f>
        <v>9.0299999999999994</v>
      </c>
    </row>
    <row r="1025" spans="1:18" ht="14.25" customHeight="1" x14ac:dyDescent="0.35">
      <c r="A1025" s="105" t="s">
        <v>181</v>
      </c>
      <c r="B1025" s="105" t="s">
        <v>1983</v>
      </c>
      <c r="C1025" s="105"/>
      <c r="D1025" s="105" t="s">
        <v>1507</v>
      </c>
      <c r="E1025" s="95" t="str">
        <f>IFERROR(VLOOKUP(D1025,EQUIPOS!A:B,2,FALSE()),"?")</f>
        <v>Hormigonera De 150 Litros 1hp Con Rueda Maciza</v>
      </c>
      <c r="F1025" s="129"/>
      <c r="G1025" s="119">
        <v>1</v>
      </c>
      <c r="H1025" s="120">
        <v>0</v>
      </c>
      <c r="I1025" s="96">
        <f>IFERROR(VLOOKUP(D1025,EQUIPOS!A:F,6,FALSE()),0)</f>
        <v>1040.4314486705237</v>
      </c>
      <c r="J1025" s="31">
        <f t="shared" si="395"/>
        <v>1040.4314486705237</v>
      </c>
      <c r="K1025" s="32" t="str">
        <f t="shared" si="386"/>
        <v>PTO-0903|EQ</v>
      </c>
      <c r="L1025" s="32">
        <f>COUNTIFS($K$2:K1025,K1025)</f>
        <v>3</v>
      </c>
      <c r="M1025" s="32" t="str">
        <f t="shared" si="394"/>
        <v>PTO-0903|EQ|3</v>
      </c>
      <c r="N1025" s="121">
        <f>IFERROR(VLOOKUP(A1025,PARTIDAS!A:F,6,FALSE()),0)</f>
        <v>28</v>
      </c>
      <c r="O1025" s="123">
        <f t="shared" si="373"/>
        <v>0</v>
      </c>
      <c r="P1025" s="123">
        <f>+_xlfn.XLOOKUP(A1025,PPTO_GENERADOR!Q:Q,PPTO_GENERADOR!E:E,"-",0)</f>
        <v>114</v>
      </c>
      <c r="Q1025" s="123">
        <f t="shared" si="374"/>
        <v>0</v>
      </c>
      <c r="R1025" s="125">
        <f>+_xlfn.XLOOKUP(A1025,PPTO_GENERADOR!$Q:$Q,PPTO_GENERADOR!A:A,"-",0)</f>
        <v>9.0299999999999994</v>
      </c>
    </row>
    <row r="1026" spans="1:18" ht="14.25" customHeight="1" x14ac:dyDescent="0.35">
      <c r="A1026" s="105" t="s">
        <v>183</v>
      </c>
      <c r="B1026" s="105" t="s">
        <v>1981</v>
      </c>
      <c r="C1026" s="105" t="s">
        <v>1982</v>
      </c>
      <c r="D1026" s="105" t="s">
        <v>559</v>
      </c>
      <c r="E1026" s="95" t="str">
        <f>IFERROR(VLOOKUP(D1026,MATERIALES!A:B,2,FALSE()),"?")</f>
        <v>CONSUMIBLES (varios)</v>
      </c>
      <c r="F1026" s="129" t="str">
        <f>IFERROR(VLOOKUP(D1026,MATERIALES!A:C,3,FALSE()),"?")</f>
        <v>gl</v>
      </c>
      <c r="G1026" s="119">
        <v>250000</v>
      </c>
      <c r="H1026" s="120">
        <v>0</v>
      </c>
      <c r="I1026" s="96">
        <f>IFERROR(VLOOKUP(D1026,MATERIALES!A:D,4,FALSE()),0)</f>
        <v>1</v>
      </c>
      <c r="J1026" s="31">
        <f>G1026*I1026*(1+H1026)</f>
        <v>250000</v>
      </c>
      <c r="K1026" s="32" t="str">
        <f t="shared" si="386"/>
        <v>PTO-1001|MAT</v>
      </c>
      <c r="L1026" s="32">
        <f>COUNTIFS($K$2:K1026,K1026)</f>
        <v>1</v>
      </c>
      <c r="M1026" s="32" t="str">
        <f t="shared" si="394"/>
        <v>PTO-1001|MAT|1</v>
      </c>
      <c r="N1026" s="121">
        <f>IFERROR(VLOOKUP(A1026,PARTIDAS!A:F,6,FALSE()),0)</f>
        <v>1</v>
      </c>
      <c r="O1026" s="123">
        <f t="shared" si="373"/>
        <v>0</v>
      </c>
      <c r="P1026" s="123">
        <f>+_xlfn.XLOOKUP(A1026,PPTO_GENERADOR!Q:Q,PPTO_GENERADOR!E:E,"-",0)</f>
        <v>1</v>
      </c>
      <c r="Q1026" s="123">
        <f t="shared" si="374"/>
        <v>0</v>
      </c>
      <c r="R1026" s="125">
        <f>+_xlfn.XLOOKUP(A1026,PPTO_GENERADOR!$Q:$Q,PPTO_GENERADOR!A:A,"-",0)</f>
        <v>10.01</v>
      </c>
    </row>
    <row r="1027" spans="1:18" ht="14.25" customHeight="1" x14ac:dyDescent="0.35">
      <c r="A1027" s="105" t="s">
        <v>183</v>
      </c>
      <c r="B1027" s="105" t="s">
        <v>1979</v>
      </c>
      <c r="C1027" s="105" t="s">
        <v>1980</v>
      </c>
      <c r="D1027" s="105" t="s">
        <v>1292</v>
      </c>
      <c r="E1027" s="95" t="str">
        <f>IFERROR(VLOOKUP(D1027,MANO_DE_OBRA!A:B,2,FALSE()),"?")</f>
        <v>ESPECIALIZADO</v>
      </c>
      <c r="F1027" s="129" t="s">
        <v>2042</v>
      </c>
      <c r="G1027" s="119">
        <v>10</v>
      </c>
      <c r="H1027" s="120">
        <v>0</v>
      </c>
      <c r="I1027" s="96">
        <f>IFERROR(VLOOKUP(D1027,MANO_DE_OBRA!A:C,3,FALSE()),0)</f>
        <v>94177.137883538904</v>
      </c>
      <c r="J1027" s="31">
        <f t="shared" ref="J1027:J1028" si="396">G1027*I1027</f>
        <v>941771.37883538904</v>
      </c>
      <c r="K1027" s="32" t="str">
        <f t="shared" si="386"/>
        <v>PTO-1001|MO</v>
      </c>
      <c r="L1027" s="32">
        <f>COUNTIFS($K$2:K1027,K1027)</f>
        <v>1</v>
      </c>
      <c r="M1027" s="32" t="str">
        <f t="shared" si="394"/>
        <v>PTO-1001|MO|1</v>
      </c>
      <c r="N1027" s="121">
        <f>IFERROR(VLOOKUP(A1027,PARTIDAS!A:F,6,FALSE()),0)</f>
        <v>1</v>
      </c>
      <c r="O1027" s="123">
        <f t="shared" ref="O1027:O1090" si="397">+IF(C1027="ALB",G1027/N1027,0)</f>
        <v>10</v>
      </c>
      <c r="P1027" s="123">
        <f>+_xlfn.XLOOKUP(A1027,PPTO_GENERADOR!Q:Q,PPTO_GENERADOR!E:E,"-",0)</f>
        <v>1</v>
      </c>
      <c r="Q1027" s="123">
        <f t="shared" ref="Q1027:Q1090" si="398">IFERROR(P1027*O1027,0)</f>
        <v>10</v>
      </c>
      <c r="R1027" s="125">
        <f>+_xlfn.XLOOKUP(A1027,PPTO_GENERADOR!$Q:$Q,PPTO_GENERADOR!A:A,"-",0)</f>
        <v>10.01</v>
      </c>
    </row>
    <row r="1028" spans="1:18" ht="14.25" customHeight="1" x14ac:dyDescent="0.35">
      <c r="A1028" s="105" t="s">
        <v>183</v>
      </c>
      <c r="B1028" s="105" t="s">
        <v>1979</v>
      </c>
      <c r="C1028" s="105" t="s">
        <v>1980</v>
      </c>
      <c r="D1028" s="105" t="s">
        <v>1288</v>
      </c>
      <c r="E1028" s="95" t="str">
        <f>IFERROR(VLOOKUP(D1028,MANO_DE_OBRA!A:B,2,FALSE()),"?")</f>
        <v>MEDIO OFICIAL</v>
      </c>
      <c r="F1028" s="129" t="s">
        <v>2042</v>
      </c>
      <c r="G1028" s="119">
        <v>10</v>
      </c>
      <c r="H1028" s="120">
        <v>0</v>
      </c>
      <c r="I1028" s="96">
        <f>IFERROR(VLOOKUP(D1028,MANO_DE_OBRA!A:C,3,FALSE()),0)</f>
        <v>72132.138365590101</v>
      </c>
      <c r="J1028" s="31">
        <f t="shared" si="396"/>
        <v>721321.38365590107</v>
      </c>
      <c r="K1028" s="32" t="str">
        <f t="shared" si="386"/>
        <v>PTO-1001|MO</v>
      </c>
      <c r="L1028" s="32">
        <f>COUNTIFS($K$2:K1028,K1028)</f>
        <v>2</v>
      </c>
      <c r="M1028" s="32" t="str">
        <f t="shared" si="394"/>
        <v>PTO-1001|MO|2</v>
      </c>
      <c r="N1028" s="121">
        <f>IFERROR(VLOOKUP(A1028,PARTIDAS!A:F,6,FALSE()),0)</f>
        <v>1</v>
      </c>
      <c r="O1028" s="123">
        <f t="shared" si="397"/>
        <v>10</v>
      </c>
      <c r="P1028" s="123">
        <f>+_xlfn.XLOOKUP(A1028,PPTO_GENERADOR!Q:Q,PPTO_GENERADOR!E:E,"-",0)</f>
        <v>1</v>
      </c>
      <c r="Q1028" s="123">
        <f t="shared" si="398"/>
        <v>10</v>
      </c>
      <c r="R1028" s="125">
        <f>+_xlfn.XLOOKUP(A1028,PPTO_GENERADOR!$Q:$Q,PPTO_GENERADOR!A:A,"-",0)</f>
        <v>10.01</v>
      </c>
    </row>
    <row r="1029" spans="1:18" ht="14.25" customHeight="1" x14ac:dyDescent="0.35">
      <c r="A1029" s="105" t="s">
        <v>183</v>
      </c>
      <c r="B1029" s="105" t="s">
        <v>1983</v>
      </c>
      <c r="C1029" s="105"/>
      <c r="D1029" s="105" t="s">
        <v>1401</v>
      </c>
      <c r="E1029" s="95" t="str">
        <f>IFERROR(VLOOKUP(D1029,EQUIPOS!A:B,2,FALSE()),"?")</f>
        <v>Herramientas — Colocación de ventilación de conducto de</v>
      </c>
      <c r="F1029" s="129"/>
      <c r="G1029" s="119">
        <v>1</v>
      </c>
      <c r="H1029" s="120">
        <v>0</v>
      </c>
      <c r="I1029" s="96">
        <f>IFERROR(VLOOKUP(D1029,EQUIPOS!A:F,6,FALSE()),0)</f>
        <v>28696.391437369301</v>
      </c>
      <c r="J1029" s="31">
        <f>G1029*I1029</f>
        <v>28696.391437369301</v>
      </c>
      <c r="K1029" s="32" t="str">
        <f t="shared" si="386"/>
        <v>PTO-1001|EQ</v>
      </c>
      <c r="L1029" s="32">
        <f>COUNTIFS($K$2:K1029,K1029)</f>
        <v>1</v>
      </c>
      <c r="M1029" s="32" t="str">
        <f t="shared" si="394"/>
        <v>PTO-1001|EQ|1</v>
      </c>
      <c r="N1029" s="121">
        <f>IFERROR(VLOOKUP(A1029,PARTIDAS!A:F,6,FALSE()),0)</f>
        <v>1</v>
      </c>
      <c r="O1029" s="123">
        <f t="shared" si="397"/>
        <v>0</v>
      </c>
      <c r="P1029" s="123">
        <f>+_xlfn.XLOOKUP(A1029,PPTO_GENERADOR!Q:Q,PPTO_GENERADOR!E:E,"-",0)</f>
        <v>1</v>
      </c>
      <c r="Q1029" s="123">
        <f t="shared" si="398"/>
        <v>0</v>
      </c>
      <c r="R1029" s="125">
        <f>+_xlfn.XLOOKUP(A1029,PPTO_GENERADOR!$Q:$Q,PPTO_GENERADOR!A:A,"-",0)</f>
        <v>10.01</v>
      </c>
    </row>
    <row r="1030" spans="1:18" ht="14.25" customHeight="1" x14ac:dyDescent="0.35">
      <c r="A1030" s="105" t="s">
        <v>185</v>
      </c>
      <c r="B1030" s="105" t="s">
        <v>1981</v>
      </c>
      <c r="C1030" s="105" t="s">
        <v>1982</v>
      </c>
      <c r="D1030" s="105" t="s">
        <v>559</v>
      </c>
      <c r="E1030" s="95" t="str">
        <f>IFERROR(VLOOKUP(D1030,MATERIALES!A:B,2,FALSE()),"?")</f>
        <v>CONSUMIBLES (varios)</v>
      </c>
      <c r="F1030" s="129" t="str">
        <f>IFERROR(VLOOKUP(D1030,MATERIALES!A:C,3,FALSE()),"?")</f>
        <v>gl</v>
      </c>
      <c r="G1030" s="119">
        <v>250000</v>
      </c>
      <c r="H1030" s="120">
        <v>0</v>
      </c>
      <c r="I1030" s="96">
        <f>IFERROR(VLOOKUP(D1030,MATERIALES!A:D,4,FALSE()),0)</f>
        <v>1</v>
      </c>
      <c r="J1030" s="31">
        <f>G1030*I1030*(1+H1030)</f>
        <v>250000</v>
      </c>
      <c r="K1030" s="32" t="str">
        <f t="shared" si="386"/>
        <v>PTO-1002|MAT</v>
      </c>
      <c r="L1030" s="32">
        <f>COUNTIFS($K$2:K1030,K1030)</f>
        <v>1</v>
      </c>
      <c r="M1030" s="32" t="str">
        <f t="shared" si="394"/>
        <v>PTO-1002|MAT|1</v>
      </c>
      <c r="N1030" s="121">
        <f>IFERROR(VLOOKUP(A1030,PARTIDAS!A:F,6,FALSE()),0)</f>
        <v>1</v>
      </c>
      <c r="O1030" s="123">
        <f t="shared" si="397"/>
        <v>0</v>
      </c>
      <c r="P1030" s="123">
        <f>+_xlfn.XLOOKUP(A1030,PPTO_GENERADOR!Q:Q,PPTO_GENERADOR!E:E,"-",0)</f>
        <v>1</v>
      </c>
      <c r="Q1030" s="123">
        <f t="shared" si="398"/>
        <v>0</v>
      </c>
      <c r="R1030" s="125">
        <f>+_xlfn.XLOOKUP(A1030,PPTO_GENERADOR!$Q:$Q,PPTO_GENERADOR!A:A,"-",0)</f>
        <v>10.02</v>
      </c>
    </row>
    <row r="1031" spans="1:18" ht="14.25" customHeight="1" x14ac:dyDescent="0.35">
      <c r="A1031" s="105" t="s">
        <v>185</v>
      </c>
      <c r="B1031" s="105" t="s">
        <v>1979</v>
      </c>
      <c r="C1031" s="105" t="s">
        <v>1980</v>
      </c>
      <c r="D1031" s="105" t="s">
        <v>1292</v>
      </c>
      <c r="E1031" s="95" t="str">
        <f>IFERROR(VLOOKUP(D1031,MANO_DE_OBRA!A:B,2,FALSE()),"?")</f>
        <v>ESPECIALIZADO</v>
      </c>
      <c r="F1031" s="129" t="s">
        <v>2042</v>
      </c>
      <c r="G1031" s="119">
        <v>10</v>
      </c>
      <c r="H1031" s="120">
        <v>0</v>
      </c>
      <c r="I1031" s="96">
        <f>IFERROR(VLOOKUP(D1031,MANO_DE_OBRA!A:C,3,FALSE()),0)</f>
        <v>94177.137883538904</v>
      </c>
      <c r="J1031" s="31">
        <f t="shared" ref="J1031:J1032" si="399">G1031*I1031</f>
        <v>941771.37883538904</v>
      </c>
      <c r="K1031" s="32" t="str">
        <f t="shared" si="386"/>
        <v>PTO-1002|MO</v>
      </c>
      <c r="L1031" s="32">
        <f>COUNTIFS($K$2:K1031,K1031)</f>
        <v>1</v>
      </c>
      <c r="M1031" s="32" t="str">
        <f t="shared" si="394"/>
        <v>PTO-1002|MO|1</v>
      </c>
      <c r="N1031" s="121">
        <f>IFERROR(VLOOKUP(A1031,PARTIDAS!A:F,6,FALSE()),0)</f>
        <v>1</v>
      </c>
      <c r="O1031" s="123">
        <f t="shared" si="397"/>
        <v>10</v>
      </c>
      <c r="P1031" s="123">
        <f>+_xlfn.XLOOKUP(A1031,PPTO_GENERADOR!Q:Q,PPTO_GENERADOR!E:E,"-",0)</f>
        <v>1</v>
      </c>
      <c r="Q1031" s="123">
        <f t="shared" si="398"/>
        <v>10</v>
      </c>
      <c r="R1031" s="125">
        <f>+_xlfn.XLOOKUP(A1031,PPTO_GENERADOR!$Q:$Q,PPTO_GENERADOR!A:A,"-",0)</f>
        <v>10.02</v>
      </c>
    </row>
    <row r="1032" spans="1:18" ht="14.25" customHeight="1" x14ac:dyDescent="0.35">
      <c r="A1032" s="105" t="s">
        <v>185</v>
      </c>
      <c r="B1032" s="105" t="s">
        <v>1979</v>
      </c>
      <c r="C1032" s="105" t="s">
        <v>1980</v>
      </c>
      <c r="D1032" s="105" t="s">
        <v>1288</v>
      </c>
      <c r="E1032" s="95" t="str">
        <f>IFERROR(VLOOKUP(D1032,MANO_DE_OBRA!A:B,2,FALSE()),"?")</f>
        <v>MEDIO OFICIAL</v>
      </c>
      <c r="F1032" s="129" t="s">
        <v>2042</v>
      </c>
      <c r="G1032" s="119">
        <v>10</v>
      </c>
      <c r="H1032" s="120">
        <v>0</v>
      </c>
      <c r="I1032" s="96">
        <f>IFERROR(VLOOKUP(D1032,MANO_DE_OBRA!A:C,3,FALSE()),0)</f>
        <v>72132.138365590101</v>
      </c>
      <c r="J1032" s="31">
        <f t="shared" si="399"/>
        <v>721321.38365590107</v>
      </c>
      <c r="K1032" s="32" t="str">
        <f t="shared" si="386"/>
        <v>PTO-1002|MO</v>
      </c>
      <c r="L1032" s="32">
        <f>COUNTIFS($K$2:K1032,K1032)</f>
        <v>2</v>
      </c>
      <c r="M1032" s="32" t="str">
        <f t="shared" si="394"/>
        <v>PTO-1002|MO|2</v>
      </c>
      <c r="N1032" s="121">
        <f>IFERROR(VLOOKUP(A1032,PARTIDAS!A:F,6,FALSE()),0)</f>
        <v>1</v>
      </c>
      <c r="O1032" s="123">
        <f t="shared" si="397"/>
        <v>10</v>
      </c>
      <c r="P1032" s="123">
        <f>+_xlfn.XLOOKUP(A1032,PPTO_GENERADOR!Q:Q,PPTO_GENERADOR!E:E,"-",0)</f>
        <v>1</v>
      </c>
      <c r="Q1032" s="123">
        <f t="shared" si="398"/>
        <v>10</v>
      </c>
      <c r="R1032" s="125">
        <f>+_xlfn.XLOOKUP(A1032,PPTO_GENERADOR!$Q:$Q,PPTO_GENERADOR!A:A,"-",0)</f>
        <v>10.02</v>
      </c>
    </row>
    <row r="1033" spans="1:18" ht="14.25" customHeight="1" x14ac:dyDescent="0.35">
      <c r="A1033" s="105" t="s">
        <v>185</v>
      </c>
      <c r="B1033" s="105" t="s">
        <v>1983</v>
      </c>
      <c r="C1033" s="105"/>
      <c r="D1033" s="105" t="s">
        <v>1403</v>
      </c>
      <c r="E1033" s="95" t="str">
        <f>IFERROR(VLOOKUP(D1033,EQUIPOS!A:B,2,FALSE()),"?")</f>
        <v>Herramientas — Colocación y montaje de conducto de vent</v>
      </c>
      <c r="F1033" s="129"/>
      <c r="G1033" s="119">
        <v>1</v>
      </c>
      <c r="H1033" s="120">
        <v>0</v>
      </c>
      <c r="I1033" s="96">
        <f>IFERROR(VLOOKUP(D1033,EQUIPOS!A:F,6,FALSE()),0)</f>
        <v>28696.391437369301</v>
      </c>
      <c r="J1033" s="31">
        <f>G1033*I1033</f>
        <v>28696.391437369301</v>
      </c>
      <c r="K1033" s="32" t="str">
        <f t="shared" si="386"/>
        <v>PTO-1002|EQ</v>
      </c>
      <c r="L1033" s="32">
        <f>COUNTIFS($K$2:K1033,K1033)</f>
        <v>1</v>
      </c>
      <c r="M1033" s="32" t="str">
        <f t="shared" si="394"/>
        <v>PTO-1002|EQ|1</v>
      </c>
      <c r="N1033" s="121">
        <f>IFERROR(VLOOKUP(A1033,PARTIDAS!A:F,6,FALSE()),0)</f>
        <v>1</v>
      </c>
      <c r="O1033" s="123">
        <f t="shared" si="397"/>
        <v>0</v>
      </c>
      <c r="P1033" s="123">
        <f>+_xlfn.XLOOKUP(A1033,PPTO_GENERADOR!Q:Q,PPTO_GENERADOR!E:E,"-",0)</f>
        <v>1</v>
      </c>
      <c r="Q1033" s="123">
        <f t="shared" si="398"/>
        <v>0</v>
      </c>
      <c r="R1033" s="125">
        <f>+_xlfn.XLOOKUP(A1033,PPTO_GENERADOR!$Q:$Q,PPTO_GENERADOR!A:A,"-",0)</f>
        <v>10.02</v>
      </c>
    </row>
    <row r="1034" spans="1:18" ht="14.25" customHeight="1" x14ac:dyDescent="0.35">
      <c r="A1034" s="105" t="s">
        <v>187</v>
      </c>
      <c r="B1034" s="105" t="s">
        <v>1979</v>
      </c>
      <c r="C1034" s="105" t="s">
        <v>1980</v>
      </c>
      <c r="D1034" s="105" t="s">
        <v>1292</v>
      </c>
      <c r="E1034" s="95" t="str">
        <f>IFERROR(VLOOKUP(D1034,MANO_DE_OBRA!A:B,2,FALSE()),"?")</f>
        <v>ESPECIALIZADO</v>
      </c>
      <c r="F1034" s="129" t="s">
        <v>2042</v>
      </c>
      <c r="G1034" s="119">
        <v>0.57142899999999996</v>
      </c>
      <c r="H1034" s="120">
        <v>0</v>
      </c>
      <c r="I1034" s="96">
        <f>IFERROR(VLOOKUP(D1034,MANO_DE_OBRA!A:C,3,FALSE()),0)</f>
        <v>94177.137883538904</v>
      </c>
      <c r="J1034" s="31">
        <f t="shared" ref="J1034:J1035" si="400">G1034*I1034</f>
        <v>53815.547723652751</v>
      </c>
      <c r="K1034" s="32" t="str">
        <f t="shared" si="386"/>
        <v>PTO-1003|MO</v>
      </c>
      <c r="L1034" s="32">
        <f>COUNTIFS($K$2:K1034,K1034)</f>
        <v>1</v>
      </c>
      <c r="M1034" s="32" t="str">
        <f t="shared" si="394"/>
        <v>PTO-1003|MO|1</v>
      </c>
      <c r="N1034" s="121">
        <f>IFERROR(VLOOKUP(A1034,PARTIDAS!A:F,6,FALSE()),0)</f>
        <v>1</v>
      </c>
      <c r="O1034" s="123">
        <f t="shared" si="397"/>
        <v>0.57142899999999996</v>
      </c>
      <c r="P1034" s="123">
        <f>+_xlfn.XLOOKUP(A1034,PPTO_GENERADOR!Q:Q,PPTO_GENERADOR!E:E,"-",0)</f>
        <v>7</v>
      </c>
      <c r="Q1034" s="123">
        <f t="shared" si="398"/>
        <v>4.0000029999999995</v>
      </c>
      <c r="R1034" s="125">
        <f>+_xlfn.XLOOKUP(A1034,PPTO_GENERADOR!$Q:$Q,PPTO_GENERADOR!A:A,"-",0)</f>
        <v>10.029999999999999</v>
      </c>
    </row>
    <row r="1035" spans="1:18" ht="14.25" customHeight="1" x14ac:dyDescent="0.35">
      <c r="A1035" s="105" t="s">
        <v>187</v>
      </c>
      <c r="B1035" s="105" t="s">
        <v>1979</v>
      </c>
      <c r="C1035" s="105" t="s">
        <v>1980</v>
      </c>
      <c r="D1035" s="105" t="s">
        <v>1288</v>
      </c>
      <c r="E1035" s="95" t="str">
        <f>IFERROR(VLOOKUP(D1035,MANO_DE_OBRA!A:B,2,FALSE()),"?")</f>
        <v>MEDIO OFICIAL</v>
      </c>
      <c r="F1035" s="129" t="s">
        <v>2042</v>
      </c>
      <c r="G1035" s="119">
        <v>0.57142899999999996</v>
      </c>
      <c r="H1035" s="120">
        <v>0</v>
      </c>
      <c r="I1035" s="96">
        <f>IFERROR(VLOOKUP(D1035,MANO_DE_OBRA!A:C,3,FALSE()),0)</f>
        <v>72132.138365590101</v>
      </c>
      <c r="J1035" s="31">
        <f t="shared" si="400"/>
        <v>41218.395694110783</v>
      </c>
      <c r="K1035" s="32" t="str">
        <f t="shared" si="386"/>
        <v>PTO-1003|MO</v>
      </c>
      <c r="L1035" s="32">
        <f>COUNTIFS($K$2:K1035,K1035)</f>
        <v>2</v>
      </c>
      <c r="M1035" s="32" t="str">
        <f t="shared" si="394"/>
        <v>PTO-1003|MO|2</v>
      </c>
      <c r="N1035" s="121">
        <f>IFERROR(VLOOKUP(A1035,PARTIDAS!A:F,6,FALSE()),0)</f>
        <v>1</v>
      </c>
      <c r="O1035" s="123">
        <f t="shared" si="397"/>
        <v>0.57142899999999996</v>
      </c>
      <c r="P1035" s="123">
        <f>+_xlfn.XLOOKUP(A1035,PPTO_GENERADOR!Q:Q,PPTO_GENERADOR!E:E,"-",0)</f>
        <v>7</v>
      </c>
      <c r="Q1035" s="123">
        <f t="shared" si="398"/>
        <v>4.0000029999999995</v>
      </c>
      <c r="R1035" s="125">
        <f>+_xlfn.XLOOKUP(A1035,PPTO_GENERADOR!$Q:$Q,PPTO_GENERADOR!A:A,"-",0)</f>
        <v>10.029999999999999</v>
      </c>
    </row>
    <row r="1036" spans="1:18" ht="14.25" customHeight="1" x14ac:dyDescent="0.35">
      <c r="A1036" s="105" t="s">
        <v>187</v>
      </c>
      <c r="B1036" s="105" t="s">
        <v>1981</v>
      </c>
      <c r="C1036" s="105" t="s">
        <v>1982</v>
      </c>
      <c r="D1036" s="105" t="s">
        <v>736</v>
      </c>
      <c r="E1036" s="95" t="str">
        <f>IFERROR(VLOOKUP(D1036,MATERIALES!A:B,2,FALSE()),"?")</f>
        <v>Sikaflex®-1A  Sellador Poliuretano Color Gris 300ml</v>
      </c>
      <c r="F1036" s="129" t="str">
        <f>IFERROR(VLOOKUP(D1036,MATERIALES!A:C,3,FALSE()),"?")</f>
        <v>u</v>
      </c>
      <c r="G1036" s="119">
        <v>1</v>
      </c>
      <c r="H1036" s="120">
        <v>0</v>
      </c>
      <c r="I1036" s="96">
        <f>IFERROR(VLOOKUP(D1036,MATERIALES!A:D,4,FALSE()),0)</f>
        <v>24676.900826446301</v>
      </c>
      <c r="J1036" s="31">
        <f t="shared" ref="J1036:J1038" si="401">G1036*I1036*(1+H1036)</f>
        <v>24676.900826446301</v>
      </c>
      <c r="K1036" s="32" t="str">
        <f t="shared" si="386"/>
        <v>PTO-1003|MAT</v>
      </c>
      <c r="L1036" s="32">
        <f>COUNTIFS($K$2:K1036,K1036)</f>
        <v>1</v>
      </c>
      <c r="M1036" s="32" t="str">
        <f t="shared" si="394"/>
        <v>PTO-1003|MAT|1</v>
      </c>
      <c r="N1036" s="121">
        <f>IFERROR(VLOOKUP(A1036,PARTIDAS!A:F,6,FALSE()),0)</f>
        <v>1</v>
      </c>
      <c r="O1036" s="123">
        <f t="shared" si="397"/>
        <v>0</v>
      </c>
      <c r="P1036" s="123">
        <f>+_xlfn.XLOOKUP(A1036,PPTO_GENERADOR!Q:Q,PPTO_GENERADOR!E:E,"-",0)</f>
        <v>7</v>
      </c>
      <c r="Q1036" s="123">
        <f t="shared" si="398"/>
        <v>0</v>
      </c>
      <c r="R1036" s="125">
        <f>+_xlfn.XLOOKUP(A1036,PPTO_GENERADOR!$Q:$Q,PPTO_GENERADOR!A:A,"-",0)</f>
        <v>10.029999999999999</v>
      </c>
    </row>
    <row r="1037" spans="1:18" ht="14.25" customHeight="1" x14ac:dyDescent="0.35">
      <c r="A1037" s="105" t="s">
        <v>187</v>
      </c>
      <c r="B1037" s="105" t="s">
        <v>1981</v>
      </c>
      <c r="C1037" s="105" t="s">
        <v>1982</v>
      </c>
      <c r="D1037" s="105" t="s">
        <v>766</v>
      </c>
      <c r="E1037" s="95" t="str">
        <f>IFERROR(VLOOKUP(D1037,MATERIALES!A:B,2,FALSE()),"?")</f>
        <v>Fijación completa</v>
      </c>
      <c r="F1037" s="129" t="str">
        <f>IFERROR(VLOOKUP(D1037,MATERIALES!A:C,3,FALSE()),"?")</f>
        <v>u</v>
      </c>
      <c r="G1037" s="119">
        <v>12</v>
      </c>
      <c r="H1037" s="120">
        <v>0</v>
      </c>
      <c r="I1037" s="96">
        <f>IFERROR(VLOOKUP(D1037,MATERIALES!A:D,4,FALSE()),0)</f>
        <v>150</v>
      </c>
      <c r="J1037" s="31">
        <f t="shared" si="401"/>
        <v>1800</v>
      </c>
      <c r="K1037" s="32" t="str">
        <f t="shared" si="386"/>
        <v>PTO-1003|MAT</v>
      </c>
      <c r="L1037" s="32">
        <f>COUNTIFS($K$2:K1037,K1037)</f>
        <v>2</v>
      </c>
      <c r="M1037" s="32" t="str">
        <f t="shared" si="394"/>
        <v>PTO-1003|MAT|2</v>
      </c>
      <c r="N1037" s="121">
        <f>IFERROR(VLOOKUP(A1037,PARTIDAS!A:F,6,FALSE()),0)</f>
        <v>1</v>
      </c>
      <c r="O1037" s="123">
        <f t="shared" si="397"/>
        <v>0</v>
      </c>
      <c r="P1037" s="123">
        <f>+_xlfn.XLOOKUP(A1037,PPTO_GENERADOR!Q:Q,PPTO_GENERADOR!E:E,"-",0)</f>
        <v>7</v>
      </c>
      <c r="Q1037" s="123">
        <f t="shared" si="398"/>
        <v>0</v>
      </c>
      <c r="R1037" s="125">
        <f>+_xlfn.XLOOKUP(A1037,PPTO_GENERADOR!$Q:$Q,PPTO_GENERADOR!A:A,"-",0)</f>
        <v>10.029999999999999</v>
      </c>
    </row>
    <row r="1038" spans="1:18" ht="14.25" customHeight="1" x14ac:dyDescent="0.35">
      <c r="A1038" s="105" t="s">
        <v>187</v>
      </c>
      <c r="B1038" s="105" t="s">
        <v>1981</v>
      </c>
      <c r="C1038" s="105" t="s">
        <v>1982</v>
      </c>
      <c r="D1038" s="105" t="s">
        <v>768</v>
      </c>
      <c r="E1038" s="95" t="str">
        <f>IFERROR(VLOOKUP(D1038,MATERIALES!A:B,2,FALSE()),"?")</f>
        <v>Consumbiles (Mechas, etc.)</v>
      </c>
      <c r="F1038" s="129" t="str">
        <f>IFERROR(VLOOKUP(D1038,MATERIALES!A:C,3,FALSE()),"?")</f>
        <v>u</v>
      </c>
      <c r="G1038" s="119">
        <v>2.8570999999999999E-2</v>
      </c>
      <c r="H1038" s="120">
        <v>0</v>
      </c>
      <c r="I1038" s="96">
        <f>IFERROR(VLOOKUP(D1038,MATERIALES!A:D,4,FALSE()),0)</f>
        <v>185338.30578512399</v>
      </c>
      <c r="J1038" s="31">
        <f t="shared" si="401"/>
        <v>5295.3007345867773</v>
      </c>
      <c r="K1038" s="32" t="str">
        <f t="shared" si="386"/>
        <v>PTO-1003|MAT</v>
      </c>
      <c r="L1038" s="32">
        <f>COUNTIFS($K$2:K1038,K1038)</f>
        <v>3</v>
      </c>
      <c r="M1038" s="32" t="str">
        <f t="shared" si="394"/>
        <v>PTO-1003|MAT|3</v>
      </c>
      <c r="N1038" s="121">
        <f>IFERROR(VLOOKUP(A1038,PARTIDAS!A:F,6,FALSE()),0)</f>
        <v>1</v>
      </c>
      <c r="O1038" s="123">
        <f t="shared" si="397"/>
        <v>0</v>
      </c>
      <c r="P1038" s="123">
        <f>+_xlfn.XLOOKUP(A1038,PPTO_GENERADOR!Q:Q,PPTO_GENERADOR!E:E,"-",0)</f>
        <v>7</v>
      </c>
      <c r="Q1038" s="123">
        <f t="shared" si="398"/>
        <v>0</v>
      </c>
      <c r="R1038" s="125">
        <f>+_xlfn.XLOOKUP(A1038,PPTO_GENERADOR!$Q:$Q,PPTO_GENERADOR!A:A,"-",0)</f>
        <v>10.029999999999999</v>
      </c>
    </row>
    <row r="1039" spans="1:18" ht="14.25" customHeight="1" x14ac:dyDescent="0.35">
      <c r="A1039" s="105" t="s">
        <v>187</v>
      </c>
      <c r="B1039" s="105" t="s">
        <v>1983</v>
      </c>
      <c r="C1039" s="105"/>
      <c r="D1039" s="105" t="s">
        <v>1405</v>
      </c>
      <c r="E1039" s="95" t="str">
        <f>IFERROR(VLOOKUP(D1039,EQUIPOS!A:B,2,FALSE()),"?")</f>
        <v>Herramientas — Colocación sombreretes en chapa prepinta</v>
      </c>
      <c r="F1039" s="129"/>
      <c r="G1039" s="119">
        <v>1</v>
      </c>
      <c r="H1039" s="120">
        <v>0</v>
      </c>
      <c r="I1039" s="96">
        <f>IFERROR(VLOOKUP(D1039,EQUIPOS!A:F,6,FALSE()),0)</f>
        <v>1902.09229701142</v>
      </c>
      <c r="J1039" s="31">
        <f>G1039*I1039</f>
        <v>1902.09229701142</v>
      </c>
      <c r="K1039" s="32" t="str">
        <f t="shared" si="386"/>
        <v>PTO-1003|EQ</v>
      </c>
      <c r="L1039" s="32">
        <f>COUNTIFS($K$2:K1039,K1039)</f>
        <v>1</v>
      </c>
      <c r="M1039" s="32" t="str">
        <f t="shared" si="394"/>
        <v>PTO-1003|EQ|1</v>
      </c>
      <c r="N1039" s="121">
        <f>IFERROR(VLOOKUP(A1039,PARTIDAS!A:F,6,FALSE()),0)</f>
        <v>1</v>
      </c>
      <c r="O1039" s="123">
        <f t="shared" si="397"/>
        <v>0</v>
      </c>
      <c r="P1039" s="123">
        <f>+_xlfn.XLOOKUP(A1039,PPTO_GENERADOR!Q:Q,PPTO_GENERADOR!E:E,"-",0)</f>
        <v>7</v>
      </c>
      <c r="Q1039" s="123">
        <f t="shared" si="398"/>
        <v>0</v>
      </c>
      <c r="R1039" s="125">
        <f>+_xlfn.XLOOKUP(A1039,PPTO_GENERADOR!$Q:$Q,PPTO_GENERADOR!A:A,"-",0)</f>
        <v>10.029999999999999</v>
      </c>
    </row>
    <row r="1040" spans="1:18" ht="14.25" customHeight="1" x14ac:dyDescent="0.35">
      <c r="A1040" s="105" t="s">
        <v>189</v>
      </c>
      <c r="B1040" s="105" t="s">
        <v>1981</v>
      </c>
      <c r="C1040" s="105" t="s">
        <v>1982</v>
      </c>
      <c r="D1040" s="105" t="s">
        <v>1017</v>
      </c>
      <c r="E1040" s="95" t="str">
        <f>IFERROR(VLOOKUP(D1040,MATERIALES!A:B,2,FALSE()),"?")</f>
        <v>Adhesivo Klaukol Porcellanato Fluido x 30Kg</v>
      </c>
      <c r="F1040" s="129" t="str">
        <f>IFERROR(VLOOKUP(D1040,MATERIALES!A:C,3,FALSE()),"?")</f>
        <v>bol</v>
      </c>
      <c r="G1040" s="119">
        <v>0.2</v>
      </c>
      <c r="H1040" s="120">
        <v>0.2</v>
      </c>
      <c r="I1040" s="96">
        <f>IFERROR(VLOOKUP(D1040,MATERIALES!A:D,4,FALSE()),0)</f>
        <v>17106.768</v>
      </c>
      <c r="J1040" s="31">
        <f t="shared" ref="J1040:J1043" si="402">G1040*I1040*(1+H1040)</f>
        <v>4105.6243199999999</v>
      </c>
      <c r="K1040" s="32" t="str">
        <f t="shared" si="386"/>
        <v>PTO-1101|MAT</v>
      </c>
      <c r="L1040" s="32">
        <f>COUNTIFS($K$2:K1040,K1040)</f>
        <v>1</v>
      </c>
      <c r="M1040" s="32" t="str">
        <f t="shared" si="394"/>
        <v>PTO-1101|MAT|1</v>
      </c>
      <c r="N1040" s="121">
        <f>IFERROR(VLOOKUP(A1040,PARTIDAS!A:F,6,FALSE()),0)</f>
        <v>13</v>
      </c>
      <c r="O1040" s="123">
        <f t="shared" si="397"/>
        <v>0</v>
      </c>
      <c r="P1040" s="123">
        <f>+_xlfn.XLOOKUP(A1040,PPTO_GENERADOR!Q:Q,PPTO_GENERADOR!E:E,"-",0)</f>
        <v>101</v>
      </c>
      <c r="Q1040" s="123">
        <f t="shared" si="398"/>
        <v>0</v>
      </c>
      <c r="R1040" s="125">
        <f>+_xlfn.XLOOKUP(A1040,PPTO_GENERADOR!$Q:$Q,PPTO_GENERADOR!A:A,"-",0)</f>
        <v>11.01</v>
      </c>
    </row>
    <row r="1041" spans="1:18" ht="14.25" customHeight="1" x14ac:dyDescent="0.35">
      <c r="A1041" s="105" t="s">
        <v>189</v>
      </c>
      <c r="B1041" s="105" t="s">
        <v>1981</v>
      </c>
      <c r="C1041" s="105" t="s">
        <v>1982</v>
      </c>
      <c r="D1041" s="105" t="s">
        <v>1023</v>
      </c>
      <c r="E1041" s="95" t="str">
        <f>IFERROR(VLOOKUP(D1041,MATERIALES!A:B,2,FALSE()),"?")</f>
        <v>Disco Diamantado Aliafor Turbo Fino TRF</v>
      </c>
      <c r="F1041" s="129" t="str">
        <f>IFERROR(VLOOKUP(D1041,MATERIALES!A:C,3,FALSE()),"?")</f>
        <v>u</v>
      </c>
      <c r="G1041" s="119">
        <v>4.0000000000000001E-3</v>
      </c>
      <c r="H1041" s="120">
        <v>0.05</v>
      </c>
      <c r="I1041" s="96">
        <f>IFERROR(VLOOKUP(D1041,MATERIALES!A:D,4,FALSE()),0)</f>
        <v>11376</v>
      </c>
      <c r="J1041" s="31">
        <f t="shared" si="402"/>
        <v>47.779200000000003</v>
      </c>
      <c r="K1041" s="32" t="str">
        <f t="shared" si="386"/>
        <v>PTO-1101|MAT</v>
      </c>
      <c r="L1041" s="32">
        <f>COUNTIFS($K$2:K1041,K1041)</f>
        <v>2</v>
      </c>
      <c r="M1041" s="32" t="str">
        <f t="shared" si="394"/>
        <v>PTO-1101|MAT|2</v>
      </c>
      <c r="N1041" s="121">
        <f>IFERROR(VLOOKUP(A1041,PARTIDAS!A:F,6,FALSE()),0)</f>
        <v>13</v>
      </c>
      <c r="O1041" s="123">
        <f t="shared" si="397"/>
        <v>0</v>
      </c>
      <c r="P1041" s="123">
        <f>+_xlfn.XLOOKUP(A1041,PPTO_GENERADOR!Q:Q,PPTO_GENERADOR!E:E,"-",0)</f>
        <v>101</v>
      </c>
      <c r="Q1041" s="123">
        <f t="shared" si="398"/>
        <v>0</v>
      </c>
      <c r="R1041" s="125">
        <f>+_xlfn.XLOOKUP(A1041,PPTO_GENERADOR!$Q:$Q,PPTO_GENERADOR!A:A,"-",0)</f>
        <v>11.01</v>
      </c>
    </row>
    <row r="1042" spans="1:18" ht="14.25" customHeight="1" x14ac:dyDescent="0.35">
      <c r="A1042" s="105" t="s">
        <v>189</v>
      </c>
      <c r="B1042" s="105" t="s">
        <v>1981</v>
      </c>
      <c r="C1042" s="105" t="s">
        <v>1982</v>
      </c>
      <c r="D1042" s="105" t="s">
        <v>1025</v>
      </c>
      <c r="E1042" s="95" t="str">
        <f>IFERROR(VLOOKUP(D1042,MATERIALES!A:B,2,FALSE()),"?")</f>
        <v>Arco y cuña niveladores porcelanatos x 150un</v>
      </c>
      <c r="F1042" s="129" t="str">
        <f>IFERROR(VLOOKUP(D1042,MATERIALES!A:C,3,FALSE()),"?")</f>
        <v>bol</v>
      </c>
      <c r="G1042" s="119">
        <v>0.04</v>
      </c>
      <c r="H1042" s="120">
        <v>0.05</v>
      </c>
      <c r="I1042" s="96">
        <f>IFERROR(VLOOKUP(D1042,MATERIALES!A:D,4,FALSE()),0)</f>
        <v>47272.727272727301</v>
      </c>
      <c r="J1042" s="31">
        <f t="shared" si="402"/>
        <v>1985.4545454545469</v>
      </c>
      <c r="K1042" s="32" t="str">
        <f t="shared" si="386"/>
        <v>PTO-1101|MAT</v>
      </c>
      <c r="L1042" s="32">
        <f>COUNTIFS($K$2:K1042,K1042)</f>
        <v>3</v>
      </c>
      <c r="M1042" s="32" t="str">
        <f t="shared" si="394"/>
        <v>PTO-1101|MAT|3</v>
      </c>
      <c r="N1042" s="121">
        <f>IFERROR(VLOOKUP(A1042,PARTIDAS!A:F,6,FALSE()),0)</f>
        <v>13</v>
      </c>
      <c r="O1042" s="123">
        <f t="shared" si="397"/>
        <v>0</v>
      </c>
      <c r="P1042" s="123">
        <f>+_xlfn.XLOOKUP(A1042,PPTO_GENERADOR!Q:Q,PPTO_GENERADOR!E:E,"-",0)</f>
        <v>101</v>
      </c>
      <c r="Q1042" s="123">
        <f t="shared" si="398"/>
        <v>0</v>
      </c>
      <c r="R1042" s="125">
        <f>+_xlfn.XLOOKUP(A1042,PPTO_GENERADOR!$Q:$Q,PPTO_GENERADOR!A:A,"-",0)</f>
        <v>11.01</v>
      </c>
    </row>
    <row r="1043" spans="1:18" ht="14.25" customHeight="1" x14ac:dyDescent="0.35">
      <c r="A1043" s="105" t="s">
        <v>189</v>
      </c>
      <c r="B1043" s="105" t="s">
        <v>1981</v>
      </c>
      <c r="C1043" s="105" t="s">
        <v>1982</v>
      </c>
      <c r="D1043" s="105" t="s">
        <v>586</v>
      </c>
      <c r="E1043" s="95" t="str">
        <f>IFERROR(VLOOKUP(D1043,MATERIALES!A:B,2,FALSE()),"?")</f>
        <v>Trapo</v>
      </c>
      <c r="F1043" s="129">
        <f>IFERROR(VLOOKUP(D1043,MATERIALES!A:C,3,FALSE()),"?")</f>
        <v>0</v>
      </c>
      <c r="G1043" s="119">
        <v>0.01</v>
      </c>
      <c r="H1043" s="120">
        <v>0.03</v>
      </c>
      <c r="I1043" s="96">
        <f>IFERROR(VLOOKUP(D1043,MATERIALES!A:D,4,FALSE()),0)</f>
        <v>1182.6446280991699</v>
      </c>
      <c r="J1043" s="31">
        <f t="shared" si="402"/>
        <v>12.181239669421451</v>
      </c>
      <c r="K1043" s="32" t="str">
        <f t="shared" si="386"/>
        <v>PTO-1101|MAT</v>
      </c>
      <c r="L1043" s="32">
        <f>COUNTIFS($K$2:K1043,K1043)</f>
        <v>4</v>
      </c>
      <c r="M1043" s="32" t="str">
        <f t="shared" si="394"/>
        <v>PTO-1101|MAT|4</v>
      </c>
      <c r="N1043" s="121">
        <f>IFERROR(VLOOKUP(A1043,PARTIDAS!A:F,6,FALSE()),0)</f>
        <v>13</v>
      </c>
      <c r="O1043" s="123">
        <f t="shared" si="397"/>
        <v>0</v>
      </c>
      <c r="P1043" s="123">
        <f>+_xlfn.XLOOKUP(A1043,PPTO_GENERADOR!Q:Q,PPTO_GENERADOR!E:E,"-",0)</f>
        <v>101</v>
      </c>
      <c r="Q1043" s="123">
        <f t="shared" si="398"/>
        <v>0</v>
      </c>
      <c r="R1043" s="125">
        <f>+_xlfn.XLOOKUP(A1043,PPTO_GENERADOR!$Q:$Q,PPTO_GENERADOR!A:A,"-",0)</f>
        <v>11.01</v>
      </c>
    </row>
    <row r="1044" spans="1:18" ht="14.25" customHeight="1" x14ac:dyDescent="0.35">
      <c r="A1044" s="105" t="s">
        <v>189</v>
      </c>
      <c r="B1044" s="105" t="s">
        <v>1979</v>
      </c>
      <c r="C1044" s="105" t="s">
        <v>1980</v>
      </c>
      <c r="D1044" s="105" t="s">
        <v>1288</v>
      </c>
      <c r="E1044" s="95" t="str">
        <f>IFERROR(VLOOKUP(D1044,MANO_DE_OBRA!A:B,2,FALSE()),"?")</f>
        <v>MEDIO OFICIAL</v>
      </c>
      <c r="F1044" s="129" t="s">
        <v>2042</v>
      </c>
      <c r="G1044" s="119">
        <v>1</v>
      </c>
      <c r="H1044" s="120">
        <v>0</v>
      </c>
      <c r="I1044" s="96">
        <f>IFERROR(VLOOKUP(D1044,MANO_DE_OBRA!A:C,3,FALSE()),0)</f>
        <v>72132.138365590101</v>
      </c>
      <c r="J1044" s="31">
        <f t="shared" ref="J1044:J1045" si="403">G1044*I1044</f>
        <v>72132.138365590101</v>
      </c>
      <c r="K1044" s="32" t="str">
        <f t="shared" si="386"/>
        <v>PTO-1101|MO</v>
      </c>
      <c r="L1044" s="32">
        <f>COUNTIFS($K$2:K1044,K1044)</f>
        <v>1</v>
      </c>
      <c r="M1044" s="32" t="str">
        <f t="shared" si="394"/>
        <v>PTO-1101|MO|1</v>
      </c>
      <c r="N1044" s="121">
        <f>IFERROR(VLOOKUP(A1044,PARTIDAS!A:F,6,FALSE()),0)</f>
        <v>13</v>
      </c>
      <c r="O1044" s="123">
        <f t="shared" si="397"/>
        <v>7.6923076923076927E-2</v>
      </c>
      <c r="P1044" s="123">
        <f>+_xlfn.XLOOKUP(A1044,PPTO_GENERADOR!Q:Q,PPTO_GENERADOR!E:E,"-",0)</f>
        <v>101</v>
      </c>
      <c r="Q1044" s="123">
        <f t="shared" si="398"/>
        <v>7.7692307692307701</v>
      </c>
      <c r="R1044" s="125">
        <f>+_xlfn.XLOOKUP(A1044,PPTO_GENERADOR!$Q:$Q,PPTO_GENERADOR!A:A,"-",0)</f>
        <v>11.01</v>
      </c>
    </row>
    <row r="1045" spans="1:18" ht="14.25" customHeight="1" x14ac:dyDescent="0.35">
      <c r="A1045" s="105" t="s">
        <v>189</v>
      </c>
      <c r="B1045" s="105" t="s">
        <v>1979</v>
      </c>
      <c r="C1045" s="105" t="s">
        <v>1980</v>
      </c>
      <c r="D1045" s="105" t="s">
        <v>1292</v>
      </c>
      <c r="E1045" s="95" t="str">
        <f>IFERROR(VLOOKUP(D1045,MANO_DE_OBRA!A:B,2,FALSE()),"?")</f>
        <v>ESPECIALIZADO</v>
      </c>
      <c r="F1045" s="129" t="s">
        <v>2042</v>
      </c>
      <c r="G1045" s="119">
        <v>1</v>
      </c>
      <c r="H1045" s="120">
        <v>0</v>
      </c>
      <c r="I1045" s="96">
        <f>IFERROR(VLOOKUP(D1045,MANO_DE_OBRA!A:C,3,FALSE()),0)</f>
        <v>94177.137883538904</v>
      </c>
      <c r="J1045" s="31">
        <f t="shared" si="403"/>
        <v>94177.137883538904</v>
      </c>
      <c r="K1045" s="32" t="str">
        <f t="shared" si="386"/>
        <v>PTO-1101|MO</v>
      </c>
      <c r="L1045" s="32">
        <f>COUNTIFS($K$2:K1045,K1045)</f>
        <v>2</v>
      </c>
      <c r="M1045" s="32" t="str">
        <f t="shared" si="394"/>
        <v>PTO-1101|MO|2</v>
      </c>
      <c r="N1045" s="121">
        <f>IFERROR(VLOOKUP(A1045,PARTIDAS!A:F,6,FALSE()),0)</f>
        <v>13</v>
      </c>
      <c r="O1045" s="123">
        <f t="shared" si="397"/>
        <v>7.6923076923076927E-2</v>
      </c>
      <c r="P1045" s="123">
        <f>+_xlfn.XLOOKUP(A1045,PPTO_GENERADOR!Q:Q,PPTO_GENERADOR!E:E,"-",0)</f>
        <v>101</v>
      </c>
      <c r="Q1045" s="123">
        <f t="shared" si="398"/>
        <v>7.7692307692307701</v>
      </c>
      <c r="R1045" s="125">
        <f>+_xlfn.XLOOKUP(A1045,PPTO_GENERADOR!$Q:$Q,PPTO_GENERADOR!A:A,"-",0)</f>
        <v>11.01</v>
      </c>
    </row>
    <row r="1046" spans="1:18" ht="14.25" customHeight="1" x14ac:dyDescent="0.35">
      <c r="A1046" s="105" t="s">
        <v>189</v>
      </c>
      <c r="B1046" s="105" t="s">
        <v>1983</v>
      </c>
      <c r="C1046" s="105"/>
      <c r="D1046" s="105" t="s">
        <v>1321</v>
      </c>
      <c r="E1046" s="95" t="str">
        <f>IFERROR(VLOOKUP(D1046,EQUIPOS!A:B,2,FALSE()),"?")</f>
        <v>EQUIPO PARA COLOCACION DE CERAMICA</v>
      </c>
      <c r="F1046" s="129"/>
      <c r="G1046" s="119">
        <v>1</v>
      </c>
      <c r="H1046" s="120">
        <v>0</v>
      </c>
      <c r="I1046" s="96">
        <f>IFERROR(VLOOKUP(D1046,EQUIPOS!A:F,6,FALSE()),0)</f>
        <v>2866.2900480747039</v>
      </c>
      <c r="J1046" s="31">
        <f>G1046*I1046</f>
        <v>2866.2900480747039</v>
      </c>
      <c r="K1046" s="32" t="str">
        <f t="shared" si="386"/>
        <v>PTO-1101|EQ</v>
      </c>
      <c r="L1046" s="32">
        <f>COUNTIFS($K$2:K1046,K1046)</f>
        <v>1</v>
      </c>
      <c r="M1046" s="32" t="str">
        <f t="shared" si="394"/>
        <v>PTO-1101|EQ|1</v>
      </c>
      <c r="N1046" s="121">
        <f>IFERROR(VLOOKUP(A1046,PARTIDAS!A:F,6,FALSE()),0)</f>
        <v>13</v>
      </c>
      <c r="O1046" s="123">
        <f t="shared" si="397"/>
        <v>0</v>
      </c>
      <c r="P1046" s="123">
        <f>+_xlfn.XLOOKUP(A1046,PPTO_GENERADOR!Q:Q,PPTO_GENERADOR!E:E,"-",0)</f>
        <v>101</v>
      </c>
      <c r="Q1046" s="123">
        <f t="shared" si="398"/>
        <v>0</v>
      </c>
      <c r="R1046" s="125">
        <f>+_xlfn.XLOOKUP(A1046,PPTO_GENERADOR!$Q:$Q,PPTO_GENERADOR!A:A,"-",0)</f>
        <v>11.01</v>
      </c>
    </row>
    <row r="1047" spans="1:18" ht="14.25" customHeight="1" x14ac:dyDescent="0.35">
      <c r="A1047" s="105" t="s">
        <v>192</v>
      </c>
      <c r="B1047" s="105" t="s">
        <v>1981</v>
      </c>
      <c r="C1047" s="105" t="s">
        <v>1982</v>
      </c>
      <c r="D1047" s="105" t="s">
        <v>1017</v>
      </c>
      <c r="E1047" s="95" t="str">
        <f>IFERROR(VLOOKUP(D1047,MATERIALES!A:B,2,FALSE()),"?")</f>
        <v>Adhesivo Klaukol Porcellanato Fluido x 30Kg</v>
      </c>
      <c r="F1047" s="129" t="str">
        <f>IFERROR(VLOOKUP(D1047,MATERIALES!A:C,3,FALSE()),"?")</f>
        <v>bol</v>
      </c>
      <c r="G1047" s="119">
        <v>0.2</v>
      </c>
      <c r="H1047" s="120">
        <v>0.2</v>
      </c>
      <c r="I1047" s="96">
        <f>IFERROR(VLOOKUP(D1047,MATERIALES!A:D,4,FALSE()),0)</f>
        <v>17106.768</v>
      </c>
      <c r="J1047" s="31">
        <f t="shared" ref="J1047:J1050" si="404">G1047*I1047*(1+H1047)</f>
        <v>4105.6243199999999</v>
      </c>
      <c r="K1047" s="32" t="str">
        <f t="shared" si="386"/>
        <v>PTO-1102|MAT</v>
      </c>
      <c r="L1047" s="32">
        <f>COUNTIFS($K$2:K1047,K1047)</f>
        <v>1</v>
      </c>
      <c r="M1047" s="32" t="str">
        <f t="shared" si="394"/>
        <v>PTO-1102|MAT|1</v>
      </c>
      <c r="N1047" s="121">
        <f>IFERROR(VLOOKUP(A1047,PARTIDAS!A:F,6,FALSE()),0)</f>
        <v>13</v>
      </c>
      <c r="O1047" s="123">
        <f t="shared" si="397"/>
        <v>0</v>
      </c>
      <c r="P1047" s="123">
        <f>+_xlfn.XLOOKUP(A1047,PPTO_GENERADOR!Q:Q,PPTO_GENERADOR!E:E,"-",0)</f>
        <v>898</v>
      </c>
      <c r="Q1047" s="123">
        <f t="shared" si="398"/>
        <v>0</v>
      </c>
      <c r="R1047" s="125">
        <f>+_xlfn.XLOOKUP(A1047,PPTO_GENERADOR!$Q:$Q,PPTO_GENERADOR!A:A,"-",0)</f>
        <v>11.02</v>
      </c>
    </row>
    <row r="1048" spans="1:18" ht="14.25" customHeight="1" x14ac:dyDescent="0.35">
      <c r="A1048" s="105" t="s">
        <v>192</v>
      </c>
      <c r="B1048" s="105" t="s">
        <v>1981</v>
      </c>
      <c r="C1048" s="105" t="s">
        <v>1982</v>
      </c>
      <c r="D1048" s="105" t="s">
        <v>1023</v>
      </c>
      <c r="E1048" s="95" t="str">
        <f>IFERROR(VLOOKUP(D1048,MATERIALES!A:B,2,FALSE()),"?")</f>
        <v>Disco Diamantado Aliafor Turbo Fino TRF</v>
      </c>
      <c r="F1048" s="129" t="str">
        <f>IFERROR(VLOOKUP(D1048,MATERIALES!A:C,3,FALSE()),"?")</f>
        <v>u</v>
      </c>
      <c r="G1048" s="119">
        <v>4.0000000000000001E-3</v>
      </c>
      <c r="H1048" s="120">
        <v>0.05</v>
      </c>
      <c r="I1048" s="96">
        <f>IFERROR(VLOOKUP(D1048,MATERIALES!A:D,4,FALSE()),0)</f>
        <v>11376</v>
      </c>
      <c r="J1048" s="31">
        <f t="shared" si="404"/>
        <v>47.779200000000003</v>
      </c>
      <c r="K1048" s="32" t="str">
        <f t="shared" si="386"/>
        <v>PTO-1102|MAT</v>
      </c>
      <c r="L1048" s="32">
        <f>COUNTIFS($K$2:K1048,K1048)</f>
        <v>2</v>
      </c>
      <c r="M1048" s="32" t="str">
        <f t="shared" si="394"/>
        <v>PTO-1102|MAT|2</v>
      </c>
      <c r="N1048" s="121">
        <f>IFERROR(VLOOKUP(A1048,PARTIDAS!A:F,6,FALSE()),0)</f>
        <v>13</v>
      </c>
      <c r="O1048" s="123">
        <f t="shared" si="397"/>
        <v>0</v>
      </c>
      <c r="P1048" s="123">
        <f>+_xlfn.XLOOKUP(A1048,PPTO_GENERADOR!Q:Q,PPTO_GENERADOR!E:E,"-",0)</f>
        <v>898</v>
      </c>
      <c r="Q1048" s="123">
        <f t="shared" si="398"/>
        <v>0</v>
      </c>
      <c r="R1048" s="125">
        <f>+_xlfn.XLOOKUP(A1048,PPTO_GENERADOR!$Q:$Q,PPTO_GENERADOR!A:A,"-",0)</f>
        <v>11.02</v>
      </c>
    </row>
    <row r="1049" spans="1:18" ht="14.25" customHeight="1" x14ac:dyDescent="0.35">
      <c r="A1049" s="105" t="s">
        <v>192</v>
      </c>
      <c r="B1049" s="105" t="s">
        <v>1981</v>
      </c>
      <c r="C1049" s="105" t="s">
        <v>1982</v>
      </c>
      <c r="D1049" s="105" t="s">
        <v>1025</v>
      </c>
      <c r="E1049" s="95" t="str">
        <f>IFERROR(VLOOKUP(D1049,MATERIALES!A:B,2,FALSE()),"?")</f>
        <v>Arco y cuña niveladores porcelanatos x 150un</v>
      </c>
      <c r="F1049" s="129" t="str">
        <f>IFERROR(VLOOKUP(D1049,MATERIALES!A:C,3,FALSE()),"?")</f>
        <v>bol</v>
      </c>
      <c r="G1049" s="119">
        <v>0.04</v>
      </c>
      <c r="H1049" s="120">
        <v>0.05</v>
      </c>
      <c r="I1049" s="96">
        <f>IFERROR(VLOOKUP(D1049,MATERIALES!A:D,4,FALSE()),0)</f>
        <v>47272.727272727301</v>
      </c>
      <c r="J1049" s="31">
        <f t="shared" si="404"/>
        <v>1985.4545454545469</v>
      </c>
      <c r="K1049" s="32" t="str">
        <f t="shared" si="386"/>
        <v>PTO-1102|MAT</v>
      </c>
      <c r="L1049" s="32">
        <f>COUNTIFS($K$2:K1049,K1049)</f>
        <v>3</v>
      </c>
      <c r="M1049" s="32" t="str">
        <f t="shared" si="394"/>
        <v>PTO-1102|MAT|3</v>
      </c>
      <c r="N1049" s="121">
        <f>IFERROR(VLOOKUP(A1049,PARTIDAS!A:F,6,FALSE()),0)</f>
        <v>13</v>
      </c>
      <c r="O1049" s="123">
        <f t="shared" si="397"/>
        <v>0</v>
      </c>
      <c r="P1049" s="123">
        <f>+_xlfn.XLOOKUP(A1049,PPTO_GENERADOR!Q:Q,PPTO_GENERADOR!E:E,"-",0)</f>
        <v>898</v>
      </c>
      <c r="Q1049" s="123">
        <f t="shared" si="398"/>
        <v>0</v>
      </c>
      <c r="R1049" s="125">
        <f>+_xlfn.XLOOKUP(A1049,PPTO_GENERADOR!$Q:$Q,PPTO_GENERADOR!A:A,"-",0)</f>
        <v>11.02</v>
      </c>
    </row>
    <row r="1050" spans="1:18" ht="14.25" customHeight="1" x14ac:dyDescent="0.35">
      <c r="A1050" s="105" t="s">
        <v>192</v>
      </c>
      <c r="B1050" s="105" t="s">
        <v>1981</v>
      </c>
      <c r="C1050" s="105" t="s">
        <v>1982</v>
      </c>
      <c r="D1050" s="105" t="s">
        <v>586</v>
      </c>
      <c r="E1050" s="95" t="str">
        <f>IFERROR(VLOOKUP(D1050,MATERIALES!A:B,2,FALSE()),"?")</f>
        <v>Trapo</v>
      </c>
      <c r="F1050" s="129">
        <f>IFERROR(VLOOKUP(D1050,MATERIALES!A:C,3,FALSE()),"?")</f>
        <v>0</v>
      </c>
      <c r="G1050" s="119">
        <v>0.01</v>
      </c>
      <c r="H1050" s="120">
        <v>0.03</v>
      </c>
      <c r="I1050" s="96">
        <f>IFERROR(VLOOKUP(D1050,MATERIALES!A:D,4,FALSE()),0)</f>
        <v>1182.6446280991699</v>
      </c>
      <c r="J1050" s="31">
        <f t="shared" si="404"/>
        <v>12.181239669421451</v>
      </c>
      <c r="K1050" s="32" t="str">
        <f t="shared" si="386"/>
        <v>PTO-1102|MAT</v>
      </c>
      <c r="L1050" s="32">
        <f>COUNTIFS($K$2:K1050,K1050)</f>
        <v>4</v>
      </c>
      <c r="M1050" s="32" t="str">
        <f t="shared" si="394"/>
        <v>PTO-1102|MAT|4</v>
      </c>
      <c r="N1050" s="121">
        <f>IFERROR(VLOOKUP(A1050,PARTIDAS!A:F,6,FALSE()),0)</f>
        <v>13</v>
      </c>
      <c r="O1050" s="123">
        <f t="shared" si="397"/>
        <v>0</v>
      </c>
      <c r="P1050" s="123">
        <f>+_xlfn.XLOOKUP(A1050,PPTO_GENERADOR!Q:Q,PPTO_GENERADOR!E:E,"-",0)</f>
        <v>898</v>
      </c>
      <c r="Q1050" s="123">
        <f t="shared" si="398"/>
        <v>0</v>
      </c>
      <c r="R1050" s="125">
        <f>+_xlfn.XLOOKUP(A1050,PPTO_GENERADOR!$Q:$Q,PPTO_GENERADOR!A:A,"-",0)</f>
        <v>11.02</v>
      </c>
    </row>
    <row r="1051" spans="1:18" ht="14.25" customHeight="1" x14ac:dyDescent="0.35">
      <c r="A1051" s="105" t="s">
        <v>192</v>
      </c>
      <c r="B1051" s="105" t="s">
        <v>1979</v>
      </c>
      <c r="C1051" s="105" t="s">
        <v>1980</v>
      </c>
      <c r="D1051" s="105" t="s">
        <v>1288</v>
      </c>
      <c r="E1051" s="95" t="str">
        <f>IFERROR(VLOOKUP(D1051,MANO_DE_OBRA!A:B,2,FALSE()),"?")</f>
        <v>MEDIO OFICIAL</v>
      </c>
      <c r="F1051" s="129" t="s">
        <v>2042</v>
      </c>
      <c r="G1051" s="119">
        <v>1</v>
      </c>
      <c r="H1051" s="120">
        <v>0</v>
      </c>
      <c r="I1051" s="96">
        <f>IFERROR(VLOOKUP(D1051,MANO_DE_OBRA!A:C,3,FALSE()),0)</f>
        <v>72132.138365590101</v>
      </c>
      <c r="J1051" s="31">
        <f t="shared" ref="J1051:J1052" si="405">G1051*I1051</f>
        <v>72132.138365590101</v>
      </c>
      <c r="K1051" s="32" t="str">
        <f t="shared" si="386"/>
        <v>PTO-1102|MO</v>
      </c>
      <c r="L1051" s="32">
        <f>COUNTIFS($K$2:K1051,K1051)</f>
        <v>1</v>
      </c>
      <c r="M1051" s="32" t="str">
        <f t="shared" si="394"/>
        <v>PTO-1102|MO|1</v>
      </c>
      <c r="N1051" s="121">
        <f>IFERROR(VLOOKUP(A1051,PARTIDAS!A:F,6,FALSE()),0)</f>
        <v>13</v>
      </c>
      <c r="O1051" s="123">
        <f t="shared" si="397"/>
        <v>7.6923076923076927E-2</v>
      </c>
      <c r="P1051" s="123">
        <f>+_xlfn.XLOOKUP(A1051,PPTO_GENERADOR!Q:Q,PPTO_GENERADOR!E:E,"-",0)</f>
        <v>898</v>
      </c>
      <c r="Q1051" s="123">
        <f t="shared" si="398"/>
        <v>69.07692307692308</v>
      </c>
      <c r="R1051" s="125">
        <f>+_xlfn.XLOOKUP(A1051,PPTO_GENERADOR!$Q:$Q,PPTO_GENERADOR!A:A,"-",0)</f>
        <v>11.02</v>
      </c>
    </row>
    <row r="1052" spans="1:18" ht="14.25" customHeight="1" x14ac:dyDescent="0.35">
      <c r="A1052" s="105" t="s">
        <v>192</v>
      </c>
      <c r="B1052" s="105" t="s">
        <v>1979</v>
      </c>
      <c r="C1052" s="105" t="s">
        <v>1980</v>
      </c>
      <c r="D1052" s="105" t="s">
        <v>1292</v>
      </c>
      <c r="E1052" s="95" t="str">
        <f>IFERROR(VLOOKUP(D1052,MANO_DE_OBRA!A:B,2,FALSE()),"?")</f>
        <v>ESPECIALIZADO</v>
      </c>
      <c r="F1052" s="129" t="s">
        <v>2042</v>
      </c>
      <c r="G1052" s="119">
        <v>1</v>
      </c>
      <c r="H1052" s="120">
        <v>0</v>
      </c>
      <c r="I1052" s="96">
        <f>IFERROR(VLOOKUP(D1052,MANO_DE_OBRA!A:C,3,FALSE()),0)</f>
        <v>94177.137883538904</v>
      </c>
      <c r="J1052" s="31">
        <f t="shared" si="405"/>
        <v>94177.137883538904</v>
      </c>
      <c r="K1052" s="32" t="str">
        <f t="shared" si="386"/>
        <v>PTO-1102|MO</v>
      </c>
      <c r="L1052" s="32">
        <f>COUNTIFS($K$2:K1052,K1052)</f>
        <v>2</v>
      </c>
      <c r="M1052" s="32" t="str">
        <f t="shared" si="394"/>
        <v>PTO-1102|MO|2</v>
      </c>
      <c r="N1052" s="121">
        <f>IFERROR(VLOOKUP(A1052,PARTIDAS!A:F,6,FALSE()),0)</f>
        <v>13</v>
      </c>
      <c r="O1052" s="123">
        <f t="shared" si="397"/>
        <v>7.6923076923076927E-2</v>
      </c>
      <c r="P1052" s="123">
        <f>+_xlfn.XLOOKUP(A1052,PPTO_GENERADOR!Q:Q,PPTO_GENERADOR!E:E,"-",0)</f>
        <v>898</v>
      </c>
      <c r="Q1052" s="123">
        <f t="shared" si="398"/>
        <v>69.07692307692308</v>
      </c>
      <c r="R1052" s="125">
        <f>+_xlfn.XLOOKUP(A1052,PPTO_GENERADOR!$Q:$Q,PPTO_GENERADOR!A:A,"-",0)</f>
        <v>11.02</v>
      </c>
    </row>
    <row r="1053" spans="1:18" ht="14.25" customHeight="1" x14ac:dyDescent="0.35">
      <c r="A1053" s="105" t="s">
        <v>192</v>
      </c>
      <c r="B1053" s="105" t="s">
        <v>1983</v>
      </c>
      <c r="C1053" s="105"/>
      <c r="D1053" s="105" t="s">
        <v>1321</v>
      </c>
      <c r="E1053" s="95" t="str">
        <f>IFERROR(VLOOKUP(D1053,EQUIPOS!A:B,2,FALSE()),"?")</f>
        <v>EQUIPO PARA COLOCACION DE CERAMICA</v>
      </c>
      <c r="F1053" s="129"/>
      <c r="G1053" s="119">
        <v>1</v>
      </c>
      <c r="H1053" s="120">
        <v>0</v>
      </c>
      <c r="I1053" s="96">
        <f>IFERROR(VLOOKUP(D1053,EQUIPOS!A:F,6,FALSE()),0)</f>
        <v>2866.2900480747039</v>
      </c>
      <c r="J1053" s="31">
        <f>G1053*I1053</f>
        <v>2866.2900480747039</v>
      </c>
      <c r="K1053" s="32" t="str">
        <f t="shared" si="386"/>
        <v>PTO-1102|EQ</v>
      </c>
      <c r="L1053" s="32">
        <f>COUNTIFS($K$2:K1053,K1053)</f>
        <v>1</v>
      </c>
      <c r="M1053" s="32" t="str">
        <f t="shared" si="394"/>
        <v>PTO-1102|EQ|1</v>
      </c>
      <c r="N1053" s="121">
        <f>IFERROR(VLOOKUP(A1053,PARTIDAS!A:F,6,FALSE()),0)</f>
        <v>13</v>
      </c>
      <c r="O1053" s="123">
        <f t="shared" si="397"/>
        <v>0</v>
      </c>
      <c r="P1053" s="123">
        <f>+_xlfn.XLOOKUP(A1053,PPTO_GENERADOR!Q:Q,PPTO_GENERADOR!E:E,"-",0)</f>
        <v>898</v>
      </c>
      <c r="Q1053" s="123">
        <f t="shared" si="398"/>
        <v>0</v>
      </c>
      <c r="R1053" s="125">
        <f>+_xlfn.XLOOKUP(A1053,PPTO_GENERADOR!$Q:$Q,PPTO_GENERADOR!A:A,"-",0)</f>
        <v>11.02</v>
      </c>
    </row>
    <row r="1054" spans="1:18" ht="14.25" customHeight="1" x14ac:dyDescent="0.35">
      <c r="A1054" s="105" t="s">
        <v>194</v>
      </c>
      <c r="B1054" s="105" t="s">
        <v>1981</v>
      </c>
      <c r="C1054" s="105" t="s">
        <v>1982</v>
      </c>
      <c r="D1054" s="105" t="s">
        <v>1017</v>
      </c>
      <c r="E1054" s="95" t="str">
        <f>IFERROR(VLOOKUP(D1054,MATERIALES!A:B,2,FALSE()),"?")</f>
        <v>Adhesivo Klaukol Porcellanato Fluido x 30Kg</v>
      </c>
      <c r="F1054" s="129" t="str">
        <f>IFERROR(VLOOKUP(D1054,MATERIALES!A:C,3,FALSE()),"?")</f>
        <v>bol</v>
      </c>
      <c r="G1054" s="119">
        <v>0.2</v>
      </c>
      <c r="H1054" s="120">
        <v>0.2</v>
      </c>
      <c r="I1054" s="96">
        <f>IFERROR(VLOOKUP(D1054,MATERIALES!A:D,4,FALSE()),0)</f>
        <v>17106.768</v>
      </c>
      <c r="J1054" s="31">
        <f t="shared" ref="J1054:J1057" si="406">G1054*I1054*(1+H1054)</f>
        <v>4105.6243199999999</v>
      </c>
      <c r="K1054" s="32" t="str">
        <f t="shared" si="386"/>
        <v>PTO-1103|MAT</v>
      </c>
      <c r="L1054" s="32">
        <f>COUNTIFS($K$2:K1054,K1054)</f>
        <v>1</v>
      </c>
      <c r="M1054" s="32" t="str">
        <f t="shared" si="394"/>
        <v>PTO-1103|MAT|1</v>
      </c>
      <c r="N1054" s="121">
        <f>IFERROR(VLOOKUP(A1054,PARTIDAS!A:F,6,FALSE()),0)</f>
        <v>10</v>
      </c>
      <c r="O1054" s="123">
        <f t="shared" si="397"/>
        <v>0</v>
      </c>
      <c r="P1054" s="123">
        <f>+_xlfn.XLOOKUP(A1054,PPTO_GENERADOR!Q:Q,PPTO_GENERADOR!E:E,"-",0)</f>
        <v>88</v>
      </c>
      <c r="Q1054" s="123">
        <f t="shared" si="398"/>
        <v>0</v>
      </c>
      <c r="R1054" s="125">
        <f>+_xlfn.XLOOKUP(A1054,PPTO_GENERADOR!$Q:$Q,PPTO_GENERADOR!A:A,"-",0)</f>
        <v>11.03</v>
      </c>
    </row>
    <row r="1055" spans="1:18" ht="14.25" customHeight="1" x14ac:dyDescent="0.35">
      <c r="A1055" s="105" t="s">
        <v>194</v>
      </c>
      <c r="B1055" s="105" t="s">
        <v>1981</v>
      </c>
      <c r="C1055" s="105" t="s">
        <v>1982</v>
      </c>
      <c r="D1055" s="105" t="s">
        <v>1023</v>
      </c>
      <c r="E1055" s="95" t="str">
        <f>IFERROR(VLOOKUP(D1055,MATERIALES!A:B,2,FALSE()),"?")</f>
        <v>Disco Diamantado Aliafor Turbo Fino TRF</v>
      </c>
      <c r="F1055" s="129" t="str">
        <f>IFERROR(VLOOKUP(D1055,MATERIALES!A:C,3,FALSE()),"?")</f>
        <v>u</v>
      </c>
      <c r="G1055" s="119">
        <v>4.0000000000000001E-3</v>
      </c>
      <c r="H1055" s="120">
        <v>0.05</v>
      </c>
      <c r="I1055" s="96">
        <f>IFERROR(VLOOKUP(D1055,MATERIALES!A:D,4,FALSE()),0)</f>
        <v>11376</v>
      </c>
      <c r="J1055" s="31">
        <f t="shared" si="406"/>
        <v>47.779200000000003</v>
      </c>
      <c r="K1055" s="32" t="str">
        <f t="shared" si="386"/>
        <v>PTO-1103|MAT</v>
      </c>
      <c r="L1055" s="32">
        <f>COUNTIFS($K$2:K1055,K1055)</f>
        <v>2</v>
      </c>
      <c r="M1055" s="32" t="str">
        <f t="shared" si="394"/>
        <v>PTO-1103|MAT|2</v>
      </c>
      <c r="N1055" s="121">
        <f>IFERROR(VLOOKUP(A1055,PARTIDAS!A:F,6,FALSE()),0)</f>
        <v>10</v>
      </c>
      <c r="O1055" s="123">
        <f t="shared" si="397"/>
        <v>0</v>
      </c>
      <c r="P1055" s="123">
        <f>+_xlfn.XLOOKUP(A1055,PPTO_GENERADOR!Q:Q,PPTO_GENERADOR!E:E,"-",0)</f>
        <v>88</v>
      </c>
      <c r="Q1055" s="123">
        <f t="shared" si="398"/>
        <v>0</v>
      </c>
      <c r="R1055" s="125">
        <f>+_xlfn.XLOOKUP(A1055,PPTO_GENERADOR!$Q:$Q,PPTO_GENERADOR!A:A,"-",0)</f>
        <v>11.03</v>
      </c>
    </row>
    <row r="1056" spans="1:18" ht="14.25" customHeight="1" x14ac:dyDescent="0.35">
      <c r="A1056" s="105" t="s">
        <v>194</v>
      </c>
      <c r="B1056" s="105" t="s">
        <v>1981</v>
      </c>
      <c r="C1056" s="105" t="s">
        <v>1982</v>
      </c>
      <c r="D1056" s="105" t="s">
        <v>1025</v>
      </c>
      <c r="E1056" s="95" t="str">
        <f>IFERROR(VLOOKUP(D1056,MATERIALES!A:B,2,FALSE()),"?")</f>
        <v>Arco y cuña niveladores porcelanatos x 150un</v>
      </c>
      <c r="F1056" s="129" t="str">
        <f>IFERROR(VLOOKUP(D1056,MATERIALES!A:C,3,FALSE()),"?")</f>
        <v>bol</v>
      </c>
      <c r="G1056" s="119">
        <v>0.04</v>
      </c>
      <c r="H1056" s="120">
        <v>0.05</v>
      </c>
      <c r="I1056" s="96">
        <f>IFERROR(VLOOKUP(D1056,MATERIALES!A:D,4,FALSE()),0)</f>
        <v>47272.727272727301</v>
      </c>
      <c r="J1056" s="31">
        <f t="shared" si="406"/>
        <v>1985.4545454545469</v>
      </c>
      <c r="K1056" s="32" t="str">
        <f t="shared" si="386"/>
        <v>PTO-1103|MAT</v>
      </c>
      <c r="L1056" s="32">
        <f>COUNTIFS($K$2:K1056,K1056)</f>
        <v>3</v>
      </c>
      <c r="M1056" s="32" t="str">
        <f t="shared" si="394"/>
        <v>PTO-1103|MAT|3</v>
      </c>
      <c r="N1056" s="121">
        <f>IFERROR(VLOOKUP(A1056,PARTIDAS!A:F,6,FALSE()),0)</f>
        <v>10</v>
      </c>
      <c r="O1056" s="123">
        <f t="shared" si="397"/>
        <v>0</v>
      </c>
      <c r="P1056" s="123">
        <f>+_xlfn.XLOOKUP(A1056,PPTO_GENERADOR!Q:Q,PPTO_GENERADOR!E:E,"-",0)</f>
        <v>88</v>
      </c>
      <c r="Q1056" s="123">
        <f t="shared" si="398"/>
        <v>0</v>
      </c>
      <c r="R1056" s="125">
        <f>+_xlfn.XLOOKUP(A1056,PPTO_GENERADOR!$Q:$Q,PPTO_GENERADOR!A:A,"-",0)</f>
        <v>11.03</v>
      </c>
    </row>
    <row r="1057" spans="1:18" ht="14.25" customHeight="1" x14ac:dyDescent="0.35">
      <c r="A1057" s="105" t="s">
        <v>194</v>
      </c>
      <c r="B1057" s="105" t="s">
        <v>1981</v>
      </c>
      <c r="C1057" s="105" t="s">
        <v>1982</v>
      </c>
      <c r="D1057" s="105" t="s">
        <v>586</v>
      </c>
      <c r="E1057" s="95" t="str">
        <f>IFERROR(VLOOKUP(D1057,MATERIALES!A:B,2,FALSE()),"?")</f>
        <v>Trapo</v>
      </c>
      <c r="F1057" s="129">
        <f>IFERROR(VLOOKUP(D1057,MATERIALES!A:C,3,FALSE()),"?")</f>
        <v>0</v>
      </c>
      <c r="G1057" s="119">
        <v>0.01</v>
      </c>
      <c r="H1057" s="120">
        <v>0.03</v>
      </c>
      <c r="I1057" s="96">
        <f>IFERROR(VLOOKUP(D1057,MATERIALES!A:D,4,FALSE()),0)</f>
        <v>1182.6446280991699</v>
      </c>
      <c r="J1057" s="31">
        <f t="shared" si="406"/>
        <v>12.181239669421451</v>
      </c>
      <c r="K1057" s="32" t="str">
        <f t="shared" si="386"/>
        <v>PTO-1103|MAT</v>
      </c>
      <c r="L1057" s="32">
        <f>COUNTIFS($K$2:K1057,K1057)</f>
        <v>4</v>
      </c>
      <c r="M1057" s="32" t="str">
        <f t="shared" si="394"/>
        <v>PTO-1103|MAT|4</v>
      </c>
      <c r="N1057" s="121">
        <f>IFERROR(VLOOKUP(A1057,PARTIDAS!A:F,6,FALSE()),0)</f>
        <v>10</v>
      </c>
      <c r="O1057" s="123">
        <f t="shared" si="397"/>
        <v>0</v>
      </c>
      <c r="P1057" s="123">
        <f>+_xlfn.XLOOKUP(A1057,PPTO_GENERADOR!Q:Q,PPTO_GENERADOR!E:E,"-",0)</f>
        <v>88</v>
      </c>
      <c r="Q1057" s="123">
        <f t="shared" si="398"/>
        <v>0</v>
      </c>
      <c r="R1057" s="125">
        <f>+_xlfn.XLOOKUP(A1057,PPTO_GENERADOR!$Q:$Q,PPTO_GENERADOR!A:A,"-",0)</f>
        <v>11.03</v>
      </c>
    </row>
    <row r="1058" spans="1:18" ht="14.25" customHeight="1" x14ac:dyDescent="0.35">
      <c r="A1058" s="105" t="s">
        <v>194</v>
      </c>
      <c r="B1058" s="105" t="s">
        <v>1979</v>
      </c>
      <c r="C1058" s="105" t="s">
        <v>1980</v>
      </c>
      <c r="D1058" s="105" t="s">
        <v>1288</v>
      </c>
      <c r="E1058" s="95" t="str">
        <f>IFERROR(VLOOKUP(D1058,MANO_DE_OBRA!A:B,2,FALSE()),"?")</f>
        <v>MEDIO OFICIAL</v>
      </c>
      <c r="F1058" s="129" t="s">
        <v>2042</v>
      </c>
      <c r="G1058" s="119">
        <v>1</v>
      </c>
      <c r="H1058" s="120">
        <v>0</v>
      </c>
      <c r="I1058" s="96">
        <f>IFERROR(VLOOKUP(D1058,MANO_DE_OBRA!A:C,3,FALSE()),0)</f>
        <v>72132.138365590101</v>
      </c>
      <c r="J1058" s="31">
        <f t="shared" ref="J1058:J1059" si="407">G1058*I1058</f>
        <v>72132.138365590101</v>
      </c>
      <c r="K1058" s="32" t="str">
        <f t="shared" si="386"/>
        <v>PTO-1103|MO</v>
      </c>
      <c r="L1058" s="32">
        <f>COUNTIFS($K$2:K1058,K1058)</f>
        <v>1</v>
      </c>
      <c r="M1058" s="32" t="str">
        <f t="shared" si="394"/>
        <v>PTO-1103|MO|1</v>
      </c>
      <c r="N1058" s="121">
        <f>IFERROR(VLOOKUP(A1058,PARTIDAS!A:F,6,FALSE()),0)</f>
        <v>10</v>
      </c>
      <c r="O1058" s="123">
        <f t="shared" si="397"/>
        <v>0.1</v>
      </c>
      <c r="P1058" s="123">
        <f>+_xlfn.XLOOKUP(A1058,PPTO_GENERADOR!Q:Q,PPTO_GENERADOR!E:E,"-",0)</f>
        <v>88</v>
      </c>
      <c r="Q1058" s="123">
        <f t="shared" si="398"/>
        <v>8.8000000000000007</v>
      </c>
      <c r="R1058" s="125">
        <f>+_xlfn.XLOOKUP(A1058,PPTO_GENERADOR!$Q:$Q,PPTO_GENERADOR!A:A,"-",0)</f>
        <v>11.03</v>
      </c>
    </row>
    <row r="1059" spans="1:18" ht="14.25" customHeight="1" x14ac:dyDescent="0.35">
      <c r="A1059" s="105" t="s">
        <v>194</v>
      </c>
      <c r="B1059" s="105" t="s">
        <v>1979</v>
      </c>
      <c r="C1059" s="105" t="s">
        <v>1980</v>
      </c>
      <c r="D1059" s="105" t="s">
        <v>1292</v>
      </c>
      <c r="E1059" s="95" t="str">
        <f>IFERROR(VLOOKUP(D1059,MANO_DE_OBRA!A:B,2,FALSE()),"?")</f>
        <v>ESPECIALIZADO</v>
      </c>
      <c r="F1059" s="129" t="s">
        <v>2042</v>
      </c>
      <c r="G1059" s="119">
        <v>1</v>
      </c>
      <c r="H1059" s="120">
        <v>0</v>
      </c>
      <c r="I1059" s="96">
        <f>IFERROR(VLOOKUP(D1059,MANO_DE_OBRA!A:C,3,FALSE()),0)</f>
        <v>94177.137883538904</v>
      </c>
      <c r="J1059" s="31">
        <f t="shared" si="407"/>
        <v>94177.137883538904</v>
      </c>
      <c r="K1059" s="32" t="str">
        <f t="shared" si="386"/>
        <v>PTO-1103|MO</v>
      </c>
      <c r="L1059" s="32">
        <f>COUNTIFS($K$2:K1059,K1059)</f>
        <v>2</v>
      </c>
      <c r="M1059" s="32" t="str">
        <f t="shared" si="394"/>
        <v>PTO-1103|MO|2</v>
      </c>
      <c r="N1059" s="121">
        <f>IFERROR(VLOOKUP(A1059,PARTIDAS!A:F,6,FALSE()),0)</f>
        <v>10</v>
      </c>
      <c r="O1059" s="123">
        <f t="shared" si="397"/>
        <v>0.1</v>
      </c>
      <c r="P1059" s="123">
        <f>+_xlfn.XLOOKUP(A1059,PPTO_GENERADOR!Q:Q,PPTO_GENERADOR!E:E,"-",0)</f>
        <v>88</v>
      </c>
      <c r="Q1059" s="123">
        <f t="shared" si="398"/>
        <v>8.8000000000000007</v>
      </c>
      <c r="R1059" s="125">
        <f>+_xlfn.XLOOKUP(A1059,PPTO_GENERADOR!$Q:$Q,PPTO_GENERADOR!A:A,"-",0)</f>
        <v>11.03</v>
      </c>
    </row>
    <row r="1060" spans="1:18" ht="14.25" customHeight="1" x14ac:dyDescent="0.35">
      <c r="A1060" s="105" t="s">
        <v>194</v>
      </c>
      <c r="B1060" s="105" t="s">
        <v>1983</v>
      </c>
      <c r="C1060" s="105"/>
      <c r="D1060" s="105" t="s">
        <v>1321</v>
      </c>
      <c r="E1060" s="95" t="str">
        <f>IFERROR(VLOOKUP(D1060,EQUIPOS!A:B,2,FALSE()),"?")</f>
        <v>EQUIPO PARA COLOCACION DE CERAMICA</v>
      </c>
      <c r="F1060" s="129"/>
      <c r="G1060" s="119">
        <v>1</v>
      </c>
      <c r="H1060" s="120">
        <v>0</v>
      </c>
      <c r="I1060" s="96">
        <f>IFERROR(VLOOKUP(D1060,EQUIPOS!A:F,6,FALSE()),0)</f>
        <v>2866.2900480747039</v>
      </c>
      <c r="J1060" s="31">
        <f>G1060*I1060</f>
        <v>2866.2900480747039</v>
      </c>
      <c r="K1060" s="32" t="str">
        <f t="shared" si="386"/>
        <v>PTO-1103|EQ</v>
      </c>
      <c r="L1060" s="32">
        <f>COUNTIFS($K$2:K1060,K1060)</f>
        <v>1</v>
      </c>
      <c r="M1060" s="32" t="str">
        <f t="shared" si="394"/>
        <v>PTO-1103|EQ|1</v>
      </c>
      <c r="N1060" s="121">
        <f>IFERROR(VLOOKUP(A1060,PARTIDAS!A:F,6,FALSE()),0)</f>
        <v>10</v>
      </c>
      <c r="O1060" s="123">
        <f t="shared" si="397"/>
        <v>0</v>
      </c>
      <c r="P1060" s="123">
        <f>+_xlfn.XLOOKUP(A1060,PPTO_GENERADOR!Q:Q,PPTO_GENERADOR!E:E,"-",0)</f>
        <v>88</v>
      </c>
      <c r="Q1060" s="123">
        <f t="shared" si="398"/>
        <v>0</v>
      </c>
      <c r="R1060" s="125">
        <f>+_xlfn.XLOOKUP(A1060,PPTO_GENERADOR!$Q:$Q,PPTO_GENERADOR!A:A,"-",0)</f>
        <v>11.03</v>
      </c>
    </row>
    <row r="1061" spans="1:18" ht="14.25" customHeight="1" x14ac:dyDescent="0.35">
      <c r="A1061" s="105" t="s">
        <v>197</v>
      </c>
      <c r="B1061" s="105" t="s">
        <v>1981</v>
      </c>
      <c r="C1061" s="105" t="s">
        <v>1982</v>
      </c>
      <c r="D1061" s="105" t="s">
        <v>1017</v>
      </c>
      <c r="E1061" s="95" t="str">
        <f>IFERROR(VLOOKUP(D1061,MATERIALES!A:B,2,FALSE()),"?")</f>
        <v>Adhesivo Klaukol Porcellanato Fluido x 30Kg</v>
      </c>
      <c r="F1061" s="129" t="str">
        <f>IFERROR(VLOOKUP(D1061,MATERIALES!A:C,3,FALSE()),"?")</f>
        <v>bol</v>
      </c>
      <c r="G1061" s="119">
        <v>0.2</v>
      </c>
      <c r="H1061" s="120">
        <v>0.2</v>
      </c>
      <c r="I1061" s="96">
        <f>IFERROR(VLOOKUP(D1061,MATERIALES!A:D,4,FALSE()),0)</f>
        <v>17106.768</v>
      </c>
      <c r="J1061" s="31">
        <f t="shared" ref="J1061:J1064" si="408">G1061*I1061*(1+H1061)</f>
        <v>4105.6243199999999</v>
      </c>
      <c r="K1061" s="32" t="str">
        <f t="shared" si="386"/>
        <v>PTO-1104|MAT</v>
      </c>
      <c r="L1061" s="32">
        <f>COUNTIFS($K$2:K1061,K1061)</f>
        <v>1</v>
      </c>
      <c r="M1061" s="32" t="str">
        <f t="shared" si="394"/>
        <v>PTO-1104|MAT|1</v>
      </c>
      <c r="N1061" s="121">
        <f>IFERROR(VLOOKUP(A1061,PARTIDAS!A:F,6,FALSE()),0)</f>
        <v>13</v>
      </c>
      <c r="O1061" s="123">
        <f t="shared" si="397"/>
        <v>0</v>
      </c>
      <c r="P1061" s="123">
        <f>+_xlfn.XLOOKUP(A1061,PPTO_GENERADOR!Q:Q,PPTO_GENERADOR!E:E,"-",0)</f>
        <v>63</v>
      </c>
      <c r="Q1061" s="123">
        <f t="shared" si="398"/>
        <v>0</v>
      </c>
      <c r="R1061" s="125">
        <f>+_xlfn.XLOOKUP(A1061,PPTO_GENERADOR!$Q:$Q,PPTO_GENERADOR!A:A,"-",0)</f>
        <v>11.04</v>
      </c>
    </row>
    <row r="1062" spans="1:18" ht="14.25" customHeight="1" x14ac:dyDescent="0.35">
      <c r="A1062" s="105" t="s">
        <v>197</v>
      </c>
      <c r="B1062" s="105" t="s">
        <v>1981</v>
      </c>
      <c r="C1062" s="105" t="s">
        <v>1982</v>
      </c>
      <c r="D1062" s="105" t="s">
        <v>1023</v>
      </c>
      <c r="E1062" s="95" t="str">
        <f>IFERROR(VLOOKUP(D1062,MATERIALES!A:B,2,FALSE()),"?")</f>
        <v>Disco Diamantado Aliafor Turbo Fino TRF</v>
      </c>
      <c r="F1062" s="129" t="str">
        <f>IFERROR(VLOOKUP(D1062,MATERIALES!A:C,3,FALSE()),"?")</f>
        <v>u</v>
      </c>
      <c r="G1062" s="119">
        <v>4.0000000000000001E-3</v>
      </c>
      <c r="H1062" s="120">
        <v>0.05</v>
      </c>
      <c r="I1062" s="96">
        <f>IFERROR(VLOOKUP(D1062,MATERIALES!A:D,4,FALSE()),0)</f>
        <v>11376</v>
      </c>
      <c r="J1062" s="31">
        <f t="shared" si="408"/>
        <v>47.779200000000003</v>
      </c>
      <c r="K1062" s="32" t="str">
        <f t="shared" si="386"/>
        <v>PTO-1104|MAT</v>
      </c>
      <c r="L1062" s="32">
        <f>COUNTIFS($K$2:K1062,K1062)</f>
        <v>2</v>
      </c>
      <c r="M1062" s="32" t="str">
        <f t="shared" si="394"/>
        <v>PTO-1104|MAT|2</v>
      </c>
      <c r="N1062" s="121">
        <f>IFERROR(VLOOKUP(A1062,PARTIDAS!A:F,6,FALSE()),0)</f>
        <v>13</v>
      </c>
      <c r="O1062" s="123">
        <f t="shared" si="397"/>
        <v>0</v>
      </c>
      <c r="P1062" s="123">
        <f>+_xlfn.XLOOKUP(A1062,PPTO_GENERADOR!Q:Q,PPTO_GENERADOR!E:E,"-",0)</f>
        <v>63</v>
      </c>
      <c r="Q1062" s="123">
        <f t="shared" si="398"/>
        <v>0</v>
      </c>
      <c r="R1062" s="125">
        <f>+_xlfn.XLOOKUP(A1062,PPTO_GENERADOR!$Q:$Q,PPTO_GENERADOR!A:A,"-",0)</f>
        <v>11.04</v>
      </c>
    </row>
    <row r="1063" spans="1:18" ht="14.25" customHeight="1" x14ac:dyDescent="0.35">
      <c r="A1063" s="105" t="s">
        <v>197</v>
      </c>
      <c r="B1063" s="105" t="s">
        <v>1981</v>
      </c>
      <c r="C1063" s="105" t="s">
        <v>1982</v>
      </c>
      <c r="D1063" s="105" t="s">
        <v>1025</v>
      </c>
      <c r="E1063" s="95" t="str">
        <f>IFERROR(VLOOKUP(D1063,MATERIALES!A:B,2,FALSE()),"?")</f>
        <v>Arco y cuña niveladores porcelanatos x 150un</v>
      </c>
      <c r="F1063" s="129" t="str">
        <f>IFERROR(VLOOKUP(D1063,MATERIALES!A:C,3,FALSE()),"?")</f>
        <v>bol</v>
      </c>
      <c r="G1063" s="119">
        <v>0.04</v>
      </c>
      <c r="H1063" s="120">
        <v>0.05</v>
      </c>
      <c r="I1063" s="96">
        <f>IFERROR(VLOOKUP(D1063,MATERIALES!A:D,4,FALSE()),0)</f>
        <v>47272.727272727301</v>
      </c>
      <c r="J1063" s="31">
        <f t="shared" si="408"/>
        <v>1985.4545454545469</v>
      </c>
      <c r="K1063" s="32" t="str">
        <f t="shared" si="386"/>
        <v>PTO-1104|MAT</v>
      </c>
      <c r="L1063" s="32">
        <f>COUNTIFS($K$2:K1063,K1063)</f>
        <v>3</v>
      </c>
      <c r="M1063" s="32" t="str">
        <f t="shared" si="394"/>
        <v>PTO-1104|MAT|3</v>
      </c>
      <c r="N1063" s="121">
        <f>IFERROR(VLOOKUP(A1063,PARTIDAS!A:F,6,FALSE()),0)</f>
        <v>13</v>
      </c>
      <c r="O1063" s="123">
        <f t="shared" si="397"/>
        <v>0</v>
      </c>
      <c r="P1063" s="123">
        <f>+_xlfn.XLOOKUP(A1063,PPTO_GENERADOR!Q:Q,PPTO_GENERADOR!E:E,"-",0)</f>
        <v>63</v>
      </c>
      <c r="Q1063" s="123">
        <f t="shared" si="398"/>
        <v>0</v>
      </c>
      <c r="R1063" s="125">
        <f>+_xlfn.XLOOKUP(A1063,PPTO_GENERADOR!$Q:$Q,PPTO_GENERADOR!A:A,"-",0)</f>
        <v>11.04</v>
      </c>
    </row>
    <row r="1064" spans="1:18" ht="14.25" customHeight="1" x14ac:dyDescent="0.35">
      <c r="A1064" s="105" t="s">
        <v>197</v>
      </c>
      <c r="B1064" s="105" t="s">
        <v>1981</v>
      </c>
      <c r="C1064" s="105" t="s">
        <v>1982</v>
      </c>
      <c r="D1064" s="105" t="s">
        <v>586</v>
      </c>
      <c r="E1064" s="95" t="str">
        <f>IFERROR(VLOOKUP(D1064,MATERIALES!A:B,2,FALSE()),"?")</f>
        <v>Trapo</v>
      </c>
      <c r="F1064" s="129">
        <f>IFERROR(VLOOKUP(D1064,MATERIALES!A:C,3,FALSE()),"?")</f>
        <v>0</v>
      </c>
      <c r="G1064" s="119">
        <v>0.01</v>
      </c>
      <c r="H1064" s="120">
        <v>0.03</v>
      </c>
      <c r="I1064" s="96">
        <f>IFERROR(VLOOKUP(D1064,MATERIALES!A:D,4,FALSE()),0)</f>
        <v>1182.6446280991699</v>
      </c>
      <c r="J1064" s="31">
        <f t="shared" si="408"/>
        <v>12.181239669421451</v>
      </c>
      <c r="K1064" s="32" t="str">
        <f t="shared" si="386"/>
        <v>PTO-1104|MAT</v>
      </c>
      <c r="L1064" s="32">
        <f>COUNTIFS($K$2:K1064,K1064)</f>
        <v>4</v>
      </c>
      <c r="M1064" s="32" t="str">
        <f t="shared" si="394"/>
        <v>PTO-1104|MAT|4</v>
      </c>
      <c r="N1064" s="121">
        <f>IFERROR(VLOOKUP(A1064,PARTIDAS!A:F,6,FALSE()),0)</f>
        <v>13</v>
      </c>
      <c r="O1064" s="123">
        <f t="shared" si="397"/>
        <v>0</v>
      </c>
      <c r="P1064" s="123">
        <f>+_xlfn.XLOOKUP(A1064,PPTO_GENERADOR!Q:Q,PPTO_GENERADOR!E:E,"-",0)</f>
        <v>63</v>
      </c>
      <c r="Q1064" s="123">
        <f t="shared" si="398"/>
        <v>0</v>
      </c>
      <c r="R1064" s="125">
        <f>+_xlfn.XLOOKUP(A1064,PPTO_GENERADOR!$Q:$Q,PPTO_GENERADOR!A:A,"-",0)</f>
        <v>11.04</v>
      </c>
    </row>
    <row r="1065" spans="1:18" ht="14.25" customHeight="1" x14ac:dyDescent="0.35">
      <c r="A1065" s="105" t="s">
        <v>197</v>
      </c>
      <c r="B1065" s="105" t="s">
        <v>1979</v>
      </c>
      <c r="C1065" s="105" t="s">
        <v>1980</v>
      </c>
      <c r="D1065" s="105" t="s">
        <v>1288</v>
      </c>
      <c r="E1065" s="95" t="str">
        <f>IFERROR(VLOOKUP(D1065,MANO_DE_OBRA!A:B,2,FALSE()),"?")</f>
        <v>MEDIO OFICIAL</v>
      </c>
      <c r="F1065" s="129" t="s">
        <v>2042</v>
      </c>
      <c r="G1065" s="119">
        <v>1</v>
      </c>
      <c r="H1065" s="120">
        <v>0</v>
      </c>
      <c r="I1065" s="96">
        <f>IFERROR(VLOOKUP(D1065,MANO_DE_OBRA!A:C,3,FALSE()),0)</f>
        <v>72132.138365590101</v>
      </c>
      <c r="J1065" s="31">
        <f t="shared" ref="J1065:J1066" si="409">G1065*I1065</f>
        <v>72132.138365590101</v>
      </c>
      <c r="K1065" s="32" t="str">
        <f t="shared" si="386"/>
        <v>PTO-1104|MO</v>
      </c>
      <c r="L1065" s="32">
        <f>COUNTIFS($K$2:K1065,K1065)</f>
        <v>1</v>
      </c>
      <c r="M1065" s="32" t="str">
        <f t="shared" si="394"/>
        <v>PTO-1104|MO|1</v>
      </c>
      <c r="N1065" s="121">
        <f>IFERROR(VLOOKUP(A1065,PARTIDAS!A:F,6,FALSE()),0)</f>
        <v>13</v>
      </c>
      <c r="O1065" s="123">
        <f t="shared" si="397"/>
        <v>7.6923076923076927E-2</v>
      </c>
      <c r="P1065" s="123">
        <f>+_xlfn.XLOOKUP(A1065,PPTO_GENERADOR!Q:Q,PPTO_GENERADOR!E:E,"-",0)</f>
        <v>63</v>
      </c>
      <c r="Q1065" s="123">
        <f t="shared" si="398"/>
        <v>4.8461538461538467</v>
      </c>
      <c r="R1065" s="125">
        <f>+_xlfn.XLOOKUP(A1065,PPTO_GENERADOR!$Q:$Q,PPTO_GENERADOR!A:A,"-",0)</f>
        <v>11.04</v>
      </c>
    </row>
    <row r="1066" spans="1:18" ht="14.25" customHeight="1" x14ac:dyDescent="0.35">
      <c r="A1066" s="105" t="s">
        <v>197</v>
      </c>
      <c r="B1066" s="105" t="s">
        <v>1979</v>
      </c>
      <c r="C1066" s="105" t="s">
        <v>1980</v>
      </c>
      <c r="D1066" s="105" t="s">
        <v>1292</v>
      </c>
      <c r="E1066" s="95" t="str">
        <f>IFERROR(VLOOKUP(D1066,MANO_DE_OBRA!A:B,2,FALSE()),"?")</f>
        <v>ESPECIALIZADO</v>
      </c>
      <c r="F1066" s="129" t="s">
        <v>2042</v>
      </c>
      <c r="G1066" s="119">
        <v>1</v>
      </c>
      <c r="H1066" s="120">
        <v>0</v>
      </c>
      <c r="I1066" s="96">
        <f>IFERROR(VLOOKUP(D1066,MANO_DE_OBRA!A:C,3,FALSE()),0)</f>
        <v>94177.137883538904</v>
      </c>
      <c r="J1066" s="31">
        <f t="shared" si="409"/>
        <v>94177.137883538904</v>
      </c>
      <c r="K1066" s="32" t="str">
        <f t="shared" ref="K1066:K1069" si="410">A1066&amp;"|"&amp;B1066</f>
        <v>PTO-1104|MO</v>
      </c>
      <c r="L1066" s="32">
        <f>COUNTIFS($K$2:K1066,K1066)</f>
        <v>2</v>
      </c>
      <c r="M1066" s="32" t="str">
        <f t="shared" si="394"/>
        <v>PTO-1104|MO|2</v>
      </c>
      <c r="N1066" s="121">
        <f>IFERROR(VLOOKUP(A1066,PARTIDAS!A:F,6,FALSE()),0)</f>
        <v>13</v>
      </c>
      <c r="O1066" s="123">
        <f t="shared" si="397"/>
        <v>7.6923076923076927E-2</v>
      </c>
      <c r="P1066" s="123">
        <f>+_xlfn.XLOOKUP(A1066,PPTO_GENERADOR!Q:Q,PPTO_GENERADOR!E:E,"-",0)</f>
        <v>63</v>
      </c>
      <c r="Q1066" s="123">
        <f t="shared" si="398"/>
        <v>4.8461538461538467</v>
      </c>
      <c r="R1066" s="125">
        <f>+_xlfn.XLOOKUP(A1066,PPTO_GENERADOR!$Q:$Q,PPTO_GENERADOR!A:A,"-",0)</f>
        <v>11.04</v>
      </c>
    </row>
    <row r="1067" spans="1:18" ht="14.25" customHeight="1" x14ac:dyDescent="0.35">
      <c r="A1067" s="105" t="s">
        <v>197</v>
      </c>
      <c r="B1067" s="105" t="s">
        <v>1983</v>
      </c>
      <c r="C1067" s="105"/>
      <c r="D1067" s="105" t="s">
        <v>1321</v>
      </c>
      <c r="E1067" s="95" t="str">
        <f>IFERROR(VLOOKUP(D1067,EQUIPOS!A:B,2,FALSE()),"?")</f>
        <v>EQUIPO PARA COLOCACION DE CERAMICA</v>
      </c>
      <c r="F1067" s="129"/>
      <c r="G1067" s="119">
        <v>1</v>
      </c>
      <c r="H1067" s="120">
        <v>0</v>
      </c>
      <c r="I1067" s="96">
        <f>IFERROR(VLOOKUP(D1067,EQUIPOS!A:F,6,FALSE()),0)</f>
        <v>2866.2900480747039</v>
      </c>
      <c r="J1067" s="31">
        <f>G1067*I1067</f>
        <v>2866.2900480747039</v>
      </c>
      <c r="K1067" s="32" t="str">
        <f t="shared" si="410"/>
        <v>PTO-1104|EQ</v>
      </c>
      <c r="L1067" s="32">
        <f>COUNTIFS($K$2:K1067,K1067)</f>
        <v>1</v>
      </c>
      <c r="M1067" s="32" t="str">
        <f t="shared" si="394"/>
        <v>PTO-1104|EQ|1</v>
      </c>
      <c r="N1067" s="121">
        <f>IFERROR(VLOOKUP(A1067,PARTIDAS!A:F,6,FALSE()),0)</f>
        <v>13</v>
      </c>
      <c r="O1067" s="123">
        <f t="shared" si="397"/>
        <v>0</v>
      </c>
      <c r="P1067" s="123">
        <f>+_xlfn.XLOOKUP(A1067,PPTO_GENERADOR!Q:Q,PPTO_GENERADOR!E:E,"-",0)</f>
        <v>63</v>
      </c>
      <c r="Q1067" s="123">
        <f t="shared" si="398"/>
        <v>0</v>
      </c>
      <c r="R1067" s="125">
        <f>+_xlfn.XLOOKUP(A1067,PPTO_GENERADOR!$Q:$Q,PPTO_GENERADOR!A:A,"-",0)</f>
        <v>11.04</v>
      </c>
    </row>
    <row r="1068" spans="1:18" ht="14.25" customHeight="1" x14ac:dyDescent="0.35">
      <c r="A1068" s="105" t="s">
        <v>201</v>
      </c>
      <c r="B1068" s="105" t="s">
        <v>1981</v>
      </c>
      <c r="C1068" s="105" t="s">
        <v>1982</v>
      </c>
      <c r="D1068" s="105" t="s">
        <v>540</v>
      </c>
      <c r="E1068" s="95" t="str">
        <f>IFERROR(VLOOKUP(D1068,MATERIALES!A:B,2,FALSE()),"?")</f>
        <v>Cemento Portland x 50kg</v>
      </c>
      <c r="F1068" s="129">
        <f>IFERROR(VLOOKUP(D1068,MATERIALES!A:C,3,FALSE()),"?")</f>
        <v>0</v>
      </c>
      <c r="G1068" s="119">
        <v>0.32400000000000001</v>
      </c>
      <c r="H1068" s="120">
        <v>0.1</v>
      </c>
      <c r="I1068" s="96">
        <f>IFERROR(VLOOKUP(D1068,MATERIALES!A:D,4,FALSE()),0)</f>
        <v>7891.74</v>
      </c>
      <c r="J1068" s="31">
        <f t="shared" ref="J1068:J1069" si="411">G1068*I1068*(1+H1068)</f>
        <v>2812.6161360000006</v>
      </c>
      <c r="K1068" s="32" t="str">
        <f t="shared" si="410"/>
        <v>PTO-1106|MAT</v>
      </c>
      <c r="L1068" s="32">
        <f>COUNTIFS($K$2:K1068,K1068)</f>
        <v>1</v>
      </c>
      <c r="M1068" s="32" t="str">
        <f t="shared" si="394"/>
        <v>PTO-1106|MAT|1</v>
      </c>
      <c r="N1068" s="121">
        <f>IFERROR(VLOOKUP(A1068,PARTIDAS!A:F,6,FALSE()),0)</f>
        <v>11.5</v>
      </c>
      <c r="O1068" s="123">
        <f t="shared" si="397"/>
        <v>0</v>
      </c>
      <c r="P1068" s="123">
        <f>+_xlfn.XLOOKUP(A1068,PPTO_GENERADOR!Q:Q,PPTO_GENERADOR!E:E,"-",0)</f>
        <v>27</v>
      </c>
      <c r="Q1068" s="123">
        <f t="shared" si="398"/>
        <v>0</v>
      </c>
      <c r="R1068" s="125">
        <f>+_xlfn.XLOOKUP(A1068,PPTO_GENERADOR!$Q:$Q,PPTO_GENERADOR!A:A,"-",0)</f>
        <v>11.06</v>
      </c>
    </row>
    <row r="1069" spans="1:18" ht="14.25" customHeight="1" x14ac:dyDescent="0.35">
      <c r="A1069" s="105" t="s">
        <v>201</v>
      </c>
      <c r="B1069" s="105" t="s">
        <v>1981</v>
      </c>
      <c r="C1069" s="105" t="s">
        <v>1982</v>
      </c>
      <c r="D1069" s="105" t="s">
        <v>538</v>
      </c>
      <c r="E1069" s="95" t="str">
        <f>IFERROR(VLOOKUP(D1069,MATERIALES!A:B,2,FALSE()),"?")</f>
        <v>ARENA LAVADA</v>
      </c>
      <c r="F1069" s="129">
        <f>IFERROR(VLOOKUP(D1069,MATERIALES!A:C,3,FALSE()),"?")</f>
        <v>0</v>
      </c>
      <c r="G1069" s="119">
        <v>3.5999999999999997E-2</v>
      </c>
      <c r="H1069" s="120">
        <v>0.1</v>
      </c>
      <c r="I1069" s="96">
        <f>IFERROR(VLOOKUP(D1069,MATERIALES!A:D,4,FALSE()),0)</f>
        <v>32620.38</v>
      </c>
      <c r="J1069" s="31">
        <f t="shared" si="411"/>
        <v>1291.7670480000002</v>
      </c>
      <c r="K1069" s="32" t="str">
        <f t="shared" si="410"/>
        <v>PTO-1106|MAT</v>
      </c>
      <c r="L1069" s="32">
        <f>COUNTIFS($K$2:K1069,K1069)</f>
        <v>2</v>
      </c>
      <c r="M1069" s="32" t="str">
        <f t="shared" si="394"/>
        <v>PTO-1106|MAT|2</v>
      </c>
      <c r="N1069" s="121">
        <f>IFERROR(VLOOKUP(A1069,PARTIDAS!A:F,6,FALSE()),0)</f>
        <v>11.5</v>
      </c>
      <c r="O1069" s="123">
        <f t="shared" si="397"/>
        <v>0</v>
      </c>
      <c r="P1069" s="123">
        <f>+_xlfn.XLOOKUP(A1069,PPTO_GENERADOR!Q:Q,PPTO_GENERADOR!E:E,"-",0)</f>
        <v>27</v>
      </c>
      <c r="Q1069" s="123">
        <f t="shared" si="398"/>
        <v>0</v>
      </c>
      <c r="R1069" s="125">
        <f>+_xlfn.XLOOKUP(A1069,PPTO_GENERADOR!$Q:$Q,PPTO_GENERADOR!A:A,"-",0)</f>
        <v>11.06</v>
      </c>
    </row>
    <row r="1070" spans="1:18" ht="14.25" customHeight="1" x14ac:dyDescent="0.35">
      <c r="A1070" s="105" t="s">
        <v>201</v>
      </c>
      <c r="B1070" s="105" t="s">
        <v>1979</v>
      </c>
      <c r="C1070" s="105" t="s">
        <v>1980</v>
      </c>
      <c r="D1070" s="105" t="s">
        <v>2038</v>
      </c>
      <c r="E1070" s="95" t="str">
        <f>IFERROR(VLOOKUP(D1070,MANO_DE_OBRA!A:B,2,FALSE()),"?")</f>
        <v>AYUDANTE</v>
      </c>
      <c r="F1070" s="129" t="s">
        <v>2042</v>
      </c>
      <c r="G1070" s="119">
        <v>0.5</v>
      </c>
      <c r="H1070" s="120">
        <v>0</v>
      </c>
      <c r="I1070" s="96">
        <f>IFERROR(VLOOKUP(D1070,MANO_DE_OBRA!A:C,3,FALSE()),0)</f>
        <v>67240.498860267602</v>
      </c>
      <c r="J1070" s="31">
        <f t="shared" ref="J1070:J1073" si="412">G1070*I1070</f>
        <v>33620.249430133801</v>
      </c>
      <c r="K1070" s="32" t="str">
        <f t="shared" ref="K1070:K1129" si="413">A1070&amp;"|"&amp;B1070</f>
        <v>PTO-1106|MO</v>
      </c>
      <c r="L1070" s="32">
        <f>COUNTIFS($K$2:K1070,K1070)</f>
        <v>1</v>
      </c>
      <c r="M1070" s="32" t="str">
        <f t="shared" si="394"/>
        <v>PTO-1106|MO|1</v>
      </c>
      <c r="N1070" s="121">
        <f>IFERROR(VLOOKUP(A1070,PARTIDAS!A:F,6,FALSE()),0)</f>
        <v>11.5</v>
      </c>
      <c r="O1070" s="123">
        <f t="shared" si="397"/>
        <v>4.3478260869565216E-2</v>
      </c>
      <c r="P1070" s="123">
        <f>+_xlfn.XLOOKUP(A1070,PPTO_GENERADOR!Q:Q,PPTO_GENERADOR!E:E,"-",0)</f>
        <v>27</v>
      </c>
      <c r="Q1070" s="123">
        <f t="shared" si="398"/>
        <v>1.1739130434782608</v>
      </c>
      <c r="R1070" s="125">
        <f>+_xlfn.XLOOKUP(A1070,PPTO_GENERADOR!$Q:$Q,PPTO_GENERADOR!A:A,"-",0)</f>
        <v>11.06</v>
      </c>
    </row>
    <row r="1071" spans="1:18" ht="14.25" customHeight="1" x14ac:dyDescent="0.35">
      <c r="A1071" s="105" t="s">
        <v>201</v>
      </c>
      <c r="B1071" s="105" t="s">
        <v>1979</v>
      </c>
      <c r="C1071" s="105" t="s">
        <v>1980</v>
      </c>
      <c r="D1071" s="105" t="s">
        <v>1292</v>
      </c>
      <c r="E1071" s="95" t="str">
        <f>IFERROR(VLOOKUP(D1071,MANO_DE_OBRA!A:B,2,FALSE()),"?")</f>
        <v>ESPECIALIZADO</v>
      </c>
      <c r="F1071" s="129" t="s">
        <v>2042</v>
      </c>
      <c r="G1071" s="119">
        <v>1</v>
      </c>
      <c r="H1071" s="120">
        <v>0</v>
      </c>
      <c r="I1071" s="96">
        <f>IFERROR(VLOOKUP(D1071,MANO_DE_OBRA!A:C,3,FALSE()),0)</f>
        <v>94177.137883538904</v>
      </c>
      <c r="J1071" s="31">
        <f t="shared" si="412"/>
        <v>94177.137883538904</v>
      </c>
      <c r="K1071" s="32" t="str">
        <f t="shared" si="413"/>
        <v>PTO-1106|MO</v>
      </c>
      <c r="L1071" s="32">
        <f>COUNTIFS($K$2:K1071,K1071)</f>
        <v>2</v>
      </c>
      <c r="M1071" s="32" t="str">
        <f t="shared" si="394"/>
        <v>PTO-1106|MO|2</v>
      </c>
      <c r="N1071" s="121">
        <f>IFERROR(VLOOKUP(A1071,PARTIDAS!A:F,6,FALSE()),0)</f>
        <v>11.5</v>
      </c>
      <c r="O1071" s="123">
        <f t="shared" si="397"/>
        <v>8.6956521739130432E-2</v>
      </c>
      <c r="P1071" s="123">
        <f>+_xlfn.XLOOKUP(A1071,PPTO_GENERADOR!Q:Q,PPTO_GENERADOR!E:E,"-",0)</f>
        <v>27</v>
      </c>
      <c r="Q1071" s="123">
        <f t="shared" si="398"/>
        <v>2.3478260869565215</v>
      </c>
      <c r="R1071" s="125">
        <f>+_xlfn.XLOOKUP(A1071,PPTO_GENERADOR!$Q:$Q,PPTO_GENERADOR!A:A,"-",0)</f>
        <v>11.06</v>
      </c>
    </row>
    <row r="1072" spans="1:18" ht="14.25" customHeight="1" x14ac:dyDescent="0.35">
      <c r="A1072" s="105" t="s">
        <v>201</v>
      </c>
      <c r="B1072" s="105" t="s">
        <v>1983</v>
      </c>
      <c r="C1072" s="105"/>
      <c r="D1072" s="105" t="s">
        <v>1507</v>
      </c>
      <c r="E1072" s="95" t="str">
        <f>IFERROR(VLOOKUP(D1072,EQUIPOS!A:B,2,FALSE()),"?")</f>
        <v>Hormigonera De 150 Litros 1hp Con Rueda Maciza</v>
      </c>
      <c r="F1072" s="129"/>
      <c r="G1072" s="119">
        <v>1</v>
      </c>
      <c r="H1072" s="120">
        <v>0</v>
      </c>
      <c r="I1072" s="96">
        <f>IFERROR(VLOOKUP(D1072,EQUIPOS!A:F,6,FALSE()),0)</f>
        <v>1040.4314486705237</v>
      </c>
      <c r="J1072" s="31">
        <f t="shared" si="412"/>
        <v>1040.4314486705237</v>
      </c>
      <c r="K1072" s="32" t="str">
        <f t="shared" si="413"/>
        <v>PTO-1106|EQ</v>
      </c>
      <c r="L1072" s="32">
        <f>COUNTIFS($K$2:K1072,K1072)</f>
        <v>1</v>
      </c>
      <c r="M1072" s="32" t="str">
        <f t="shared" si="394"/>
        <v>PTO-1106|EQ|1</v>
      </c>
      <c r="N1072" s="121">
        <f>IFERROR(VLOOKUP(A1072,PARTIDAS!A:F,6,FALSE()),0)</f>
        <v>11.5</v>
      </c>
      <c r="O1072" s="123">
        <f t="shared" si="397"/>
        <v>0</v>
      </c>
      <c r="P1072" s="123">
        <f>+_xlfn.XLOOKUP(A1072,PPTO_GENERADOR!Q:Q,PPTO_GENERADOR!E:E,"-",0)</f>
        <v>27</v>
      </c>
      <c r="Q1072" s="123">
        <f t="shared" si="398"/>
        <v>0</v>
      </c>
      <c r="R1072" s="125">
        <f>+_xlfn.XLOOKUP(A1072,PPTO_GENERADOR!$Q:$Q,PPTO_GENERADOR!A:A,"-",0)</f>
        <v>11.06</v>
      </c>
    </row>
    <row r="1073" spans="1:18" ht="14.25" customHeight="1" x14ac:dyDescent="0.35">
      <c r="A1073" s="105" t="s">
        <v>201</v>
      </c>
      <c r="B1073" s="105" t="s">
        <v>1983</v>
      </c>
      <c r="C1073" s="105"/>
      <c r="D1073" s="105" t="s">
        <v>1319</v>
      </c>
      <c r="E1073" s="95" t="str">
        <f>IFERROR(VLOOKUP(D1073,EQUIPOS!A:B,2,FALSE()),"?")</f>
        <v>EQUIPO DE ALBAÑILERIA, carpetas, ladrillo</v>
      </c>
      <c r="F1073" s="129"/>
      <c r="G1073" s="119">
        <v>1</v>
      </c>
      <c r="H1073" s="120">
        <v>0</v>
      </c>
      <c r="I1073" s="96">
        <f>IFERROR(VLOOKUP(D1073,EQUIPOS!A:F,6,FALSE()),0)</f>
        <v>2485.8709964593982</v>
      </c>
      <c r="J1073" s="31">
        <f t="shared" si="412"/>
        <v>2485.8709964593982</v>
      </c>
      <c r="K1073" s="32" t="str">
        <f t="shared" si="413"/>
        <v>PTO-1106|EQ</v>
      </c>
      <c r="L1073" s="32">
        <f>COUNTIFS($K$2:K1073,K1073)</f>
        <v>2</v>
      </c>
      <c r="M1073" s="32" t="str">
        <f t="shared" si="394"/>
        <v>PTO-1106|EQ|2</v>
      </c>
      <c r="N1073" s="121">
        <f>IFERROR(VLOOKUP(A1073,PARTIDAS!A:F,6,FALSE()),0)</f>
        <v>11.5</v>
      </c>
      <c r="O1073" s="123">
        <f t="shared" si="397"/>
        <v>0</v>
      </c>
      <c r="P1073" s="123">
        <f>+_xlfn.XLOOKUP(A1073,PPTO_GENERADOR!Q:Q,PPTO_GENERADOR!E:E,"-",0)</f>
        <v>27</v>
      </c>
      <c r="Q1073" s="123">
        <f t="shared" si="398"/>
        <v>0</v>
      </c>
      <c r="R1073" s="125">
        <f>+_xlfn.XLOOKUP(A1073,PPTO_GENERADOR!$Q:$Q,PPTO_GENERADOR!A:A,"-",0)</f>
        <v>11.06</v>
      </c>
    </row>
    <row r="1074" spans="1:18" ht="14.25" customHeight="1" x14ac:dyDescent="0.35">
      <c r="A1074" s="105" t="s">
        <v>204</v>
      </c>
      <c r="B1074" s="105" t="s">
        <v>1981</v>
      </c>
      <c r="C1074" s="105" t="s">
        <v>1982</v>
      </c>
      <c r="D1074" s="105" t="s">
        <v>1017</v>
      </c>
      <c r="E1074" s="95" t="str">
        <f>IFERROR(VLOOKUP(D1074,MATERIALES!A:B,2,FALSE()),"?")</f>
        <v>Adhesivo Klaukol Porcellanato Fluido x 30Kg</v>
      </c>
      <c r="F1074" s="129" t="str">
        <f>IFERROR(VLOOKUP(D1074,MATERIALES!A:C,3,FALSE()),"?")</f>
        <v>bol</v>
      </c>
      <c r="G1074" s="119">
        <v>0.2</v>
      </c>
      <c r="H1074" s="120">
        <v>0.2</v>
      </c>
      <c r="I1074" s="96">
        <f>IFERROR(VLOOKUP(D1074,MATERIALES!A:D,4,FALSE()),0)</f>
        <v>17106.768</v>
      </c>
      <c r="J1074" s="31">
        <f t="shared" ref="J1074:J1077" si="414">G1074*I1074*(1+H1074)</f>
        <v>4105.6243199999999</v>
      </c>
      <c r="K1074" s="32" t="str">
        <f t="shared" si="413"/>
        <v>PTO-1107|MAT</v>
      </c>
      <c r="L1074" s="32">
        <f>COUNTIFS($K$2:K1074,K1074)</f>
        <v>1</v>
      </c>
      <c r="M1074" s="32" t="str">
        <f t="shared" si="394"/>
        <v>PTO-1107|MAT|1</v>
      </c>
      <c r="N1074" s="121">
        <f>IFERROR(VLOOKUP(A1074,PARTIDAS!A:F,6,FALSE()),0)</f>
        <v>13</v>
      </c>
      <c r="O1074" s="123">
        <f t="shared" si="397"/>
        <v>0</v>
      </c>
      <c r="P1074" s="123">
        <f>+_xlfn.XLOOKUP(A1074,PPTO_GENERADOR!Q:Q,PPTO_GENERADOR!E:E,"-",0)</f>
        <v>180</v>
      </c>
      <c r="Q1074" s="123">
        <f t="shared" si="398"/>
        <v>0</v>
      </c>
      <c r="R1074" s="125">
        <f>+_xlfn.XLOOKUP(A1074,PPTO_GENERADOR!$Q:$Q,PPTO_GENERADOR!A:A,"-",0)</f>
        <v>11.07</v>
      </c>
    </row>
    <row r="1075" spans="1:18" ht="14.25" customHeight="1" x14ac:dyDescent="0.35">
      <c r="A1075" s="105" t="s">
        <v>204</v>
      </c>
      <c r="B1075" s="105" t="s">
        <v>1981</v>
      </c>
      <c r="C1075" s="105" t="s">
        <v>1982</v>
      </c>
      <c r="D1075" s="105" t="s">
        <v>1023</v>
      </c>
      <c r="E1075" s="95" t="str">
        <f>IFERROR(VLOOKUP(D1075,MATERIALES!A:B,2,FALSE()),"?")</f>
        <v>Disco Diamantado Aliafor Turbo Fino TRF</v>
      </c>
      <c r="F1075" s="129" t="str">
        <f>IFERROR(VLOOKUP(D1075,MATERIALES!A:C,3,FALSE()),"?")</f>
        <v>u</v>
      </c>
      <c r="G1075" s="119">
        <v>4.0000000000000001E-3</v>
      </c>
      <c r="H1075" s="120">
        <v>0.05</v>
      </c>
      <c r="I1075" s="96">
        <f>IFERROR(VLOOKUP(D1075,MATERIALES!A:D,4,FALSE()),0)</f>
        <v>11376</v>
      </c>
      <c r="J1075" s="31">
        <f t="shared" si="414"/>
        <v>47.779200000000003</v>
      </c>
      <c r="K1075" s="32" t="str">
        <f t="shared" si="413"/>
        <v>PTO-1107|MAT</v>
      </c>
      <c r="L1075" s="32">
        <f>COUNTIFS($K$2:K1075,K1075)</f>
        <v>2</v>
      </c>
      <c r="M1075" s="32" t="str">
        <f t="shared" si="394"/>
        <v>PTO-1107|MAT|2</v>
      </c>
      <c r="N1075" s="121">
        <f>IFERROR(VLOOKUP(A1075,PARTIDAS!A:F,6,FALSE()),0)</f>
        <v>13</v>
      </c>
      <c r="O1075" s="123">
        <f t="shared" si="397"/>
        <v>0</v>
      </c>
      <c r="P1075" s="123">
        <f>+_xlfn.XLOOKUP(A1075,PPTO_GENERADOR!Q:Q,PPTO_GENERADOR!E:E,"-",0)</f>
        <v>180</v>
      </c>
      <c r="Q1075" s="123">
        <f t="shared" si="398"/>
        <v>0</v>
      </c>
      <c r="R1075" s="125">
        <f>+_xlfn.XLOOKUP(A1075,PPTO_GENERADOR!$Q:$Q,PPTO_GENERADOR!A:A,"-",0)</f>
        <v>11.07</v>
      </c>
    </row>
    <row r="1076" spans="1:18" ht="14.25" customHeight="1" x14ac:dyDescent="0.35">
      <c r="A1076" s="105" t="s">
        <v>204</v>
      </c>
      <c r="B1076" s="105" t="s">
        <v>1981</v>
      </c>
      <c r="C1076" s="105" t="s">
        <v>1982</v>
      </c>
      <c r="D1076" s="105" t="s">
        <v>1025</v>
      </c>
      <c r="E1076" s="95" t="str">
        <f>IFERROR(VLOOKUP(D1076,MATERIALES!A:B,2,FALSE()),"?")</f>
        <v>Arco y cuña niveladores porcelanatos x 150un</v>
      </c>
      <c r="F1076" s="129" t="str">
        <f>IFERROR(VLOOKUP(D1076,MATERIALES!A:C,3,FALSE()),"?")</f>
        <v>bol</v>
      </c>
      <c r="G1076" s="119">
        <v>0.04</v>
      </c>
      <c r="H1076" s="120">
        <v>0.05</v>
      </c>
      <c r="I1076" s="96">
        <f>IFERROR(VLOOKUP(D1076,MATERIALES!A:D,4,FALSE()),0)</f>
        <v>47272.727272727301</v>
      </c>
      <c r="J1076" s="31">
        <f t="shared" si="414"/>
        <v>1985.4545454545469</v>
      </c>
      <c r="K1076" s="32" t="str">
        <f t="shared" si="413"/>
        <v>PTO-1107|MAT</v>
      </c>
      <c r="L1076" s="32">
        <f>COUNTIFS($K$2:K1076,K1076)</f>
        <v>3</v>
      </c>
      <c r="M1076" s="32" t="str">
        <f t="shared" si="394"/>
        <v>PTO-1107|MAT|3</v>
      </c>
      <c r="N1076" s="121">
        <f>IFERROR(VLOOKUP(A1076,PARTIDAS!A:F,6,FALSE()),0)</f>
        <v>13</v>
      </c>
      <c r="O1076" s="123">
        <f t="shared" si="397"/>
        <v>0</v>
      </c>
      <c r="P1076" s="123">
        <f>+_xlfn.XLOOKUP(A1076,PPTO_GENERADOR!Q:Q,PPTO_GENERADOR!E:E,"-",0)</f>
        <v>180</v>
      </c>
      <c r="Q1076" s="123">
        <f t="shared" si="398"/>
        <v>0</v>
      </c>
      <c r="R1076" s="125">
        <f>+_xlfn.XLOOKUP(A1076,PPTO_GENERADOR!$Q:$Q,PPTO_GENERADOR!A:A,"-",0)</f>
        <v>11.07</v>
      </c>
    </row>
    <row r="1077" spans="1:18" ht="14.25" customHeight="1" x14ac:dyDescent="0.35">
      <c r="A1077" s="105" t="s">
        <v>204</v>
      </c>
      <c r="B1077" s="105" t="s">
        <v>1981</v>
      </c>
      <c r="C1077" s="105" t="s">
        <v>1982</v>
      </c>
      <c r="D1077" s="105" t="s">
        <v>586</v>
      </c>
      <c r="E1077" s="95" t="str">
        <f>IFERROR(VLOOKUP(D1077,MATERIALES!A:B,2,FALSE()),"?")</f>
        <v>Trapo</v>
      </c>
      <c r="F1077" s="129">
        <f>IFERROR(VLOOKUP(D1077,MATERIALES!A:C,3,FALSE()),"?")</f>
        <v>0</v>
      </c>
      <c r="G1077" s="119">
        <v>0.01</v>
      </c>
      <c r="H1077" s="120">
        <v>0.03</v>
      </c>
      <c r="I1077" s="96">
        <f>IFERROR(VLOOKUP(D1077,MATERIALES!A:D,4,FALSE()),0)</f>
        <v>1182.6446280991699</v>
      </c>
      <c r="J1077" s="31">
        <f t="shared" si="414"/>
        <v>12.181239669421451</v>
      </c>
      <c r="K1077" s="32" t="str">
        <f t="shared" si="413"/>
        <v>PTO-1107|MAT</v>
      </c>
      <c r="L1077" s="32">
        <f>COUNTIFS($K$2:K1077,K1077)</f>
        <v>4</v>
      </c>
      <c r="M1077" s="32" t="str">
        <f t="shared" si="394"/>
        <v>PTO-1107|MAT|4</v>
      </c>
      <c r="N1077" s="121">
        <f>IFERROR(VLOOKUP(A1077,PARTIDAS!A:F,6,FALSE()),0)</f>
        <v>13</v>
      </c>
      <c r="O1077" s="123">
        <f t="shared" si="397"/>
        <v>0</v>
      </c>
      <c r="P1077" s="123">
        <f>+_xlfn.XLOOKUP(A1077,PPTO_GENERADOR!Q:Q,PPTO_GENERADOR!E:E,"-",0)</f>
        <v>180</v>
      </c>
      <c r="Q1077" s="123">
        <f t="shared" si="398"/>
        <v>0</v>
      </c>
      <c r="R1077" s="125">
        <f>+_xlfn.XLOOKUP(A1077,PPTO_GENERADOR!$Q:$Q,PPTO_GENERADOR!A:A,"-",0)</f>
        <v>11.07</v>
      </c>
    </row>
    <row r="1078" spans="1:18" ht="14.25" customHeight="1" x14ac:dyDescent="0.35">
      <c r="A1078" s="105" t="s">
        <v>204</v>
      </c>
      <c r="B1078" s="105" t="s">
        <v>1979</v>
      </c>
      <c r="C1078" s="105" t="s">
        <v>1980</v>
      </c>
      <c r="D1078" s="105" t="s">
        <v>1288</v>
      </c>
      <c r="E1078" s="95" t="str">
        <f>IFERROR(VLOOKUP(D1078,MANO_DE_OBRA!A:B,2,FALSE()),"?")</f>
        <v>MEDIO OFICIAL</v>
      </c>
      <c r="F1078" s="129" t="s">
        <v>2042</v>
      </c>
      <c r="G1078" s="119">
        <v>1</v>
      </c>
      <c r="H1078" s="120">
        <v>0</v>
      </c>
      <c r="I1078" s="96">
        <f>IFERROR(VLOOKUP(D1078,MANO_DE_OBRA!A:C,3,FALSE()),0)</f>
        <v>72132.138365590101</v>
      </c>
      <c r="J1078" s="31">
        <f t="shared" ref="J1078:J1079" si="415">G1078*I1078</f>
        <v>72132.138365590101</v>
      </c>
      <c r="K1078" s="32" t="str">
        <f t="shared" si="413"/>
        <v>PTO-1107|MO</v>
      </c>
      <c r="L1078" s="32">
        <f>COUNTIFS($K$2:K1078,K1078)</f>
        <v>1</v>
      </c>
      <c r="M1078" s="32" t="str">
        <f t="shared" si="394"/>
        <v>PTO-1107|MO|1</v>
      </c>
      <c r="N1078" s="121">
        <f>IFERROR(VLOOKUP(A1078,PARTIDAS!A:F,6,FALSE()),0)</f>
        <v>13</v>
      </c>
      <c r="O1078" s="123">
        <f t="shared" si="397"/>
        <v>7.6923076923076927E-2</v>
      </c>
      <c r="P1078" s="123">
        <f>+_xlfn.XLOOKUP(A1078,PPTO_GENERADOR!Q:Q,PPTO_GENERADOR!E:E,"-",0)</f>
        <v>180</v>
      </c>
      <c r="Q1078" s="123">
        <f t="shared" si="398"/>
        <v>13.846153846153847</v>
      </c>
      <c r="R1078" s="125">
        <f>+_xlfn.XLOOKUP(A1078,PPTO_GENERADOR!$Q:$Q,PPTO_GENERADOR!A:A,"-",0)</f>
        <v>11.07</v>
      </c>
    </row>
    <row r="1079" spans="1:18" ht="14.25" customHeight="1" x14ac:dyDescent="0.35">
      <c r="A1079" s="105" t="s">
        <v>204</v>
      </c>
      <c r="B1079" s="105" t="s">
        <v>1979</v>
      </c>
      <c r="C1079" s="105" t="s">
        <v>1980</v>
      </c>
      <c r="D1079" s="105" t="s">
        <v>1292</v>
      </c>
      <c r="E1079" s="95" t="str">
        <f>IFERROR(VLOOKUP(D1079,MANO_DE_OBRA!A:B,2,FALSE()),"?")</f>
        <v>ESPECIALIZADO</v>
      </c>
      <c r="F1079" s="129" t="s">
        <v>2042</v>
      </c>
      <c r="G1079" s="119">
        <v>1</v>
      </c>
      <c r="H1079" s="120">
        <v>0</v>
      </c>
      <c r="I1079" s="96">
        <f>IFERROR(VLOOKUP(D1079,MANO_DE_OBRA!A:C,3,FALSE()),0)</f>
        <v>94177.137883538904</v>
      </c>
      <c r="J1079" s="31">
        <f t="shared" si="415"/>
        <v>94177.137883538904</v>
      </c>
      <c r="K1079" s="32" t="str">
        <f t="shared" si="413"/>
        <v>PTO-1107|MO</v>
      </c>
      <c r="L1079" s="32">
        <f>COUNTIFS($K$2:K1079,K1079)</f>
        <v>2</v>
      </c>
      <c r="M1079" s="32" t="str">
        <f t="shared" si="394"/>
        <v>PTO-1107|MO|2</v>
      </c>
      <c r="N1079" s="121">
        <f>IFERROR(VLOOKUP(A1079,PARTIDAS!A:F,6,FALSE()),0)</f>
        <v>13</v>
      </c>
      <c r="O1079" s="123">
        <f t="shared" si="397"/>
        <v>7.6923076923076927E-2</v>
      </c>
      <c r="P1079" s="123">
        <f>+_xlfn.XLOOKUP(A1079,PPTO_GENERADOR!Q:Q,PPTO_GENERADOR!E:E,"-",0)</f>
        <v>180</v>
      </c>
      <c r="Q1079" s="123">
        <f t="shared" si="398"/>
        <v>13.846153846153847</v>
      </c>
      <c r="R1079" s="125">
        <f>+_xlfn.XLOOKUP(A1079,PPTO_GENERADOR!$Q:$Q,PPTO_GENERADOR!A:A,"-",0)</f>
        <v>11.07</v>
      </c>
    </row>
    <row r="1080" spans="1:18" ht="14.25" customHeight="1" x14ac:dyDescent="0.35">
      <c r="A1080" s="105" t="s">
        <v>204</v>
      </c>
      <c r="B1080" s="105" t="s">
        <v>1983</v>
      </c>
      <c r="C1080" s="105"/>
      <c r="D1080" s="105" t="s">
        <v>1321</v>
      </c>
      <c r="E1080" s="95" t="str">
        <f>IFERROR(VLOOKUP(D1080,EQUIPOS!A:B,2,FALSE()),"?")</f>
        <v>EQUIPO PARA COLOCACION DE CERAMICA</v>
      </c>
      <c r="F1080" s="129"/>
      <c r="G1080" s="119">
        <v>1</v>
      </c>
      <c r="H1080" s="120">
        <v>0</v>
      </c>
      <c r="I1080" s="96">
        <f>IFERROR(VLOOKUP(D1080,EQUIPOS!A:F,6,FALSE()),0)</f>
        <v>2866.2900480747039</v>
      </c>
      <c r="J1080" s="31">
        <f>G1080*I1080</f>
        <v>2866.2900480747039</v>
      </c>
      <c r="K1080" s="32" t="str">
        <f t="shared" si="413"/>
        <v>PTO-1107|EQ</v>
      </c>
      <c r="L1080" s="32">
        <f>COUNTIFS($K$2:K1080,K1080)</f>
        <v>1</v>
      </c>
      <c r="M1080" s="32" t="str">
        <f t="shared" si="394"/>
        <v>PTO-1107|EQ|1</v>
      </c>
      <c r="N1080" s="121">
        <f>IFERROR(VLOOKUP(A1080,PARTIDAS!A:F,6,FALSE()),0)</f>
        <v>13</v>
      </c>
      <c r="O1080" s="123">
        <f t="shared" si="397"/>
        <v>0</v>
      </c>
      <c r="P1080" s="123">
        <f>+_xlfn.XLOOKUP(A1080,PPTO_GENERADOR!Q:Q,PPTO_GENERADOR!E:E,"-",0)</f>
        <v>180</v>
      </c>
      <c r="Q1080" s="123">
        <f t="shared" si="398"/>
        <v>0</v>
      </c>
      <c r="R1080" s="125">
        <f>+_xlfn.XLOOKUP(A1080,PPTO_GENERADOR!$Q:$Q,PPTO_GENERADOR!A:A,"-",0)</f>
        <v>11.07</v>
      </c>
    </row>
    <row r="1081" spans="1:18" ht="14.25" customHeight="1" x14ac:dyDescent="0.35">
      <c r="A1081" s="105" t="s">
        <v>206</v>
      </c>
      <c r="B1081" s="105" t="s">
        <v>1981</v>
      </c>
      <c r="C1081" s="105" t="s">
        <v>1982</v>
      </c>
      <c r="D1081" s="105" t="s">
        <v>770</v>
      </c>
      <c r="E1081" s="95" t="str">
        <f>IFERROR(VLOOKUP(D1081,MATERIALES!A:B,2,FALSE()),"?")</f>
        <v>Zócalo Contramarco Curvo Atenneas 7.5cm x 15mm MDF Prepintado Blanco 2.75m</v>
      </c>
      <c r="F1081" s="129" t="str">
        <f>IFERROR(VLOOKUP(D1081,MATERIALES!A:C,3,FALSE()),"?")</f>
        <v>u</v>
      </c>
      <c r="G1081" s="119">
        <v>0.40025300000000003</v>
      </c>
      <c r="H1081" s="120">
        <v>0</v>
      </c>
      <c r="I1081" s="96">
        <f>IFERROR(VLOOKUP(D1081,MATERIALES!A:D,4,FALSE()),0)</f>
        <v>4640.4958677686</v>
      </c>
      <c r="J1081" s="31">
        <f t="shared" ref="J1081:J1082" si="416">G1081*I1081*(1+H1081)</f>
        <v>1857.3723925619856</v>
      </c>
      <c r="K1081" s="32" t="str">
        <f t="shared" si="413"/>
        <v>PTO-1201|MAT</v>
      </c>
      <c r="L1081" s="32">
        <f>COUNTIFS($K$2:K1081,K1081)</f>
        <v>1</v>
      </c>
      <c r="M1081" s="32" t="str">
        <f t="shared" si="394"/>
        <v>PTO-1201|MAT|1</v>
      </c>
      <c r="N1081" s="121">
        <f>IFERROR(VLOOKUP(A1081,PARTIDAS!A:F,6,FALSE()),0)</f>
        <v>1</v>
      </c>
      <c r="O1081" s="123">
        <f t="shared" si="397"/>
        <v>0</v>
      </c>
      <c r="P1081" s="123">
        <f>+_xlfn.XLOOKUP(A1081,PPTO_GENERADOR!Q:Q,PPTO_GENERADOR!E:E,"-",0)</f>
        <v>792</v>
      </c>
      <c r="Q1081" s="123">
        <f t="shared" si="398"/>
        <v>0</v>
      </c>
      <c r="R1081" s="125">
        <f>+_xlfn.XLOOKUP(A1081,PPTO_GENERADOR!$Q:$Q,PPTO_GENERADOR!A:A,"-",0)</f>
        <v>12.01</v>
      </c>
    </row>
    <row r="1082" spans="1:18" ht="14.25" customHeight="1" x14ac:dyDescent="0.35">
      <c r="A1082" s="105" t="s">
        <v>206</v>
      </c>
      <c r="B1082" s="105" t="s">
        <v>1981</v>
      </c>
      <c r="C1082" s="105" t="s">
        <v>1982</v>
      </c>
      <c r="D1082" s="105" t="s">
        <v>736</v>
      </c>
      <c r="E1082" s="95" t="str">
        <f>IFERROR(VLOOKUP(D1082,MATERIALES!A:B,2,FALSE()),"?")</f>
        <v>Sikaflex®-1A  Sellador Poliuretano Color Gris 300ml</v>
      </c>
      <c r="F1082" s="129" t="str">
        <f>IFERROR(VLOOKUP(D1082,MATERIALES!A:C,3,FALSE()),"?")</f>
        <v>u</v>
      </c>
      <c r="G1082" s="119">
        <v>0.10101</v>
      </c>
      <c r="H1082" s="120">
        <v>0</v>
      </c>
      <c r="I1082" s="96">
        <f>IFERROR(VLOOKUP(D1082,MATERIALES!A:D,4,FALSE()),0)</f>
        <v>24676.900826446301</v>
      </c>
      <c r="J1082" s="31">
        <f t="shared" si="416"/>
        <v>2492.6137524793407</v>
      </c>
      <c r="K1082" s="32" t="str">
        <f t="shared" si="413"/>
        <v>PTO-1201|MAT</v>
      </c>
      <c r="L1082" s="32">
        <f>COUNTIFS($K$2:K1082,K1082)</f>
        <v>2</v>
      </c>
      <c r="M1082" s="32" t="str">
        <f t="shared" ref="M1082" si="417">K1082&amp;"|"&amp;L1082</f>
        <v>PTO-1201|MAT|2</v>
      </c>
      <c r="N1082" s="121">
        <f>IFERROR(VLOOKUP(A1082,PARTIDAS!A:F,6,FALSE()),0)</f>
        <v>1</v>
      </c>
      <c r="O1082" s="123">
        <f t="shared" si="397"/>
        <v>0</v>
      </c>
      <c r="P1082" s="123">
        <f>+_xlfn.XLOOKUP(A1082,PPTO_GENERADOR!Q:Q,PPTO_GENERADOR!E:E,"-",0)</f>
        <v>792</v>
      </c>
      <c r="Q1082" s="123">
        <f t="shared" si="398"/>
        <v>0</v>
      </c>
      <c r="R1082" s="125">
        <f>+_xlfn.XLOOKUP(A1082,PPTO_GENERADOR!$Q:$Q,PPTO_GENERADOR!A:A,"-",0)</f>
        <v>12.01</v>
      </c>
    </row>
    <row r="1083" spans="1:18" ht="14.25" customHeight="1" x14ac:dyDescent="0.35">
      <c r="A1083" s="105" t="s">
        <v>206</v>
      </c>
      <c r="B1083" s="105" t="s">
        <v>1979</v>
      </c>
      <c r="C1083" s="105" t="s">
        <v>1980</v>
      </c>
      <c r="D1083" s="105" t="s">
        <v>1290</v>
      </c>
      <c r="E1083" s="95" t="str">
        <f>IFERROR(VLOOKUP(D1083,MANO_DE_OBRA!A:B,2,FALSE()),"?")</f>
        <v>OFICIAL</v>
      </c>
      <c r="F1083" s="129" t="s">
        <v>2042</v>
      </c>
      <c r="G1083" s="119">
        <v>5.0505000000000001E-2</v>
      </c>
      <c r="H1083" s="120">
        <v>0</v>
      </c>
      <c r="I1083" s="96">
        <f>IFERROR(VLOOKUP(D1083,MANO_DE_OBRA!A:C,3,FALSE()),0)</f>
        <v>84612.512709566407</v>
      </c>
      <c r="J1083" s="31">
        <f t="shared" ref="J1083:J1084" si="418">G1083*I1083</f>
        <v>4273.3549543966519</v>
      </c>
      <c r="K1083" s="32" t="str">
        <f t="shared" si="413"/>
        <v>PTO-1201|MO</v>
      </c>
      <c r="L1083" s="32">
        <f>COUNTIFS($K$2:K1083,K1083)</f>
        <v>1</v>
      </c>
      <c r="M1083" s="32" t="str">
        <f t="shared" ref="M1083:M1145" si="419">K1083&amp;"|"&amp;L1083</f>
        <v>PTO-1201|MO|1</v>
      </c>
      <c r="N1083" s="121">
        <f>IFERROR(VLOOKUP(A1083,PARTIDAS!A:F,6,FALSE()),0)</f>
        <v>1</v>
      </c>
      <c r="O1083" s="123">
        <f t="shared" si="397"/>
        <v>5.0505000000000001E-2</v>
      </c>
      <c r="P1083" s="123">
        <f>+_xlfn.XLOOKUP(A1083,PPTO_GENERADOR!Q:Q,PPTO_GENERADOR!E:E,"-",0)</f>
        <v>792</v>
      </c>
      <c r="Q1083" s="123">
        <f t="shared" si="398"/>
        <v>39.999960000000002</v>
      </c>
      <c r="R1083" s="125">
        <f>+_xlfn.XLOOKUP(A1083,PPTO_GENERADOR!$Q:$Q,PPTO_GENERADOR!A:A,"-",0)</f>
        <v>12.01</v>
      </c>
    </row>
    <row r="1084" spans="1:18" ht="14.25" customHeight="1" x14ac:dyDescent="0.35">
      <c r="A1084" s="105" t="s">
        <v>206</v>
      </c>
      <c r="B1084" s="105" t="s">
        <v>1979</v>
      </c>
      <c r="C1084" s="105" t="s">
        <v>1980</v>
      </c>
      <c r="D1084" s="105" t="s">
        <v>2038</v>
      </c>
      <c r="E1084" s="95" t="str">
        <f>IFERROR(VLOOKUP(D1084,MANO_DE_OBRA!A:B,2,FALSE()),"?")</f>
        <v>AYUDANTE</v>
      </c>
      <c r="F1084" s="129" t="s">
        <v>2042</v>
      </c>
      <c r="G1084" s="119">
        <v>1.2626E-2</v>
      </c>
      <c r="H1084" s="120">
        <v>0</v>
      </c>
      <c r="I1084" s="96">
        <f>IFERROR(VLOOKUP(D1084,MANO_DE_OBRA!A:C,3,FALSE()),0)</f>
        <v>67240.498860267602</v>
      </c>
      <c r="J1084" s="31">
        <f t="shared" si="418"/>
        <v>848.97853860973873</v>
      </c>
      <c r="K1084" s="32" t="str">
        <f t="shared" si="413"/>
        <v>PTO-1201|MO</v>
      </c>
      <c r="L1084" s="32">
        <f>COUNTIFS($K$2:K1084,K1084)</f>
        <v>2</v>
      </c>
      <c r="M1084" s="32" t="str">
        <f t="shared" si="419"/>
        <v>PTO-1201|MO|2</v>
      </c>
      <c r="N1084" s="121">
        <f>IFERROR(VLOOKUP(A1084,PARTIDAS!A:F,6,FALSE()),0)</f>
        <v>1</v>
      </c>
      <c r="O1084" s="123">
        <f t="shared" si="397"/>
        <v>1.2626E-2</v>
      </c>
      <c r="P1084" s="123">
        <f>+_xlfn.XLOOKUP(A1084,PPTO_GENERADOR!Q:Q,PPTO_GENERADOR!E:E,"-",0)</f>
        <v>792</v>
      </c>
      <c r="Q1084" s="123">
        <f t="shared" si="398"/>
        <v>9.9997919999999993</v>
      </c>
      <c r="R1084" s="125">
        <f>+_xlfn.XLOOKUP(A1084,PPTO_GENERADOR!$Q:$Q,PPTO_GENERADOR!A:A,"-",0)</f>
        <v>12.01</v>
      </c>
    </row>
    <row r="1085" spans="1:18" ht="14.25" customHeight="1" x14ac:dyDescent="0.35">
      <c r="A1085" s="105" t="s">
        <v>206</v>
      </c>
      <c r="B1085" s="105" t="s">
        <v>1983</v>
      </c>
      <c r="C1085" s="105"/>
      <c r="D1085" s="105" t="s">
        <v>1407</v>
      </c>
      <c r="E1085" s="95" t="str">
        <f>IFERROR(VLOOKUP(D1085,EQUIPOS!A:B,2,FALSE()),"?")</f>
        <v>Herramientas — Provisión y colocación de zocalos de Mad</v>
      </c>
      <c r="F1085" s="129"/>
      <c r="G1085" s="119">
        <v>1</v>
      </c>
      <c r="H1085" s="120">
        <v>0</v>
      </c>
      <c r="I1085" s="96">
        <f>IFERROR(VLOOKUP(D1085,EQUIPOS!A:F,6,FALSE()),0)</f>
        <v>142.08512790120599</v>
      </c>
      <c r="J1085" s="31">
        <f>G1085*I1085</f>
        <v>142.08512790120599</v>
      </c>
      <c r="K1085" s="32" t="str">
        <f t="shared" si="413"/>
        <v>PTO-1201|EQ</v>
      </c>
      <c r="L1085" s="32">
        <f>COUNTIFS($K$2:K1085,K1085)</f>
        <v>1</v>
      </c>
      <c r="M1085" s="32" t="str">
        <f t="shared" si="419"/>
        <v>PTO-1201|EQ|1</v>
      </c>
      <c r="N1085" s="121">
        <f>IFERROR(VLOOKUP(A1085,PARTIDAS!A:F,6,FALSE()),0)</f>
        <v>1</v>
      </c>
      <c r="O1085" s="123">
        <f t="shared" si="397"/>
        <v>0</v>
      </c>
      <c r="P1085" s="123">
        <f>+_xlfn.XLOOKUP(A1085,PPTO_GENERADOR!Q:Q,PPTO_GENERADOR!E:E,"-",0)</f>
        <v>792</v>
      </c>
      <c r="Q1085" s="123">
        <f t="shared" si="398"/>
        <v>0</v>
      </c>
      <c r="R1085" s="125">
        <f>+_xlfn.XLOOKUP(A1085,PPTO_GENERADOR!$Q:$Q,PPTO_GENERADOR!A:A,"-",0)</f>
        <v>12.01</v>
      </c>
    </row>
    <row r="1086" spans="1:18" ht="14.25" customHeight="1" x14ac:dyDescent="0.35">
      <c r="A1086" s="105" t="s">
        <v>208</v>
      </c>
      <c r="B1086" s="105" t="s">
        <v>1981</v>
      </c>
      <c r="C1086" s="105" t="s">
        <v>1982</v>
      </c>
      <c r="D1086" s="105" t="s">
        <v>1017</v>
      </c>
      <c r="E1086" s="95" t="str">
        <f>IFERROR(VLOOKUP(D1086,MATERIALES!A:B,2,FALSE()),"?")</f>
        <v>Adhesivo Klaukol Porcellanato Fluido x 30Kg</v>
      </c>
      <c r="F1086" s="129" t="str">
        <f>IFERROR(VLOOKUP(D1086,MATERIALES!A:C,3,FALSE()),"?")</f>
        <v>bol</v>
      </c>
      <c r="G1086" s="119">
        <v>0.04</v>
      </c>
      <c r="H1086" s="120">
        <v>0.2</v>
      </c>
      <c r="I1086" s="96">
        <f>IFERROR(VLOOKUP(D1086,MATERIALES!A:D,4,FALSE()),0)</f>
        <v>17106.768</v>
      </c>
      <c r="J1086" s="31">
        <f t="shared" ref="J1086:J1089" si="420">G1086*I1086*(1+H1086)</f>
        <v>821.124864</v>
      </c>
      <c r="K1086" s="32" t="str">
        <f t="shared" si="413"/>
        <v>PTO-1202|MAT</v>
      </c>
      <c r="L1086" s="32">
        <f>COUNTIFS($K$2:K1086,K1086)</f>
        <v>1</v>
      </c>
      <c r="M1086" s="32" t="str">
        <f t="shared" si="419"/>
        <v>PTO-1202|MAT|1</v>
      </c>
      <c r="N1086" s="121">
        <f>IFERROR(VLOOKUP(A1086,PARTIDAS!A:F,6,FALSE()),0)</f>
        <v>30</v>
      </c>
      <c r="O1086" s="123">
        <f t="shared" si="397"/>
        <v>0</v>
      </c>
      <c r="P1086" s="123">
        <f>+_xlfn.XLOOKUP(A1086,PPTO_GENERADOR!Q:Q,PPTO_GENERADOR!E:E,"-",0)</f>
        <v>282</v>
      </c>
      <c r="Q1086" s="123">
        <f t="shared" si="398"/>
        <v>0</v>
      </c>
      <c r="R1086" s="125">
        <f>+_xlfn.XLOOKUP(A1086,PPTO_GENERADOR!$Q:$Q,PPTO_GENERADOR!A:A,"-",0)</f>
        <v>12.02</v>
      </c>
    </row>
    <row r="1087" spans="1:18" ht="14.25" customHeight="1" x14ac:dyDescent="0.35">
      <c r="A1087" s="105" t="s">
        <v>208</v>
      </c>
      <c r="B1087" s="105" t="s">
        <v>1981</v>
      </c>
      <c r="C1087" s="105" t="s">
        <v>1982</v>
      </c>
      <c r="D1087" s="105" t="s">
        <v>1023</v>
      </c>
      <c r="E1087" s="95" t="str">
        <f>IFERROR(VLOOKUP(D1087,MATERIALES!A:B,2,FALSE()),"?")</f>
        <v>Disco Diamantado Aliafor Turbo Fino TRF</v>
      </c>
      <c r="F1087" s="129" t="str">
        <f>IFERROR(VLOOKUP(D1087,MATERIALES!A:C,3,FALSE()),"?")</f>
        <v>u</v>
      </c>
      <c r="G1087" s="119">
        <v>1E-3</v>
      </c>
      <c r="H1087" s="120">
        <v>0.05</v>
      </c>
      <c r="I1087" s="96">
        <f>IFERROR(VLOOKUP(D1087,MATERIALES!A:D,4,FALSE()),0)</f>
        <v>11376</v>
      </c>
      <c r="J1087" s="31">
        <f t="shared" si="420"/>
        <v>11.944800000000001</v>
      </c>
      <c r="K1087" s="32" t="str">
        <f t="shared" si="413"/>
        <v>PTO-1202|MAT</v>
      </c>
      <c r="L1087" s="32">
        <f>COUNTIFS($K$2:K1087,K1087)</f>
        <v>2</v>
      </c>
      <c r="M1087" s="32" t="str">
        <f t="shared" si="419"/>
        <v>PTO-1202|MAT|2</v>
      </c>
      <c r="N1087" s="121">
        <f>IFERROR(VLOOKUP(A1087,PARTIDAS!A:F,6,FALSE()),0)</f>
        <v>30</v>
      </c>
      <c r="O1087" s="123">
        <f t="shared" si="397"/>
        <v>0</v>
      </c>
      <c r="P1087" s="123">
        <f>+_xlfn.XLOOKUP(A1087,PPTO_GENERADOR!Q:Q,PPTO_GENERADOR!E:E,"-",0)</f>
        <v>282</v>
      </c>
      <c r="Q1087" s="123">
        <f t="shared" si="398"/>
        <v>0</v>
      </c>
      <c r="R1087" s="125">
        <f>+_xlfn.XLOOKUP(A1087,PPTO_GENERADOR!$Q:$Q,PPTO_GENERADOR!A:A,"-",0)</f>
        <v>12.02</v>
      </c>
    </row>
    <row r="1088" spans="1:18" ht="14.25" customHeight="1" x14ac:dyDescent="0.35">
      <c r="A1088" s="105" t="s">
        <v>208</v>
      </c>
      <c r="B1088" s="105" t="s">
        <v>1981</v>
      </c>
      <c r="C1088" s="105" t="s">
        <v>1982</v>
      </c>
      <c r="D1088" s="105" t="s">
        <v>1021</v>
      </c>
      <c r="E1088" s="95" t="str">
        <f>IFERROR(VLOOKUP(D1088,MATERIALES!A:B,2,FALSE()),"?")</f>
        <v>Pastina Klaukol x 1kg - Alta performance</v>
      </c>
      <c r="F1088" s="129" t="str">
        <f>IFERROR(VLOOKUP(D1088,MATERIALES!A:C,3,FALSE()),"?")</f>
        <v>bol</v>
      </c>
      <c r="G1088" s="119">
        <v>0.04</v>
      </c>
      <c r="H1088" s="120">
        <v>0.05</v>
      </c>
      <c r="I1088" s="96">
        <f>IFERROR(VLOOKUP(D1088,MATERIALES!A:D,4,FALSE()),0)</f>
        <v>3720.15</v>
      </c>
      <c r="J1088" s="31">
        <f t="shared" si="420"/>
        <v>156.24630000000002</v>
      </c>
      <c r="K1088" s="32" t="str">
        <f t="shared" si="413"/>
        <v>PTO-1202|MAT</v>
      </c>
      <c r="L1088" s="32">
        <f>COUNTIFS($K$2:K1088,K1088)</f>
        <v>3</v>
      </c>
      <c r="M1088" s="32" t="str">
        <f t="shared" si="419"/>
        <v>PTO-1202|MAT|3</v>
      </c>
      <c r="N1088" s="121">
        <f>IFERROR(VLOOKUP(A1088,PARTIDAS!A:F,6,FALSE()),0)</f>
        <v>30</v>
      </c>
      <c r="O1088" s="123">
        <f t="shared" si="397"/>
        <v>0</v>
      </c>
      <c r="P1088" s="123">
        <f>+_xlfn.XLOOKUP(A1088,PPTO_GENERADOR!Q:Q,PPTO_GENERADOR!E:E,"-",0)</f>
        <v>282</v>
      </c>
      <c r="Q1088" s="123">
        <f t="shared" si="398"/>
        <v>0</v>
      </c>
      <c r="R1088" s="125">
        <f>+_xlfn.XLOOKUP(A1088,PPTO_GENERADOR!$Q:$Q,PPTO_GENERADOR!A:A,"-",0)</f>
        <v>12.02</v>
      </c>
    </row>
    <row r="1089" spans="1:18" ht="14.25" customHeight="1" x14ac:dyDescent="0.35">
      <c r="A1089" s="105" t="s">
        <v>208</v>
      </c>
      <c r="B1089" s="105" t="s">
        <v>1981</v>
      </c>
      <c r="C1089" s="105" t="s">
        <v>1982</v>
      </c>
      <c r="D1089" s="105" t="s">
        <v>586</v>
      </c>
      <c r="E1089" s="95" t="str">
        <f>IFERROR(VLOOKUP(D1089,MATERIALES!A:B,2,FALSE()),"?")</f>
        <v>Trapo</v>
      </c>
      <c r="F1089" s="129">
        <f>IFERROR(VLOOKUP(D1089,MATERIALES!A:C,3,FALSE()),"?")</f>
        <v>0</v>
      </c>
      <c r="G1089" s="119">
        <v>0.01</v>
      </c>
      <c r="H1089" s="120">
        <v>0.03</v>
      </c>
      <c r="I1089" s="96">
        <f>IFERROR(VLOOKUP(D1089,MATERIALES!A:D,4,FALSE()),0)</f>
        <v>1182.6446280991699</v>
      </c>
      <c r="J1089" s="31">
        <f t="shared" si="420"/>
        <v>12.181239669421451</v>
      </c>
      <c r="K1089" s="32" t="str">
        <f t="shared" si="413"/>
        <v>PTO-1202|MAT</v>
      </c>
      <c r="L1089" s="32">
        <f>COUNTIFS($K$2:K1089,K1089)</f>
        <v>4</v>
      </c>
      <c r="M1089" s="32" t="str">
        <f t="shared" si="419"/>
        <v>PTO-1202|MAT|4</v>
      </c>
      <c r="N1089" s="121">
        <f>IFERROR(VLOOKUP(A1089,PARTIDAS!A:F,6,FALSE()),0)</f>
        <v>30</v>
      </c>
      <c r="O1089" s="123">
        <f t="shared" si="397"/>
        <v>0</v>
      </c>
      <c r="P1089" s="123">
        <f>+_xlfn.XLOOKUP(A1089,PPTO_GENERADOR!Q:Q,PPTO_GENERADOR!E:E,"-",0)</f>
        <v>282</v>
      </c>
      <c r="Q1089" s="123">
        <f t="shared" si="398"/>
        <v>0</v>
      </c>
      <c r="R1089" s="125">
        <f>+_xlfn.XLOOKUP(A1089,PPTO_GENERADOR!$Q:$Q,PPTO_GENERADOR!A:A,"-",0)</f>
        <v>12.02</v>
      </c>
    </row>
    <row r="1090" spans="1:18" ht="14.25" customHeight="1" x14ac:dyDescent="0.35">
      <c r="A1090" s="105" t="s">
        <v>208</v>
      </c>
      <c r="B1090" s="105" t="s">
        <v>1979</v>
      </c>
      <c r="C1090" s="105" t="s">
        <v>1980</v>
      </c>
      <c r="D1090" s="105" t="s">
        <v>1288</v>
      </c>
      <c r="E1090" s="95" t="str">
        <f>IFERROR(VLOOKUP(D1090,MANO_DE_OBRA!A:B,2,FALSE()),"?")</f>
        <v>MEDIO OFICIAL</v>
      </c>
      <c r="F1090" s="129" t="s">
        <v>2042</v>
      </c>
      <c r="G1090" s="119">
        <v>1</v>
      </c>
      <c r="H1090" s="120">
        <v>0</v>
      </c>
      <c r="I1090" s="96">
        <f>IFERROR(VLOOKUP(D1090,MANO_DE_OBRA!A:C,3,FALSE()),0)</f>
        <v>72132.138365590101</v>
      </c>
      <c r="J1090" s="31">
        <f t="shared" ref="J1090:J1091" si="421">G1090*I1090</f>
        <v>72132.138365590101</v>
      </c>
      <c r="K1090" s="32" t="str">
        <f t="shared" si="413"/>
        <v>PTO-1202|MO</v>
      </c>
      <c r="L1090" s="32">
        <f>COUNTIFS($K$2:K1090,K1090)</f>
        <v>1</v>
      </c>
      <c r="M1090" s="32" t="str">
        <f t="shared" si="419"/>
        <v>PTO-1202|MO|1</v>
      </c>
      <c r="N1090" s="121">
        <f>IFERROR(VLOOKUP(A1090,PARTIDAS!A:F,6,FALSE()),0)</f>
        <v>30</v>
      </c>
      <c r="O1090" s="123">
        <f t="shared" si="397"/>
        <v>3.3333333333333333E-2</v>
      </c>
      <c r="P1090" s="123">
        <f>+_xlfn.XLOOKUP(A1090,PPTO_GENERADOR!Q:Q,PPTO_GENERADOR!E:E,"-",0)</f>
        <v>282</v>
      </c>
      <c r="Q1090" s="123">
        <f t="shared" si="398"/>
        <v>9.4</v>
      </c>
      <c r="R1090" s="125">
        <f>+_xlfn.XLOOKUP(A1090,PPTO_GENERADOR!$Q:$Q,PPTO_GENERADOR!A:A,"-",0)</f>
        <v>12.02</v>
      </c>
    </row>
    <row r="1091" spans="1:18" ht="14.25" customHeight="1" x14ac:dyDescent="0.35">
      <c r="A1091" s="105" t="s">
        <v>208</v>
      </c>
      <c r="B1091" s="105" t="s">
        <v>1979</v>
      </c>
      <c r="C1091" s="105" t="s">
        <v>1980</v>
      </c>
      <c r="D1091" s="105" t="s">
        <v>1292</v>
      </c>
      <c r="E1091" s="95" t="str">
        <f>IFERROR(VLOOKUP(D1091,MANO_DE_OBRA!A:B,2,FALSE()),"?")</f>
        <v>ESPECIALIZADO</v>
      </c>
      <c r="F1091" s="129" t="s">
        <v>2042</v>
      </c>
      <c r="G1091" s="119">
        <v>1</v>
      </c>
      <c r="H1091" s="120">
        <v>0</v>
      </c>
      <c r="I1091" s="96">
        <f>IFERROR(VLOOKUP(D1091,MANO_DE_OBRA!A:C,3,FALSE()),0)</f>
        <v>94177.137883538904</v>
      </c>
      <c r="J1091" s="31">
        <f t="shared" si="421"/>
        <v>94177.137883538904</v>
      </c>
      <c r="K1091" s="32" t="str">
        <f t="shared" si="413"/>
        <v>PTO-1202|MO</v>
      </c>
      <c r="L1091" s="32">
        <f>COUNTIFS($K$2:K1091,K1091)</f>
        <v>2</v>
      </c>
      <c r="M1091" s="32" t="str">
        <f t="shared" si="419"/>
        <v>PTO-1202|MO|2</v>
      </c>
      <c r="N1091" s="121">
        <f>IFERROR(VLOOKUP(A1091,PARTIDAS!A:F,6,FALSE()),0)</f>
        <v>30</v>
      </c>
      <c r="O1091" s="123">
        <f t="shared" ref="O1091:O1154" si="422">+IF(C1091="ALB",G1091/N1091,0)</f>
        <v>3.3333333333333333E-2</v>
      </c>
      <c r="P1091" s="123">
        <f>+_xlfn.XLOOKUP(A1091,PPTO_GENERADOR!Q:Q,PPTO_GENERADOR!E:E,"-",0)</f>
        <v>282</v>
      </c>
      <c r="Q1091" s="123">
        <f t="shared" ref="Q1091:Q1154" si="423">IFERROR(P1091*O1091,0)</f>
        <v>9.4</v>
      </c>
      <c r="R1091" s="125">
        <f>+_xlfn.XLOOKUP(A1091,PPTO_GENERADOR!$Q:$Q,PPTO_GENERADOR!A:A,"-",0)</f>
        <v>12.02</v>
      </c>
    </row>
    <row r="1092" spans="1:18" ht="14.25" customHeight="1" x14ac:dyDescent="0.35">
      <c r="A1092" s="105" t="s">
        <v>208</v>
      </c>
      <c r="B1092" s="105" t="s">
        <v>1983</v>
      </c>
      <c r="C1092" s="105"/>
      <c r="D1092" s="105" t="s">
        <v>1321</v>
      </c>
      <c r="E1092" s="95" t="str">
        <f>IFERROR(VLOOKUP(D1092,EQUIPOS!A:B,2,FALSE()),"?")</f>
        <v>EQUIPO PARA COLOCACION DE CERAMICA</v>
      </c>
      <c r="F1092" s="129"/>
      <c r="G1092" s="119">
        <v>1</v>
      </c>
      <c r="H1092" s="120">
        <v>0</v>
      </c>
      <c r="I1092" s="96">
        <f>IFERROR(VLOOKUP(D1092,EQUIPOS!A:F,6,FALSE()),0)</f>
        <v>2866.2900480747039</v>
      </c>
      <c r="J1092" s="31">
        <f>G1092*I1092</f>
        <v>2866.2900480747039</v>
      </c>
      <c r="K1092" s="32" t="str">
        <f t="shared" si="413"/>
        <v>PTO-1202|EQ</v>
      </c>
      <c r="L1092" s="32">
        <f>COUNTIFS($K$2:K1092,K1092)</f>
        <v>1</v>
      </c>
      <c r="M1092" s="32" t="str">
        <f t="shared" si="419"/>
        <v>PTO-1202|EQ|1</v>
      </c>
      <c r="N1092" s="121">
        <f>IFERROR(VLOOKUP(A1092,PARTIDAS!A:F,6,FALSE()),0)</f>
        <v>30</v>
      </c>
      <c r="O1092" s="123">
        <f t="shared" si="422"/>
        <v>0</v>
      </c>
      <c r="P1092" s="123">
        <f>+_xlfn.XLOOKUP(A1092,PPTO_GENERADOR!Q:Q,PPTO_GENERADOR!E:E,"-",0)</f>
        <v>282</v>
      </c>
      <c r="Q1092" s="123">
        <f t="shared" si="423"/>
        <v>0</v>
      </c>
      <c r="R1092" s="125">
        <f>+_xlfn.XLOOKUP(A1092,PPTO_GENERADOR!$Q:$Q,PPTO_GENERADOR!A:A,"-",0)</f>
        <v>12.02</v>
      </c>
    </row>
    <row r="1093" spans="1:18" ht="14.25" customHeight="1" x14ac:dyDescent="0.35">
      <c r="A1093" s="105" t="s">
        <v>211</v>
      </c>
      <c r="B1093" s="105" t="s">
        <v>1981</v>
      </c>
      <c r="C1093" s="105" t="s">
        <v>1982</v>
      </c>
      <c r="D1093" s="105" t="s">
        <v>1017</v>
      </c>
      <c r="E1093" s="95" t="str">
        <f>IFERROR(VLOOKUP(D1093,MATERIALES!A:B,2,FALSE()),"?")</f>
        <v>Adhesivo Klaukol Porcellanato Fluido x 30Kg</v>
      </c>
      <c r="F1093" s="129" t="str">
        <f>IFERROR(VLOOKUP(D1093,MATERIALES!A:C,3,FALSE()),"?")</f>
        <v>bol</v>
      </c>
      <c r="G1093" s="119">
        <v>0.04</v>
      </c>
      <c r="H1093" s="120">
        <v>0.2</v>
      </c>
      <c r="I1093" s="96">
        <f>IFERROR(VLOOKUP(D1093,MATERIALES!A:D,4,FALSE()),0)</f>
        <v>17106.768</v>
      </c>
      <c r="J1093" s="31">
        <f t="shared" ref="J1093:J1096" si="424">G1093*I1093*(1+H1093)</f>
        <v>821.124864</v>
      </c>
      <c r="K1093" s="32" t="str">
        <f t="shared" si="413"/>
        <v>PTO-1203|MAT</v>
      </c>
      <c r="L1093" s="32">
        <f>COUNTIFS($K$2:K1093,K1093)</f>
        <v>1</v>
      </c>
      <c r="M1093" s="32" t="str">
        <f t="shared" si="419"/>
        <v>PTO-1203|MAT|1</v>
      </c>
      <c r="N1093" s="121">
        <f>IFERROR(VLOOKUP(A1093,PARTIDAS!A:F,6,FALSE()),0)</f>
        <v>30</v>
      </c>
      <c r="O1093" s="123">
        <f t="shared" si="422"/>
        <v>0</v>
      </c>
      <c r="P1093" s="123">
        <f>+_xlfn.XLOOKUP(A1093,PPTO_GENERADOR!Q:Q,PPTO_GENERADOR!E:E,"-",0)</f>
        <v>263</v>
      </c>
      <c r="Q1093" s="123">
        <f t="shared" si="423"/>
        <v>0</v>
      </c>
      <c r="R1093" s="125">
        <f>+_xlfn.XLOOKUP(A1093,PPTO_GENERADOR!$Q:$Q,PPTO_GENERADOR!A:A,"-",0)</f>
        <v>12.03</v>
      </c>
    </row>
    <row r="1094" spans="1:18" ht="14.25" customHeight="1" x14ac:dyDescent="0.35">
      <c r="A1094" s="105" t="s">
        <v>211</v>
      </c>
      <c r="B1094" s="105" t="s">
        <v>1981</v>
      </c>
      <c r="C1094" s="105" t="s">
        <v>1982</v>
      </c>
      <c r="D1094" s="105" t="s">
        <v>1023</v>
      </c>
      <c r="E1094" s="95" t="str">
        <f>IFERROR(VLOOKUP(D1094,MATERIALES!A:B,2,FALSE()),"?")</f>
        <v>Disco Diamantado Aliafor Turbo Fino TRF</v>
      </c>
      <c r="F1094" s="129" t="str">
        <f>IFERROR(VLOOKUP(D1094,MATERIALES!A:C,3,FALSE()),"?")</f>
        <v>u</v>
      </c>
      <c r="G1094" s="119">
        <v>1E-3</v>
      </c>
      <c r="H1094" s="120">
        <v>0.05</v>
      </c>
      <c r="I1094" s="96">
        <f>IFERROR(VLOOKUP(D1094,MATERIALES!A:D,4,FALSE()),0)</f>
        <v>11376</v>
      </c>
      <c r="J1094" s="31">
        <f t="shared" si="424"/>
        <v>11.944800000000001</v>
      </c>
      <c r="K1094" s="32" t="str">
        <f t="shared" si="413"/>
        <v>PTO-1203|MAT</v>
      </c>
      <c r="L1094" s="32">
        <f>COUNTIFS($K$2:K1094,K1094)</f>
        <v>2</v>
      </c>
      <c r="M1094" s="32" t="str">
        <f t="shared" si="419"/>
        <v>PTO-1203|MAT|2</v>
      </c>
      <c r="N1094" s="121">
        <f>IFERROR(VLOOKUP(A1094,PARTIDAS!A:F,6,FALSE()),0)</f>
        <v>30</v>
      </c>
      <c r="O1094" s="123">
        <f t="shared" si="422"/>
        <v>0</v>
      </c>
      <c r="P1094" s="123">
        <f>+_xlfn.XLOOKUP(A1094,PPTO_GENERADOR!Q:Q,PPTO_GENERADOR!E:E,"-",0)</f>
        <v>263</v>
      </c>
      <c r="Q1094" s="123">
        <f t="shared" si="423"/>
        <v>0</v>
      </c>
      <c r="R1094" s="125">
        <f>+_xlfn.XLOOKUP(A1094,PPTO_GENERADOR!$Q:$Q,PPTO_GENERADOR!A:A,"-",0)</f>
        <v>12.03</v>
      </c>
    </row>
    <row r="1095" spans="1:18" ht="14.25" customHeight="1" x14ac:dyDescent="0.35">
      <c r="A1095" s="105" t="s">
        <v>211</v>
      </c>
      <c r="B1095" s="105" t="s">
        <v>1981</v>
      </c>
      <c r="C1095" s="105" t="s">
        <v>1982</v>
      </c>
      <c r="D1095" s="105" t="s">
        <v>1021</v>
      </c>
      <c r="E1095" s="95" t="str">
        <f>IFERROR(VLOOKUP(D1095,MATERIALES!A:B,2,FALSE()),"?")</f>
        <v>Pastina Klaukol x 1kg - Alta performance</v>
      </c>
      <c r="F1095" s="129" t="str">
        <f>IFERROR(VLOOKUP(D1095,MATERIALES!A:C,3,FALSE()),"?")</f>
        <v>bol</v>
      </c>
      <c r="G1095" s="119">
        <v>0.04</v>
      </c>
      <c r="H1095" s="120">
        <v>0.05</v>
      </c>
      <c r="I1095" s="96">
        <f>IFERROR(VLOOKUP(D1095,MATERIALES!A:D,4,FALSE()),0)</f>
        <v>3720.15</v>
      </c>
      <c r="J1095" s="31">
        <f t="shared" si="424"/>
        <v>156.24630000000002</v>
      </c>
      <c r="K1095" s="32" t="str">
        <f t="shared" si="413"/>
        <v>PTO-1203|MAT</v>
      </c>
      <c r="L1095" s="32">
        <f>COUNTIFS($K$2:K1095,K1095)</f>
        <v>3</v>
      </c>
      <c r="M1095" s="32" t="str">
        <f t="shared" si="419"/>
        <v>PTO-1203|MAT|3</v>
      </c>
      <c r="N1095" s="121">
        <f>IFERROR(VLOOKUP(A1095,PARTIDAS!A:F,6,FALSE()),0)</f>
        <v>30</v>
      </c>
      <c r="O1095" s="123">
        <f t="shared" si="422"/>
        <v>0</v>
      </c>
      <c r="P1095" s="123">
        <f>+_xlfn.XLOOKUP(A1095,PPTO_GENERADOR!Q:Q,PPTO_GENERADOR!E:E,"-",0)</f>
        <v>263</v>
      </c>
      <c r="Q1095" s="123">
        <f t="shared" si="423"/>
        <v>0</v>
      </c>
      <c r="R1095" s="125">
        <f>+_xlfn.XLOOKUP(A1095,PPTO_GENERADOR!$Q:$Q,PPTO_GENERADOR!A:A,"-",0)</f>
        <v>12.03</v>
      </c>
    </row>
    <row r="1096" spans="1:18" ht="14.25" customHeight="1" x14ac:dyDescent="0.35">
      <c r="A1096" s="105" t="s">
        <v>211</v>
      </c>
      <c r="B1096" s="105" t="s">
        <v>1981</v>
      </c>
      <c r="C1096" s="105" t="s">
        <v>1982</v>
      </c>
      <c r="D1096" s="105" t="s">
        <v>586</v>
      </c>
      <c r="E1096" s="95" t="str">
        <f>IFERROR(VLOOKUP(D1096,MATERIALES!A:B,2,FALSE()),"?")</f>
        <v>Trapo</v>
      </c>
      <c r="F1096" s="129">
        <f>IFERROR(VLOOKUP(D1096,MATERIALES!A:C,3,FALSE()),"?")</f>
        <v>0</v>
      </c>
      <c r="G1096" s="119">
        <v>0.01</v>
      </c>
      <c r="H1096" s="120">
        <v>0.03</v>
      </c>
      <c r="I1096" s="96">
        <f>IFERROR(VLOOKUP(D1096,MATERIALES!A:D,4,FALSE()),0)</f>
        <v>1182.6446280991699</v>
      </c>
      <c r="J1096" s="31">
        <f t="shared" si="424"/>
        <v>12.181239669421451</v>
      </c>
      <c r="K1096" s="32" t="str">
        <f t="shared" si="413"/>
        <v>PTO-1203|MAT</v>
      </c>
      <c r="L1096" s="32">
        <f>COUNTIFS($K$2:K1096,K1096)</f>
        <v>4</v>
      </c>
      <c r="M1096" s="32" t="str">
        <f t="shared" si="419"/>
        <v>PTO-1203|MAT|4</v>
      </c>
      <c r="N1096" s="121">
        <f>IFERROR(VLOOKUP(A1096,PARTIDAS!A:F,6,FALSE()),0)</f>
        <v>30</v>
      </c>
      <c r="O1096" s="123">
        <f t="shared" si="422"/>
        <v>0</v>
      </c>
      <c r="P1096" s="123">
        <f>+_xlfn.XLOOKUP(A1096,PPTO_GENERADOR!Q:Q,PPTO_GENERADOR!E:E,"-",0)</f>
        <v>263</v>
      </c>
      <c r="Q1096" s="123">
        <f t="shared" si="423"/>
        <v>0</v>
      </c>
      <c r="R1096" s="125">
        <f>+_xlfn.XLOOKUP(A1096,PPTO_GENERADOR!$Q:$Q,PPTO_GENERADOR!A:A,"-",0)</f>
        <v>12.03</v>
      </c>
    </row>
    <row r="1097" spans="1:18" ht="14.25" customHeight="1" x14ac:dyDescent="0.35">
      <c r="A1097" s="105" t="s">
        <v>211</v>
      </c>
      <c r="B1097" s="105" t="s">
        <v>1979</v>
      </c>
      <c r="C1097" s="105" t="s">
        <v>1980</v>
      </c>
      <c r="D1097" s="105" t="s">
        <v>1288</v>
      </c>
      <c r="E1097" s="95" t="str">
        <f>IFERROR(VLOOKUP(D1097,MANO_DE_OBRA!A:B,2,FALSE()),"?")</f>
        <v>MEDIO OFICIAL</v>
      </c>
      <c r="F1097" s="129" t="s">
        <v>2042</v>
      </c>
      <c r="G1097" s="119">
        <v>1</v>
      </c>
      <c r="H1097" s="120">
        <v>0</v>
      </c>
      <c r="I1097" s="96">
        <f>IFERROR(VLOOKUP(D1097,MANO_DE_OBRA!A:C,3,FALSE()),0)</f>
        <v>72132.138365590101</v>
      </c>
      <c r="J1097" s="31">
        <f t="shared" ref="J1097:J1098" si="425">G1097*I1097</f>
        <v>72132.138365590101</v>
      </c>
      <c r="K1097" s="32" t="str">
        <f t="shared" si="413"/>
        <v>PTO-1203|MO</v>
      </c>
      <c r="L1097" s="32">
        <f>COUNTIFS($K$2:K1097,K1097)</f>
        <v>1</v>
      </c>
      <c r="M1097" s="32" t="str">
        <f t="shared" si="419"/>
        <v>PTO-1203|MO|1</v>
      </c>
      <c r="N1097" s="121">
        <f>IFERROR(VLOOKUP(A1097,PARTIDAS!A:F,6,FALSE()),0)</f>
        <v>30</v>
      </c>
      <c r="O1097" s="123">
        <f t="shared" si="422"/>
        <v>3.3333333333333333E-2</v>
      </c>
      <c r="P1097" s="123">
        <f>+_xlfn.XLOOKUP(A1097,PPTO_GENERADOR!Q:Q,PPTO_GENERADOR!E:E,"-",0)</f>
        <v>263</v>
      </c>
      <c r="Q1097" s="123">
        <f t="shared" si="423"/>
        <v>8.7666666666666657</v>
      </c>
      <c r="R1097" s="125">
        <f>+_xlfn.XLOOKUP(A1097,PPTO_GENERADOR!$Q:$Q,PPTO_GENERADOR!A:A,"-",0)</f>
        <v>12.03</v>
      </c>
    </row>
    <row r="1098" spans="1:18" ht="14.25" customHeight="1" x14ac:dyDescent="0.35">
      <c r="A1098" s="105" t="s">
        <v>211</v>
      </c>
      <c r="B1098" s="105" t="s">
        <v>1979</v>
      </c>
      <c r="C1098" s="105" t="s">
        <v>1980</v>
      </c>
      <c r="D1098" s="105" t="s">
        <v>1292</v>
      </c>
      <c r="E1098" s="95" t="str">
        <f>IFERROR(VLOOKUP(D1098,MANO_DE_OBRA!A:B,2,FALSE()),"?")</f>
        <v>ESPECIALIZADO</v>
      </c>
      <c r="F1098" s="129" t="s">
        <v>2042</v>
      </c>
      <c r="G1098" s="119">
        <v>1</v>
      </c>
      <c r="H1098" s="120">
        <v>0</v>
      </c>
      <c r="I1098" s="96">
        <f>IFERROR(VLOOKUP(D1098,MANO_DE_OBRA!A:C,3,FALSE()),0)</f>
        <v>94177.137883538904</v>
      </c>
      <c r="J1098" s="31">
        <f t="shared" si="425"/>
        <v>94177.137883538904</v>
      </c>
      <c r="K1098" s="32" t="str">
        <f t="shared" si="413"/>
        <v>PTO-1203|MO</v>
      </c>
      <c r="L1098" s="32">
        <f>COUNTIFS($K$2:K1098,K1098)</f>
        <v>2</v>
      </c>
      <c r="M1098" s="32" t="str">
        <f t="shared" si="419"/>
        <v>PTO-1203|MO|2</v>
      </c>
      <c r="N1098" s="121">
        <f>IFERROR(VLOOKUP(A1098,PARTIDAS!A:F,6,FALSE()),0)</f>
        <v>30</v>
      </c>
      <c r="O1098" s="123">
        <f t="shared" si="422"/>
        <v>3.3333333333333333E-2</v>
      </c>
      <c r="P1098" s="123">
        <f>+_xlfn.XLOOKUP(A1098,PPTO_GENERADOR!Q:Q,PPTO_GENERADOR!E:E,"-",0)</f>
        <v>263</v>
      </c>
      <c r="Q1098" s="123">
        <f t="shared" si="423"/>
        <v>8.7666666666666657</v>
      </c>
      <c r="R1098" s="125">
        <f>+_xlfn.XLOOKUP(A1098,PPTO_GENERADOR!$Q:$Q,PPTO_GENERADOR!A:A,"-",0)</f>
        <v>12.03</v>
      </c>
    </row>
    <row r="1099" spans="1:18" ht="14.25" customHeight="1" x14ac:dyDescent="0.35">
      <c r="A1099" s="105" t="s">
        <v>211</v>
      </c>
      <c r="B1099" s="105" t="s">
        <v>1983</v>
      </c>
      <c r="C1099" s="105"/>
      <c r="D1099" s="105" t="s">
        <v>1321</v>
      </c>
      <c r="E1099" s="95" t="str">
        <f>IFERROR(VLOOKUP(D1099,EQUIPOS!A:B,2,FALSE()),"?")</f>
        <v>EQUIPO PARA COLOCACION DE CERAMICA</v>
      </c>
      <c r="F1099" s="129"/>
      <c r="G1099" s="119">
        <v>1</v>
      </c>
      <c r="H1099" s="120">
        <v>0</v>
      </c>
      <c r="I1099" s="96">
        <f>IFERROR(VLOOKUP(D1099,EQUIPOS!A:F,6,FALSE()),0)</f>
        <v>2866.2900480747039</v>
      </c>
      <c r="J1099" s="31">
        <f>G1099*I1099</f>
        <v>2866.2900480747039</v>
      </c>
      <c r="K1099" s="32" t="str">
        <f t="shared" si="413"/>
        <v>PTO-1203|EQ</v>
      </c>
      <c r="L1099" s="32">
        <f>COUNTIFS($K$2:K1099,K1099)</f>
        <v>1</v>
      </c>
      <c r="M1099" s="32" t="str">
        <f t="shared" si="419"/>
        <v>PTO-1203|EQ|1</v>
      </c>
      <c r="N1099" s="121">
        <f>IFERROR(VLOOKUP(A1099,PARTIDAS!A:F,6,FALSE()),0)</f>
        <v>30</v>
      </c>
      <c r="O1099" s="123">
        <f t="shared" si="422"/>
        <v>0</v>
      </c>
      <c r="P1099" s="123">
        <f>+_xlfn.XLOOKUP(A1099,PPTO_GENERADOR!Q:Q,PPTO_GENERADOR!E:E,"-",0)</f>
        <v>263</v>
      </c>
      <c r="Q1099" s="123">
        <f t="shared" si="423"/>
        <v>0</v>
      </c>
      <c r="R1099" s="125">
        <f>+_xlfn.XLOOKUP(A1099,PPTO_GENERADOR!$Q:$Q,PPTO_GENERADOR!A:A,"-",0)</f>
        <v>12.03</v>
      </c>
    </row>
    <row r="1100" spans="1:18" ht="14.25" customHeight="1" x14ac:dyDescent="0.35">
      <c r="A1100" s="105" t="s">
        <v>213</v>
      </c>
      <c r="B1100" s="105" t="s">
        <v>1981</v>
      </c>
      <c r="C1100" s="105" t="s">
        <v>1982</v>
      </c>
      <c r="D1100" s="105" t="s">
        <v>1017</v>
      </c>
      <c r="E1100" s="95" t="str">
        <f>IFERROR(VLOOKUP(D1100,MATERIALES!A:B,2,FALSE()),"?")</f>
        <v>Adhesivo Klaukol Porcellanato Fluido x 30Kg</v>
      </c>
      <c r="F1100" s="129" t="str">
        <f>IFERROR(VLOOKUP(D1100,MATERIALES!A:C,3,FALSE()),"?")</f>
        <v>bol</v>
      </c>
      <c r="G1100" s="119">
        <v>0.04</v>
      </c>
      <c r="H1100" s="120">
        <v>0.2</v>
      </c>
      <c r="I1100" s="96">
        <f>IFERROR(VLOOKUP(D1100,MATERIALES!A:D,4,FALSE()),0)</f>
        <v>17106.768</v>
      </c>
      <c r="J1100" s="31">
        <f t="shared" ref="J1100:J1103" si="426">G1100*I1100*(1+H1100)</f>
        <v>821.124864</v>
      </c>
      <c r="K1100" s="32" t="str">
        <f t="shared" si="413"/>
        <v>PTO-1204|MAT</v>
      </c>
      <c r="L1100" s="32">
        <f>COUNTIFS($K$2:K1100,K1100)</f>
        <v>1</v>
      </c>
      <c r="M1100" s="32" t="str">
        <f t="shared" si="419"/>
        <v>PTO-1204|MAT|1</v>
      </c>
      <c r="N1100" s="121">
        <f>IFERROR(VLOOKUP(A1100,PARTIDAS!A:F,6,FALSE()),0)</f>
        <v>30</v>
      </c>
      <c r="O1100" s="123">
        <f t="shared" si="422"/>
        <v>0</v>
      </c>
      <c r="P1100" s="123">
        <f>+_xlfn.XLOOKUP(A1100,PPTO_GENERADOR!Q:Q,PPTO_GENERADOR!E:E,"-",0)</f>
        <v>25</v>
      </c>
      <c r="Q1100" s="123">
        <f t="shared" si="423"/>
        <v>0</v>
      </c>
      <c r="R1100" s="125">
        <f>+_xlfn.XLOOKUP(A1100,PPTO_GENERADOR!$Q:$Q,PPTO_GENERADOR!A:A,"-",0)</f>
        <v>12.04</v>
      </c>
    </row>
    <row r="1101" spans="1:18" ht="14.25" customHeight="1" x14ac:dyDescent="0.35">
      <c r="A1101" s="105" t="s">
        <v>213</v>
      </c>
      <c r="B1101" s="105" t="s">
        <v>1981</v>
      </c>
      <c r="C1101" s="105" t="s">
        <v>1982</v>
      </c>
      <c r="D1101" s="105" t="s">
        <v>1023</v>
      </c>
      <c r="E1101" s="95" t="str">
        <f>IFERROR(VLOOKUP(D1101,MATERIALES!A:B,2,FALSE()),"?")</f>
        <v>Disco Diamantado Aliafor Turbo Fino TRF</v>
      </c>
      <c r="F1101" s="129" t="str">
        <f>IFERROR(VLOOKUP(D1101,MATERIALES!A:C,3,FALSE()),"?")</f>
        <v>u</v>
      </c>
      <c r="G1101" s="119">
        <v>1E-3</v>
      </c>
      <c r="H1101" s="120">
        <v>0.05</v>
      </c>
      <c r="I1101" s="96">
        <f>IFERROR(VLOOKUP(D1101,MATERIALES!A:D,4,FALSE()),0)</f>
        <v>11376</v>
      </c>
      <c r="J1101" s="31">
        <f t="shared" si="426"/>
        <v>11.944800000000001</v>
      </c>
      <c r="K1101" s="32" t="str">
        <f t="shared" si="413"/>
        <v>PTO-1204|MAT</v>
      </c>
      <c r="L1101" s="32">
        <f>COUNTIFS($K$2:K1101,K1101)</f>
        <v>2</v>
      </c>
      <c r="M1101" s="32" t="str">
        <f t="shared" si="419"/>
        <v>PTO-1204|MAT|2</v>
      </c>
      <c r="N1101" s="121">
        <f>IFERROR(VLOOKUP(A1101,PARTIDAS!A:F,6,FALSE()),0)</f>
        <v>30</v>
      </c>
      <c r="O1101" s="123">
        <f t="shared" si="422"/>
        <v>0</v>
      </c>
      <c r="P1101" s="123">
        <f>+_xlfn.XLOOKUP(A1101,PPTO_GENERADOR!Q:Q,PPTO_GENERADOR!E:E,"-",0)</f>
        <v>25</v>
      </c>
      <c r="Q1101" s="123">
        <f t="shared" si="423"/>
        <v>0</v>
      </c>
      <c r="R1101" s="125">
        <f>+_xlfn.XLOOKUP(A1101,PPTO_GENERADOR!$Q:$Q,PPTO_GENERADOR!A:A,"-",0)</f>
        <v>12.04</v>
      </c>
    </row>
    <row r="1102" spans="1:18" ht="14.25" customHeight="1" x14ac:dyDescent="0.35">
      <c r="A1102" s="105" t="s">
        <v>213</v>
      </c>
      <c r="B1102" s="105" t="s">
        <v>1981</v>
      </c>
      <c r="C1102" s="105" t="s">
        <v>1982</v>
      </c>
      <c r="D1102" s="105" t="s">
        <v>1021</v>
      </c>
      <c r="E1102" s="95" t="str">
        <f>IFERROR(VLOOKUP(D1102,MATERIALES!A:B,2,FALSE()),"?")</f>
        <v>Pastina Klaukol x 1kg - Alta performance</v>
      </c>
      <c r="F1102" s="129" t="str">
        <f>IFERROR(VLOOKUP(D1102,MATERIALES!A:C,3,FALSE()),"?")</f>
        <v>bol</v>
      </c>
      <c r="G1102" s="119">
        <v>0.04</v>
      </c>
      <c r="H1102" s="120">
        <v>0.05</v>
      </c>
      <c r="I1102" s="96">
        <f>IFERROR(VLOOKUP(D1102,MATERIALES!A:D,4,FALSE()),0)</f>
        <v>3720.15</v>
      </c>
      <c r="J1102" s="31">
        <f t="shared" si="426"/>
        <v>156.24630000000002</v>
      </c>
      <c r="K1102" s="32" t="str">
        <f t="shared" si="413"/>
        <v>PTO-1204|MAT</v>
      </c>
      <c r="L1102" s="32">
        <f>COUNTIFS($K$2:K1102,K1102)</f>
        <v>3</v>
      </c>
      <c r="M1102" s="32" t="str">
        <f t="shared" si="419"/>
        <v>PTO-1204|MAT|3</v>
      </c>
      <c r="N1102" s="121">
        <f>IFERROR(VLOOKUP(A1102,PARTIDAS!A:F,6,FALSE()),0)</f>
        <v>30</v>
      </c>
      <c r="O1102" s="123">
        <f t="shared" si="422"/>
        <v>0</v>
      </c>
      <c r="P1102" s="123">
        <f>+_xlfn.XLOOKUP(A1102,PPTO_GENERADOR!Q:Q,PPTO_GENERADOR!E:E,"-",0)</f>
        <v>25</v>
      </c>
      <c r="Q1102" s="123">
        <f t="shared" si="423"/>
        <v>0</v>
      </c>
      <c r="R1102" s="125">
        <f>+_xlfn.XLOOKUP(A1102,PPTO_GENERADOR!$Q:$Q,PPTO_GENERADOR!A:A,"-",0)</f>
        <v>12.04</v>
      </c>
    </row>
    <row r="1103" spans="1:18" ht="14.25" customHeight="1" x14ac:dyDescent="0.35">
      <c r="A1103" s="105" t="s">
        <v>213</v>
      </c>
      <c r="B1103" s="105" t="s">
        <v>1981</v>
      </c>
      <c r="C1103" s="105" t="s">
        <v>1982</v>
      </c>
      <c r="D1103" s="105" t="s">
        <v>586</v>
      </c>
      <c r="E1103" s="95" t="str">
        <f>IFERROR(VLOOKUP(D1103,MATERIALES!A:B,2,FALSE()),"?")</f>
        <v>Trapo</v>
      </c>
      <c r="F1103" s="129">
        <f>IFERROR(VLOOKUP(D1103,MATERIALES!A:C,3,FALSE()),"?")</f>
        <v>0</v>
      </c>
      <c r="G1103" s="119">
        <v>0.01</v>
      </c>
      <c r="H1103" s="120">
        <v>0.03</v>
      </c>
      <c r="I1103" s="96">
        <f>IFERROR(VLOOKUP(D1103,MATERIALES!A:D,4,FALSE()),0)</f>
        <v>1182.6446280991699</v>
      </c>
      <c r="J1103" s="31">
        <f t="shared" si="426"/>
        <v>12.181239669421451</v>
      </c>
      <c r="K1103" s="32" t="str">
        <f t="shared" si="413"/>
        <v>PTO-1204|MAT</v>
      </c>
      <c r="L1103" s="32">
        <f>COUNTIFS($K$2:K1103,K1103)</f>
        <v>4</v>
      </c>
      <c r="M1103" s="32" t="str">
        <f t="shared" si="419"/>
        <v>PTO-1204|MAT|4</v>
      </c>
      <c r="N1103" s="121">
        <f>IFERROR(VLOOKUP(A1103,PARTIDAS!A:F,6,FALSE()),0)</f>
        <v>30</v>
      </c>
      <c r="O1103" s="123">
        <f t="shared" si="422"/>
        <v>0</v>
      </c>
      <c r="P1103" s="123">
        <f>+_xlfn.XLOOKUP(A1103,PPTO_GENERADOR!Q:Q,PPTO_GENERADOR!E:E,"-",0)</f>
        <v>25</v>
      </c>
      <c r="Q1103" s="123">
        <f t="shared" si="423"/>
        <v>0</v>
      </c>
      <c r="R1103" s="125">
        <f>+_xlfn.XLOOKUP(A1103,PPTO_GENERADOR!$Q:$Q,PPTO_GENERADOR!A:A,"-",0)</f>
        <v>12.04</v>
      </c>
    </row>
    <row r="1104" spans="1:18" ht="14.25" customHeight="1" x14ac:dyDescent="0.35">
      <c r="A1104" s="105" t="s">
        <v>213</v>
      </c>
      <c r="B1104" s="105" t="s">
        <v>1979</v>
      </c>
      <c r="C1104" s="105" t="s">
        <v>1980</v>
      </c>
      <c r="D1104" s="105" t="s">
        <v>1288</v>
      </c>
      <c r="E1104" s="95" t="str">
        <f>IFERROR(VLOOKUP(D1104,MANO_DE_OBRA!A:B,2,FALSE()),"?")</f>
        <v>MEDIO OFICIAL</v>
      </c>
      <c r="F1104" s="129" t="s">
        <v>2042</v>
      </c>
      <c r="G1104" s="119">
        <v>1</v>
      </c>
      <c r="H1104" s="120">
        <v>0</v>
      </c>
      <c r="I1104" s="96">
        <f>IFERROR(VLOOKUP(D1104,MANO_DE_OBRA!A:C,3,FALSE()),0)</f>
        <v>72132.138365590101</v>
      </c>
      <c r="J1104" s="31">
        <f t="shared" ref="J1104:J1105" si="427">G1104*I1104</f>
        <v>72132.138365590101</v>
      </c>
      <c r="K1104" s="32" t="str">
        <f t="shared" si="413"/>
        <v>PTO-1204|MO</v>
      </c>
      <c r="L1104" s="32">
        <f>COUNTIFS($K$2:K1104,K1104)</f>
        <v>1</v>
      </c>
      <c r="M1104" s="32" t="str">
        <f t="shared" si="419"/>
        <v>PTO-1204|MO|1</v>
      </c>
      <c r="N1104" s="121">
        <f>IFERROR(VLOOKUP(A1104,PARTIDAS!A:F,6,FALSE()),0)</f>
        <v>30</v>
      </c>
      <c r="O1104" s="123">
        <f t="shared" si="422"/>
        <v>3.3333333333333333E-2</v>
      </c>
      <c r="P1104" s="123">
        <f>+_xlfn.XLOOKUP(A1104,PPTO_GENERADOR!Q:Q,PPTO_GENERADOR!E:E,"-",0)</f>
        <v>25</v>
      </c>
      <c r="Q1104" s="123">
        <f t="shared" si="423"/>
        <v>0.83333333333333337</v>
      </c>
      <c r="R1104" s="125">
        <f>+_xlfn.XLOOKUP(A1104,PPTO_GENERADOR!$Q:$Q,PPTO_GENERADOR!A:A,"-",0)</f>
        <v>12.04</v>
      </c>
    </row>
    <row r="1105" spans="1:18" ht="14.25" customHeight="1" x14ac:dyDescent="0.35">
      <c r="A1105" s="105" t="s">
        <v>213</v>
      </c>
      <c r="B1105" s="105" t="s">
        <v>1979</v>
      </c>
      <c r="C1105" s="105" t="s">
        <v>1980</v>
      </c>
      <c r="D1105" s="105" t="s">
        <v>1292</v>
      </c>
      <c r="E1105" s="95" t="str">
        <f>IFERROR(VLOOKUP(D1105,MANO_DE_OBRA!A:B,2,FALSE()),"?")</f>
        <v>ESPECIALIZADO</v>
      </c>
      <c r="F1105" s="129" t="s">
        <v>2042</v>
      </c>
      <c r="G1105" s="119">
        <v>1</v>
      </c>
      <c r="H1105" s="120">
        <v>0</v>
      </c>
      <c r="I1105" s="96">
        <f>IFERROR(VLOOKUP(D1105,MANO_DE_OBRA!A:C,3,FALSE()),0)</f>
        <v>94177.137883538904</v>
      </c>
      <c r="J1105" s="31">
        <f t="shared" si="427"/>
        <v>94177.137883538904</v>
      </c>
      <c r="K1105" s="32" t="str">
        <f t="shared" si="413"/>
        <v>PTO-1204|MO</v>
      </c>
      <c r="L1105" s="32">
        <f>COUNTIFS($K$2:K1105,K1105)</f>
        <v>2</v>
      </c>
      <c r="M1105" s="32" t="str">
        <f t="shared" si="419"/>
        <v>PTO-1204|MO|2</v>
      </c>
      <c r="N1105" s="121">
        <f>IFERROR(VLOOKUP(A1105,PARTIDAS!A:F,6,FALSE()),0)</f>
        <v>30</v>
      </c>
      <c r="O1105" s="123">
        <f t="shared" si="422"/>
        <v>3.3333333333333333E-2</v>
      </c>
      <c r="P1105" s="123">
        <f>+_xlfn.XLOOKUP(A1105,PPTO_GENERADOR!Q:Q,PPTO_GENERADOR!E:E,"-",0)</f>
        <v>25</v>
      </c>
      <c r="Q1105" s="123">
        <f t="shared" si="423"/>
        <v>0.83333333333333337</v>
      </c>
      <c r="R1105" s="125">
        <f>+_xlfn.XLOOKUP(A1105,PPTO_GENERADOR!$Q:$Q,PPTO_GENERADOR!A:A,"-",0)</f>
        <v>12.04</v>
      </c>
    </row>
    <row r="1106" spans="1:18" ht="14.25" customHeight="1" x14ac:dyDescent="0.35">
      <c r="A1106" s="105" t="s">
        <v>213</v>
      </c>
      <c r="B1106" s="105" t="s">
        <v>1983</v>
      </c>
      <c r="C1106" s="105"/>
      <c r="D1106" s="105" t="s">
        <v>1321</v>
      </c>
      <c r="E1106" s="95" t="str">
        <f>IFERROR(VLOOKUP(D1106,EQUIPOS!A:B,2,FALSE()),"?")</f>
        <v>EQUIPO PARA COLOCACION DE CERAMICA</v>
      </c>
      <c r="F1106" s="129"/>
      <c r="G1106" s="119">
        <v>1</v>
      </c>
      <c r="H1106" s="120">
        <v>0</v>
      </c>
      <c r="I1106" s="96">
        <f>IFERROR(VLOOKUP(D1106,EQUIPOS!A:F,6,FALSE()),0)</f>
        <v>2866.2900480747039</v>
      </c>
      <c r="J1106" s="31">
        <f>G1106*I1106</f>
        <v>2866.2900480747039</v>
      </c>
      <c r="K1106" s="32" t="str">
        <f t="shared" si="413"/>
        <v>PTO-1204|EQ</v>
      </c>
      <c r="L1106" s="32">
        <f>COUNTIFS($K$2:K1106,K1106)</f>
        <v>1</v>
      </c>
      <c r="M1106" s="32" t="str">
        <f t="shared" si="419"/>
        <v>PTO-1204|EQ|1</v>
      </c>
      <c r="N1106" s="121">
        <f>IFERROR(VLOOKUP(A1106,PARTIDAS!A:F,6,FALSE()),0)</f>
        <v>30</v>
      </c>
      <c r="O1106" s="123">
        <f t="shared" si="422"/>
        <v>0</v>
      </c>
      <c r="P1106" s="123">
        <f>+_xlfn.XLOOKUP(A1106,PPTO_GENERADOR!Q:Q,PPTO_GENERADOR!E:E,"-",0)</f>
        <v>25</v>
      </c>
      <c r="Q1106" s="123">
        <f t="shared" si="423"/>
        <v>0</v>
      </c>
      <c r="R1106" s="125">
        <f>+_xlfn.XLOOKUP(A1106,PPTO_GENERADOR!$Q:$Q,PPTO_GENERADOR!A:A,"-",0)</f>
        <v>12.04</v>
      </c>
    </row>
    <row r="1107" spans="1:18" ht="14.25" customHeight="1" x14ac:dyDescent="0.35">
      <c r="A1107" s="105" t="s">
        <v>215</v>
      </c>
      <c r="B1107" s="105" t="s">
        <v>1981</v>
      </c>
      <c r="C1107" s="105" t="s">
        <v>1982</v>
      </c>
      <c r="D1107" s="105" t="s">
        <v>1017</v>
      </c>
      <c r="E1107" s="95" t="str">
        <f>IFERROR(VLOOKUP(D1107,MATERIALES!A:B,2,FALSE()),"?")</f>
        <v>Adhesivo Klaukol Porcellanato Fluido x 30Kg</v>
      </c>
      <c r="F1107" s="129" t="str">
        <f>IFERROR(VLOOKUP(D1107,MATERIALES!A:C,3,FALSE()),"?")</f>
        <v>bol</v>
      </c>
      <c r="G1107" s="119">
        <v>0.2</v>
      </c>
      <c r="H1107" s="120">
        <v>0.2</v>
      </c>
      <c r="I1107" s="96">
        <f>IFERROR(VLOOKUP(D1107,MATERIALES!A:D,4,FALSE()),0)</f>
        <v>17106.768</v>
      </c>
      <c r="J1107" s="31">
        <f t="shared" ref="J1107:J1110" si="428">G1107*I1107*(1+H1107)</f>
        <v>4105.6243199999999</v>
      </c>
      <c r="K1107" s="32" t="str">
        <f t="shared" si="413"/>
        <v>PTO-1301|MAT</v>
      </c>
      <c r="L1107" s="32">
        <f>COUNTIFS($K$2:K1107,K1107)</f>
        <v>1</v>
      </c>
      <c r="M1107" s="32" t="str">
        <f t="shared" si="419"/>
        <v>PTO-1301|MAT|1</v>
      </c>
      <c r="N1107" s="121">
        <f>IFERROR(VLOOKUP(A1107,PARTIDAS!A:F,6,FALSE()),0)</f>
        <v>10</v>
      </c>
      <c r="O1107" s="123">
        <f t="shared" si="422"/>
        <v>0</v>
      </c>
      <c r="P1107" s="123">
        <f>+_xlfn.XLOOKUP(A1107,PPTO_GENERADOR!Q:Q,PPTO_GENERADOR!E:E,"-",0)</f>
        <v>493</v>
      </c>
      <c r="Q1107" s="123">
        <f t="shared" si="423"/>
        <v>0</v>
      </c>
      <c r="R1107" s="125">
        <f>+_xlfn.XLOOKUP(A1107,PPTO_GENERADOR!$Q:$Q,PPTO_GENERADOR!A:A,"-",0)</f>
        <v>13.01</v>
      </c>
    </row>
    <row r="1108" spans="1:18" ht="14.25" customHeight="1" x14ac:dyDescent="0.35">
      <c r="A1108" s="105" t="s">
        <v>215</v>
      </c>
      <c r="B1108" s="105" t="s">
        <v>1981</v>
      </c>
      <c r="C1108" s="105" t="s">
        <v>1982</v>
      </c>
      <c r="D1108" s="105" t="s">
        <v>1021</v>
      </c>
      <c r="E1108" s="95" t="str">
        <f>IFERROR(VLOOKUP(D1108,MATERIALES!A:B,2,FALSE()),"?")</f>
        <v>Pastina Klaukol x 1kg - Alta performance</v>
      </c>
      <c r="F1108" s="129" t="str">
        <f>IFERROR(VLOOKUP(D1108,MATERIALES!A:C,3,FALSE()),"?")</f>
        <v>bol</v>
      </c>
      <c r="G1108" s="119">
        <v>0.2</v>
      </c>
      <c r="H1108" s="120">
        <v>0.05</v>
      </c>
      <c r="I1108" s="96">
        <f>IFERROR(VLOOKUP(D1108,MATERIALES!A:D,4,FALSE()),0)</f>
        <v>3720.15</v>
      </c>
      <c r="J1108" s="31">
        <f t="shared" si="428"/>
        <v>781.2315000000001</v>
      </c>
      <c r="K1108" s="32" t="str">
        <f t="shared" si="413"/>
        <v>PTO-1301|MAT</v>
      </c>
      <c r="L1108" s="32">
        <f>COUNTIFS($K$2:K1108,K1108)</f>
        <v>2</v>
      </c>
      <c r="M1108" s="32" t="str">
        <f t="shared" si="419"/>
        <v>PTO-1301|MAT|2</v>
      </c>
      <c r="N1108" s="121">
        <f>IFERROR(VLOOKUP(A1108,PARTIDAS!A:F,6,FALSE()),0)</f>
        <v>10</v>
      </c>
      <c r="O1108" s="123">
        <f t="shared" si="422"/>
        <v>0</v>
      </c>
      <c r="P1108" s="123">
        <f>+_xlfn.XLOOKUP(A1108,PPTO_GENERADOR!Q:Q,PPTO_GENERADOR!E:E,"-",0)</f>
        <v>493</v>
      </c>
      <c r="Q1108" s="123">
        <f t="shared" si="423"/>
        <v>0</v>
      </c>
      <c r="R1108" s="125">
        <f>+_xlfn.XLOOKUP(A1108,PPTO_GENERADOR!$Q:$Q,PPTO_GENERADOR!A:A,"-",0)</f>
        <v>13.01</v>
      </c>
    </row>
    <row r="1109" spans="1:18" ht="14.25" customHeight="1" x14ac:dyDescent="0.35">
      <c r="A1109" s="105" t="s">
        <v>215</v>
      </c>
      <c r="B1109" s="105" t="s">
        <v>1981</v>
      </c>
      <c r="C1109" s="105" t="s">
        <v>1982</v>
      </c>
      <c r="D1109" s="105" t="s">
        <v>1023</v>
      </c>
      <c r="E1109" s="95" t="str">
        <f>IFERROR(VLOOKUP(D1109,MATERIALES!A:B,2,FALSE()),"?")</f>
        <v>Disco Diamantado Aliafor Turbo Fino TRF</v>
      </c>
      <c r="F1109" s="129" t="str">
        <f>IFERROR(VLOOKUP(D1109,MATERIALES!A:C,3,FALSE()),"?")</f>
        <v>u</v>
      </c>
      <c r="G1109" s="119">
        <v>4.0000000000000001E-3</v>
      </c>
      <c r="H1109" s="120">
        <v>0.05</v>
      </c>
      <c r="I1109" s="96">
        <f>IFERROR(VLOOKUP(D1109,MATERIALES!A:D,4,FALSE()),0)</f>
        <v>11376</v>
      </c>
      <c r="J1109" s="31">
        <f t="shared" si="428"/>
        <v>47.779200000000003</v>
      </c>
      <c r="K1109" s="32" t="str">
        <f t="shared" si="413"/>
        <v>PTO-1301|MAT</v>
      </c>
      <c r="L1109" s="32">
        <f>COUNTIFS($K$2:K1109,K1109)</f>
        <v>3</v>
      </c>
      <c r="M1109" s="32" t="str">
        <f t="shared" si="419"/>
        <v>PTO-1301|MAT|3</v>
      </c>
      <c r="N1109" s="121">
        <f>IFERROR(VLOOKUP(A1109,PARTIDAS!A:F,6,FALSE()),0)</f>
        <v>10</v>
      </c>
      <c r="O1109" s="123">
        <f t="shared" si="422"/>
        <v>0</v>
      </c>
      <c r="P1109" s="123">
        <f>+_xlfn.XLOOKUP(A1109,PPTO_GENERADOR!Q:Q,PPTO_GENERADOR!E:E,"-",0)</f>
        <v>493</v>
      </c>
      <c r="Q1109" s="123">
        <f t="shared" si="423"/>
        <v>0</v>
      </c>
      <c r="R1109" s="125">
        <f>+_xlfn.XLOOKUP(A1109,PPTO_GENERADOR!$Q:$Q,PPTO_GENERADOR!A:A,"-",0)</f>
        <v>13.01</v>
      </c>
    </row>
    <row r="1110" spans="1:18" ht="14.25" customHeight="1" x14ac:dyDescent="0.35">
      <c r="A1110" s="105" t="s">
        <v>215</v>
      </c>
      <c r="B1110" s="105" t="s">
        <v>1981</v>
      </c>
      <c r="C1110" s="105" t="s">
        <v>1982</v>
      </c>
      <c r="D1110" s="105" t="s">
        <v>586</v>
      </c>
      <c r="E1110" s="95" t="str">
        <f>IFERROR(VLOOKUP(D1110,MATERIALES!A:B,2,FALSE()),"?")</f>
        <v>Trapo</v>
      </c>
      <c r="F1110" s="129">
        <f>IFERROR(VLOOKUP(D1110,MATERIALES!A:C,3,FALSE()),"?")</f>
        <v>0</v>
      </c>
      <c r="G1110" s="119">
        <v>0.01</v>
      </c>
      <c r="H1110" s="120">
        <v>0.03</v>
      </c>
      <c r="I1110" s="96">
        <f>IFERROR(VLOOKUP(D1110,MATERIALES!A:D,4,FALSE()),0)</f>
        <v>1182.6446280991699</v>
      </c>
      <c r="J1110" s="31">
        <f t="shared" si="428"/>
        <v>12.181239669421451</v>
      </c>
      <c r="K1110" s="32" t="str">
        <f t="shared" si="413"/>
        <v>PTO-1301|MAT</v>
      </c>
      <c r="L1110" s="32">
        <f>COUNTIFS($K$2:K1110,K1110)</f>
        <v>4</v>
      </c>
      <c r="M1110" s="32" t="str">
        <f t="shared" si="419"/>
        <v>PTO-1301|MAT|4</v>
      </c>
      <c r="N1110" s="121">
        <f>IFERROR(VLOOKUP(A1110,PARTIDAS!A:F,6,FALSE()),0)</f>
        <v>10</v>
      </c>
      <c r="O1110" s="123">
        <f t="shared" si="422"/>
        <v>0</v>
      </c>
      <c r="P1110" s="123">
        <f>+_xlfn.XLOOKUP(A1110,PPTO_GENERADOR!Q:Q,PPTO_GENERADOR!E:E,"-",0)</f>
        <v>493</v>
      </c>
      <c r="Q1110" s="123">
        <f t="shared" si="423"/>
        <v>0</v>
      </c>
      <c r="R1110" s="125">
        <f>+_xlfn.XLOOKUP(A1110,PPTO_GENERADOR!$Q:$Q,PPTO_GENERADOR!A:A,"-",0)</f>
        <v>13.01</v>
      </c>
    </row>
    <row r="1111" spans="1:18" ht="14.25" customHeight="1" x14ac:dyDescent="0.35">
      <c r="A1111" s="105" t="s">
        <v>215</v>
      </c>
      <c r="B1111" s="105" t="s">
        <v>1979</v>
      </c>
      <c r="C1111" s="105" t="s">
        <v>1980</v>
      </c>
      <c r="D1111" s="105" t="s">
        <v>1288</v>
      </c>
      <c r="E1111" s="95" t="str">
        <f>IFERROR(VLOOKUP(D1111,MANO_DE_OBRA!A:B,2,FALSE()),"?")</f>
        <v>MEDIO OFICIAL</v>
      </c>
      <c r="F1111" s="129" t="s">
        <v>2042</v>
      </c>
      <c r="G1111" s="119">
        <v>1</v>
      </c>
      <c r="H1111" s="120">
        <v>0</v>
      </c>
      <c r="I1111" s="96">
        <f>IFERROR(VLOOKUP(D1111,MANO_DE_OBRA!A:C,3,FALSE()),0)</f>
        <v>72132.138365590101</v>
      </c>
      <c r="J1111" s="31">
        <f t="shared" ref="J1111:J1112" si="429">G1111*I1111</f>
        <v>72132.138365590101</v>
      </c>
      <c r="K1111" s="32" t="str">
        <f t="shared" si="413"/>
        <v>PTO-1301|MO</v>
      </c>
      <c r="L1111" s="32">
        <f>COUNTIFS($K$2:K1111,K1111)</f>
        <v>1</v>
      </c>
      <c r="M1111" s="32" t="str">
        <f t="shared" si="419"/>
        <v>PTO-1301|MO|1</v>
      </c>
      <c r="N1111" s="121">
        <f>IFERROR(VLOOKUP(A1111,PARTIDAS!A:F,6,FALSE()),0)</f>
        <v>10</v>
      </c>
      <c r="O1111" s="123">
        <f t="shared" si="422"/>
        <v>0.1</v>
      </c>
      <c r="P1111" s="123">
        <f>+_xlfn.XLOOKUP(A1111,PPTO_GENERADOR!Q:Q,PPTO_GENERADOR!E:E,"-",0)</f>
        <v>493</v>
      </c>
      <c r="Q1111" s="123">
        <f t="shared" si="423"/>
        <v>49.300000000000004</v>
      </c>
      <c r="R1111" s="125">
        <f>+_xlfn.XLOOKUP(A1111,PPTO_GENERADOR!$Q:$Q,PPTO_GENERADOR!A:A,"-",0)</f>
        <v>13.01</v>
      </c>
    </row>
    <row r="1112" spans="1:18" ht="14.25" customHeight="1" x14ac:dyDescent="0.35">
      <c r="A1112" s="105" t="s">
        <v>215</v>
      </c>
      <c r="B1112" s="105" t="s">
        <v>1979</v>
      </c>
      <c r="C1112" s="105" t="s">
        <v>1980</v>
      </c>
      <c r="D1112" s="105" t="s">
        <v>1292</v>
      </c>
      <c r="E1112" s="95" t="str">
        <f>IFERROR(VLOOKUP(D1112,MANO_DE_OBRA!A:B,2,FALSE()),"?")</f>
        <v>ESPECIALIZADO</v>
      </c>
      <c r="F1112" s="129" t="s">
        <v>2042</v>
      </c>
      <c r="G1112" s="119">
        <v>1</v>
      </c>
      <c r="H1112" s="120">
        <v>0</v>
      </c>
      <c r="I1112" s="96">
        <f>IFERROR(VLOOKUP(D1112,MANO_DE_OBRA!A:C,3,FALSE()),0)</f>
        <v>94177.137883538904</v>
      </c>
      <c r="J1112" s="31">
        <f t="shared" si="429"/>
        <v>94177.137883538904</v>
      </c>
      <c r="K1112" s="32" t="str">
        <f t="shared" si="413"/>
        <v>PTO-1301|MO</v>
      </c>
      <c r="L1112" s="32">
        <f>COUNTIFS($K$2:K1112,K1112)</f>
        <v>2</v>
      </c>
      <c r="M1112" s="32" t="str">
        <f t="shared" si="419"/>
        <v>PTO-1301|MO|2</v>
      </c>
      <c r="N1112" s="121">
        <f>IFERROR(VLOOKUP(A1112,PARTIDAS!A:F,6,FALSE()),0)</f>
        <v>10</v>
      </c>
      <c r="O1112" s="123">
        <f t="shared" si="422"/>
        <v>0.1</v>
      </c>
      <c r="P1112" s="123">
        <f>+_xlfn.XLOOKUP(A1112,PPTO_GENERADOR!Q:Q,PPTO_GENERADOR!E:E,"-",0)</f>
        <v>493</v>
      </c>
      <c r="Q1112" s="123">
        <f t="shared" si="423"/>
        <v>49.300000000000004</v>
      </c>
      <c r="R1112" s="125">
        <f>+_xlfn.XLOOKUP(A1112,PPTO_GENERADOR!$Q:$Q,PPTO_GENERADOR!A:A,"-",0)</f>
        <v>13.01</v>
      </c>
    </row>
    <row r="1113" spans="1:18" ht="14.25" customHeight="1" x14ac:dyDescent="0.35">
      <c r="A1113" s="105" t="s">
        <v>215</v>
      </c>
      <c r="B1113" s="105" t="s">
        <v>1983</v>
      </c>
      <c r="C1113" s="105"/>
      <c r="D1113" s="105" t="s">
        <v>1321</v>
      </c>
      <c r="E1113" s="95" t="str">
        <f>IFERROR(VLOOKUP(D1113,EQUIPOS!A:B,2,FALSE()),"?")</f>
        <v>EQUIPO PARA COLOCACION DE CERAMICA</v>
      </c>
      <c r="F1113" s="129"/>
      <c r="G1113" s="119">
        <v>1</v>
      </c>
      <c r="H1113" s="120">
        <v>0</v>
      </c>
      <c r="I1113" s="96">
        <f>IFERROR(VLOOKUP(D1113,EQUIPOS!A:F,6,FALSE()),0)</f>
        <v>2866.2900480747039</v>
      </c>
      <c r="J1113" s="31">
        <f>G1113*I1113</f>
        <v>2866.2900480747039</v>
      </c>
      <c r="K1113" s="32" t="str">
        <f t="shared" si="413"/>
        <v>PTO-1301|EQ</v>
      </c>
      <c r="L1113" s="32">
        <f>COUNTIFS($K$2:K1113,K1113)</f>
        <v>1</v>
      </c>
      <c r="M1113" s="32" t="str">
        <f t="shared" si="419"/>
        <v>PTO-1301|EQ|1</v>
      </c>
      <c r="N1113" s="121">
        <f>IFERROR(VLOOKUP(A1113,PARTIDAS!A:F,6,FALSE()),0)</f>
        <v>10</v>
      </c>
      <c r="O1113" s="123">
        <f t="shared" si="422"/>
        <v>0</v>
      </c>
      <c r="P1113" s="123">
        <f>+_xlfn.XLOOKUP(A1113,PPTO_GENERADOR!Q:Q,PPTO_GENERADOR!E:E,"-",0)</f>
        <v>493</v>
      </c>
      <c r="Q1113" s="123">
        <f t="shared" si="423"/>
        <v>0</v>
      </c>
      <c r="R1113" s="125">
        <f>+_xlfn.XLOOKUP(A1113,PPTO_GENERADOR!$Q:$Q,PPTO_GENERADOR!A:A,"-",0)</f>
        <v>13.01</v>
      </c>
    </row>
    <row r="1114" spans="1:18" ht="14.25" customHeight="1" x14ac:dyDescent="0.35">
      <c r="A1114" s="105" t="s">
        <v>217</v>
      </c>
      <c r="B1114" s="105" t="s">
        <v>1981</v>
      </c>
      <c r="C1114" s="105" t="s">
        <v>1982</v>
      </c>
      <c r="D1114" s="105" t="s">
        <v>1017</v>
      </c>
      <c r="E1114" s="95" t="str">
        <f>IFERROR(VLOOKUP(D1114,MATERIALES!A:B,2,FALSE()),"?")</f>
        <v>Adhesivo Klaukol Porcellanato Fluido x 30Kg</v>
      </c>
      <c r="F1114" s="129" t="str">
        <f>IFERROR(VLOOKUP(D1114,MATERIALES!A:C,3,FALSE()),"?")</f>
        <v>bol</v>
      </c>
      <c r="G1114" s="119">
        <v>0.2</v>
      </c>
      <c r="H1114" s="120">
        <v>0.2</v>
      </c>
      <c r="I1114" s="96">
        <f>IFERROR(VLOOKUP(D1114,MATERIALES!A:D,4,FALSE()),0)</f>
        <v>17106.768</v>
      </c>
      <c r="J1114" s="31">
        <f t="shared" ref="J1114:J1117" si="430">G1114*I1114*(1+H1114)</f>
        <v>4105.6243199999999</v>
      </c>
      <c r="K1114" s="32" t="str">
        <f t="shared" si="413"/>
        <v>PTO-1302|MAT</v>
      </c>
      <c r="L1114" s="32">
        <f>COUNTIFS($K$2:K1114,K1114)</f>
        <v>1</v>
      </c>
      <c r="M1114" s="32" t="str">
        <f t="shared" si="419"/>
        <v>PTO-1302|MAT|1</v>
      </c>
      <c r="N1114" s="121">
        <f>IFERROR(VLOOKUP(A1114,PARTIDAS!A:F,6,FALSE()),0)</f>
        <v>10</v>
      </c>
      <c r="O1114" s="123">
        <f t="shared" si="422"/>
        <v>0</v>
      </c>
      <c r="P1114" s="123">
        <f>+_xlfn.XLOOKUP(A1114,PPTO_GENERADOR!Q:Q,PPTO_GENERADOR!E:E,"-",0)</f>
        <v>82</v>
      </c>
      <c r="Q1114" s="123">
        <f t="shared" si="423"/>
        <v>0</v>
      </c>
      <c r="R1114" s="125">
        <f>+_xlfn.XLOOKUP(A1114,PPTO_GENERADOR!$Q:$Q,PPTO_GENERADOR!A:A,"-",0)</f>
        <v>13.02</v>
      </c>
    </row>
    <row r="1115" spans="1:18" ht="14.25" customHeight="1" x14ac:dyDescent="0.35">
      <c r="A1115" s="105" t="s">
        <v>217</v>
      </c>
      <c r="B1115" s="105" t="s">
        <v>1981</v>
      </c>
      <c r="C1115" s="105" t="s">
        <v>1982</v>
      </c>
      <c r="D1115" s="105" t="s">
        <v>1021</v>
      </c>
      <c r="E1115" s="95" t="str">
        <f>IFERROR(VLOOKUP(D1115,MATERIALES!A:B,2,FALSE()),"?")</f>
        <v>Pastina Klaukol x 1kg - Alta performance</v>
      </c>
      <c r="F1115" s="129" t="str">
        <f>IFERROR(VLOOKUP(D1115,MATERIALES!A:C,3,FALSE()),"?")</f>
        <v>bol</v>
      </c>
      <c r="G1115" s="119">
        <v>0.2</v>
      </c>
      <c r="H1115" s="120">
        <v>0.05</v>
      </c>
      <c r="I1115" s="96">
        <f>IFERROR(VLOOKUP(D1115,MATERIALES!A:D,4,FALSE()),0)</f>
        <v>3720.15</v>
      </c>
      <c r="J1115" s="31">
        <f t="shared" si="430"/>
        <v>781.2315000000001</v>
      </c>
      <c r="K1115" s="32" t="str">
        <f t="shared" si="413"/>
        <v>PTO-1302|MAT</v>
      </c>
      <c r="L1115" s="32">
        <f>COUNTIFS($K$2:K1115,K1115)</f>
        <v>2</v>
      </c>
      <c r="M1115" s="32" t="str">
        <f t="shared" si="419"/>
        <v>PTO-1302|MAT|2</v>
      </c>
      <c r="N1115" s="121">
        <f>IFERROR(VLOOKUP(A1115,PARTIDAS!A:F,6,FALSE()),0)</f>
        <v>10</v>
      </c>
      <c r="O1115" s="123">
        <f t="shared" si="422"/>
        <v>0</v>
      </c>
      <c r="P1115" s="123">
        <f>+_xlfn.XLOOKUP(A1115,PPTO_GENERADOR!Q:Q,PPTO_GENERADOR!E:E,"-",0)</f>
        <v>82</v>
      </c>
      <c r="Q1115" s="123">
        <f t="shared" si="423"/>
        <v>0</v>
      </c>
      <c r="R1115" s="125">
        <f>+_xlfn.XLOOKUP(A1115,PPTO_GENERADOR!$Q:$Q,PPTO_GENERADOR!A:A,"-",0)</f>
        <v>13.02</v>
      </c>
    </row>
    <row r="1116" spans="1:18" ht="14.25" customHeight="1" x14ac:dyDescent="0.35">
      <c r="A1116" s="105" t="s">
        <v>217</v>
      </c>
      <c r="B1116" s="105" t="s">
        <v>1981</v>
      </c>
      <c r="C1116" s="105" t="s">
        <v>1982</v>
      </c>
      <c r="D1116" s="105" t="s">
        <v>1023</v>
      </c>
      <c r="E1116" s="95" t="str">
        <f>IFERROR(VLOOKUP(D1116,MATERIALES!A:B,2,FALSE()),"?")</f>
        <v>Disco Diamantado Aliafor Turbo Fino TRF</v>
      </c>
      <c r="F1116" s="129" t="str">
        <f>IFERROR(VLOOKUP(D1116,MATERIALES!A:C,3,FALSE()),"?")</f>
        <v>u</v>
      </c>
      <c r="G1116" s="119">
        <v>4.0000000000000001E-3</v>
      </c>
      <c r="H1116" s="120">
        <v>0.05</v>
      </c>
      <c r="I1116" s="96">
        <f>IFERROR(VLOOKUP(D1116,MATERIALES!A:D,4,FALSE()),0)</f>
        <v>11376</v>
      </c>
      <c r="J1116" s="31">
        <f t="shared" si="430"/>
        <v>47.779200000000003</v>
      </c>
      <c r="K1116" s="32" t="str">
        <f t="shared" si="413"/>
        <v>PTO-1302|MAT</v>
      </c>
      <c r="L1116" s="32">
        <f>COUNTIFS($K$2:K1116,K1116)</f>
        <v>3</v>
      </c>
      <c r="M1116" s="32" t="str">
        <f t="shared" si="419"/>
        <v>PTO-1302|MAT|3</v>
      </c>
      <c r="N1116" s="121">
        <f>IFERROR(VLOOKUP(A1116,PARTIDAS!A:F,6,FALSE()),0)</f>
        <v>10</v>
      </c>
      <c r="O1116" s="123">
        <f t="shared" si="422"/>
        <v>0</v>
      </c>
      <c r="P1116" s="123">
        <f>+_xlfn.XLOOKUP(A1116,PPTO_GENERADOR!Q:Q,PPTO_GENERADOR!E:E,"-",0)</f>
        <v>82</v>
      </c>
      <c r="Q1116" s="123">
        <f t="shared" si="423"/>
        <v>0</v>
      </c>
      <c r="R1116" s="125">
        <f>+_xlfn.XLOOKUP(A1116,PPTO_GENERADOR!$Q:$Q,PPTO_GENERADOR!A:A,"-",0)</f>
        <v>13.02</v>
      </c>
    </row>
    <row r="1117" spans="1:18" ht="14.25" customHeight="1" x14ac:dyDescent="0.35">
      <c r="A1117" s="105" t="s">
        <v>217</v>
      </c>
      <c r="B1117" s="105" t="s">
        <v>1981</v>
      </c>
      <c r="C1117" s="105" t="s">
        <v>1982</v>
      </c>
      <c r="D1117" s="105" t="s">
        <v>586</v>
      </c>
      <c r="E1117" s="95" t="str">
        <f>IFERROR(VLOOKUP(D1117,MATERIALES!A:B,2,FALSE()),"?")</f>
        <v>Trapo</v>
      </c>
      <c r="F1117" s="129">
        <f>IFERROR(VLOOKUP(D1117,MATERIALES!A:C,3,FALSE()),"?")</f>
        <v>0</v>
      </c>
      <c r="G1117" s="119">
        <v>0.01</v>
      </c>
      <c r="H1117" s="120">
        <v>0.03</v>
      </c>
      <c r="I1117" s="96">
        <f>IFERROR(VLOOKUP(D1117,MATERIALES!A:D,4,FALSE()),0)</f>
        <v>1182.6446280991699</v>
      </c>
      <c r="J1117" s="31">
        <f t="shared" si="430"/>
        <v>12.181239669421451</v>
      </c>
      <c r="K1117" s="32" t="str">
        <f t="shared" si="413"/>
        <v>PTO-1302|MAT</v>
      </c>
      <c r="L1117" s="32">
        <f>COUNTIFS($K$2:K1117,K1117)</f>
        <v>4</v>
      </c>
      <c r="M1117" s="32" t="str">
        <f t="shared" si="419"/>
        <v>PTO-1302|MAT|4</v>
      </c>
      <c r="N1117" s="121">
        <f>IFERROR(VLOOKUP(A1117,PARTIDAS!A:F,6,FALSE()),0)</f>
        <v>10</v>
      </c>
      <c r="O1117" s="123">
        <f t="shared" si="422"/>
        <v>0</v>
      </c>
      <c r="P1117" s="123">
        <f>+_xlfn.XLOOKUP(A1117,PPTO_GENERADOR!Q:Q,PPTO_GENERADOR!E:E,"-",0)</f>
        <v>82</v>
      </c>
      <c r="Q1117" s="123">
        <f t="shared" si="423"/>
        <v>0</v>
      </c>
      <c r="R1117" s="125">
        <f>+_xlfn.XLOOKUP(A1117,PPTO_GENERADOR!$Q:$Q,PPTO_GENERADOR!A:A,"-",0)</f>
        <v>13.02</v>
      </c>
    </row>
    <row r="1118" spans="1:18" ht="14.25" customHeight="1" x14ac:dyDescent="0.35">
      <c r="A1118" s="105" t="s">
        <v>217</v>
      </c>
      <c r="B1118" s="105" t="s">
        <v>1979</v>
      </c>
      <c r="C1118" s="105" t="s">
        <v>1980</v>
      </c>
      <c r="D1118" s="105" t="s">
        <v>1288</v>
      </c>
      <c r="E1118" s="95" t="str">
        <f>IFERROR(VLOOKUP(D1118,MANO_DE_OBRA!A:B,2,FALSE()),"?")</f>
        <v>MEDIO OFICIAL</v>
      </c>
      <c r="F1118" s="129" t="s">
        <v>2042</v>
      </c>
      <c r="G1118" s="119">
        <v>1</v>
      </c>
      <c r="H1118" s="120">
        <v>0</v>
      </c>
      <c r="I1118" s="96">
        <f>IFERROR(VLOOKUP(D1118,MANO_DE_OBRA!A:C,3,FALSE()),0)</f>
        <v>72132.138365590101</v>
      </c>
      <c r="J1118" s="31">
        <f t="shared" ref="J1118:J1119" si="431">G1118*I1118</f>
        <v>72132.138365590101</v>
      </c>
      <c r="K1118" s="32" t="str">
        <f t="shared" si="413"/>
        <v>PTO-1302|MO</v>
      </c>
      <c r="L1118" s="32">
        <f>COUNTIFS($K$2:K1118,K1118)</f>
        <v>1</v>
      </c>
      <c r="M1118" s="32" t="str">
        <f t="shared" si="419"/>
        <v>PTO-1302|MO|1</v>
      </c>
      <c r="N1118" s="121">
        <f>IFERROR(VLOOKUP(A1118,PARTIDAS!A:F,6,FALSE()),0)</f>
        <v>10</v>
      </c>
      <c r="O1118" s="123">
        <f t="shared" si="422"/>
        <v>0.1</v>
      </c>
      <c r="P1118" s="123">
        <f>+_xlfn.XLOOKUP(A1118,PPTO_GENERADOR!Q:Q,PPTO_GENERADOR!E:E,"-",0)</f>
        <v>82</v>
      </c>
      <c r="Q1118" s="123">
        <f t="shared" si="423"/>
        <v>8.2000000000000011</v>
      </c>
      <c r="R1118" s="125">
        <f>+_xlfn.XLOOKUP(A1118,PPTO_GENERADOR!$Q:$Q,PPTO_GENERADOR!A:A,"-",0)</f>
        <v>13.02</v>
      </c>
    </row>
    <row r="1119" spans="1:18" ht="14.25" customHeight="1" x14ac:dyDescent="0.35">
      <c r="A1119" s="105" t="s">
        <v>217</v>
      </c>
      <c r="B1119" s="105" t="s">
        <v>1979</v>
      </c>
      <c r="C1119" s="105" t="s">
        <v>1980</v>
      </c>
      <c r="D1119" s="105" t="s">
        <v>1292</v>
      </c>
      <c r="E1119" s="95" t="str">
        <f>IFERROR(VLOOKUP(D1119,MANO_DE_OBRA!A:B,2,FALSE()),"?")</f>
        <v>ESPECIALIZADO</v>
      </c>
      <c r="F1119" s="129" t="s">
        <v>2042</v>
      </c>
      <c r="G1119" s="119">
        <v>1</v>
      </c>
      <c r="H1119" s="120">
        <v>0</v>
      </c>
      <c r="I1119" s="96">
        <f>IFERROR(VLOOKUP(D1119,MANO_DE_OBRA!A:C,3,FALSE()),0)</f>
        <v>94177.137883538904</v>
      </c>
      <c r="J1119" s="31">
        <f t="shared" si="431"/>
        <v>94177.137883538904</v>
      </c>
      <c r="K1119" s="32" t="str">
        <f t="shared" si="413"/>
        <v>PTO-1302|MO</v>
      </c>
      <c r="L1119" s="32">
        <f>COUNTIFS($K$2:K1119,K1119)</f>
        <v>2</v>
      </c>
      <c r="M1119" s="32" t="str">
        <f t="shared" si="419"/>
        <v>PTO-1302|MO|2</v>
      </c>
      <c r="N1119" s="121">
        <f>IFERROR(VLOOKUP(A1119,PARTIDAS!A:F,6,FALSE()),0)</f>
        <v>10</v>
      </c>
      <c r="O1119" s="123">
        <f t="shared" si="422"/>
        <v>0.1</v>
      </c>
      <c r="P1119" s="123">
        <f>+_xlfn.XLOOKUP(A1119,PPTO_GENERADOR!Q:Q,PPTO_GENERADOR!E:E,"-",0)</f>
        <v>82</v>
      </c>
      <c r="Q1119" s="123">
        <f t="shared" si="423"/>
        <v>8.2000000000000011</v>
      </c>
      <c r="R1119" s="125">
        <f>+_xlfn.XLOOKUP(A1119,PPTO_GENERADOR!$Q:$Q,PPTO_GENERADOR!A:A,"-",0)</f>
        <v>13.02</v>
      </c>
    </row>
    <row r="1120" spans="1:18" ht="14.25" customHeight="1" x14ac:dyDescent="0.35">
      <c r="A1120" s="105" t="s">
        <v>217</v>
      </c>
      <c r="B1120" s="105" t="s">
        <v>1983</v>
      </c>
      <c r="C1120" s="105"/>
      <c r="D1120" s="105" t="s">
        <v>1321</v>
      </c>
      <c r="E1120" s="95" t="str">
        <f>IFERROR(VLOOKUP(D1120,EQUIPOS!A:B,2,FALSE()),"?")</f>
        <v>EQUIPO PARA COLOCACION DE CERAMICA</v>
      </c>
      <c r="F1120" s="129"/>
      <c r="G1120" s="119">
        <v>1</v>
      </c>
      <c r="H1120" s="120">
        <v>0</v>
      </c>
      <c r="I1120" s="96">
        <f>IFERROR(VLOOKUP(D1120,EQUIPOS!A:F,6,FALSE()),0)</f>
        <v>2866.2900480747039</v>
      </c>
      <c r="J1120" s="31">
        <f>G1120*I1120</f>
        <v>2866.2900480747039</v>
      </c>
      <c r="K1120" s="32" t="str">
        <f t="shared" si="413"/>
        <v>PTO-1302|EQ</v>
      </c>
      <c r="L1120" s="32">
        <f>COUNTIFS($K$2:K1120,K1120)</f>
        <v>1</v>
      </c>
      <c r="M1120" s="32" t="str">
        <f t="shared" si="419"/>
        <v>PTO-1302|EQ|1</v>
      </c>
      <c r="N1120" s="121">
        <f>IFERROR(VLOOKUP(A1120,PARTIDAS!A:F,6,FALSE()),0)</f>
        <v>10</v>
      </c>
      <c r="O1120" s="123">
        <f t="shared" si="422"/>
        <v>0</v>
      </c>
      <c r="P1120" s="123">
        <f>+_xlfn.XLOOKUP(A1120,PPTO_GENERADOR!Q:Q,PPTO_GENERADOR!E:E,"-",0)</f>
        <v>82</v>
      </c>
      <c r="Q1120" s="123">
        <f t="shared" si="423"/>
        <v>0</v>
      </c>
      <c r="R1120" s="125">
        <f>+_xlfn.XLOOKUP(A1120,PPTO_GENERADOR!$Q:$Q,PPTO_GENERADOR!A:A,"-",0)</f>
        <v>13.02</v>
      </c>
    </row>
    <row r="1121" spans="1:18" ht="14.25" customHeight="1" x14ac:dyDescent="0.35">
      <c r="A1121" s="105" t="s">
        <v>219</v>
      </c>
      <c r="B1121" s="105" t="s">
        <v>1981</v>
      </c>
      <c r="C1121" s="105" t="s">
        <v>1982</v>
      </c>
      <c r="D1121" s="105" t="s">
        <v>1017</v>
      </c>
      <c r="E1121" s="95" t="str">
        <f>IFERROR(VLOOKUP(D1121,MATERIALES!A:B,2,FALSE()),"?")</f>
        <v>Adhesivo Klaukol Porcellanato Fluido x 30Kg</v>
      </c>
      <c r="F1121" s="129" t="str">
        <f>IFERROR(VLOOKUP(D1121,MATERIALES!A:C,3,FALSE()),"?")</f>
        <v>bol</v>
      </c>
      <c r="G1121" s="119">
        <v>0.04</v>
      </c>
      <c r="H1121" s="120">
        <v>0.2</v>
      </c>
      <c r="I1121" s="96">
        <f>IFERROR(VLOOKUP(D1121,MATERIALES!A:D,4,FALSE()),0)</f>
        <v>17106.768</v>
      </c>
      <c r="J1121" s="31">
        <f t="shared" ref="J1121:J1124" si="432">G1121*I1121*(1+H1121)</f>
        <v>821.124864</v>
      </c>
      <c r="K1121" s="32" t="str">
        <f t="shared" si="413"/>
        <v>PTO-1303|MAT</v>
      </c>
      <c r="L1121" s="32">
        <f>COUNTIFS($K$2:K1121,K1121)</f>
        <v>1</v>
      </c>
      <c r="M1121" s="32" t="str">
        <f t="shared" si="419"/>
        <v>PTO-1303|MAT|1</v>
      </c>
      <c r="N1121" s="121">
        <f>IFERROR(VLOOKUP(A1121,PARTIDAS!A:F,6,FALSE()),0)</f>
        <v>30</v>
      </c>
      <c r="O1121" s="123">
        <f t="shared" si="422"/>
        <v>0</v>
      </c>
      <c r="P1121" s="123">
        <f>+_xlfn.XLOOKUP(A1121,PPTO_GENERADOR!Q:Q,PPTO_GENERADOR!E:E,"-",0)</f>
        <v>152</v>
      </c>
      <c r="Q1121" s="123">
        <f t="shared" si="423"/>
        <v>0</v>
      </c>
      <c r="R1121" s="125">
        <f>+_xlfn.XLOOKUP(A1121,PPTO_GENERADOR!$Q:$Q,PPTO_GENERADOR!A:A,"-",0)</f>
        <v>13.03</v>
      </c>
    </row>
    <row r="1122" spans="1:18" ht="14.25" customHeight="1" x14ac:dyDescent="0.35">
      <c r="A1122" s="105" t="s">
        <v>219</v>
      </c>
      <c r="B1122" s="105" t="s">
        <v>1981</v>
      </c>
      <c r="C1122" s="105" t="s">
        <v>1982</v>
      </c>
      <c r="D1122" s="105" t="s">
        <v>1023</v>
      </c>
      <c r="E1122" s="95" t="str">
        <f>IFERROR(VLOOKUP(D1122,MATERIALES!A:B,2,FALSE()),"?")</f>
        <v>Disco Diamantado Aliafor Turbo Fino TRF</v>
      </c>
      <c r="F1122" s="129" t="str">
        <f>IFERROR(VLOOKUP(D1122,MATERIALES!A:C,3,FALSE()),"?")</f>
        <v>u</v>
      </c>
      <c r="G1122" s="119">
        <v>1E-3</v>
      </c>
      <c r="H1122" s="120">
        <v>0.05</v>
      </c>
      <c r="I1122" s="96">
        <f>IFERROR(VLOOKUP(D1122,MATERIALES!A:D,4,FALSE()),0)</f>
        <v>11376</v>
      </c>
      <c r="J1122" s="31">
        <f t="shared" si="432"/>
        <v>11.944800000000001</v>
      </c>
      <c r="K1122" s="32" t="str">
        <f t="shared" si="413"/>
        <v>PTO-1303|MAT</v>
      </c>
      <c r="L1122" s="32">
        <f>COUNTIFS($K$2:K1122,K1122)</f>
        <v>2</v>
      </c>
      <c r="M1122" s="32" t="str">
        <f t="shared" si="419"/>
        <v>PTO-1303|MAT|2</v>
      </c>
      <c r="N1122" s="121">
        <f>IFERROR(VLOOKUP(A1122,PARTIDAS!A:F,6,FALSE()),0)</f>
        <v>30</v>
      </c>
      <c r="O1122" s="123">
        <f t="shared" si="422"/>
        <v>0</v>
      </c>
      <c r="P1122" s="123">
        <f>+_xlfn.XLOOKUP(A1122,PPTO_GENERADOR!Q:Q,PPTO_GENERADOR!E:E,"-",0)</f>
        <v>152</v>
      </c>
      <c r="Q1122" s="123">
        <f t="shared" si="423"/>
        <v>0</v>
      </c>
      <c r="R1122" s="125">
        <f>+_xlfn.XLOOKUP(A1122,PPTO_GENERADOR!$Q:$Q,PPTO_GENERADOR!A:A,"-",0)</f>
        <v>13.03</v>
      </c>
    </row>
    <row r="1123" spans="1:18" ht="14.25" customHeight="1" x14ac:dyDescent="0.35">
      <c r="A1123" s="105" t="s">
        <v>219</v>
      </c>
      <c r="B1123" s="105" t="s">
        <v>1981</v>
      </c>
      <c r="C1123" s="105" t="s">
        <v>1982</v>
      </c>
      <c r="D1123" s="105" t="s">
        <v>1021</v>
      </c>
      <c r="E1123" s="95" t="str">
        <f>IFERROR(VLOOKUP(D1123,MATERIALES!A:B,2,FALSE()),"?")</f>
        <v>Pastina Klaukol x 1kg - Alta performance</v>
      </c>
      <c r="F1123" s="129" t="str">
        <f>IFERROR(VLOOKUP(D1123,MATERIALES!A:C,3,FALSE()),"?")</f>
        <v>bol</v>
      </c>
      <c r="G1123" s="119">
        <v>0.04</v>
      </c>
      <c r="H1123" s="120">
        <v>0.05</v>
      </c>
      <c r="I1123" s="96">
        <f>IFERROR(VLOOKUP(D1123,MATERIALES!A:D,4,FALSE()),0)</f>
        <v>3720.15</v>
      </c>
      <c r="J1123" s="31">
        <f t="shared" si="432"/>
        <v>156.24630000000002</v>
      </c>
      <c r="K1123" s="32" t="str">
        <f t="shared" si="413"/>
        <v>PTO-1303|MAT</v>
      </c>
      <c r="L1123" s="32">
        <f>COUNTIFS($K$2:K1123,K1123)</f>
        <v>3</v>
      </c>
      <c r="M1123" s="32" t="str">
        <f t="shared" si="419"/>
        <v>PTO-1303|MAT|3</v>
      </c>
      <c r="N1123" s="121">
        <f>IFERROR(VLOOKUP(A1123,PARTIDAS!A:F,6,FALSE()),0)</f>
        <v>30</v>
      </c>
      <c r="O1123" s="123">
        <f t="shared" si="422"/>
        <v>0</v>
      </c>
      <c r="P1123" s="123">
        <f>+_xlfn.XLOOKUP(A1123,PPTO_GENERADOR!Q:Q,PPTO_GENERADOR!E:E,"-",0)</f>
        <v>152</v>
      </c>
      <c r="Q1123" s="123">
        <f t="shared" si="423"/>
        <v>0</v>
      </c>
      <c r="R1123" s="125">
        <f>+_xlfn.XLOOKUP(A1123,PPTO_GENERADOR!$Q:$Q,PPTO_GENERADOR!A:A,"-",0)</f>
        <v>13.03</v>
      </c>
    </row>
    <row r="1124" spans="1:18" ht="14.25" customHeight="1" x14ac:dyDescent="0.35">
      <c r="A1124" s="105" t="s">
        <v>219</v>
      </c>
      <c r="B1124" s="105" t="s">
        <v>1981</v>
      </c>
      <c r="C1124" s="105" t="s">
        <v>1982</v>
      </c>
      <c r="D1124" s="105" t="s">
        <v>586</v>
      </c>
      <c r="E1124" s="95" t="str">
        <f>IFERROR(VLOOKUP(D1124,MATERIALES!A:B,2,FALSE()),"?")</f>
        <v>Trapo</v>
      </c>
      <c r="F1124" s="129">
        <f>IFERROR(VLOOKUP(D1124,MATERIALES!A:C,3,FALSE()),"?")</f>
        <v>0</v>
      </c>
      <c r="G1124" s="119">
        <v>0.01</v>
      </c>
      <c r="H1124" s="120">
        <v>0.03</v>
      </c>
      <c r="I1124" s="96">
        <f>IFERROR(VLOOKUP(D1124,MATERIALES!A:D,4,FALSE()),0)</f>
        <v>1182.6446280991699</v>
      </c>
      <c r="J1124" s="31">
        <f t="shared" si="432"/>
        <v>12.181239669421451</v>
      </c>
      <c r="K1124" s="32" t="str">
        <f t="shared" si="413"/>
        <v>PTO-1303|MAT</v>
      </c>
      <c r="L1124" s="32">
        <f>COUNTIFS($K$2:K1124,K1124)</f>
        <v>4</v>
      </c>
      <c r="M1124" s="32" t="str">
        <f t="shared" si="419"/>
        <v>PTO-1303|MAT|4</v>
      </c>
      <c r="N1124" s="121">
        <f>IFERROR(VLOOKUP(A1124,PARTIDAS!A:F,6,FALSE()),0)</f>
        <v>30</v>
      </c>
      <c r="O1124" s="123">
        <f t="shared" si="422"/>
        <v>0</v>
      </c>
      <c r="P1124" s="123">
        <f>+_xlfn.XLOOKUP(A1124,PPTO_GENERADOR!Q:Q,PPTO_GENERADOR!E:E,"-",0)</f>
        <v>152</v>
      </c>
      <c r="Q1124" s="123">
        <f t="shared" si="423"/>
        <v>0</v>
      </c>
      <c r="R1124" s="125">
        <f>+_xlfn.XLOOKUP(A1124,PPTO_GENERADOR!$Q:$Q,PPTO_GENERADOR!A:A,"-",0)</f>
        <v>13.03</v>
      </c>
    </row>
    <row r="1125" spans="1:18" ht="14.25" customHeight="1" x14ac:dyDescent="0.35">
      <c r="A1125" s="105" t="s">
        <v>219</v>
      </c>
      <c r="B1125" s="105" t="s">
        <v>1979</v>
      </c>
      <c r="C1125" s="105" t="s">
        <v>1980</v>
      </c>
      <c r="D1125" s="105" t="s">
        <v>1288</v>
      </c>
      <c r="E1125" s="95" t="str">
        <f>IFERROR(VLOOKUP(D1125,MANO_DE_OBRA!A:B,2,FALSE()),"?")</f>
        <v>MEDIO OFICIAL</v>
      </c>
      <c r="F1125" s="129" t="s">
        <v>2042</v>
      </c>
      <c r="G1125" s="119">
        <v>1</v>
      </c>
      <c r="H1125" s="120">
        <v>0</v>
      </c>
      <c r="I1125" s="96">
        <f>IFERROR(VLOOKUP(D1125,MANO_DE_OBRA!A:C,3,FALSE()),0)</f>
        <v>72132.138365590101</v>
      </c>
      <c r="J1125" s="31">
        <f t="shared" ref="J1125:J1126" si="433">G1125*I1125</f>
        <v>72132.138365590101</v>
      </c>
      <c r="K1125" s="32" t="str">
        <f t="shared" si="413"/>
        <v>PTO-1303|MO</v>
      </c>
      <c r="L1125" s="32">
        <f>COUNTIFS($K$2:K1125,K1125)</f>
        <v>1</v>
      </c>
      <c r="M1125" s="32" t="str">
        <f t="shared" si="419"/>
        <v>PTO-1303|MO|1</v>
      </c>
      <c r="N1125" s="121">
        <f>IFERROR(VLOOKUP(A1125,PARTIDAS!A:F,6,FALSE()),0)</f>
        <v>30</v>
      </c>
      <c r="O1125" s="123">
        <f t="shared" si="422"/>
        <v>3.3333333333333333E-2</v>
      </c>
      <c r="P1125" s="123">
        <f>+_xlfn.XLOOKUP(A1125,PPTO_GENERADOR!Q:Q,PPTO_GENERADOR!E:E,"-",0)</f>
        <v>152</v>
      </c>
      <c r="Q1125" s="123">
        <f t="shared" si="423"/>
        <v>5.0666666666666664</v>
      </c>
      <c r="R1125" s="125">
        <f>+_xlfn.XLOOKUP(A1125,PPTO_GENERADOR!$Q:$Q,PPTO_GENERADOR!A:A,"-",0)</f>
        <v>13.03</v>
      </c>
    </row>
    <row r="1126" spans="1:18" ht="14.25" customHeight="1" x14ac:dyDescent="0.35">
      <c r="A1126" s="105" t="s">
        <v>219</v>
      </c>
      <c r="B1126" s="105" t="s">
        <v>1979</v>
      </c>
      <c r="C1126" s="105" t="s">
        <v>1980</v>
      </c>
      <c r="D1126" s="105" t="s">
        <v>1292</v>
      </c>
      <c r="E1126" s="95" t="str">
        <f>IFERROR(VLOOKUP(D1126,MANO_DE_OBRA!A:B,2,FALSE()),"?")</f>
        <v>ESPECIALIZADO</v>
      </c>
      <c r="F1126" s="129" t="s">
        <v>2042</v>
      </c>
      <c r="G1126" s="119">
        <v>1</v>
      </c>
      <c r="H1126" s="120">
        <v>0</v>
      </c>
      <c r="I1126" s="96">
        <f>IFERROR(VLOOKUP(D1126,MANO_DE_OBRA!A:C,3,FALSE()),0)</f>
        <v>94177.137883538904</v>
      </c>
      <c r="J1126" s="31">
        <f t="shared" si="433"/>
        <v>94177.137883538904</v>
      </c>
      <c r="K1126" s="32" t="str">
        <f t="shared" si="413"/>
        <v>PTO-1303|MO</v>
      </c>
      <c r="L1126" s="32">
        <f>COUNTIFS($K$2:K1126,K1126)</f>
        <v>2</v>
      </c>
      <c r="M1126" s="32" t="str">
        <f t="shared" si="419"/>
        <v>PTO-1303|MO|2</v>
      </c>
      <c r="N1126" s="121">
        <f>IFERROR(VLOOKUP(A1126,PARTIDAS!A:F,6,FALSE()),0)</f>
        <v>30</v>
      </c>
      <c r="O1126" s="123">
        <f t="shared" si="422"/>
        <v>3.3333333333333333E-2</v>
      </c>
      <c r="P1126" s="123">
        <f>+_xlfn.XLOOKUP(A1126,PPTO_GENERADOR!Q:Q,PPTO_GENERADOR!E:E,"-",0)</f>
        <v>152</v>
      </c>
      <c r="Q1126" s="123">
        <f t="shared" si="423"/>
        <v>5.0666666666666664</v>
      </c>
      <c r="R1126" s="125">
        <f>+_xlfn.XLOOKUP(A1126,PPTO_GENERADOR!$Q:$Q,PPTO_GENERADOR!A:A,"-",0)</f>
        <v>13.03</v>
      </c>
    </row>
    <row r="1127" spans="1:18" ht="14.25" customHeight="1" x14ac:dyDescent="0.35">
      <c r="A1127" s="105" t="s">
        <v>219</v>
      </c>
      <c r="B1127" s="105" t="s">
        <v>1983</v>
      </c>
      <c r="C1127" s="105"/>
      <c r="D1127" s="105" t="s">
        <v>1321</v>
      </c>
      <c r="E1127" s="95" t="str">
        <f>IFERROR(VLOOKUP(D1127,EQUIPOS!A:B,2,FALSE()),"?")</f>
        <v>EQUIPO PARA COLOCACION DE CERAMICA</v>
      </c>
      <c r="F1127" s="129"/>
      <c r="G1127" s="119">
        <v>1</v>
      </c>
      <c r="H1127" s="120">
        <v>0</v>
      </c>
      <c r="I1127" s="96">
        <f>IFERROR(VLOOKUP(D1127,EQUIPOS!A:F,6,FALSE()),0)</f>
        <v>2866.2900480747039</v>
      </c>
      <c r="J1127" s="31">
        <f>G1127*I1127</f>
        <v>2866.2900480747039</v>
      </c>
      <c r="K1127" s="32" t="str">
        <f t="shared" si="413"/>
        <v>PTO-1303|EQ</v>
      </c>
      <c r="L1127" s="32">
        <f>COUNTIFS($K$2:K1127,K1127)</f>
        <v>1</v>
      </c>
      <c r="M1127" s="32" t="str">
        <f t="shared" si="419"/>
        <v>PTO-1303|EQ|1</v>
      </c>
      <c r="N1127" s="121">
        <f>IFERROR(VLOOKUP(A1127,PARTIDAS!A:F,6,FALSE()),0)</f>
        <v>30</v>
      </c>
      <c r="O1127" s="123">
        <f t="shared" si="422"/>
        <v>0</v>
      </c>
      <c r="P1127" s="123">
        <f>+_xlfn.XLOOKUP(A1127,PPTO_GENERADOR!Q:Q,PPTO_GENERADOR!E:E,"-",0)</f>
        <v>152</v>
      </c>
      <c r="Q1127" s="123">
        <f t="shared" si="423"/>
        <v>0</v>
      </c>
      <c r="R1127" s="125">
        <f>+_xlfn.XLOOKUP(A1127,PPTO_GENERADOR!$Q:$Q,PPTO_GENERADOR!A:A,"-",0)</f>
        <v>13.03</v>
      </c>
    </row>
    <row r="1128" spans="1:18" ht="14.25" customHeight="1" x14ac:dyDescent="0.35">
      <c r="A1128" s="105" t="s">
        <v>222</v>
      </c>
      <c r="B1128" s="105" t="s">
        <v>1981</v>
      </c>
      <c r="C1128" s="105" t="s">
        <v>1982</v>
      </c>
      <c r="D1128" s="105" t="s">
        <v>929</v>
      </c>
      <c r="E1128" s="95" t="str">
        <f>IFERROR(VLOOKUP(D1128,MATERIALES!A:B,2,FALSE()),"?")</f>
        <v>Solera 35mm x 2.60m</v>
      </c>
      <c r="F1128" s="129" t="str">
        <f>IFERROR(VLOOKUP(D1128,MATERIALES!A:C,3,FALSE()),"?")</f>
        <v>u</v>
      </c>
      <c r="G1128" s="119">
        <v>0.50769200000000003</v>
      </c>
      <c r="H1128" s="120">
        <v>0.1</v>
      </c>
      <c r="I1128" s="96">
        <f>IFERROR(VLOOKUP(D1128,MATERIALES!A:D,4,FALSE()),0)</f>
        <v>2244.87</v>
      </c>
      <c r="J1128" s="31">
        <f t="shared" ref="J1128:J1135" si="434">G1128*I1128*(1+H1128)</f>
        <v>1253.6727940440001</v>
      </c>
      <c r="K1128" s="32" t="str">
        <f t="shared" si="413"/>
        <v>PTO-1401|MAT</v>
      </c>
      <c r="L1128" s="32">
        <f>COUNTIFS($K$2:K1128,K1128)</f>
        <v>1</v>
      </c>
      <c r="M1128" s="32" t="str">
        <f t="shared" si="419"/>
        <v>PTO-1401|MAT|1</v>
      </c>
      <c r="N1128" s="121">
        <f>IFERROR(VLOOKUP(A1128,PARTIDAS!A:F,6,FALSE()),0)</f>
        <v>9.5</v>
      </c>
      <c r="O1128" s="123">
        <f t="shared" si="422"/>
        <v>0</v>
      </c>
      <c r="P1128" s="123">
        <f>+_xlfn.XLOOKUP(A1128,PPTO_GENERADOR!Q:Q,PPTO_GENERADOR!E:E,"-",0)</f>
        <v>146</v>
      </c>
      <c r="Q1128" s="123">
        <f t="shared" si="423"/>
        <v>0</v>
      </c>
      <c r="R1128" s="125">
        <f>+_xlfn.XLOOKUP(A1128,PPTO_GENERADOR!$Q:$Q,PPTO_GENERADOR!A:A,"-",0)</f>
        <v>14.01</v>
      </c>
    </row>
    <row r="1129" spans="1:18" ht="14.25" customHeight="1" x14ac:dyDescent="0.35">
      <c r="A1129" s="105" t="s">
        <v>222</v>
      </c>
      <c r="B1129" s="105" t="s">
        <v>1981</v>
      </c>
      <c r="C1129" s="105" t="s">
        <v>1982</v>
      </c>
      <c r="D1129" s="105" t="s">
        <v>931</v>
      </c>
      <c r="E1129" s="95" t="str">
        <f>IFERROR(VLOOKUP(D1129,MATERIALES!A:B,2,FALSE()),"?")</f>
        <v>Montante 34mm x 2.60m</v>
      </c>
      <c r="F1129" s="129" t="str">
        <f>IFERROR(VLOOKUP(D1129,MATERIALES!A:C,3,FALSE()),"?")</f>
        <v>u</v>
      </c>
      <c r="G1129" s="119">
        <v>1.230769</v>
      </c>
      <c r="H1129" s="120">
        <v>0.1</v>
      </c>
      <c r="I1129" s="96">
        <f>IFERROR(VLOOKUP(D1129,MATERIALES!A:D,4,FALSE()),0)</f>
        <v>2574.7199999999998</v>
      </c>
      <c r="J1129" s="31">
        <f t="shared" si="434"/>
        <v>3485.7741156480001</v>
      </c>
      <c r="K1129" s="32" t="str">
        <f t="shared" si="413"/>
        <v>PTO-1401|MAT</v>
      </c>
      <c r="L1129" s="32">
        <f>COUNTIFS($K$2:K1129,K1129)</f>
        <v>2</v>
      </c>
      <c r="M1129" s="32" t="str">
        <f t="shared" si="419"/>
        <v>PTO-1401|MAT|2</v>
      </c>
      <c r="N1129" s="121">
        <f>IFERROR(VLOOKUP(A1129,PARTIDAS!A:F,6,FALSE()),0)</f>
        <v>9.5</v>
      </c>
      <c r="O1129" s="123">
        <f t="shared" si="422"/>
        <v>0</v>
      </c>
      <c r="P1129" s="123">
        <f>+_xlfn.XLOOKUP(A1129,PPTO_GENERADOR!Q:Q,PPTO_GENERADOR!E:E,"-",0)</f>
        <v>146</v>
      </c>
      <c r="Q1129" s="123">
        <f t="shared" si="423"/>
        <v>0</v>
      </c>
      <c r="R1129" s="125">
        <f>+_xlfn.XLOOKUP(A1129,PPTO_GENERADOR!$Q:$Q,PPTO_GENERADOR!A:A,"-",0)</f>
        <v>14.01</v>
      </c>
    </row>
    <row r="1130" spans="1:18" ht="14.25" customHeight="1" x14ac:dyDescent="0.35">
      <c r="A1130" s="105" t="s">
        <v>222</v>
      </c>
      <c r="B1130" s="105" t="s">
        <v>1981</v>
      </c>
      <c r="C1130" s="105" t="s">
        <v>1982</v>
      </c>
      <c r="D1130" s="105" t="s">
        <v>933</v>
      </c>
      <c r="E1130" s="95" t="str">
        <f>IFERROR(VLOOKUP(D1130,MATERIALES!A:B,2,FALSE()),"?")</f>
        <v>Tornillo T1 - Aguja</v>
      </c>
      <c r="F1130" s="129" t="str">
        <f>IFERROR(VLOOKUP(D1130,MATERIALES!A:C,3,FALSE()),"?")</f>
        <v>u</v>
      </c>
      <c r="G1130" s="119">
        <v>16</v>
      </c>
      <c r="H1130" s="120">
        <v>0.05</v>
      </c>
      <c r="I1130" s="96">
        <f>IFERROR(VLOOKUP(D1130,MATERIALES!A:D,4,FALSE()),0)</f>
        <v>26.153884000000001</v>
      </c>
      <c r="J1130" s="31">
        <f t="shared" si="434"/>
        <v>439.38525120000003</v>
      </c>
      <c r="K1130" s="32" t="str">
        <f t="shared" ref="K1130:K1135" si="435">A1130&amp;"|"&amp;B1130</f>
        <v>PTO-1401|MAT</v>
      </c>
      <c r="L1130" s="32">
        <f>COUNTIFS($K$2:K1130,K1130)</f>
        <v>3</v>
      </c>
      <c r="M1130" s="32" t="str">
        <f t="shared" si="419"/>
        <v>PTO-1401|MAT|3</v>
      </c>
      <c r="N1130" s="121">
        <f>IFERROR(VLOOKUP(A1130,PARTIDAS!A:F,6,FALSE()),0)</f>
        <v>9.5</v>
      </c>
      <c r="O1130" s="123">
        <f t="shared" si="422"/>
        <v>0</v>
      </c>
      <c r="P1130" s="123">
        <f>+_xlfn.XLOOKUP(A1130,PPTO_GENERADOR!Q:Q,PPTO_GENERADOR!E:E,"-",0)</f>
        <v>146</v>
      </c>
      <c r="Q1130" s="123">
        <f t="shared" si="423"/>
        <v>0</v>
      </c>
      <c r="R1130" s="125">
        <f>+_xlfn.XLOOKUP(A1130,PPTO_GENERADOR!$Q:$Q,PPTO_GENERADOR!A:A,"-",0)</f>
        <v>14.01</v>
      </c>
    </row>
    <row r="1131" spans="1:18" ht="14.25" customHeight="1" x14ac:dyDescent="0.35">
      <c r="A1131" s="105" t="s">
        <v>222</v>
      </c>
      <c r="B1131" s="105" t="s">
        <v>1981</v>
      </c>
      <c r="C1131" s="105" t="s">
        <v>1982</v>
      </c>
      <c r="D1131" s="105" t="s">
        <v>935</v>
      </c>
      <c r="E1131" s="95" t="str">
        <f>IFERROR(VLOOKUP(D1131,MATERIALES!A:B,2,FALSE()),"?")</f>
        <v>Tornillo T2 - Aguja</v>
      </c>
      <c r="F1131" s="129" t="str">
        <f>IFERROR(VLOOKUP(D1131,MATERIALES!A:C,3,FALSE()),"?")</f>
        <v>u</v>
      </c>
      <c r="G1131" s="119">
        <v>18</v>
      </c>
      <c r="H1131" s="120">
        <v>0.05</v>
      </c>
      <c r="I1131" s="96">
        <f>IFERROR(VLOOKUP(D1131,MATERIALES!A:D,4,FALSE()),0)</f>
        <v>9.1146919999999998</v>
      </c>
      <c r="J1131" s="31">
        <f t="shared" si="434"/>
        <v>172.26767880000003</v>
      </c>
      <c r="K1131" s="32" t="str">
        <f t="shared" si="435"/>
        <v>PTO-1401|MAT</v>
      </c>
      <c r="L1131" s="32">
        <f>COUNTIFS($K$2:K1131,K1131)</f>
        <v>4</v>
      </c>
      <c r="M1131" s="32" t="str">
        <f t="shared" si="419"/>
        <v>PTO-1401|MAT|4</v>
      </c>
      <c r="N1131" s="121">
        <f>IFERROR(VLOOKUP(A1131,PARTIDAS!A:F,6,FALSE()),0)</f>
        <v>9.5</v>
      </c>
      <c r="O1131" s="123">
        <f t="shared" si="422"/>
        <v>0</v>
      </c>
      <c r="P1131" s="123">
        <f>+_xlfn.XLOOKUP(A1131,PPTO_GENERADOR!Q:Q,PPTO_GENERADOR!E:E,"-",0)</f>
        <v>146</v>
      </c>
      <c r="Q1131" s="123">
        <f t="shared" si="423"/>
        <v>0</v>
      </c>
      <c r="R1131" s="125">
        <f>+_xlfn.XLOOKUP(A1131,PPTO_GENERADOR!$Q:$Q,PPTO_GENERADOR!A:A,"-",0)</f>
        <v>14.01</v>
      </c>
    </row>
    <row r="1132" spans="1:18" ht="14.25" customHeight="1" x14ac:dyDescent="0.35">
      <c r="A1132" s="105" t="s">
        <v>222</v>
      </c>
      <c r="B1132" s="105" t="s">
        <v>1981</v>
      </c>
      <c r="C1132" s="105" t="s">
        <v>1982</v>
      </c>
      <c r="D1132" s="105" t="s">
        <v>939</v>
      </c>
      <c r="E1132" s="95" t="str">
        <f>IFERROR(VLOOKUP(D1132,MATERIALES!A:B,2,FALSE()),"?")</f>
        <v>Fijacion completa del 8</v>
      </c>
      <c r="F1132" s="129" t="str">
        <f>IFERROR(VLOOKUP(D1132,MATERIALES!A:C,3,FALSE()),"?")</f>
        <v>u</v>
      </c>
      <c r="G1132" s="119">
        <v>6</v>
      </c>
      <c r="H1132" s="120">
        <v>0.05</v>
      </c>
      <c r="I1132" s="96">
        <f>IFERROR(VLOOKUP(D1132,MATERIALES!A:D,4,FALSE()),0)</f>
        <v>63.381982999999998</v>
      </c>
      <c r="J1132" s="31">
        <f t="shared" si="434"/>
        <v>399.30649290000002</v>
      </c>
      <c r="K1132" s="32" t="str">
        <f t="shared" si="435"/>
        <v>PTO-1401|MAT</v>
      </c>
      <c r="L1132" s="32">
        <f>COUNTIFS($K$2:K1132,K1132)</f>
        <v>5</v>
      </c>
      <c r="M1132" s="32" t="str">
        <f t="shared" si="419"/>
        <v>PTO-1401|MAT|5</v>
      </c>
      <c r="N1132" s="121">
        <f>IFERROR(VLOOKUP(A1132,PARTIDAS!A:F,6,FALSE()),0)</f>
        <v>9.5</v>
      </c>
      <c r="O1132" s="123">
        <f t="shared" si="422"/>
        <v>0</v>
      </c>
      <c r="P1132" s="123">
        <f>+_xlfn.XLOOKUP(A1132,PPTO_GENERADOR!Q:Q,PPTO_GENERADOR!E:E,"-",0)</f>
        <v>146</v>
      </c>
      <c r="Q1132" s="123">
        <f t="shared" si="423"/>
        <v>0</v>
      </c>
      <c r="R1132" s="125">
        <f>+_xlfn.XLOOKUP(A1132,PPTO_GENERADOR!$Q:$Q,PPTO_GENERADOR!A:A,"-",0)</f>
        <v>14.01</v>
      </c>
    </row>
    <row r="1133" spans="1:18" ht="14.25" customHeight="1" x14ac:dyDescent="0.35">
      <c r="A1133" s="105" t="s">
        <v>222</v>
      </c>
      <c r="B1133" s="105" t="s">
        <v>1981</v>
      </c>
      <c r="C1133" s="105" t="s">
        <v>1982</v>
      </c>
      <c r="D1133" s="105" t="s">
        <v>941</v>
      </c>
      <c r="E1133" s="95" t="str">
        <f>IFERROR(VLOOKUP(D1133,MATERIALES!A:B,2,FALSE()),"?")</f>
        <v>Cinta Entramada - 90m</v>
      </c>
      <c r="F1133" s="129" t="str">
        <f>IFERROR(VLOOKUP(D1133,MATERIALES!A:C,3,FALSE()),"?")</f>
        <v>u</v>
      </c>
      <c r="G1133" s="119">
        <v>1.8332999999999999E-2</v>
      </c>
      <c r="H1133" s="120">
        <v>0.05</v>
      </c>
      <c r="I1133" s="96">
        <f>IFERROR(VLOOKUP(D1133,MATERIALES!A:D,4,FALSE()),0)</f>
        <v>4734.07</v>
      </c>
      <c r="J1133" s="31">
        <f t="shared" si="434"/>
        <v>91.12919057549999</v>
      </c>
      <c r="K1133" s="32" t="str">
        <f t="shared" si="435"/>
        <v>PTO-1401|MAT</v>
      </c>
      <c r="L1133" s="32">
        <f>COUNTIFS($K$2:K1133,K1133)</f>
        <v>6</v>
      </c>
      <c r="M1133" s="32" t="str">
        <f t="shared" si="419"/>
        <v>PTO-1401|MAT|6</v>
      </c>
      <c r="N1133" s="121">
        <f>IFERROR(VLOOKUP(A1133,PARTIDAS!A:F,6,FALSE()),0)</f>
        <v>9.5</v>
      </c>
      <c r="O1133" s="123">
        <f t="shared" si="422"/>
        <v>0</v>
      </c>
      <c r="P1133" s="123">
        <f>+_xlfn.XLOOKUP(A1133,PPTO_GENERADOR!Q:Q,PPTO_GENERADOR!E:E,"-",0)</f>
        <v>146</v>
      </c>
      <c r="Q1133" s="123">
        <f t="shared" si="423"/>
        <v>0</v>
      </c>
      <c r="R1133" s="125">
        <f>+_xlfn.XLOOKUP(A1133,PPTO_GENERADOR!$Q:$Q,PPTO_GENERADOR!A:A,"-",0)</f>
        <v>14.01</v>
      </c>
    </row>
    <row r="1134" spans="1:18" ht="14.25" customHeight="1" x14ac:dyDescent="0.35">
      <c r="A1134" s="105" t="s">
        <v>222</v>
      </c>
      <c r="B1134" s="105" t="s">
        <v>1981</v>
      </c>
      <c r="C1134" s="105" t="s">
        <v>1982</v>
      </c>
      <c r="D1134" s="105" t="s">
        <v>943</v>
      </c>
      <c r="E1134" s="95" t="str">
        <f>IFERROR(VLOOKUP(D1134,MATERIALES!A:B,2,FALSE()),"?")</f>
        <v>Masilla x 32kg</v>
      </c>
      <c r="F1134" s="129" t="str">
        <f>IFERROR(VLOOKUP(D1134,MATERIALES!A:C,3,FALSE()),"?")</f>
        <v>u</v>
      </c>
      <c r="G1134" s="119">
        <v>2.8125000000000001E-2</v>
      </c>
      <c r="H1134" s="120">
        <v>0.05</v>
      </c>
      <c r="I1134" s="96">
        <f>IFERROR(VLOOKUP(D1134,MATERIALES!A:D,4,FALSE()),0)</f>
        <v>23166.59</v>
      </c>
      <c r="J1134" s="31">
        <f t="shared" si="434"/>
        <v>684.13836093750001</v>
      </c>
      <c r="K1134" s="32" t="str">
        <f t="shared" si="435"/>
        <v>PTO-1401|MAT</v>
      </c>
      <c r="L1134" s="32">
        <f>COUNTIFS($K$2:K1134,K1134)</f>
        <v>7</v>
      </c>
      <c r="M1134" s="32" t="str">
        <f t="shared" si="419"/>
        <v>PTO-1401|MAT|7</v>
      </c>
      <c r="N1134" s="121">
        <f>IFERROR(VLOOKUP(A1134,PARTIDAS!A:F,6,FALSE()),0)</f>
        <v>9.5</v>
      </c>
      <c r="O1134" s="123">
        <f t="shared" si="422"/>
        <v>0</v>
      </c>
      <c r="P1134" s="123">
        <f>+_xlfn.XLOOKUP(A1134,PPTO_GENERADOR!Q:Q,PPTO_GENERADOR!E:E,"-",0)</f>
        <v>146</v>
      </c>
      <c r="Q1134" s="123">
        <f t="shared" si="423"/>
        <v>0</v>
      </c>
      <c r="R1134" s="125">
        <f>+_xlfn.XLOOKUP(A1134,PPTO_GENERADOR!$Q:$Q,PPTO_GENERADOR!A:A,"-",0)</f>
        <v>14.01</v>
      </c>
    </row>
    <row r="1135" spans="1:18" ht="14.25" customHeight="1" x14ac:dyDescent="0.35">
      <c r="A1135" s="105" t="s">
        <v>222</v>
      </c>
      <c r="B1135" s="105" t="s">
        <v>1981</v>
      </c>
      <c r="C1135" s="105" t="s">
        <v>1982</v>
      </c>
      <c r="D1135" s="105" t="s">
        <v>947</v>
      </c>
      <c r="E1135" s="95" t="str">
        <f>IFERROR(VLOOKUP(D1135,MATERIALES!A:B,2,FALSE()),"?")</f>
        <v>Placa Roca de Yeso 1220 x 2440 - 12.5mm - STD</v>
      </c>
      <c r="F1135" s="129" t="str">
        <f>IFERROR(VLOOKUP(D1135,MATERIALES!A:C,3,FALSE()),"?")</f>
        <v>u</v>
      </c>
      <c r="G1135" s="119">
        <v>0.36</v>
      </c>
      <c r="H1135" s="120">
        <v>0.1</v>
      </c>
      <c r="I1135" s="96">
        <f>IFERROR(VLOOKUP(D1135,MATERIALES!A:D,4,FALSE()),0)</f>
        <v>10458</v>
      </c>
      <c r="J1135" s="31">
        <f t="shared" si="434"/>
        <v>4141.3680000000004</v>
      </c>
      <c r="K1135" s="32" t="str">
        <f t="shared" si="435"/>
        <v>PTO-1401|MAT</v>
      </c>
      <c r="L1135" s="32">
        <f>COUNTIFS($K$2:K1135,K1135)</f>
        <v>8</v>
      </c>
      <c r="M1135" s="32" t="str">
        <f t="shared" si="419"/>
        <v>PTO-1401|MAT|8</v>
      </c>
      <c r="N1135" s="121">
        <f>IFERROR(VLOOKUP(A1135,PARTIDAS!A:F,6,FALSE()),0)</f>
        <v>9.5</v>
      </c>
      <c r="O1135" s="123">
        <f t="shared" si="422"/>
        <v>0</v>
      </c>
      <c r="P1135" s="123">
        <f>+_xlfn.XLOOKUP(A1135,PPTO_GENERADOR!Q:Q,PPTO_GENERADOR!E:E,"-",0)</f>
        <v>146</v>
      </c>
      <c r="Q1135" s="123">
        <f t="shared" si="423"/>
        <v>0</v>
      </c>
      <c r="R1135" s="125">
        <f>+_xlfn.XLOOKUP(A1135,PPTO_GENERADOR!$Q:$Q,PPTO_GENERADOR!A:A,"-",0)</f>
        <v>14.01</v>
      </c>
    </row>
    <row r="1136" spans="1:18" ht="14.25" customHeight="1" x14ac:dyDescent="0.35">
      <c r="A1136" s="105" t="s">
        <v>222</v>
      </c>
      <c r="B1136" s="105" t="s">
        <v>1983</v>
      </c>
      <c r="C1136" s="105"/>
      <c r="D1136" s="105" t="s">
        <v>1311</v>
      </c>
      <c r="E1136" s="95" t="str">
        <f>IFERROR(VLOOKUP(D1136,EQUIPOS!A:B,2,FALSE()),"?")</f>
        <v>ESCALERA GLOSS ALUMINIO ARTICULADA 4 X 4 ESCALONES HASTA 150KG</v>
      </c>
      <c r="F1136" s="129"/>
      <c r="G1136" s="119">
        <v>1</v>
      </c>
      <c r="H1136" s="120">
        <v>0</v>
      </c>
      <c r="I1136" s="96">
        <f>IFERROR(VLOOKUP(D1136,EQUIPOS!A:F,6,FALSE()),0)</f>
        <v>152.38027427373819</v>
      </c>
      <c r="J1136" s="31">
        <f>G1136*I1136</f>
        <v>152.38027427373819</v>
      </c>
      <c r="K1136" s="32" t="str">
        <f t="shared" ref="K1136:K1193" si="436">A1136&amp;"|"&amp;B1136</f>
        <v>PTO-1401|EQ</v>
      </c>
      <c r="L1136" s="32">
        <f>COUNTIFS($K$2:K1136,K1136)</f>
        <v>1</v>
      </c>
      <c r="M1136" s="32" t="str">
        <f t="shared" si="419"/>
        <v>PTO-1401|EQ|1</v>
      </c>
      <c r="N1136" s="121">
        <f>IFERROR(VLOOKUP(A1136,PARTIDAS!A:F,6,FALSE()),0)</f>
        <v>9.5</v>
      </c>
      <c r="O1136" s="123">
        <f t="shared" si="422"/>
        <v>0</v>
      </c>
      <c r="P1136" s="123">
        <f>+_xlfn.XLOOKUP(A1136,PPTO_GENERADOR!Q:Q,PPTO_GENERADOR!E:E,"-",0)</f>
        <v>146</v>
      </c>
      <c r="Q1136" s="123">
        <f t="shared" si="423"/>
        <v>0</v>
      </c>
      <c r="R1136" s="125">
        <f>+_xlfn.XLOOKUP(A1136,PPTO_GENERADOR!$Q:$Q,PPTO_GENERADOR!A:A,"-",0)</f>
        <v>14.01</v>
      </c>
    </row>
    <row r="1137" spans="1:18" ht="14.25" customHeight="1" x14ac:dyDescent="0.35">
      <c r="A1137" s="105" t="s">
        <v>225</v>
      </c>
      <c r="B1137" s="105" t="s">
        <v>1981</v>
      </c>
      <c r="C1137" s="105" t="s">
        <v>1982</v>
      </c>
      <c r="D1137" s="105" t="s">
        <v>924</v>
      </c>
      <c r="E1137" s="95" t="str">
        <f>IFERROR(VLOOKUP(D1137,MATERIALES!A:B,2,FALSE()),"?")</f>
        <v>Solera 70mm x 2.60m</v>
      </c>
      <c r="F1137" s="129" t="str">
        <f>IFERROR(VLOOKUP(D1137,MATERIALES!A:C,3,FALSE()),"?")</f>
        <v>u</v>
      </c>
      <c r="G1137" s="119">
        <v>0.50769200000000003</v>
      </c>
      <c r="H1137" s="120">
        <v>0.1</v>
      </c>
      <c r="I1137" s="96">
        <f>IFERROR(VLOOKUP(D1137,MATERIALES!A:D,4,FALSE()),0)</f>
        <v>3084.79</v>
      </c>
      <c r="J1137" s="31">
        <f t="shared" ref="J1137:J1144" si="437">G1137*I1137*(1+H1137)</f>
        <v>1722.7355251480003</v>
      </c>
      <c r="K1137" s="32" t="str">
        <f t="shared" si="436"/>
        <v>PTO-1402|MAT</v>
      </c>
      <c r="L1137" s="32">
        <f>COUNTIFS($K$2:K1137,K1137)</f>
        <v>1</v>
      </c>
      <c r="M1137" s="32" t="str">
        <f t="shared" si="419"/>
        <v>PTO-1402|MAT|1</v>
      </c>
      <c r="N1137" s="121">
        <f>IFERROR(VLOOKUP(A1137,PARTIDAS!A:F,6,FALSE()),0)</f>
        <v>9.5</v>
      </c>
      <c r="O1137" s="123">
        <f t="shared" si="422"/>
        <v>0</v>
      </c>
      <c r="P1137" s="123">
        <f>+_xlfn.XLOOKUP(A1137,PPTO_GENERADOR!Q:Q,PPTO_GENERADOR!E:E,"-",0)</f>
        <v>89</v>
      </c>
      <c r="Q1137" s="123">
        <f t="shared" si="423"/>
        <v>0</v>
      </c>
      <c r="R1137" s="125">
        <f>+_xlfn.XLOOKUP(A1137,PPTO_GENERADOR!$Q:$Q,PPTO_GENERADOR!A:A,"-",0)</f>
        <v>14.02</v>
      </c>
    </row>
    <row r="1138" spans="1:18" ht="14.25" customHeight="1" x14ac:dyDescent="0.35">
      <c r="A1138" s="105" t="s">
        <v>225</v>
      </c>
      <c r="B1138" s="105" t="s">
        <v>1981</v>
      </c>
      <c r="C1138" s="105" t="s">
        <v>1982</v>
      </c>
      <c r="D1138" s="105" t="s">
        <v>927</v>
      </c>
      <c r="E1138" s="95" t="str">
        <f>IFERROR(VLOOKUP(D1138,MATERIALES!A:B,2,FALSE()),"?")</f>
        <v>Montante 69mm x 2.60m</v>
      </c>
      <c r="F1138" s="129" t="str">
        <f>IFERROR(VLOOKUP(D1138,MATERIALES!A:C,3,FALSE()),"?")</f>
        <v>u</v>
      </c>
      <c r="G1138" s="119">
        <v>1.230769</v>
      </c>
      <c r="H1138" s="120">
        <v>0.1</v>
      </c>
      <c r="I1138" s="96">
        <f>IFERROR(VLOOKUP(D1138,MATERIALES!A:D,4,FALSE()),0)</f>
        <v>3385.62</v>
      </c>
      <c r="J1138" s="31">
        <f t="shared" si="437"/>
        <v>4583.6077559579999</v>
      </c>
      <c r="K1138" s="32" t="str">
        <f t="shared" si="436"/>
        <v>PTO-1402|MAT</v>
      </c>
      <c r="L1138" s="32">
        <f>COUNTIFS($K$2:K1138,K1138)</f>
        <v>2</v>
      </c>
      <c r="M1138" s="32" t="str">
        <f t="shared" si="419"/>
        <v>PTO-1402|MAT|2</v>
      </c>
      <c r="N1138" s="121">
        <f>IFERROR(VLOOKUP(A1138,PARTIDAS!A:F,6,FALSE()),0)</f>
        <v>9.5</v>
      </c>
      <c r="O1138" s="123">
        <f t="shared" si="422"/>
        <v>0</v>
      </c>
      <c r="P1138" s="123">
        <f>+_xlfn.XLOOKUP(A1138,PPTO_GENERADOR!Q:Q,PPTO_GENERADOR!E:E,"-",0)</f>
        <v>89</v>
      </c>
      <c r="Q1138" s="123">
        <f t="shared" si="423"/>
        <v>0</v>
      </c>
      <c r="R1138" s="125">
        <f>+_xlfn.XLOOKUP(A1138,PPTO_GENERADOR!$Q:$Q,PPTO_GENERADOR!A:A,"-",0)</f>
        <v>14.02</v>
      </c>
    </row>
    <row r="1139" spans="1:18" ht="14.25" customHeight="1" x14ac:dyDescent="0.35">
      <c r="A1139" s="105" t="s">
        <v>225</v>
      </c>
      <c r="B1139" s="105" t="s">
        <v>1981</v>
      </c>
      <c r="C1139" s="105" t="s">
        <v>1982</v>
      </c>
      <c r="D1139" s="105" t="s">
        <v>933</v>
      </c>
      <c r="E1139" s="95" t="str">
        <f>IFERROR(VLOOKUP(D1139,MATERIALES!A:B,2,FALSE()),"?")</f>
        <v>Tornillo T1 - Aguja</v>
      </c>
      <c r="F1139" s="129" t="str">
        <f>IFERROR(VLOOKUP(D1139,MATERIALES!A:C,3,FALSE()),"?")</f>
        <v>u</v>
      </c>
      <c r="G1139" s="119">
        <v>16</v>
      </c>
      <c r="H1139" s="120">
        <v>0.05</v>
      </c>
      <c r="I1139" s="96">
        <f>IFERROR(VLOOKUP(D1139,MATERIALES!A:D,4,FALSE()),0)</f>
        <v>26.153884000000001</v>
      </c>
      <c r="J1139" s="31">
        <f t="shared" si="437"/>
        <v>439.38525120000003</v>
      </c>
      <c r="K1139" s="32" t="str">
        <f t="shared" si="436"/>
        <v>PTO-1402|MAT</v>
      </c>
      <c r="L1139" s="32">
        <f>COUNTIFS($K$2:K1139,K1139)</f>
        <v>3</v>
      </c>
      <c r="M1139" s="32" t="str">
        <f t="shared" si="419"/>
        <v>PTO-1402|MAT|3</v>
      </c>
      <c r="N1139" s="121">
        <f>IFERROR(VLOOKUP(A1139,PARTIDAS!A:F,6,FALSE()),0)</f>
        <v>9.5</v>
      </c>
      <c r="O1139" s="123">
        <f t="shared" si="422"/>
        <v>0</v>
      </c>
      <c r="P1139" s="123">
        <f>+_xlfn.XLOOKUP(A1139,PPTO_GENERADOR!Q:Q,PPTO_GENERADOR!E:E,"-",0)</f>
        <v>89</v>
      </c>
      <c r="Q1139" s="123">
        <f t="shared" si="423"/>
        <v>0</v>
      </c>
      <c r="R1139" s="125">
        <f>+_xlfn.XLOOKUP(A1139,PPTO_GENERADOR!$Q:$Q,PPTO_GENERADOR!A:A,"-",0)</f>
        <v>14.02</v>
      </c>
    </row>
    <row r="1140" spans="1:18" ht="14.25" customHeight="1" x14ac:dyDescent="0.35">
      <c r="A1140" s="105" t="s">
        <v>225</v>
      </c>
      <c r="B1140" s="105" t="s">
        <v>1981</v>
      </c>
      <c r="C1140" s="105" t="s">
        <v>1982</v>
      </c>
      <c r="D1140" s="105" t="s">
        <v>935</v>
      </c>
      <c r="E1140" s="95" t="str">
        <f>IFERROR(VLOOKUP(D1140,MATERIALES!A:B,2,FALSE()),"?")</f>
        <v>Tornillo T2 - Aguja</v>
      </c>
      <c r="F1140" s="129" t="str">
        <f>IFERROR(VLOOKUP(D1140,MATERIALES!A:C,3,FALSE()),"?")</f>
        <v>u</v>
      </c>
      <c r="G1140" s="119">
        <v>18</v>
      </c>
      <c r="H1140" s="120">
        <v>0.05</v>
      </c>
      <c r="I1140" s="96">
        <f>IFERROR(VLOOKUP(D1140,MATERIALES!A:D,4,FALSE()),0)</f>
        <v>9.1146919999999998</v>
      </c>
      <c r="J1140" s="31">
        <f t="shared" si="437"/>
        <v>172.26767880000003</v>
      </c>
      <c r="K1140" s="32" t="str">
        <f t="shared" si="436"/>
        <v>PTO-1402|MAT</v>
      </c>
      <c r="L1140" s="32">
        <f>COUNTIFS($K$2:K1140,K1140)</f>
        <v>4</v>
      </c>
      <c r="M1140" s="32" t="str">
        <f t="shared" si="419"/>
        <v>PTO-1402|MAT|4</v>
      </c>
      <c r="N1140" s="121">
        <f>IFERROR(VLOOKUP(A1140,PARTIDAS!A:F,6,FALSE()),0)</f>
        <v>9.5</v>
      </c>
      <c r="O1140" s="123">
        <f t="shared" si="422"/>
        <v>0</v>
      </c>
      <c r="P1140" s="123">
        <f>+_xlfn.XLOOKUP(A1140,PPTO_GENERADOR!Q:Q,PPTO_GENERADOR!E:E,"-",0)</f>
        <v>89</v>
      </c>
      <c r="Q1140" s="123">
        <f t="shared" si="423"/>
        <v>0</v>
      </c>
      <c r="R1140" s="125">
        <f>+_xlfn.XLOOKUP(A1140,PPTO_GENERADOR!$Q:$Q,PPTO_GENERADOR!A:A,"-",0)</f>
        <v>14.02</v>
      </c>
    </row>
    <row r="1141" spans="1:18" ht="14.25" customHeight="1" x14ac:dyDescent="0.35">
      <c r="A1141" s="105" t="s">
        <v>225</v>
      </c>
      <c r="B1141" s="105" t="s">
        <v>1981</v>
      </c>
      <c r="C1141" s="105" t="s">
        <v>1982</v>
      </c>
      <c r="D1141" s="105" t="s">
        <v>939</v>
      </c>
      <c r="E1141" s="95" t="str">
        <f>IFERROR(VLOOKUP(D1141,MATERIALES!A:B,2,FALSE()),"?")</f>
        <v>Fijacion completa del 8</v>
      </c>
      <c r="F1141" s="129" t="str">
        <f>IFERROR(VLOOKUP(D1141,MATERIALES!A:C,3,FALSE()),"?")</f>
        <v>u</v>
      </c>
      <c r="G1141" s="119">
        <v>6</v>
      </c>
      <c r="H1141" s="120">
        <v>0.05</v>
      </c>
      <c r="I1141" s="96">
        <f>IFERROR(VLOOKUP(D1141,MATERIALES!A:D,4,FALSE()),0)</f>
        <v>63.381982999999998</v>
      </c>
      <c r="J1141" s="31">
        <f t="shared" si="437"/>
        <v>399.30649290000002</v>
      </c>
      <c r="K1141" s="32" t="str">
        <f t="shared" si="436"/>
        <v>PTO-1402|MAT</v>
      </c>
      <c r="L1141" s="32">
        <f>COUNTIFS($K$2:K1141,K1141)</f>
        <v>5</v>
      </c>
      <c r="M1141" s="32" t="str">
        <f t="shared" si="419"/>
        <v>PTO-1402|MAT|5</v>
      </c>
      <c r="N1141" s="121">
        <f>IFERROR(VLOOKUP(A1141,PARTIDAS!A:F,6,FALSE()),0)</f>
        <v>9.5</v>
      </c>
      <c r="O1141" s="123">
        <f t="shared" si="422"/>
        <v>0</v>
      </c>
      <c r="P1141" s="123">
        <f>+_xlfn.XLOOKUP(A1141,PPTO_GENERADOR!Q:Q,PPTO_GENERADOR!E:E,"-",0)</f>
        <v>89</v>
      </c>
      <c r="Q1141" s="123">
        <f t="shared" si="423"/>
        <v>0</v>
      </c>
      <c r="R1141" s="125">
        <f>+_xlfn.XLOOKUP(A1141,PPTO_GENERADOR!$Q:$Q,PPTO_GENERADOR!A:A,"-",0)</f>
        <v>14.02</v>
      </c>
    </row>
    <row r="1142" spans="1:18" ht="14.25" customHeight="1" x14ac:dyDescent="0.35">
      <c r="A1142" s="105" t="s">
        <v>225</v>
      </c>
      <c r="B1142" s="105" t="s">
        <v>1981</v>
      </c>
      <c r="C1142" s="105" t="s">
        <v>1982</v>
      </c>
      <c r="D1142" s="105" t="s">
        <v>941</v>
      </c>
      <c r="E1142" s="95" t="str">
        <f>IFERROR(VLOOKUP(D1142,MATERIALES!A:B,2,FALSE()),"?")</f>
        <v>Cinta Entramada - 90m</v>
      </c>
      <c r="F1142" s="129" t="str">
        <f>IFERROR(VLOOKUP(D1142,MATERIALES!A:C,3,FALSE()),"?")</f>
        <v>u</v>
      </c>
      <c r="G1142" s="119">
        <v>1.8332999999999999E-2</v>
      </c>
      <c r="H1142" s="120">
        <v>0.05</v>
      </c>
      <c r="I1142" s="96">
        <f>IFERROR(VLOOKUP(D1142,MATERIALES!A:D,4,FALSE()),0)</f>
        <v>4734.07</v>
      </c>
      <c r="J1142" s="31">
        <f t="shared" si="437"/>
        <v>91.12919057549999</v>
      </c>
      <c r="K1142" s="32" t="str">
        <f t="shared" si="436"/>
        <v>PTO-1402|MAT</v>
      </c>
      <c r="L1142" s="32">
        <f>COUNTIFS($K$2:K1142,K1142)</f>
        <v>6</v>
      </c>
      <c r="M1142" s="32" t="str">
        <f t="shared" si="419"/>
        <v>PTO-1402|MAT|6</v>
      </c>
      <c r="N1142" s="121">
        <f>IFERROR(VLOOKUP(A1142,PARTIDAS!A:F,6,FALSE()),0)</f>
        <v>9.5</v>
      </c>
      <c r="O1142" s="123">
        <f t="shared" si="422"/>
        <v>0</v>
      </c>
      <c r="P1142" s="123">
        <f>+_xlfn.XLOOKUP(A1142,PPTO_GENERADOR!Q:Q,PPTO_GENERADOR!E:E,"-",0)</f>
        <v>89</v>
      </c>
      <c r="Q1142" s="123">
        <f t="shared" si="423"/>
        <v>0</v>
      </c>
      <c r="R1142" s="125">
        <f>+_xlfn.XLOOKUP(A1142,PPTO_GENERADOR!$Q:$Q,PPTO_GENERADOR!A:A,"-",0)</f>
        <v>14.02</v>
      </c>
    </row>
    <row r="1143" spans="1:18" ht="14.25" customHeight="1" x14ac:dyDescent="0.35">
      <c r="A1143" s="105" t="s">
        <v>225</v>
      </c>
      <c r="B1143" s="105" t="s">
        <v>1981</v>
      </c>
      <c r="C1143" s="105" t="s">
        <v>1982</v>
      </c>
      <c r="D1143" s="105" t="s">
        <v>943</v>
      </c>
      <c r="E1143" s="95" t="str">
        <f>IFERROR(VLOOKUP(D1143,MATERIALES!A:B,2,FALSE()),"?")</f>
        <v>Masilla x 32kg</v>
      </c>
      <c r="F1143" s="129" t="str">
        <f>IFERROR(VLOOKUP(D1143,MATERIALES!A:C,3,FALSE()),"?")</f>
        <v>u</v>
      </c>
      <c r="G1143" s="119">
        <v>2.8125000000000001E-2</v>
      </c>
      <c r="H1143" s="120">
        <v>0.05</v>
      </c>
      <c r="I1143" s="96">
        <f>IFERROR(VLOOKUP(D1143,MATERIALES!A:D,4,FALSE()),0)</f>
        <v>23166.59</v>
      </c>
      <c r="J1143" s="31">
        <f t="shared" si="437"/>
        <v>684.13836093750001</v>
      </c>
      <c r="K1143" s="32" t="str">
        <f t="shared" si="436"/>
        <v>PTO-1402|MAT</v>
      </c>
      <c r="L1143" s="32">
        <f>COUNTIFS($K$2:K1143,K1143)</f>
        <v>7</v>
      </c>
      <c r="M1143" s="32" t="str">
        <f t="shared" si="419"/>
        <v>PTO-1402|MAT|7</v>
      </c>
      <c r="N1143" s="121">
        <f>IFERROR(VLOOKUP(A1143,PARTIDAS!A:F,6,FALSE()),0)</f>
        <v>9.5</v>
      </c>
      <c r="O1143" s="123">
        <f t="shared" si="422"/>
        <v>0</v>
      </c>
      <c r="P1143" s="123">
        <f>+_xlfn.XLOOKUP(A1143,PPTO_GENERADOR!Q:Q,PPTO_GENERADOR!E:E,"-",0)</f>
        <v>89</v>
      </c>
      <c r="Q1143" s="123">
        <f t="shared" si="423"/>
        <v>0</v>
      </c>
      <c r="R1143" s="125">
        <f>+_xlfn.XLOOKUP(A1143,PPTO_GENERADOR!$Q:$Q,PPTO_GENERADOR!A:A,"-",0)</f>
        <v>14.02</v>
      </c>
    </row>
    <row r="1144" spans="1:18" ht="14.25" customHeight="1" x14ac:dyDescent="0.35">
      <c r="A1144" s="105" t="s">
        <v>225</v>
      </c>
      <c r="B1144" s="105" t="s">
        <v>1981</v>
      </c>
      <c r="C1144" s="105" t="s">
        <v>1982</v>
      </c>
      <c r="D1144" s="105" t="s">
        <v>949</v>
      </c>
      <c r="E1144" s="95" t="str">
        <f>IFERROR(VLOOKUP(D1144,MATERIALES!A:B,2,FALSE()),"?")</f>
        <v>Placa Roca de Yeso 1220 x 2440 - 12.5mm - RH</v>
      </c>
      <c r="F1144" s="129" t="str">
        <f>IFERROR(VLOOKUP(D1144,MATERIALES!A:C,3,FALSE()),"?")</f>
        <v>u</v>
      </c>
      <c r="G1144" s="119">
        <v>0.36</v>
      </c>
      <c r="H1144" s="120">
        <v>0.1</v>
      </c>
      <c r="I1144" s="96">
        <f>IFERROR(VLOOKUP(D1144,MATERIALES!A:D,4,FALSE()),0)</f>
        <v>16808.400000000001</v>
      </c>
      <c r="J1144" s="31">
        <f t="shared" si="437"/>
        <v>6656.126400000001</v>
      </c>
      <c r="K1144" s="32" t="str">
        <f t="shared" si="436"/>
        <v>PTO-1402|MAT</v>
      </c>
      <c r="L1144" s="32">
        <f>COUNTIFS($K$2:K1144,K1144)</f>
        <v>8</v>
      </c>
      <c r="M1144" s="32" t="str">
        <f t="shared" si="419"/>
        <v>PTO-1402|MAT|8</v>
      </c>
      <c r="N1144" s="121">
        <f>IFERROR(VLOOKUP(A1144,PARTIDAS!A:F,6,FALSE()),0)</f>
        <v>9.5</v>
      </c>
      <c r="O1144" s="123">
        <f t="shared" si="422"/>
        <v>0</v>
      </c>
      <c r="P1144" s="123">
        <f>+_xlfn.XLOOKUP(A1144,PPTO_GENERADOR!Q:Q,PPTO_GENERADOR!E:E,"-",0)</f>
        <v>89</v>
      </c>
      <c r="Q1144" s="123">
        <f t="shared" si="423"/>
        <v>0</v>
      </c>
      <c r="R1144" s="125">
        <f>+_xlfn.XLOOKUP(A1144,PPTO_GENERADOR!$Q:$Q,PPTO_GENERADOR!A:A,"-",0)</f>
        <v>14.02</v>
      </c>
    </row>
    <row r="1145" spans="1:18" ht="14.25" customHeight="1" x14ac:dyDescent="0.35">
      <c r="A1145" s="105" t="s">
        <v>225</v>
      </c>
      <c r="B1145" s="105" t="s">
        <v>1983</v>
      </c>
      <c r="C1145" s="105"/>
      <c r="D1145" s="105" t="s">
        <v>1311</v>
      </c>
      <c r="E1145" s="95" t="str">
        <f>IFERROR(VLOOKUP(D1145,EQUIPOS!A:B,2,FALSE()),"?")</f>
        <v>ESCALERA GLOSS ALUMINIO ARTICULADA 4 X 4 ESCALONES HASTA 150KG</v>
      </c>
      <c r="F1145" s="129"/>
      <c r="G1145" s="119">
        <v>1</v>
      </c>
      <c r="H1145" s="120">
        <v>0</v>
      </c>
      <c r="I1145" s="96">
        <f>IFERROR(VLOOKUP(D1145,EQUIPOS!A:F,6,FALSE()),0)</f>
        <v>152.38027427373819</v>
      </c>
      <c r="J1145" s="31">
        <f>G1145*I1145</f>
        <v>152.38027427373819</v>
      </c>
      <c r="K1145" s="32" t="str">
        <f t="shared" si="436"/>
        <v>PTO-1402|EQ</v>
      </c>
      <c r="L1145" s="32">
        <f>COUNTIFS($K$2:K1145,K1145)</f>
        <v>1</v>
      </c>
      <c r="M1145" s="32" t="str">
        <f t="shared" si="419"/>
        <v>PTO-1402|EQ|1</v>
      </c>
      <c r="N1145" s="121">
        <f>IFERROR(VLOOKUP(A1145,PARTIDAS!A:F,6,FALSE()),0)</f>
        <v>9.5</v>
      </c>
      <c r="O1145" s="123">
        <f t="shared" si="422"/>
        <v>0</v>
      </c>
      <c r="P1145" s="123">
        <f>+_xlfn.XLOOKUP(A1145,PPTO_GENERADOR!Q:Q,PPTO_GENERADOR!E:E,"-",0)</f>
        <v>89</v>
      </c>
      <c r="Q1145" s="123">
        <f t="shared" si="423"/>
        <v>0</v>
      </c>
      <c r="R1145" s="125">
        <f>+_xlfn.XLOOKUP(A1145,PPTO_GENERADOR!$Q:$Q,PPTO_GENERADOR!A:A,"-",0)</f>
        <v>14.02</v>
      </c>
    </row>
    <row r="1146" spans="1:18" ht="14.25" customHeight="1" x14ac:dyDescent="0.35">
      <c r="A1146" s="105" t="s">
        <v>228</v>
      </c>
      <c r="B1146" s="105" t="s">
        <v>1981</v>
      </c>
      <c r="C1146" s="105" t="s">
        <v>1982</v>
      </c>
      <c r="D1146" s="105" t="s">
        <v>929</v>
      </c>
      <c r="E1146" s="95" t="str">
        <f>IFERROR(VLOOKUP(D1146,MATERIALES!A:B,2,FALSE()),"?")</f>
        <v>Solera 35mm x 2.60m</v>
      </c>
      <c r="F1146" s="129" t="str">
        <f>IFERROR(VLOOKUP(D1146,MATERIALES!A:C,3,FALSE()),"?")</f>
        <v>u</v>
      </c>
      <c r="G1146" s="119">
        <v>0.50769200000000003</v>
      </c>
      <c r="H1146" s="120">
        <v>0.1</v>
      </c>
      <c r="I1146" s="96">
        <f>IFERROR(VLOOKUP(D1146,MATERIALES!A:D,4,FALSE()),0)</f>
        <v>2244.87</v>
      </c>
      <c r="J1146" s="31">
        <f t="shared" ref="J1146:J1155" si="438">G1146*I1146*(1+H1146)</f>
        <v>1253.6727940440001</v>
      </c>
      <c r="K1146" s="32" t="str">
        <f t="shared" si="436"/>
        <v>PTO-1403|MAT</v>
      </c>
      <c r="L1146" s="32">
        <f>COUNTIFS($K$2:K1146,K1146)</f>
        <v>1</v>
      </c>
      <c r="M1146" s="32" t="str">
        <f t="shared" ref="M1146:M1155" si="439">K1146&amp;"|"&amp;L1146</f>
        <v>PTO-1403|MAT|1</v>
      </c>
      <c r="N1146" s="121">
        <f>IFERROR(VLOOKUP(A1146,PARTIDAS!A:F,6,FALSE()),0)</f>
        <v>9.5</v>
      </c>
      <c r="O1146" s="123">
        <f t="shared" si="422"/>
        <v>0</v>
      </c>
      <c r="P1146" s="123">
        <f>+_xlfn.XLOOKUP(A1146,PPTO_GENERADOR!Q:Q,PPTO_GENERADOR!E:E,"-",0)</f>
        <v>62</v>
      </c>
      <c r="Q1146" s="123">
        <f t="shared" si="423"/>
        <v>0</v>
      </c>
      <c r="R1146" s="125">
        <f>+_xlfn.XLOOKUP(A1146,PPTO_GENERADOR!$Q:$Q,PPTO_GENERADOR!A:A,"-",0)</f>
        <v>14.03</v>
      </c>
    </row>
    <row r="1147" spans="1:18" ht="14.25" customHeight="1" x14ac:dyDescent="0.35">
      <c r="A1147" s="105" t="s">
        <v>228</v>
      </c>
      <c r="B1147" s="105" t="s">
        <v>1981</v>
      </c>
      <c r="C1147" s="105" t="s">
        <v>1982</v>
      </c>
      <c r="D1147" s="105" t="s">
        <v>931</v>
      </c>
      <c r="E1147" s="95" t="str">
        <f>IFERROR(VLOOKUP(D1147,MATERIALES!A:B,2,FALSE()),"?")</f>
        <v>Montante 34mm x 2.60m</v>
      </c>
      <c r="F1147" s="129" t="str">
        <f>IFERROR(VLOOKUP(D1147,MATERIALES!A:C,3,FALSE()),"?")</f>
        <v>u</v>
      </c>
      <c r="G1147" s="119">
        <v>1.230769</v>
      </c>
      <c r="H1147" s="120">
        <v>0.1</v>
      </c>
      <c r="I1147" s="96">
        <f>IFERROR(VLOOKUP(D1147,MATERIALES!A:D,4,FALSE()),0)</f>
        <v>2574.7199999999998</v>
      </c>
      <c r="J1147" s="31">
        <f t="shared" si="438"/>
        <v>3485.7741156480001</v>
      </c>
      <c r="K1147" s="32" t="str">
        <f t="shared" si="436"/>
        <v>PTO-1403|MAT</v>
      </c>
      <c r="L1147" s="32">
        <f>COUNTIFS($K$2:K1147,K1147)</f>
        <v>2</v>
      </c>
      <c r="M1147" s="32" t="str">
        <f t="shared" si="439"/>
        <v>PTO-1403|MAT|2</v>
      </c>
      <c r="N1147" s="121">
        <f>IFERROR(VLOOKUP(A1147,PARTIDAS!A:F,6,FALSE()),0)</f>
        <v>9.5</v>
      </c>
      <c r="O1147" s="123">
        <f t="shared" si="422"/>
        <v>0</v>
      </c>
      <c r="P1147" s="123">
        <f>+_xlfn.XLOOKUP(A1147,PPTO_GENERADOR!Q:Q,PPTO_GENERADOR!E:E,"-",0)</f>
        <v>62</v>
      </c>
      <c r="Q1147" s="123">
        <f t="shared" si="423"/>
        <v>0</v>
      </c>
      <c r="R1147" s="125">
        <f>+_xlfn.XLOOKUP(A1147,PPTO_GENERADOR!$Q:$Q,PPTO_GENERADOR!A:A,"-",0)</f>
        <v>14.03</v>
      </c>
    </row>
    <row r="1148" spans="1:18" ht="14.25" customHeight="1" x14ac:dyDescent="0.35">
      <c r="A1148" s="105" t="s">
        <v>228</v>
      </c>
      <c r="B1148" s="105" t="s">
        <v>1981</v>
      </c>
      <c r="C1148" s="105" t="s">
        <v>1982</v>
      </c>
      <c r="D1148" s="105" t="s">
        <v>933</v>
      </c>
      <c r="E1148" s="95" t="str">
        <f>IFERROR(VLOOKUP(D1148,MATERIALES!A:B,2,FALSE()),"?")</f>
        <v>Tornillo T1 - Aguja</v>
      </c>
      <c r="F1148" s="129" t="str">
        <f>IFERROR(VLOOKUP(D1148,MATERIALES!A:C,3,FALSE()),"?")</f>
        <v>u</v>
      </c>
      <c r="G1148" s="119">
        <v>16</v>
      </c>
      <c r="H1148" s="120">
        <v>0.05</v>
      </c>
      <c r="I1148" s="96">
        <f>IFERROR(VLOOKUP(D1148,MATERIALES!A:D,4,FALSE()),0)</f>
        <v>26.153884000000001</v>
      </c>
      <c r="J1148" s="31">
        <f t="shared" si="438"/>
        <v>439.38525120000003</v>
      </c>
      <c r="K1148" s="32" t="str">
        <f t="shared" si="436"/>
        <v>PTO-1403|MAT</v>
      </c>
      <c r="L1148" s="32">
        <f>COUNTIFS($K$2:K1148,K1148)</f>
        <v>3</v>
      </c>
      <c r="M1148" s="32" t="str">
        <f t="shared" si="439"/>
        <v>PTO-1403|MAT|3</v>
      </c>
      <c r="N1148" s="121">
        <f>IFERROR(VLOOKUP(A1148,PARTIDAS!A:F,6,FALSE()),0)</f>
        <v>9.5</v>
      </c>
      <c r="O1148" s="123">
        <f t="shared" si="422"/>
        <v>0</v>
      </c>
      <c r="P1148" s="123">
        <f>+_xlfn.XLOOKUP(A1148,PPTO_GENERADOR!Q:Q,PPTO_GENERADOR!E:E,"-",0)</f>
        <v>62</v>
      </c>
      <c r="Q1148" s="123">
        <f t="shared" si="423"/>
        <v>0</v>
      </c>
      <c r="R1148" s="125">
        <f>+_xlfn.XLOOKUP(A1148,PPTO_GENERADOR!$Q:$Q,PPTO_GENERADOR!A:A,"-",0)</f>
        <v>14.03</v>
      </c>
    </row>
    <row r="1149" spans="1:18" ht="14.25" customHeight="1" x14ac:dyDescent="0.35">
      <c r="A1149" s="105" t="s">
        <v>228</v>
      </c>
      <c r="B1149" s="105" t="s">
        <v>1981</v>
      </c>
      <c r="C1149" s="105" t="s">
        <v>1982</v>
      </c>
      <c r="D1149" s="105" t="s">
        <v>935</v>
      </c>
      <c r="E1149" s="95" t="str">
        <f>IFERROR(VLOOKUP(D1149,MATERIALES!A:B,2,FALSE()),"?")</f>
        <v>Tornillo T2 - Aguja</v>
      </c>
      <c r="F1149" s="129" t="str">
        <f>IFERROR(VLOOKUP(D1149,MATERIALES!A:C,3,FALSE()),"?")</f>
        <v>u</v>
      </c>
      <c r="G1149" s="119">
        <v>18</v>
      </c>
      <c r="H1149" s="120">
        <v>0.05</v>
      </c>
      <c r="I1149" s="96">
        <f>IFERROR(VLOOKUP(D1149,MATERIALES!A:D,4,FALSE()),0)</f>
        <v>9.1146919999999998</v>
      </c>
      <c r="J1149" s="31">
        <f t="shared" si="438"/>
        <v>172.26767880000003</v>
      </c>
      <c r="K1149" s="32" t="str">
        <f t="shared" si="436"/>
        <v>PTO-1403|MAT</v>
      </c>
      <c r="L1149" s="32">
        <f>COUNTIFS($K$2:K1149,K1149)</f>
        <v>4</v>
      </c>
      <c r="M1149" s="32" t="str">
        <f t="shared" si="439"/>
        <v>PTO-1403|MAT|4</v>
      </c>
      <c r="N1149" s="121">
        <f>IFERROR(VLOOKUP(A1149,PARTIDAS!A:F,6,FALSE()),0)</f>
        <v>9.5</v>
      </c>
      <c r="O1149" s="123">
        <f t="shared" si="422"/>
        <v>0</v>
      </c>
      <c r="P1149" s="123">
        <f>+_xlfn.XLOOKUP(A1149,PPTO_GENERADOR!Q:Q,PPTO_GENERADOR!E:E,"-",0)</f>
        <v>62</v>
      </c>
      <c r="Q1149" s="123">
        <f t="shared" si="423"/>
        <v>0</v>
      </c>
      <c r="R1149" s="125">
        <f>+_xlfn.XLOOKUP(A1149,PPTO_GENERADOR!$Q:$Q,PPTO_GENERADOR!A:A,"-",0)</f>
        <v>14.03</v>
      </c>
    </row>
    <row r="1150" spans="1:18" ht="14.25" customHeight="1" x14ac:dyDescent="0.35">
      <c r="A1150" s="105" t="s">
        <v>228</v>
      </c>
      <c r="B1150" s="105" t="s">
        <v>1981</v>
      </c>
      <c r="C1150" s="105" t="s">
        <v>1982</v>
      </c>
      <c r="D1150" s="105" t="s">
        <v>939</v>
      </c>
      <c r="E1150" s="95" t="str">
        <f>IFERROR(VLOOKUP(D1150,MATERIALES!A:B,2,FALSE()),"?")</f>
        <v>Fijacion completa del 8</v>
      </c>
      <c r="F1150" s="129" t="str">
        <f>IFERROR(VLOOKUP(D1150,MATERIALES!A:C,3,FALSE()),"?")</f>
        <v>u</v>
      </c>
      <c r="G1150" s="119">
        <v>6</v>
      </c>
      <c r="H1150" s="120">
        <v>0.05</v>
      </c>
      <c r="I1150" s="96">
        <f>IFERROR(VLOOKUP(D1150,MATERIALES!A:D,4,FALSE()),0)</f>
        <v>63.381982999999998</v>
      </c>
      <c r="J1150" s="31">
        <f t="shared" si="438"/>
        <v>399.30649290000002</v>
      </c>
      <c r="K1150" s="32" t="str">
        <f t="shared" si="436"/>
        <v>PTO-1403|MAT</v>
      </c>
      <c r="L1150" s="32">
        <f>COUNTIFS($K$2:K1150,K1150)</f>
        <v>5</v>
      </c>
      <c r="M1150" s="32" t="str">
        <f t="shared" si="439"/>
        <v>PTO-1403|MAT|5</v>
      </c>
      <c r="N1150" s="121">
        <f>IFERROR(VLOOKUP(A1150,PARTIDAS!A:F,6,FALSE()),0)</f>
        <v>9.5</v>
      </c>
      <c r="O1150" s="123">
        <f t="shared" si="422"/>
        <v>0</v>
      </c>
      <c r="P1150" s="123">
        <f>+_xlfn.XLOOKUP(A1150,PPTO_GENERADOR!Q:Q,PPTO_GENERADOR!E:E,"-",0)</f>
        <v>62</v>
      </c>
      <c r="Q1150" s="123">
        <f t="shared" si="423"/>
        <v>0</v>
      </c>
      <c r="R1150" s="125">
        <f>+_xlfn.XLOOKUP(A1150,PPTO_GENERADOR!$Q:$Q,PPTO_GENERADOR!A:A,"-",0)</f>
        <v>14.03</v>
      </c>
    </row>
    <row r="1151" spans="1:18" ht="14.25" customHeight="1" x14ac:dyDescent="0.35">
      <c r="A1151" s="105" t="s">
        <v>228</v>
      </c>
      <c r="B1151" s="105" t="s">
        <v>1981</v>
      </c>
      <c r="C1151" s="105" t="s">
        <v>1982</v>
      </c>
      <c r="D1151" s="105" t="s">
        <v>941</v>
      </c>
      <c r="E1151" s="95" t="str">
        <f>IFERROR(VLOOKUP(D1151,MATERIALES!A:B,2,FALSE()),"?")</f>
        <v>Cinta Entramada - 90m</v>
      </c>
      <c r="F1151" s="129" t="str">
        <f>IFERROR(VLOOKUP(D1151,MATERIALES!A:C,3,FALSE()),"?")</f>
        <v>u</v>
      </c>
      <c r="G1151" s="119">
        <v>1.8332999999999999E-2</v>
      </c>
      <c r="H1151" s="120">
        <v>0.05</v>
      </c>
      <c r="I1151" s="96">
        <f>IFERROR(VLOOKUP(D1151,MATERIALES!A:D,4,FALSE()),0)</f>
        <v>4734.07</v>
      </c>
      <c r="J1151" s="31">
        <f t="shared" si="438"/>
        <v>91.12919057549999</v>
      </c>
      <c r="K1151" s="32" t="str">
        <f t="shared" si="436"/>
        <v>PTO-1403|MAT</v>
      </c>
      <c r="L1151" s="32">
        <f>COUNTIFS($K$2:K1151,K1151)</f>
        <v>6</v>
      </c>
      <c r="M1151" s="32" t="str">
        <f t="shared" si="439"/>
        <v>PTO-1403|MAT|6</v>
      </c>
      <c r="N1151" s="121">
        <f>IFERROR(VLOOKUP(A1151,PARTIDAS!A:F,6,FALSE()),0)</f>
        <v>9.5</v>
      </c>
      <c r="O1151" s="123">
        <f t="shared" si="422"/>
        <v>0</v>
      </c>
      <c r="P1151" s="123">
        <f>+_xlfn.XLOOKUP(A1151,PPTO_GENERADOR!Q:Q,PPTO_GENERADOR!E:E,"-",0)</f>
        <v>62</v>
      </c>
      <c r="Q1151" s="123">
        <f t="shared" si="423"/>
        <v>0</v>
      </c>
      <c r="R1151" s="125">
        <f>+_xlfn.XLOOKUP(A1151,PPTO_GENERADOR!$Q:$Q,PPTO_GENERADOR!A:A,"-",0)</f>
        <v>14.03</v>
      </c>
    </row>
    <row r="1152" spans="1:18" ht="14.25" customHeight="1" x14ac:dyDescent="0.35">
      <c r="A1152" s="105" t="s">
        <v>228</v>
      </c>
      <c r="B1152" s="105" t="s">
        <v>1981</v>
      </c>
      <c r="C1152" s="105" t="s">
        <v>1982</v>
      </c>
      <c r="D1152" s="105" t="s">
        <v>943</v>
      </c>
      <c r="E1152" s="95" t="str">
        <f>IFERROR(VLOOKUP(D1152,MATERIALES!A:B,2,FALSE()),"?")</f>
        <v>Masilla x 32kg</v>
      </c>
      <c r="F1152" s="129" t="str">
        <f>IFERROR(VLOOKUP(D1152,MATERIALES!A:C,3,FALSE()),"?")</f>
        <v>u</v>
      </c>
      <c r="G1152" s="119">
        <v>2.8125000000000001E-2</v>
      </c>
      <c r="H1152" s="120">
        <v>0.05</v>
      </c>
      <c r="I1152" s="96">
        <f>IFERROR(VLOOKUP(D1152,MATERIALES!A:D,4,FALSE()),0)</f>
        <v>23166.59</v>
      </c>
      <c r="J1152" s="31">
        <f t="shared" si="438"/>
        <v>684.13836093750001</v>
      </c>
      <c r="K1152" s="32" t="str">
        <f t="shared" si="436"/>
        <v>PTO-1403|MAT</v>
      </c>
      <c r="L1152" s="32">
        <f>COUNTIFS($K$2:K1152,K1152)</f>
        <v>7</v>
      </c>
      <c r="M1152" s="32" t="str">
        <f t="shared" si="439"/>
        <v>PTO-1403|MAT|7</v>
      </c>
      <c r="N1152" s="121">
        <f>IFERROR(VLOOKUP(A1152,PARTIDAS!A:F,6,FALSE()),0)</f>
        <v>9.5</v>
      </c>
      <c r="O1152" s="123">
        <f t="shared" si="422"/>
        <v>0</v>
      </c>
      <c r="P1152" s="123">
        <f>+_xlfn.XLOOKUP(A1152,PPTO_GENERADOR!Q:Q,PPTO_GENERADOR!E:E,"-",0)</f>
        <v>62</v>
      </c>
      <c r="Q1152" s="123">
        <f t="shared" si="423"/>
        <v>0</v>
      </c>
      <c r="R1152" s="125">
        <f>+_xlfn.XLOOKUP(A1152,PPTO_GENERADOR!$Q:$Q,PPTO_GENERADOR!A:A,"-",0)</f>
        <v>14.03</v>
      </c>
    </row>
    <row r="1153" spans="1:18" ht="14.25" customHeight="1" x14ac:dyDescent="0.35">
      <c r="A1153" s="105" t="s">
        <v>228</v>
      </c>
      <c r="B1153" s="105" t="s">
        <v>1981</v>
      </c>
      <c r="C1153" s="105" t="s">
        <v>1982</v>
      </c>
      <c r="D1153" s="105" t="s">
        <v>947</v>
      </c>
      <c r="E1153" s="95" t="str">
        <f>IFERROR(VLOOKUP(D1153,MATERIALES!A:B,2,FALSE()),"?")</f>
        <v>Placa Roca de Yeso 1220 x 2440 - 12.5mm - STD</v>
      </c>
      <c r="F1153" s="129" t="str">
        <f>IFERROR(VLOOKUP(D1153,MATERIALES!A:C,3,FALSE()),"?")</f>
        <v>u</v>
      </c>
      <c r="G1153" s="119">
        <v>0.36</v>
      </c>
      <c r="H1153" s="120">
        <v>0.1</v>
      </c>
      <c r="I1153" s="96">
        <f>IFERROR(VLOOKUP(D1153,MATERIALES!A:D,4,FALSE()),0)</f>
        <v>10458</v>
      </c>
      <c r="J1153" s="31">
        <f t="shared" si="438"/>
        <v>4141.3680000000004</v>
      </c>
      <c r="K1153" s="32" t="str">
        <f t="shared" si="436"/>
        <v>PTO-1403|MAT</v>
      </c>
      <c r="L1153" s="32">
        <f>COUNTIFS($K$2:K1153,K1153)</f>
        <v>8</v>
      </c>
      <c r="M1153" s="32" t="str">
        <f t="shared" si="439"/>
        <v>PTO-1403|MAT|8</v>
      </c>
      <c r="N1153" s="121">
        <f>IFERROR(VLOOKUP(A1153,PARTIDAS!A:F,6,FALSE()),0)</f>
        <v>9.5</v>
      </c>
      <c r="O1153" s="123">
        <f t="shared" si="422"/>
        <v>0</v>
      </c>
      <c r="P1153" s="123">
        <f>+_xlfn.XLOOKUP(A1153,PPTO_GENERADOR!Q:Q,PPTO_GENERADOR!E:E,"-",0)</f>
        <v>62</v>
      </c>
      <c r="Q1153" s="123">
        <f t="shared" si="423"/>
        <v>0</v>
      </c>
      <c r="R1153" s="125">
        <f>+_xlfn.XLOOKUP(A1153,PPTO_GENERADOR!$Q:$Q,PPTO_GENERADOR!A:A,"-",0)</f>
        <v>14.03</v>
      </c>
    </row>
    <row r="1154" spans="1:18" ht="14.25" customHeight="1" x14ac:dyDescent="0.35">
      <c r="A1154" s="105" t="s">
        <v>228</v>
      </c>
      <c r="B1154" s="105" t="s">
        <v>1981</v>
      </c>
      <c r="C1154" s="105" t="s">
        <v>1982</v>
      </c>
      <c r="D1154" s="105" t="s">
        <v>953</v>
      </c>
      <c r="E1154" s="95" t="str">
        <f>IFERROR(VLOOKUP(D1154,MATERIALES!A:B,2,FALSE()),"?")</f>
        <v>Buña Z x 2.60m</v>
      </c>
      <c r="F1154" s="129" t="str">
        <f>IFERROR(VLOOKUP(D1154,MATERIALES!A:C,3,FALSE()),"?")</f>
        <v>u</v>
      </c>
      <c r="G1154" s="119">
        <v>0.39</v>
      </c>
      <c r="H1154" s="120">
        <v>0.1</v>
      </c>
      <c r="I1154" s="96">
        <f>IFERROR(VLOOKUP(D1154,MATERIALES!A:D,4,FALSE()),0)</f>
        <v>2234.1799999999998</v>
      </c>
      <c r="J1154" s="31">
        <f t="shared" si="438"/>
        <v>958.46322000000009</v>
      </c>
      <c r="K1154" s="32" t="str">
        <f t="shared" si="436"/>
        <v>PTO-1403|MAT</v>
      </c>
      <c r="L1154" s="32">
        <f>COUNTIFS($K$2:K1154,K1154)</f>
        <v>9</v>
      </c>
      <c r="M1154" s="32" t="str">
        <f t="shared" si="439"/>
        <v>PTO-1403|MAT|9</v>
      </c>
      <c r="N1154" s="121">
        <f>IFERROR(VLOOKUP(A1154,PARTIDAS!A:F,6,FALSE()),0)</f>
        <v>9.5</v>
      </c>
      <c r="O1154" s="123">
        <f t="shared" si="422"/>
        <v>0</v>
      </c>
      <c r="P1154" s="123">
        <f>+_xlfn.XLOOKUP(A1154,PPTO_GENERADOR!Q:Q,PPTO_GENERADOR!E:E,"-",0)</f>
        <v>62</v>
      </c>
      <c r="Q1154" s="123">
        <f t="shared" si="423"/>
        <v>0</v>
      </c>
      <c r="R1154" s="125">
        <f>+_xlfn.XLOOKUP(A1154,PPTO_GENERADOR!$Q:$Q,PPTO_GENERADOR!A:A,"-",0)</f>
        <v>14.03</v>
      </c>
    </row>
    <row r="1155" spans="1:18" ht="14.25" customHeight="1" x14ac:dyDescent="0.35">
      <c r="A1155" s="105" t="s">
        <v>228</v>
      </c>
      <c r="B1155" s="105" t="s">
        <v>1981</v>
      </c>
      <c r="C1155" s="105" t="s">
        <v>1982</v>
      </c>
      <c r="D1155" s="105" t="s">
        <v>935</v>
      </c>
      <c r="E1155" s="95" t="str">
        <f>IFERROR(VLOOKUP(D1155,MATERIALES!A:B,2,FALSE()),"?")</f>
        <v>Tornillo T2 - Aguja</v>
      </c>
      <c r="F1155" s="129" t="str">
        <f>IFERROR(VLOOKUP(D1155,MATERIALES!A:C,3,FALSE()),"?")</f>
        <v>u</v>
      </c>
      <c r="G1155" s="119">
        <v>3</v>
      </c>
      <c r="H1155" s="120">
        <v>0.05</v>
      </c>
      <c r="I1155" s="96">
        <f>IFERROR(VLOOKUP(D1155,MATERIALES!A:D,4,FALSE()),0)</f>
        <v>9.1146919999999998</v>
      </c>
      <c r="J1155" s="31">
        <f t="shared" si="438"/>
        <v>28.711279800000003</v>
      </c>
      <c r="K1155" s="32" t="str">
        <f t="shared" si="436"/>
        <v>PTO-1403|MAT</v>
      </c>
      <c r="L1155" s="32">
        <f>COUNTIFS($K$2:K1155,K1155)</f>
        <v>10</v>
      </c>
      <c r="M1155" s="32" t="str">
        <f t="shared" si="439"/>
        <v>PTO-1403|MAT|10</v>
      </c>
      <c r="N1155" s="121">
        <f>IFERROR(VLOOKUP(A1155,PARTIDAS!A:F,6,FALSE()),0)</f>
        <v>9.5</v>
      </c>
      <c r="O1155" s="123">
        <f t="shared" ref="O1155:O1218" si="440">+IF(C1155="ALB",G1155/N1155,0)</f>
        <v>0</v>
      </c>
      <c r="P1155" s="123">
        <f>+_xlfn.XLOOKUP(A1155,PPTO_GENERADOR!Q:Q,PPTO_GENERADOR!E:E,"-",0)</f>
        <v>62</v>
      </c>
      <c r="Q1155" s="123">
        <f t="shared" ref="Q1155:Q1218" si="441">IFERROR(P1155*O1155,0)</f>
        <v>0</v>
      </c>
      <c r="R1155" s="125">
        <f>+_xlfn.XLOOKUP(A1155,PPTO_GENERADOR!$Q:$Q,PPTO_GENERADOR!A:A,"-",0)</f>
        <v>14.03</v>
      </c>
    </row>
    <row r="1156" spans="1:18" ht="14.25" customHeight="1" x14ac:dyDescent="0.35">
      <c r="A1156" s="105" t="s">
        <v>228</v>
      </c>
      <c r="B1156" s="105" t="s">
        <v>1983</v>
      </c>
      <c r="C1156" s="105"/>
      <c r="D1156" s="105" t="s">
        <v>1513</v>
      </c>
      <c r="E1156" s="95" t="str">
        <f>IFERROR(VLOOKUP(D1156,EQUIPOS!A:B,2,FALSE()),"?")</f>
        <v>EQUIPO DE CONSTRUCCION EN SECO</v>
      </c>
      <c r="F1156" s="129"/>
      <c r="G1156" s="119">
        <v>1</v>
      </c>
      <c r="H1156" s="120">
        <v>0</v>
      </c>
      <c r="I1156" s="96">
        <f>IFERROR(VLOOKUP(D1156,EQUIPOS!A:F,6,FALSE()),0)</f>
        <v>2570.7599166666664</v>
      </c>
      <c r="J1156" s="31">
        <f>G1156*I1156</f>
        <v>2570.7599166666664</v>
      </c>
      <c r="K1156" s="32" t="str">
        <f t="shared" si="436"/>
        <v>PTO-1403|EQ</v>
      </c>
      <c r="L1156" s="32">
        <f>COUNTIFS($K$2:K1156,K1156)</f>
        <v>2</v>
      </c>
      <c r="M1156" s="32" t="str">
        <f t="shared" ref="M1156:M1209" si="442">K1156&amp;"|"&amp;L1156</f>
        <v>PTO-1403|EQ|2</v>
      </c>
      <c r="N1156" s="121">
        <f>IFERROR(VLOOKUP(A1156,PARTIDAS!A:F,6,FALSE()),0)</f>
        <v>9.5</v>
      </c>
      <c r="O1156" s="123">
        <f t="shared" si="440"/>
        <v>0</v>
      </c>
      <c r="P1156" s="123">
        <f>+_xlfn.XLOOKUP(A1156,PPTO_GENERADOR!Q:Q,PPTO_GENERADOR!E:E,"-",0)</f>
        <v>62</v>
      </c>
      <c r="Q1156" s="123">
        <f t="shared" si="441"/>
        <v>0</v>
      </c>
      <c r="R1156" s="125">
        <f>+_xlfn.XLOOKUP(A1156,PPTO_GENERADOR!$Q:$Q,PPTO_GENERADOR!A:A,"-",0)</f>
        <v>14.03</v>
      </c>
    </row>
    <row r="1157" spans="1:18" ht="14.25" customHeight="1" x14ac:dyDescent="0.35">
      <c r="A1157" s="105" t="s">
        <v>231</v>
      </c>
      <c r="B1157" s="105" t="s">
        <v>1981</v>
      </c>
      <c r="C1157" s="105" t="s">
        <v>1982</v>
      </c>
      <c r="D1157" s="105" t="s">
        <v>953</v>
      </c>
      <c r="E1157" s="95" t="str">
        <f>IFERROR(VLOOKUP(D1157,MATERIALES!A:B,2,FALSE()),"?")</f>
        <v>Buña Z x 2.60m</v>
      </c>
      <c r="F1157" s="129" t="str">
        <f>IFERROR(VLOOKUP(D1157,MATERIALES!A:C,3,FALSE()),"?")</f>
        <v>u</v>
      </c>
      <c r="G1157" s="119">
        <v>0.39</v>
      </c>
      <c r="H1157" s="120">
        <v>0.1</v>
      </c>
      <c r="I1157" s="96">
        <f>IFERROR(VLOOKUP(D1157,MATERIALES!A:D,4,FALSE()),0)</f>
        <v>2234.1799999999998</v>
      </c>
      <c r="J1157" s="31">
        <f t="shared" ref="J1157:J1158" si="443">G1157*I1157*(1+H1157)</f>
        <v>958.46322000000009</v>
      </c>
      <c r="K1157" s="32" t="str">
        <f t="shared" si="436"/>
        <v>PTO-1404|MAT</v>
      </c>
      <c r="L1157" s="32">
        <f>COUNTIFS($K$2:K1157,K1157)</f>
        <v>1</v>
      </c>
      <c r="M1157" s="32" t="str">
        <f t="shared" si="442"/>
        <v>PTO-1404|MAT|1</v>
      </c>
      <c r="N1157" s="121">
        <f>IFERROR(VLOOKUP(A1157,PARTIDAS!A:F,6,FALSE()),0)</f>
        <v>15</v>
      </c>
      <c r="O1157" s="123">
        <f t="shared" si="440"/>
        <v>0</v>
      </c>
      <c r="P1157" s="123">
        <f>+_xlfn.XLOOKUP(A1157,PPTO_GENERADOR!Q:Q,PPTO_GENERADOR!E:E,"-",0)</f>
        <v>689</v>
      </c>
      <c r="Q1157" s="123">
        <f t="shared" si="441"/>
        <v>0</v>
      </c>
      <c r="R1157" s="125">
        <f>+_xlfn.XLOOKUP(A1157,PPTO_GENERADOR!$Q:$Q,PPTO_GENERADOR!A:A,"-",0)</f>
        <v>14.04</v>
      </c>
    </row>
    <row r="1158" spans="1:18" ht="14.25" customHeight="1" x14ac:dyDescent="0.35">
      <c r="A1158" s="105" t="s">
        <v>231</v>
      </c>
      <c r="B1158" s="105" t="s">
        <v>1981</v>
      </c>
      <c r="C1158" s="105" t="s">
        <v>1982</v>
      </c>
      <c r="D1158" s="105" t="s">
        <v>935</v>
      </c>
      <c r="E1158" s="95" t="str">
        <f>IFERROR(VLOOKUP(D1158,MATERIALES!A:B,2,FALSE()),"?")</f>
        <v>Tornillo T2 - Aguja</v>
      </c>
      <c r="F1158" s="129" t="str">
        <f>IFERROR(VLOOKUP(D1158,MATERIALES!A:C,3,FALSE()),"?")</f>
        <v>u</v>
      </c>
      <c r="G1158" s="119">
        <v>3</v>
      </c>
      <c r="H1158" s="120">
        <v>0.05</v>
      </c>
      <c r="I1158" s="96">
        <f>IFERROR(VLOOKUP(D1158,MATERIALES!A:D,4,FALSE()),0)</f>
        <v>9.1146919999999998</v>
      </c>
      <c r="J1158" s="31">
        <f t="shared" si="443"/>
        <v>28.711279800000003</v>
      </c>
      <c r="K1158" s="32" t="str">
        <f t="shared" si="436"/>
        <v>PTO-1404|MAT</v>
      </c>
      <c r="L1158" s="32">
        <f>COUNTIFS($K$2:K1158,K1158)</f>
        <v>2</v>
      </c>
      <c r="M1158" s="32" t="str">
        <f t="shared" si="442"/>
        <v>PTO-1404|MAT|2</v>
      </c>
      <c r="N1158" s="121">
        <f>IFERROR(VLOOKUP(A1158,PARTIDAS!A:F,6,FALSE()),0)</f>
        <v>15</v>
      </c>
      <c r="O1158" s="123">
        <f t="shared" si="440"/>
        <v>0</v>
      </c>
      <c r="P1158" s="123">
        <f>+_xlfn.XLOOKUP(A1158,PPTO_GENERADOR!Q:Q,PPTO_GENERADOR!E:E,"-",0)</f>
        <v>689</v>
      </c>
      <c r="Q1158" s="123">
        <f t="shared" si="441"/>
        <v>0</v>
      </c>
      <c r="R1158" s="125">
        <f>+_xlfn.XLOOKUP(A1158,PPTO_GENERADOR!$Q:$Q,PPTO_GENERADOR!A:A,"-",0)</f>
        <v>14.04</v>
      </c>
    </row>
    <row r="1159" spans="1:18" ht="14.25" customHeight="1" x14ac:dyDescent="0.35">
      <c r="A1159" s="105" t="s">
        <v>231</v>
      </c>
      <c r="B1159" s="105" t="s">
        <v>1983</v>
      </c>
      <c r="C1159" s="105"/>
      <c r="D1159" s="105" t="s">
        <v>1311</v>
      </c>
      <c r="E1159" s="95" t="str">
        <f>IFERROR(VLOOKUP(D1159,EQUIPOS!A:B,2,FALSE()),"?")</f>
        <v>ESCALERA GLOSS ALUMINIO ARTICULADA 4 X 4 ESCALONES HASTA 150KG</v>
      </c>
      <c r="F1159" s="129"/>
      <c r="G1159" s="119">
        <v>1</v>
      </c>
      <c r="H1159" s="120">
        <v>0</v>
      </c>
      <c r="I1159" s="96">
        <f>IFERROR(VLOOKUP(D1159,EQUIPOS!A:F,6,FALSE()),0)</f>
        <v>152.38027427373819</v>
      </c>
      <c r="J1159" s="31">
        <f t="shared" ref="J1159:J1160" si="444">G1159*I1159</f>
        <v>152.38027427373819</v>
      </c>
      <c r="K1159" s="32" t="str">
        <f t="shared" si="436"/>
        <v>PTO-1404|EQ</v>
      </c>
      <c r="L1159" s="32">
        <f>COUNTIFS($K$2:K1159,K1159)</f>
        <v>1</v>
      </c>
      <c r="M1159" s="32" t="str">
        <f t="shared" si="442"/>
        <v>PTO-1404|EQ|1</v>
      </c>
      <c r="N1159" s="121">
        <f>IFERROR(VLOOKUP(A1159,PARTIDAS!A:F,6,FALSE()),0)</f>
        <v>15</v>
      </c>
      <c r="O1159" s="123">
        <f t="shared" si="440"/>
        <v>0</v>
      </c>
      <c r="P1159" s="123">
        <f>+_xlfn.XLOOKUP(A1159,PPTO_GENERADOR!Q:Q,PPTO_GENERADOR!E:E,"-",0)</f>
        <v>689</v>
      </c>
      <c r="Q1159" s="123">
        <f t="shared" si="441"/>
        <v>0</v>
      </c>
      <c r="R1159" s="125">
        <f>+_xlfn.XLOOKUP(A1159,PPTO_GENERADOR!$Q:$Q,PPTO_GENERADOR!A:A,"-",0)</f>
        <v>14.04</v>
      </c>
    </row>
    <row r="1160" spans="1:18" ht="14.25" customHeight="1" x14ac:dyDescent="0.35">
      <c r="A1160" s="105" t="s">
        <v>231</v>
      </c>
      <c r="B1160" s="105" t="s">
        <v>1983</v>
      </c>
      <c r="C1160" s="105"/>
      <c r="D1160" s="105" t="s">
        <v>1513</v>
      </c>
      <c r="E1160" s="95" t="str">
        <f>IFERROR(VLOOKUP(D1160,EQUIPOS!A:B,2,FALSE()),"?")</f>
        <v>EQUIPO DE CONSTRUCCION EN SECO</v>
      </c>
      <c r="F1160" s="129"/>
      <c r="G1160" s="119">
        <v>1</v>
      </c>
      <c r="H1160" s="120">
        <v>0</v>
      </c>
      <c r="I1160" s="96">
        <f>IFERROR(VLOOKUP(D1160,EQUIPOS!A:F,6,FALSE()),0)</f>
        <v>2570.7599166666664</v>
      </c>
      <c r="J1160" s="31">
        <f t="shared" si="444"/>
        <v>2570.7599166666664</v>
      </c>
      <c r="K1160" s="32" t="str">
        <f t="shared" si="436"/>
        <v>PTO-1404|EQ</v>
      </c>
      <c r="L1160" s="32">
        <f>COUNTIFS($K$2:K1160,K1160)</f>
        <v>2</v>
      </c>
      <c r="M1160" s="32" t="str">
        <f t="shared" si="442"/>
        <v>PTO-1404|EQ|2</v>
      </c>
      <c r="N1160" s="121">
        <f>IFERROR(VLOOKUP(A1160,PARTIDAS!A:F,6,FALSE()),0)</f>
        <v>15</v>
      </c>
      <c r="O1160" s="123">
        <f t="shared" si="440"/>
        <v>0</v>
      </c>
      <c r="P1160" s="123">
        <f>+_xlfn.XLOOKUP(A1160,PPTO_GENERADOR!Q:Q,PPTO_GENERADOR!E:E,"-",0)</f>
        <v>689</v>
      </c>
      <c r="Q1160" s="123">
        <f t="shared" si="441"/>
        <v>0</v>
      </c>
      <c r="R1160" s="125">
        <f>+_xlfn.XLOOKUP(A1160,PPTO_GENERADOR!$Q:$Q,PPTO_GENERADOR!A:A,"-",0)</f>
        <v>14.04</v>
      </c>
    </row>
    <row r="1161" spans="1:18" ht="14.25" customHeight="1" x14ac:dyDescent="0.35">
      <c r="A1161" s="105" t="s">
        <v>234</v>
      </c>
      <c r="B1161" s="105" t="s">
        <v>1981</v>
      </c>
      <c r="C1161" s="105" t="s">
        <v>1984</v>
      </c>
      <c r="D1161" s="105" t="s">
        <v>738</v>
      </c>
      <c r="E1161" s="95" t="str">
        <f>IFERROR(VLOOKUP(D1161,MATERIALES!A:B,2,FALSE()),"?")</f>
        <v>Yeso Knauf MP 40/75 Proyectable x 25 kg - (17 kg/m2)</v>
      </c>
      <c r="F1161" s="129" t="str">
        <f>IFERROR(VLOOKUP(D1161,MATERIALES!A:C,3,FALSE()),"?")</f>
        <v>u</v>
      </c>
      <c r="G1161" s="119">
        <v>0.71407200000000004</v>
      </c>
      <c r="H1161" s="120">
        <v>0</v>
      </c>
      <c r="I1161" s="96">
        <f>IFERROR(VLOOKUP(D1161,MATERIALES!A:D,4,FALSE()),0)</f>
        <v>7524.72</v>
      </c>
      <c r="J1161" s="31">
        <f t="shared" ref="J1161:J1162" si="445">G1161*I1161*(1+H1161)</f>
        <v>5373.1918598400007</v>
      </c>
      <c r="K1161" s="32" t="str">
        <f t="shared" si="436"/>
        <v>PTO-1405|MAT</v>
      </c>
      <c r="L1161" s="32">
        <f>COUNTIFS($K$2:K1161,K1161)</f>
        <v>1</v>
      </c>
      <c r="M1161" s="32" t="str">
        <f t="shared" si="442"/>
        <v>PTO-1405|MAT|1</v>
      </c>
      <c r="N1161" s="121">
        <f>IFERROR(VLOOKUP(A1161,PARTIDAS!A:F,6,FALSE()),0)</f>
        <v>1</v>
      </c>
      <c r="O1161" s="123">
        <f t="shared" si="440"/>
        <v>0</v>
      </c>
      <c r="P1161" s="123">
        <f>+_xlfn.XLOOKUP(A1161,PPTO_GENERADOR!Q:Q,PPTO_GENERADOR!E:E,"-",0)</f>
        <v>668</v>
      </c>
      <c r="Q1161" s="123">
        <f t="shared" si="441"/>
        <v>0</v>
      </c>
      <c r="R1161" s="125">
        <f>+_xlfn.XLOOKUP(A1161,PPTO_GENERADOR!$Q:$Q,PPTO_GENERADOR!A:A,"-",0)</f>
        <v>14.05</v>
      </c>
    </row>
    <row r="1162" spans="1:18" ht="14.25" customHeight="1" x14ac:dyDescent="0.35">
      <c r="A1162" s="105" t="s">
        <v>234</v>
      </c>
      <c r="B1162" s="105" t="s">
        <v>1981</v>
      </c>
      <c r="C1162" s="105" t="s">
        <v>1984</v>
      </c>
      <c r="D1162" s="105" t="s">
        <v>740</v>
      </c>
      <c r="E1162" s="95" t="str">
        <f>IFERROR(VLOOKUP(D1162,MATERIALES!A:B,2,FALSE()),"?")</f>
        <v>PA-MAX PUENTE DE ADHERENCIA 20LT (150 m2/tac) - Contemplo el 20% de los m2</v>
      </c>
      <c r="F1162" s="129" t="str">
        <f>IFERROR(VLOOKUP(D1162,MATERIALES!A:C,3,FALSE()),"?")</f>
        <v>u</v>
      </c>
      <c r="G1162" s="119">
        <v>7.4850000000000003E-3</v>
      </c>
      <c r="H1162" s="120">
        <v>0</v>
      </c>
      <c r="I1162" s="96">
        <f>IFERROR(VLOOKUP(D1162,MATERIALES!A:D,4,FALSE()),0)</f>
        <v>152600</v>
      </c>
      <c r="J1162" s="31">
        <f t="shared" si="445"/>
        <v>1142.211</v>
      </c>
      <c r="K1162" s="32" t="str">
        <f t="shared" si="436"/>
        <v>PTO-1405|MAT</v>
      </c>
      <c r="L1162" s="32">
        <f>COUNTIFS($K$2:K1162,K1162)</f>
        <v>2</v>
      </c>
      <c r="M1162" s="32" t="str">
        <f t="shared" si="442"/>
        <v>PTO-1405|MAT|2</v>
      </c>
      <c r="N1162" s="121">
        <f>IFERROR(VLOOKUP(A1162,PARTIDAS!A:F,6,FALSE()),0)</f>
        <v>1</v>
      </c>
      <c r="O1162" s="123">
        <f t="shared" si="440"/>
        <v>0</v>
      </c>
      <c r="P1162" s="123">
        <f>+_xlfn.XLOOKUP(A1162,PPTO_GENERADOR!Q:Q,PPTO_GENERADOR!E:E,"-",0)</f>
        <v>668</v>
      </c>
      <c r="Q1162" s="123">
        <f t="shared" si="441"/>
        <v>0</v>
      </c>
      <c r="R1162" s="125">
        <f>+_xlfn.XLOOKUP(A1162,PPTO_GENERADOR!$Q:$Q,PPTO_GENERADOR!A:A,"-",0)</f>
        <v>14.05</v>
      </c>
    </row>
    <row r="1163" spans="1:18" ht="14.25" customHeight="1" x14ac:dyDescent="0.35">
      <c r="A1163" s="105" t="s">
        <v>234</v>
      </c>
      <c r="B1163" s="105" t="s">
        <v>1979</v>
      </c>
      <c r="C1163" s="105" t="s">
        <v>1982</v>
      </c>
      <c r="D1163" s="105" t="s">
        <v>1588</v>
      </c>
      <c r="E1163" s="95" t="str">
        <f>IFERROR(VLOOKUP(D1163,SUBCONTRATOS_PRY!A:B,2,FALSE()),"?")</f>
        <v>Yeso</v>
      </c>
      <c r="F1163" s="129" t="s">
        <v>2042</v>
      </c>
      <c r="G1163" s="119">
        <v>1</v>
      </c>
      <c r="H1163" s="120">
        <v>0</v>
      </c>
      <c r="I1163" s="96">
        <f>IFERROR(VLOOKUP(D1163,SUBCONTRATOS_PRY!A:D,4,FALSE()),0)</f>
        <v>12252.5485737202</v>
      </c>
      <c r="J1163" s="31">
        <f>G1163*I1163</f>
        <v>12252.5485737202</v>
      </c>
      <c r="K1163" s="32" t="str">
        <f t="shared" si="436"/>
        <v>PTO-1405|MO</v>
      </c>
      <c r="L1163" s="32">
        <f>COUNTIFS($K$2:K1163,K1163)</f>
        <v>1</v>
      </c>
      <c r="M1163" s="32" t="str">
        <f t="shared" si="442"/>
        <v>PTO-1405|MO|1</v>
      </c>
      <c r="N1163" s="121">
        <f>IFERROR(VLOOKUP(A1163,PARTIDAS!A:F,6,FALSE()),0)</f>
        <v>1</v>
      </c>
      <c r="O1163" s="123">
        <f t="shared" si="440"/>
        <v>0</v>
      </c>
      <c r="P1163" s="123">
        <f>+_xlfn.XLOOKUP(A1163,PPTO_GENERADOR!Q:Q,PPTO_GENERADOR!E:E,"-",0)</f>
        <v>668</v>
      </c>
      <c r="Q1163" s="123">
        <f t="shared" si="441"/>
        <v>0</v>
      </c>
      <c r="R1163" s="125">
        <f>+_xlfn.XLOOKUP(A1163,PPTO_GENERADOR!$Q:$Q,PPTO_GENERADOR!A:A,"-",0)</f>
        <v>14.05</v>
      </c>
    </row>
    <row r="1164" spans="1:18" ht="14.25" customHeight="1" x14ac:dyDescent="0.35">
      <c r="A1164" s="105" t="s">
        <v>234</v>
      </c>
      <c r="B1164" s="105" t="s">
        <v>1983</v>
      </c>
      <c r="C1164" s="105"/>
      <c r="D1164" s="105" t="s">
        <v>1409</v>
      </c>
      <c r="E1164" s="95" t="str">
        <f>IFERROR(VLOOKUP(D1164,EQUIPOS!A:B,2,FALSE()),"?")</f>
        <v>Herramientas — Aplicado de yeso interior</v>
      </c>
      <c r="F1164" s="129"/>
      <c r="G1164" s="119">
        <v>1</v>
      </c>
      <c r="H1164" s="120">
        <v>0</v>
      </c>
      <c r="I1164" s="96">
        <f>IFERROR(VLOOKUP(D1164,EQUIPOS!A:F,6,FALSE()),0)</f>
        <v>281.51932381538398</v>
      </c>
      <c r="J1164" s="31">
        <f>G1164*I1164</f>
        <v>281.51932381538398</v>
      </c>
      <c r="K1164" s="32" t="str">
        <f t="shared" si="436"/>
        <v>PTO-1405|EQ</v>
      </c>
      <c r="L1164" s="32">
        <f>COUNTIFS($K$2:K1164,K1164)</f>
        <v>1</v>
      </c>
      <c r="M1164" s="32" t="str">
        <f t="shared" si="442"/>
        <v>PTO-1405|EQ|1</v>
      </c>
      <c r="N1164" s="121">
        <f>IFERROR(VLOOKUP(A1164,PARTIDAS!A:F,6,FALSE()),0)</f>
        <v>1</v>
      </c>
      <c r="O1164" s="123">
        <f t="shared" si="440"/>
        <v>0</v>
      </c>
      <c r="P1164" s="123">
        <f>+_xlfn.XLOOKUP(A1164,PPTO_GENERADOR!Q:Q,PPTO_GENERADOR!E:E,"-",0)</f>
        <v>668</v>
      </c>
      <c r="Q1164" s="123">
        <f t="shared" si="441"/>
        <v>0</v>
      </c>
      <c r="R1164" s="125">
        <f>+_xlfn.XLOOKUP(A1164,PPTO_GENERADOR!$Q:$Q,PPTO_GENERADOR!A:A,"-",0)</f>
        <v>14.05</v>
      </c>
    </row>
    <row r="1165" spans="1:18" ht="14.25" customHeight="1" x14ac:dyDescent="0.35">
      <c r="A1165" s="105" t="s">
        <v>236</v>
      </c>
      <c r="B1165" s="105" t="s">
        <v>1979</v>
      </c>
      <c r="C1165" s="105" t="s">
        <v>1982</v>
      </c>
      <c r="D1165" s="105" t="s">
        <v>1589</v>
      </c>
      <c r="E1165" s="95" t="str">
        <f>IFERROR(VLOOKUP(D1165,SUBCONTRATOS_PRY!A:B,2,FALSE()),"?")</f>
        <v>Arista / Buña</v>
      </c>
      <c r="F1165" s="129" t="s">
        <v>2042</v>
      </c>
      <c r="G1165" s="119">
        <v>1</v>
      </c>
      <c r="H1165" s="120">
        <v>0</v>
      </c>
      <c r="I1165" s="96">
        <f>IFERROR(VLOOKUP(D1165,SUBCONTRATOS_PRY!A:D,4,FALSE()),0)</f>
        <v>13144.582643730701</v>
      </c>
      <c r="J1165" s="31">
        <f>G1165*I1165</f>
        <v>13144.582643730701</v>
      </c>
      <c r="K1165" s="32" t="str">
        <f t="shared" si="436"/>
        <v>PTO-1406|MO</v>
      </c>
      <c r="L1165" s="32">
        <f>COUNTIFS($K$2:K1165,K1165)</f>
        <v>1</v>
      </c>
      <c r="M1165" s="32" t="str">
        <f t="shared" si="442"/>
        <v>PTO-1406|MO|1</v>
      </c>
      <c r="N1165" s="121">
        <f>IFERROR(VLOOKUP(A1165,PARTIDAS!A:F,6,FALSE()),0)</f>
        <v>1</v>
      </c>
      <c r="O1165" s="123">
        <f t="shared" si="440"/>
        <v>0</v>
      </c>
      <c r="P1165" s="123">
        <f>+_xlfn.XLOOKUP(A1165,PPTO_GENERADOR!Q:Q,PPTO_GENERADOR!E:E,"-",0)</f>
        <v>446</v>
      </c>
      <c r="Q1165" s="123">
        <f t="shared" si="441"/>
        <v>0</v>
      </c>
      <c r="R1165" s="125">
        <f>+_xlfn.XLOOKUP(A1165,PPTO_GENERADOR!$Q:$Q,PPTO_GENERADOR!A:A,"-",0)</f>
        <v>14.06</v>
      </c>
    </row>
    <row r="1166" spans="1:18" ht="14.25" customHeight="1" x14ac:dyDescent="0.35">
      <c r="A1166" s="105" t="s">
        <v>236</v>
      </c>
      <c r="B1166" s="105" t="s">
        <v>1983</v>
      </c>
      <c r="C1166" s="105"/>
      <c r="D1166" s="105" t="s">
        <v>1411</v>
      </c>
      <c r="E1166" s="95" t="str">
        <f>IFERROR(VLOOKUP(D1166,EQUIPOS!A:B,2,FALSE()),"?")</f>
        <v xml:space="preserve">Herramientas — Buña en yeso </v>
      </c>
      <c r="F1166" s="129"/>
      <c r="G1166" s="119">
        <v>1</v>
      </c>
      <c r="H1166" s="120">
        <v>0</v>
      </c>
      <c r="I1166" s="96">
        <f>IFERROR(VLOOKUP(D1166,EQUIPOS!A:F,6,FALSE()),0)</f>
        <v>197.16873965596</v>
      </c>
      <c r="J1166" s="31">
        <f>G1166*I1166</f>
        <v>197.16873965596</v>
      </c>
      <c r="K1166" s="32" t="str">
        <f t="shared" si="436"/>
        <v>PTO-1406|EQ</v>
      </c>
      <c r="L1166" s="32">
        <f>COUNTIFS($K$2:K1166,K1166)</f>
        <v>1</v>
      </c>
      <c r="M1166" s="32" t="str">
        <f t="shared" si="442"/>
        <v>PTO-1406|EQ|1</v>
      </c>
      <c r="N1166" s="121">
        <f>IFERROR(VLOOKUP(A1166,PARTIDAS!A:F,6,FALSE()),0)</f>
        <v>1</v>
      </c>
      <c r="O1166" s="123">
        <f t="shared" si="440"/>
        <v>0</v>
      </c>
      <c r="P1166" s="123">
        <f>+_xlfn.XLOOKUP(A1166,PPTO_GENERADOR!Q:Q,PPTO_GENERADOR!E:E,"-",0)</f>
        <v>446</v>
      </c>
      <c r="Q1166" s="123">
        <f t="shared" si="441"/>
        <v>0</v>
      </c>
      <c r="R1166" s="125">
        <f>+_xlfn.XLOOKUP(A1166,PPTO_GENERADOR!$Q:$Q,PPTO_GENERADOR!A:A,"-",0)</f>
        <v>14.06</v>
      </c>
    </row>
    <row r="1167" spans="1:18" ht="14.25" customHeight="1" x14ac:dyDescent="0.35">
      <c r="A1167" s="105" t="s">
        <v>237</v>
      </c>
      <c r="B1167" s="105" t="s">
        <v>1979</v>
      </c>
      <c r="C1167" s="105" t="s">
        <v>1982</v>
      </c>
      <c r="D1167" s="105" t="s">
        <v>1592</v>
      </c>
      <c r="E1167" s="95" t="str">
        <f>IFERROR(VLOOKUP(D1167,SUBCONTRATOS_PRY!A:B,2,FALSE()),"?")</f>
        <v>Cantonera</v>
      </c>
      <c r="F1167" s="129" t="s">
        <v>2042</v>
      </c>
      <c r="G1167" s="119">
        <v>1</v>
      </c>
      <c r="H1167" s="120">
        <v>0</v>
      </c>
      <c r="I1167" s="96">
        <f>IFERROR(VLOOKUP(D1167,SUBCONTRATOS_PRY!A:D,4,FALSE()),0)</f>
        <v>13144.582643730701</v>
      </c>
      <c r="J1167" s="31">
        <f>G1167*I1167</f>
        <v>13144.582643730701</v>
      </c>
      <c r="K1167" s="32" t="str">
        <f t="shared" si="436"/>
        <v>PTO-1407|MO</v>
      </c>
      <c r="L1167" s="32">
        <f>COUNTIFS($K$2:K1167,K1167)</f>
        <v>1</v>
      </c>
      <c r="M1167" s="32" t="str">
        <f t="shared" si="442"/>
        <v>PTO-1407|MO|1</v>
      </c>
      <c r="N1167" s="121">
        <f>IFERROR(VLOOKUP(A1167,PARTIDAS!A:F,6,FALSE()),0)</f>
        <v>1</v>
      </c>
      <c r="O1167" s="123">
        <f t="shared" si="440"/>
        <v>0</v>
      </c>
      <c r="P1167" s="123">
        <f>+_xlfn.XLOOKUP(A1167,PPTO_GENERADOR!Q:Q,PPTO_GENERADOR!E:E,"-",0)</f>
        <v>2</v>
      </c>
      <c r="Q1167" s="123">
        <f t="shared" si="441"/>
        <v>0</v>
      </c>
      <c r="R1167" s="125">
        <f>+_xlfn.XLOOKUP(A1167,PPTO_GENERADOR!$Q:$Q,PPTO_GENERADOR!A:A,"-",0)</f>
        <v>14.07</v>
      </c>
    </row>
    <row r="1168" spans="1:18" ht="14.25" customHeight="1" x14ac:dyDescent="0.35">
      <c r="A1168" s="105" t="s">
        <v>239</v>
      </c>
      <c r="B1168" s="105" t="s">
        <v>1981</v>
      </c>
      <c r="C1168" s="105" t="s">
        <v>1982</v>
      </c>
      <c r="D1168" s="105" t="s">
        <v>559</v>
      </c>
      <c r="E1168" s="95" t="str">
        <f>IFERROR(VLOOKUP(D1168,MATERIALES!A:B,2,FALSE()),"?")</f>
        <v>CONSUMIBLES (varios)</v>
      </c>
      <c r="F1168" s="129" t="str">
        <f>IFERROR(VLOOKUP(D1168,MATERIALES!A:C,3,FALSE()),"?")</f>
        <v>gl</v>
      </c>
      <c r="G1168" s="119">
        <v>1351.3513513513999</v>
      </c>
      <c r="H1168" s="120">
        <v>0</v>
      </c>
      <c r="I1168" s="96">
        <f>IFERROR(VLOOKUP(D1168,MATERIALES!A:D,4,FALSE()),0)</f>
        <v>1</v>
      </c>
      <c r="J1168" s="31">
        <f>G1168*I1168*(1+H1168)</f>
        <v>1351.3513513513999</v>
      </c>
      <c r="K1168" s="32" t="str">
        <f t="shared" si="436"/>
        <v>PTO-1408|MAT</v>
      </c>
      <c r="L1168" s="32">
        <f>COUNTIFS($K$2:K1168,K1168)</f>
        <v>1</v>
      </c>
      <c r="M1168" s="32" t="str">
        <f t="shared" si="442"/>
        <v>PTO-1408|MAT|1</v>
      </c>
      <c r="N1168" s="121">
        <f>IFERROR(VLOOKUP(A1168,PARTIDAS!A:F,6,FALSE()),0)</f>
        <v>1</v>
      </c>
      <c r="O1168" s="123">
        <f t="shared" si="440"/>
        <v>0</v>
      </c>
      <c r="P1168" s="123">
        <f>+_xlfn.XLOOKUP(A1168,PPTO_GENERADOR!Q:Q,PPTO_GENERADOR!E:E,"-",0)</f>
        <v>370</v>
      </c>
      <c r="Q1168" s="123">
        <f t="shared" si="441"/>
        <v>0</v>
      </c>
      <c r="R1168" s="125">
        <f>+_xlfn.XLOOKUP(A1168,PPTO_GENERADOR!$Q:$Q,PPTO_GENERADOR!A:A,"-",0)</f>
        <v>14.08</v>
      </c>
    </row>
    <row r="1169" spans="1:18" ht="14.25" customHeight="1" x14ac:dyDescent="0.35">
      <c r="A1169" s="105" t="s">
        <v>239</v>
      </c>
      <c r="B1169" s="105" t="s">
        <v>1979</v>
      </c>
      <c r="C1169" s="105" t="s">
        <v>1980</v>
      </c>
      <c r="D1169" s="105" t="s">
        <v>1292</v>
      </c>
      <c r="E1169" s="95" t="str">
        <f>IFERROR(VLOOKUP(D1169,MANO_DE_OBRA!A:B,2,FALSE()),"?")</f>
        <v>ESPECIALIZADO</v>
      </c>
      <c r="F1169" s="129" t="s">
        <v>2042</v>
      </c>
      <c r="G1169" s="119">
        <v>2.7026999999999999E-2</v>
      </c>
      <c r="H1169" s="120">
        <v>0</v>
      </c>
      <c r="I1169" s="96">
        <f>IFERROR(VLOOKUP(D1169,MANO_DE_OBRA!A:C,3,FALSE()),0)</f>
        <v>94177.137883538904</v>
      </c>
      <c r="J1169" s="31">
        <f t="shared" ref="J1169:J1170" si="446">G1169*I1169</f>
        <v>2545.3255055784057</v>
      </c>
      <c r="K1169" s="32" t="str">
        <f t="shared" si="436"/>
        <v>PTO-1408|MO</v>
      </c>
      <c r="L1169" s="32">
        <f>COUNTIFS($K$2:K1169,K1169)</f>
        <v>1</v>
      </c>
      <c r="M1169" s="32" t="str">
        <f t="shared" si="442"/>
        <v>PTO-1408|MO|1</v>
      </c>
      <c r="N1169" s="121">
        <f>IFERROR(VLOOKUP(A1169,PARTIDAS!A:F,6,FALSE()),0)</f>
        <v>1</v>
      </c>
      <c r="O1169" s="123">
        <f t="shared" si="440"/>
        <v>2.7026999999999999E-2</v>
      </c>
      <c r="P1169" s="123">
        <f>+_xlfn.XLOOKUP(A1169,PPTO_GENERADOR!Q:Q,PPTO_GENERADOR!E:E,"-",0)</f>
        <v>370</v>
      </c>
      <c r="Q1169" s="123">
        <f t="shared" si="441"/>
        <v>9.9999900000000004</v>
      </c>
      <c r="R1169" s="125">
        <f>+_xlfn.XLOOKUP(A1169,PPTO_GENERADOR!$Q:$Q,PPTO_GENERADOR!A:A,"-",0)</f>
        <v>14.08</v>
      </c>
    </row>
    <row r="1170" spans="1:18" ht="14.25" customHeight="1" x14ac:dyDescent="0.35">
      <c r="A1170" s="105" t="s">
        <v>239</v>
      </c>
      <c r="B1170" s="105" t="s">
        <v>1979</v>
      </c>
      <c r="C1170" s="105" t="s">
        <v>1980</v>
      </c>
      <c r="D1170" s="105" t="s">
        <v>2038</v>
      </c>
      <c r="E1170" s="95" t="str">
        <f>IFERROR(VLOOKUP(D1170,MANO_DE_OBRA!A:B,2,FALSE()),"?")</f>
        <v>AYUDANTE</v>
      </c>
      <c r="F1170" s="129" t="s">
        <v>2042</v>
      </c>
      <c r="G1170" s="119">
        <v>2.7026999999999999E-2</v>
      </c>
      <c r="H1170" s="120">
        <v>0</v>
      </c>
      <c r="I1170" s="96">
        <f>IFERROR(VLOOKUP(D1170,MANO_DE_OBRA!A:C,3,FALSE()),0)</f>
        <v>67240.498860267602</v>
      </c>
      <c r="J1170" s="31">
        <f t="shared" si="446"/>
        <v>1817.3089626964525</v>
      </c>
      <c r="K1170" s="32" t="str">
        <f t="shared" si="436"/>
        <v>PTO-1408|MO</v>
      </c>
      <c r="L1170" s="32">
        <f>COUNTIFS($K$2:K1170,K1170)</f>
        <v>2</v>
      </c>
      <c r="M1170" s="32" t="str">
        <f t="shared" si="442"/>
        <v>PTO-1408|MO|2</v>
      </c>
      <c r="N1170" s="121">
        <f>IFERROR(VLOOKUP(A1170,PARTIDAS!A:F,6,FALSE()),0)</f>
        <v>1</v>
      </c>
      <c r="O1170" s="123">
        <f t="shared" si="440"/>
        <v>2.7026999999999999E-2</v>
      </c>
      <c r="P1170" s="123">
        <f>+_xlfn.XLOOKUP(A1170,PPTO_GENERADOR!Q:Q,PPTO_GENERADOR!E:E,"-",0)</f>
        <v>370</v>
      </c>
      <c r="Q1170" s="123">
        <f t="shared" si="441"/>
        <v>9.9999900000000004</v>
      </c>
      <c r="R1170" s="125">
        <f>+_xlfn.XLOOKUP(A1170,PPTO_GENERADOR!$Q:$Q,PPTO_GENERADOR!A:A,"-",0)</f>
        <v>14.08</v>
      </c>
    </row>
    <row r="1171" spans="1:18" ht="14.25" customHeight="1" x14ac:dyDescent="0.35">
      <c r="A1171" s="105" t="s">
        <v>239</v>
      </c>
      <c r="B1171" s="105" t="s">
        <v>1983</v>
      </c>
      <c r="C1171" s="105"/>
      <c r="D1171" s="105" t="s">
        <v>1413</v>
      </c>
      <c r="E1171" s="95" t="str">
        <f>IFERROR(VLOOKUP(D1171,EQUIPOS!A:B,2,FALSE()),"?")</f>
        <v>Herramientas — H° Visto - Maquillaje para recibir pintu</v>
      </c>
      <c r="F1171" s="129"/>
      <c r="G1171" s="119">
        <v>1</v>
      </c>
      <c r="H1171" s="120">
        <v>0</v>
      </c>
      <c r="I1171" s="96">
        <f>IFERROR(VLOOKUP(D1171,EQUIPOS!A:F,6,FALSE()),0)</f>
        <v>85.709852733975595</v>
      </c>
      <c r="J1171" s="31">
        <f>G1171*I1171</f>
        <v>85.709852733975595</v>
      </c>
      <c r="K1171" s="32" t="str">
        <f t="shared" si="436"/>
        <v>PTO-1408|EQ</v>
      </c>
      <c r="L1171" s="32">
        <f>COUNTIFS($K$2:K1171,K1171)</f>
        <v>1</v>
      </c>
      <c r="M1171" s="32" t="str">
        <f t="shared" si="442"/>
        <v>PTO-1408|EQ|1</v>
      </c>
      <c r="N1171" s="121">
        <f>IFERROR(VLOOKUP(A1171,PARTIDAS!A:F,6,FALSE()),0)</f>
        <v>1</v>
      </c>
      <c r="O1171" s="123">
        <f t="shared" si="440"/>
        <v>0</v>
      </c>
      <c r="P1171" s="123">
        <f>+_xlfn.XLOOKUP(A1171,PPTO_GENERADOR!Q:Q,PPTO_GENERADOR!E:E,"-",0)</f>
        <v>370</v>
      </c>
      <c r="Q1171" s="123">
        <f t="shared" si="441"/>
        <v>0</v>
      </c>
      <c r="R1171" s="125">
        <f>+_xlfn.XLOOKUP(A1171,PPTO_GENERADOR!$Q:$Q,PPTO_GENERADOR!A:A,"-",0)</f>
        <v>14.08</v>
      </c>
    </row>
    <row r="1172" spans="1:18" ht="14.25" customHeight="1" x14ac:dyDescent="0.35">
      <c r="A1172" s="105" t="s">
        <v>241</v>
      </c>
      <c r="B1172" s="105" t="s">
        <v>1981</v>
      </c>
      <c r="C1172" s="105" t="s">
        <v>1982</v>
      </c>
      <c r="D1172" s="105" t="s">
        <v>590</v>
      </c>
      <c r="E1172" s="95" t="str">
        <f>IFERROR(VLOOKUP(D1172,MATERIALES!A:B,2,FALSE()),"?")</f>
        <v>Yeso Tuyango x 30kg</v>
      </c>
      <c r="F1172" s="129">
        <f>IFERROR(VLOOKUP(D1172,MATERIALES!A:C,3,FALSE()),"?")</f>
        <v>0</v>
      </c>
      <c r="G1172" s="119">
        <v>1E-3</v>
      </c>
      <c r="H1172" s="120">
        <v>0.05</v>
      </c>
      <c r="I1172" s="96">
        <f>IFERROR(VLOOKUP(D1172,MATERIALES!A:D,4,FALSE()),0)</f>
        <v>9927.59</v>
      </c>
      <c r="J1172" s="31">
        <f t="shared" ref="J1172:J1181" si="447">G1172*I1172*(1+H1172)</f>
        <v>10.4239695</v>
      </c>
      <c r="K1172" s="32" t="str">
        <f t="shared" si="436"/>
        <v>PTO-1501|MAT</v>
      </c>
      <c r="L1172" s="32">
        <f>COUNTIFS($K$2:K1172,K1172)</f>
        <v>1</v>
      </c>
      <c r="M1172" s="32" t="str">
        <f t="shared" si="442"/>
        <v>PTO-1501|MAT|1</v>
      </c>
      <c r="N1172" s="121">
        <f>IFERROR(VLOOKUP(A1172,PARTIDAS!A:F,6,FALSE()),0)</f>
        <v>20</v>
      </c>
      <c r="O1172" s="123">
        <f t="shared" si="440"/>
        <v>0</v>
      </c>
      <c r="P1172" s="123">
        <f>+_xlfn.XLOOKUP(A1172,PPTO_GENERADOR!Q:Q,PPTO_GENERADOR!E:E,"-",0)</f>
        <v>2180</v>
      </c>
      <c r="Q1172" s="123">
        <f t="shared" si="441"/>
        <v>0</v>
      </c>
      <c r="R1172" s="125">
        <f>+_xlfn.XLOOKUP(A1172,PPTO_GENERADOR!$Q:$Q,PPTO_GENERADOR!A:A,"-",0)</f>
        <v>15.01</v>
      </c>
    </row>
    <row r="1173" spans="1:18" ht="14.25" customHeight="1" x14ac:dyDescent="0.35">
      <c r="A1173" s="105" t="s">
        <v>241</v>
      </c>
      <c r="B1173" s="105" t="s">
        <v>1981</v>
      </c>
      <c r="C1173" s="105" t="s">
        <v>1982</v>
      </c>
      <c r="D1173" s="105" t="s">
        <v>588</v>
      </c>
      <c r="E1173" s="95" t="str">
        <f>IFERROR(VLOOKUP(D1173,MATERIALES!A:B,2,FALSE()),"?")</f>
        <v>Fijador al agua x 20 lts</v>
      </c>
      <c r="F1173" s="129">
        <f>IFERROR(VLOOKUP(D1173,MATERIALES!A:C,3,FALSE()),"?")</f>
        <v>0</v>
      </c>
      <c r="G1173" s="119">
        <v>4.0000000000000001E-3</v>
      </c>
      <c r="H1173" s="120">
        <v>0.05</v>
      </c>
      <c r="I1173" s="96">
        <f>IFERROR(VLOOKUP(D1173,MATERIALES!A:D,4,FALSE()),0)</f>
        <v>42552.892561983499</v>
      </c>
      <c r="J1173" s="31">
        <f t="shared" si="447"/>
        <v>178.7221487603307</v>
      </c>
      <c r="K1173" s="32" t="str">
        <f t="shared" si="436"/>
        <v>PTO-1501|MAT</v>
      </c>
      <c r="L1173" s="32">
        <f>COUNTIFS($K$2:K1173,K1173)</f>
        <v>2</v>
      </c>
      <c r="M1173" s="32" t="str">
        <f t="shared" si="442"/>
        <v>PTO-1501|MAT|2</v>
      </c>
      <c r="N1173" s="121">
        <f>IFERROR(VLOOKUP(A1173,PARTIDAS!A:F,6,FALSE()),0)</f>
        <v>20</v>
      </c>
      <c r="O1173" s="123">
        <f t="shared" si="440"/>
        <v>0</v>
      </c>
      <c r="P1173" s="123">
        <f>+_xlfn.XLOOKUP(A1173,PPTO_GENERADOR!Q:Q,PPTO_GENERADOR!E:E,"-",0)</f>
        <v>2180</v>
      </c>
      <c r="Q1173" s="123">
        <f t="shared" si="441"/>
        <v>0</v>
      </c>
      <c r="R1173" s="125">
        <f>+_xlfn.XLOOKUP(A1173,PPTO_GENERADOR!$Q:$Q,PPTO_GENERADOR!A:A,"-",0)</f>
        <v>15.01</v>
      </c>
    </row>
    <row r="1174" spans="1:18" ht="14.25" customHeight="1" x14ac:dyDescent="0.35">
      <c r="A1174" s="105" t="s">
        <v>241</v>
      </c>
      <c r="B1174" s="105" t="s">
        <v>1981</v>
      </c>
      <c r="C1174" s="105" t="s">
        <v>1982</v>
      </c>
      <c r="D1174" s="105" t="s">
        <v>586</v>
      </c>
      <c r="E1174" s="95" t="str">
        <f>IFERROR(VLOOKUP(D1174,MATERIALES!A:B,2,FALSE()),"?")</f>
        <v>Trapo</v>
      </c>
      <c r="F1174" s="129">
        <f>IFERROR(VLOOKUP(D1174,MATERIALES!A:C,3,FALSE()),"?")</f>
        <v>0</v>
      </c>
      <c r="G1174" s="119">
        <v>0.03</v>
      </c>
      <c r="H1174" s="120">
        <v>0.05</v>
      </c>
      <c r="I1174" s="96">
        <f>IFERROR(VLOOKUP(D1174,MATERIALES!A:D,4,FALSE()),0)</f>
        <v>1182.6446280991699</v>
      </c>
      <c r="J1174" s="31">
        <f t="shared" si="447"/>
        <v>37.25330578512385</v>
      </c>
      <c r="K1174" s="32" t="str">
        <f t="shared" si="436"/>
        <v>PTO-1501|MAT</v>
      </c>
      <c r="L1174" s="32">
        <f>COUNTIFS($K$2:K1174,K1174)</f>
        <v>3</v>
      </c>
      <c r="M1174" s="32" t="str">
        <f t="shared" si="442"/>
        <v>PTO-1501|MAT|3</v>
      </c>
      <c r="N1174" s="121">
        <f>IFERROR(VLOOKUP(A1174,PARTIDAS!A:F,6,FALSE()),0)</f>
        <v>20</v>
      </c>
      <c r="O1174" s="123">
        <f t="shared" si="440"/>
        <v>0</v>
      </c>
      <c r="P1174" s="123">
        <f>+_xlfn.XLOOKUP(A1174,PPTO_GENERADOR!Q:Q,PPTO_GENERADOR!E:E,"-",0)</f>
        <v>2180</v>
      </c>
      <c r="Q1174" s="123">
        <f t="shared" si="441"/>
        <v>0</v>
      </c>
      <c r="R1174" s="125">
        <f>+_xlfn.XLOOKUP(A1174,PPTO_GENERADOR!$Q:$Q,PPTO_GENERADOR!A:A,"-",0)</f>
        <v>15.01</v>
      </c>
    </row>
    <row r="1175" spans="1:18" ht="14.25" customHeight="1" x14ac:dyDescent="0.35">
      <c r="A1175" s="105" t="s">
        <v>241</v>
      </c>
      <c r="B1175" s="105" t="s">
        <v>1981</v>
      </c>
      <c r="C1175" s="105" t="s">
        <v>1982</v>
      </c>
      <c r="D1175" s="105" t="s">
        <v>584</v>
      </c>
      <c r="E1175" s="95" t="str">
        <f>IFERROR(VLOOKUP(D1175,MATERIALES!A:B,2,FALSE()),"?")</f>
        <v>Cinta de Papel 36 mm x 40m</v>
      </c>
      <c r="F1175" s="129">
        <f>IFERROR(VLOOKUP(D1175,MATERIALES!A:C,3,FALSE()),"?")</f>
        <v>0</v>
      </c>
      <c r="G1175" s="119">
        <v>0.05</v>
      </c>
      <c r="H1175" s="120">
        <v>0.1</v>
      </c>
      <c r="I1175" s="96">
        <f>IFERROR(VLOOKUP(D1175,MATERIALES!A:D,4,FALSE()),0)</f>
        <v>5885.9504132231395</v>
      </c>
      <c r="J1175" s="31">
        <f t="shared" si="447"/>
        <v>323.72727272727269</v>
      </c>
      <c r="K1175" s="32" t="str">
        <f t="shared" si="436"/>
        <v>PTO-1501|MAT</v>
      </c>
      <c r="L1175" s="32">
        <f>COUNTIFS($K$2:K1175,K1175)</f>
        <v>4</v>
      </c>
      <c r="M1175" s="32" t="str">
        <f t="shared" si="442"/>
        <v>PTO-1501|MAT|4</v>
      </c>
      <c r="N1175" s="121">
        <f>IFERROR(VLOOKUP(A1175,PARTIDAS!A:F,6,FALSE()),0)</f>
        <v>20</v>
      </c>
      <c r="O1175" s="123">
        <f t="shared" si="440"/>
        <v>0</v>
      </c>
      <c r="P1175" s="123">
        <f>+_xlfn.XLOOKUP(A1175,PPTO_GENERADOR!Q:Q,PPTO_GENERADOR!E:E,"-",0)</f>
        <v>2180</v>
      </c>
      <c r="Q1175" s="123">
        <f t="shared" si="441"/>
        <v>0</v>
      </c>
      <c r="R1175" s="125">
        <f>+_xlfn.XLOOKUP(A1175,PPTO_GENERADOR!$Q:$Q,PPTO_GENERADOR!A:A,"-",0)</f>
        <v>15.01</v>
      </c>
    </row>
    <row r="1176" spans="1:18" ht="14.25" customHeight="1" x14ac:dyDescent="0.35">
      <c r="A1176" s="105" t="s">
        <v>241</v>
      </c>
      <c r="B1176" s="105" t="s">
        <v>1981</v>
      </c>
      <c r="C1176" s="105" t="s">
        <v>1982</v>
      </c>
      <c r="D1176" s="105" t="s">
        <v>582</v>
      </c>
      <c r="E1176" s="95" t="str">
        <f>IFERROR(VLOOKUP(D1176,MATERIALES!A:B,2,FALSE()),"?")</f>
        <v>Lija 180 al agua x 10u</v>
      </c>
      <c r="F1176" s="129">
        <f>IFERROR(VLOOKUP(D1176,MATERIALES!A:C,3,FALSE()),"?")</f>
        <v>0</v>
      </c>
      <c r="G1176" s="119">
        <v>1.4999999999999999E-2</v>
      </c>
      <c r="H1176" s="120">
        <v>0.05</v>
      </c>
      <c r="I1176" s="96">
        <f>IFERROR(VLOOKUP(D1176,MATERIALES!A:D,4,FALSE()),0)</f>
        <v>7917.3553719008296</v>
      </c>
      <c r="J1176" s="31">
        <f t="shared" si="447"/>
        <v>124.69834710743807</v>
      </c>
      <c r="K1176" s="32" t="str">
        <f t="shared" si="436"/>
        <v>PTO-1501|MAT</v>
      </c>
      <c r="L1176" s="32">
        <f>COUNTIFS($K$2:K1176,K1176)</f>
        <v>5</v>
      </c>
      <c r="M1176" s="32" t="str">
        <f t="shared" si="442"/>
        <v>PTO-1501|MAT|5</v>
      </c>
      <c r="N1176" s="121">
        <f>IFERROR(VLOOKUP(A1176,PARTIDAS!A:F,6,FALSE()),0)</f>
        <v>20</v>
      </c>
      <c r="O1176" s="123">
        <f t="shared" si="440"/>
        <v>0</v>
      </c>
      <c r="P1176" s="123">
        <f>+_xlfn.XLOOKUP(A1176,PPTO_GENERADOR!Q:Q,PPTO_GENERADOR!E:E,"-",0)</f>
        <v>2180</v>
      </c>
      <c r="Q1176" s="123">
        <f t="shared" si="441"/>
        <v>0</v>
      </c>
      <c r="R1176" s="125">
        <f>+_xlfn.XLOOKUP(A1176,PPTO_GENERADOR!$Q:$Q,PPTO_GENERADOR!A:A,"-",0)</f>
        <v>15.01</v>
      </c>
    </row>
    <row r="1177" spans="1:18" ht="14.25" customHeight="1" x14ac:dyDescent="0.35">
      <c r="A1177" s="105" t="s">
        <v>241</v>
      </c>
      <c r="B1177" s="105" t="s">
        <v>1981</v>
      </c>
      <c r="C1177" s="105" t="s">
        <v>1982</v>
      </c>
      <c r="D1177" s="105" t="s">
        <v>922</v>
      </c>
      <c r="E1177" s="95" t="str">
        <f>IFERROR(VLOOKUP(D1177,MATERIALES!A:B,2,FALSE()),"?")</f>
        <v>Rodillo de lana pelo largo N°22 - El Galgo</v>
      </c>
      <c r="F1177" s="129" t="str">
        <f>IFERROR(VLOOKUP(D1177,MATERIALES!A:C,3,FALSE()),"?")</f>
        <v>u</v>
      </c>
      <c r="G1177" s="119">
        <v>5.0000000000000001E-3</v>
      </c>
      <c r="H1177" s="120">
        <v>0.05</v>
      </c>
      <c r="I1177" s="96">
        <f>IFERROR(VLOOKUP(D1177,MATERIALES!A:D,4,FALSE()),0)</f>
        <v>6442.15</v>
      </c>
      <c r="J1177" s="31">
        <f t="shared" si="447"/>
        <v>33.821287499999997</v>
      </c>
      <c r="K1177" s="32" t="str">
        <f t="shared" si="436"/>
        <v>PTO-1501|MAT</v>
      </c>
      <c r="L1177" s="32">
        <f>COUNTIFS($K$2:K1177,K1177)</f>
        <v>6</v>
      </c>
      <c r="M1177" s="32" t="str">
        <f t="shared" si="442"/>
        <v>PTO-1501|MAT|6</v>
      </c>
      <c r="N1177" s="121">
        <f>IFERROR(VLOOKUP(A1177,PARTIDAS!A:F,6,FALSE()),0)</f>
        <v>20</v>
      </c>
      <c r="O1177" s="123">
        <f t="shared" si="440"/>
        <v>0</v>
      </c>
      <c r="P1177" s="123">
        <f>+_xlfn.XLOOKUP(A1177,PPTO_GENERADOR!Q:Q,PPTO_GENERADOR!E:E,"-",0)</f>
        <v>2180</v>
      </c>
      <c r="Q1177" s="123">
        <f t="shared" si="441"/>
        <v>0</v>
      </c>
      <c r="R1177" s="125">
        <f>+_xlfn.XLOOKUP(A1177,PPTO_GENERADOR!$Q:$Q,PPTO_GENERADOR!A:A,"-",0)</f>
        <v>15.01</v>
      </c>
    </row>
    <row r="1178" spans="1:18" ht="14.25" customHeight="1" x14ac:dyDescent="0.35">
      <c r="A1178" s="105" t="s">
        <v>241</v>
      </c>
      <c r="B1178" s="105" t="s">
        <v>1981</v>
      </c>
      <c r="C1178" s="105" t="s">
        <v>1982</v>
      </c>
      <c r="D1178" s="105" t="s">
        <v>1007</v>
      </c>
      <c r="E1178" s="95" t="str">
        <f>IFERROR(VLOOKUP(D1178,MATERIALES!A:B,2,FALSE()),"?")</f>
        <v>Pincel N° 20 - El Galgo</v>
      </c>
      <c r="F1178" s="129" t="str">
        <f>IFERROR(VLOOKUP(D1178,MATERIALES!A:C,3,FALSE()),"?")</f>
        <v>u</v>
      </c>
      <c r="G1178" s="119">
        <v>5.0000000000000001E-3</v>
      </c>
      <c r="H1178" s="120">
        <v>0.05</v>
      </c>
      <c r="I1178" s="96">
        <f>IFERROR(VLOOKUP(D1178,MATERIALES!A:D,4,FALSE()),0)</f>
        <v>4418.1818181818198</v>
      </c>
      <c r="J1178" s="31">
        <f t="shared" si="447"/>
        <v>23.195454545454556</v>
      </c>
      <c r="K1178" s="32" t="str">
        <f t="shared" si="436"/>
        <v>PTO-1501|MAT</v>
      </c>
      <c r="L1178" s="32">
        <f>COUNTIFS($K$2:K1178,K1178)</f>
        <v>7</v>
      </c>
      <c r="M1178" s="32" t="str">
        <f t="shared" si="442"/>
        <v>PTO-1501|MAT|7</v>
      </c>
      <c r="N1178" s="121">
        <f>IFERROR(VLOOKUP(A1178,PARTIDAS!A:F,6,FALSE()),0)</f>
        <v>20</v>
      </c>
      <c r="O1178" s="123">
        <f t="shared" si="440"/>
        <v>0</v>
      </c>
      <c r="P1178" s="123">
        <f>+_xlfn.XLOOKUP(A1178,PPTO_GENERADOR!Q:Q,PPTO_GENERADOR!E:E,"-",0)</f>
        <v>2180</v>
      </c>
      <c r="Q1178" s="123">
        <f t="shared" si="441"/>
        <v>0</v>
      </c>
      <c r="R1178" s="125">
        <f>+_xlfn.XLOOKUP(A1178,PPTO_GENERADOR!$Q:$Q,PPTO_GENERADOR!A:A,"-",0)</f>
        <v>15.01</v>
      </c>
    </row>
    <row r="1179" spans="1:18" ht="14.25" customHeight="1" x14ac:dyDescent="0.35">
      <c r="A1179" s="105" t="s">
        <v>241</v>
      </c>
      <c r="B1179" s="105" t="s">
        <v>1981</v>
      </c>
      <c r="C1179" s="105" t="s">
        <v>1982</v>
      </c>
      <c r="D1179" s="105" t="s">
        <v>1033</v>
      </c>
      <c r="E1179" s="95" t="str">
        <f>IFERROR(VLOOKUP(D1179,MATERIALES!A:B,2,FALSE()),"?")</f>
        <v>Rollo de cartón corrugado 0,90 x 25 mts</v>
      </c>
      <c r="F1179" s="129" t="str">
        <f>IFERROR(VLOOKUP(D1179,MATERIALES!A:C,3,FALSE()),"?")</f>
        <v>u</v>
      </c>
      <c r="G1179" s="119">
        <v>0.01</v>
      </c>
      <c r="H1179" s="120">
        <v>0.05</v>
      </c>
      <c r="I1179" s="96">
        <f>IFERROR(VLOOKUP(D1179,MATERIALES!A:D,4,FALSE()),0)</f>
        <v>8173.5537190082696</v>
      </c>
      <c r="J1179" s="31">
        <f t="shared" si="447"/>
        <v>85.822314049586836</v>
      </c>
      <c r="K1179" s="32" t="str">
        <f t="shared" si="436"/>
        <v>PTO-1501|MAT</v>
      </c>
      <c r="L1179" s="32">
        <f>COUNTIFS($K$2:K1179,K1179)</f>
        <v>8</v>
      </c>
      <c r="M1179" s="32" t="str">
        <f t="shared" si="442"/>
        <v>PTO-1501|MAT|8</v>
      </c>
      <c r="N1179" s="121">
        <f>IFERROR(VLOOKUP(A1179,PARTIDAS!A:F,6,FALSE()),0)</f>
        <v>20</v>
      </c>
      <c r="O1179" s="123">
        <f t="shared" si="440"/>
        <v>0</v>
      </c>
      <c r="P1179" s="123">
        <f>+_xlfn.XLOOKUP(A1179,PPTO_GENERADOR!Q:Q,PPTO_GENERADOR!E:E,"-",0)</f>
        <v>2180</v>
      </c>
      <c r="Q1179" s="123">
        <f t="shared" si="441"/>
        <v>0</v>
      </c>
      <c r="R1179" s="125">
        <f>+_xlfn.XLOOKUP(A1179,PPTO_GENERADOR!$Q:$Q,PPTO_GENERADOR!A:A,"-",0)</f>
        <v>15.01</v>
      </c>
    </row>
    <row r="1180" spans="1:18" ht="14.25" customHeight="1" x14ac:dyDescent="0.35">
      <c r="A1180" s="105" t="s">
        <v>241</v>
      </c>
      <c r="B1180" s="105" t="s">
        <v>1981</v>
      </c>
      <c r="C1180" s="105" t="s">
        <v>1982</v>
      </c>
      <c r="D1180" s="105" t="s">
        <v>580</v>
      </c>
      <c r="E1180" s="95" t="str">
        <f>IFERROR(VLOOKUP(D1180,MATERIALES!A:B,2,FALSE()),"?")</f>
        <v>Enduido Interior x 20lts</v>
      </c>
      <c r="F1180" s="129">
        <f>IFERROR(VLOOKUP(D1180,MATERIALES!A:C,3,FALSE()),"?")</f>
        <v>0</v>
      </c>
      <c r="G1180" s="119">
        <v>2E-3</v>
      </c>
      <c r="H1180" s="120">
        <v>0.1</v>
      </c>
      <c r="I1180" s="96">
        <f>IFERROR(VLOOKUP(D1180,MATERIALES!A:D,4,FALSE()),0)</f>
        <v>41314.049586776899</v>
      </c>
      <c r="J1180" s="31">
        <f t="shared" si="447"/>
        <v>90.890909090909176</v>
      </c>
      <c r="K1180" s="32" t="str">
        <f t="shared" si="436"/>
        <v>PTO-1501|MAT</v>
      </c>
      <c r="L1180" s="32">
        <f>COUNTIFS($K$2:K1180,K1180)</f>
        <v>9</v>
      </c>
      <c r="M1180" s="32" t="str">
        <f t="shared" si="442"/>
        <v>PTO-1501|MAT|9</v>
      </c>
      <c r="N1180" s="121">
        <f>IFERROR(VLOOKUP(A1180,PARTIDAS!A:F,6,FALSE()),0)</f>
        <v>20</v>
      </c>
      <c r="O1180" s="123">
        <f t="shared" si="440"/>
        <v>0</v>
      </c>
      <c r="P1180" s="123">
        <f>+_xlfn.XLOOKUP(A1180,PPTO_GENERADOR!Q:Q,PPTO_GENERADOR!E:E,"-",0)</f>
        <v>2180</v>
      </c>
      <c r="Q1180" s="123">
        <f t="shared" si="441"/>
        <v>0</v>
      </c>
      <c r="R1180" s="125">
        <f>+_xlfn.XLOOKUP(A1180,PPTO_GENERADOR!$Q:$Q,PPTO_GENERADOR!A:A,"-",0)</f>
        <v>15.01</v>
      </c>
    </row>
    <row r="1181" spans="1:18" ht="14.25" customHeight="1" x14ac:dyDescent="0.35">
      <c r="A1181" s="105" t="s">
        <v>241</v>
      </c>
      <c r="B1181" s="105" t="s">
        <v>1981</v>
      </c>
      <c r="C1181" s="105" t="s">
        <v>1982</v>
      </c>
      <c r="D1181" s="105" t="s">
        <v>578</v>
      </c>
      <c r="E1181" s="95" t="str">
        <f>IFERROR(VLOOKUP(D1181,MATERIALES!A:B,2,FALSE()),"?")</f>
        <v>Latex Loxon Interior Sherwin Williams Mate Bco x 20lts</v>
      </c>
      <c r="F1181" s="129">
        <f>IFERROR(VLOOKUP(D1181,MATERIALES!A:C,3,FALSE()),"?")</f>
        <v>0</v>
      </c>
      <c r="G1181" s="119">
        <v>1.2500000000000001E-2</v>
      </c>
      <c r="H1181" s="120">
        <v>0.1</v>
      </c>
      <c r="I1181" s="96">
        <f>IFERROR(VLOOKUP(D1181,MATERIALES!A:D,4,FALSE()),0)</f>
        <v>143389.25619834699</v>
      </c>
      <c r="J1181" s="31">
        <f t="shared" si="447"/>
        <v>1971.6022727272714</v>
      </c>
      <c r="K1181" s="32" t="str">
        <f t="shared" si="436"/>
        <v>PTO-1501|MAT</v>
      </c>
      <c r="L1181" s="32">
        <f>COUNTIFS($K$2:K1181,K1181)</f>
        <v>10</v>
      </c>
      <c r="M1181" s="32" t="str">
        <f t="shared" si="442"/>
        <v>PTO-1501|MAT|10</v>
      </c>
      <c r="N1181" s="121">
        <f>IFERROR(VLOOKUP(A1181,PARTIDAS!A:F,6,FALSE()),0)</f>
        <v>20</v>
      </c>
      <c r="O1181" s="123">
        <f t="shared" si="440"/>
        <v>0</v>
      </c>
      <c r="P1181" s="123">
        <f>+_xlfn.XLOOKUP(A1181,PPTO_GENERADOR!Q:Q,PPTO_GENERADOR!E:E,"-",0)</f>
        <v>2180</v>
      </c>
      <c r="Q1181" s="123">
        <f t="shared" si="441"/>
        <v>0</v>
      </c>
      <c r="R1181" s="125">
        <f>+_xlfn.XLOOKUP(A1181,PPTO_GENERADOR!$Q:$Q,PPTO_GENERADOR!A:A,"-",0)</f>
        <v>15.01</v>
      </c>
    </row>
    <row r="1182" spans="1:18" ht="14.25" customHeight="1" x14ac:dyDescent="0.35">
      <c r="A1182" s="105" t="s">
        <v>241</v>
      </c>
      <c r="B1182" s="105" t="s">
        <v>1983</v>
      </c>
      <c r="C1182" s="105"/>
      <c r="D1182" s="105" t="s">
        <v>1327</v>
      </c>
      <c r="E1182" s="95" t="str">
        <f>IFERROR(VLOOKUP(D1182,EQUIPOS!A:B,2,FALSE()),"?")</f>
        <v>EQUIPO PARA PINTAR</v>
      </c>
      <c r="F1182" s="129"/>
      <c r="G1182" s="119">
        <v>1</v>
      </c>
      <c r="H1182" s="120">
        <v>0</v>
      </c>
      <c r="I1182" s="96">
        <f>IFERROR(VLOOKUP(D1182,EQUIPOS!A:F,6,FALSE()),0)</f>
        <v>1873.3963608356808</v>
      </c>
      <c r="J1182" s="31">
        <f>G1182*I1182</f>
        <v>1873.3963608356808</v>
      </c>
      <c r="K1182" s="32" t="str">
        <f t="shared" si="436"/>
        <v>PTO-1501|EQ</v>
      </c>
      <c r="L1182" s="32">
        <f>COUNTIFS($K$2:K1182,K1182)</f>
        <v>1</v>
      </c>
      <c r="M1182" s="32" t="str">
        <f t="shared" si="442"/>
        <v>PTO-1501|EQ|1</v>
      </c>
      <c r="N1182" s="121">
        <f>IFERROR(VLOOKUP(A1182,PARTIDAS!A:F,6,FALSE()),0)</f>
        <v>20</v>
      </c>
      <c r="O1182" s="123">
        <f t="shared" si="440"/>
        <v>0</v>
      </c>
      <c r="P1182" s="123">
        <f>+_xlfn.XLOOKUP(A1182,PPTO_GENERADOR!Q:Q,PPTO_GENERADOR!E:E,"-",0)</f>
        <v>2180</v>
      </c>
      <c r="Q1182" s="123">
        <f t="shared" si="441"/>
        <v>0</v>
      </c>
      <c r="R1182" s="125">
        <f>+_xlfn.XLOOKUP(A1182,PPTO_GENERADOR!$Q:$Q,PPTO_GENERADOR!A:A,"-",0)</f>
        <v>15.01</v>
      </c>
    </row>
    <row r="1183" spans="1:18" ht="14.25" customHeight="1" x14ac:dyDescent="0.35">
      <c r="A1183" s="105" t="s">
        <v>244</v>
      </c>
      <c r="B1183" s="105" t="s">
        <v>1981</v>
      </c>
      <c r="C1183" s="105" t="s">
        <v>1982</v>
      </c>
      <c r="D1183" s="105" t="s">
        <v>590</v>
      </c>
      <c r="E1183" s="95" t="str">
        <f>IFERROR(VLOOKUP(D1183,MATERIALES!A:B,2,FALSE()),"?")</f>
        <v>Yeso Tuyango x 30kg</v>
      </c>
      <c r="F1183" s="129">
        <f>IFERROR(VLOOKUP(D1183,MATERIALES!A:C,3,FALSE()),"?")</f>
        <v>0</v>
      </c>
      <c r="G1183" s="119">
        <v>1E-3</v>
      </c>
      <c r="H1183" s="120">
        <v>0.05</v>
      </c>
      <c r="I1183" s="96">
        <f>IFERROR(VLOOKUP(D1183,MATERIALES!A:D,4,FALSE()),0)</f>
        <v>9927.59</v>
      </c>
      <c r="J1183" s="31">
        <f t="shared" ref="J1183:J1190" si="448">G1183*I1183*(1+H1183)</f>
        <v>10.4239695</v>
      </c>
      <c r="K1183" s="32" t="str">
        <f t="shared" si="436"/>
        <v>PTO-1502|MAT</v>
      </c>
      <c r="L1183" s="32">
        <f>COUNTIFS($K$2:K1183,K1183)</f>
        <v>1</v>
      </c>
      <c r="M1183" s="32" t="str">
        <f t="shared" si="442"/>
        <v>PTO-1502|MAT|1</v>
      </c>
      <c r="N1183" s="121">
        <f>IFERROR(VLOOKUP(A1183,PARTIDAS!A:F,6,FALSE()),0)</f>
        <v>25</v>
      </c>
      <c r="O1183" s="123">
        <f t="shared" si="440"/>
        <v>0</v>
      </c>
      <c r="P1183" s="123">
        <f>+_xlfn.XLOOKUP(A1183,PPTO_GENERADOR!Q:Q,PPTO_GENERADOR!E:E,"-",0)</f>
        <v>525</v>
      </c>
      <c r="Q1183" s="123">
        <f t="shared" si="441"/>
        <v>0</v>
      </c>
      <c r="R1183" s="125">
        <f>+_xlfn.XLOOKUP(A1183,PPTO_GENERADOR!$Q:$Q,PPTO_GENERADOR!A:A,"-",0)</f>
        <v>15.02</v>
      </c>
    </row>
    <row r="1184" spans="1:18" ht="14.25" customHeight="1" x14ac:dyDescent="0.35">
      <c r="A1184" s="105" t="s">
        <v>244</v>
      </c>
      <c r="B1184" s="105" t="s">
        <v>1981</v>
      </c>
      <c r="C1184" s="105" t="s">
        <v>1982</v>
      </c>
      <c r="D1184" s="105" t="s">
        <v>588</v>
      </c>
      <c r="E1184" s="95" t="str">
        <f>IFERROR(VLOOKUP(D1184,MATERIALES!A:B,2,FALSE()),"?")</f>
        <v>Fijador al agua x 20 lts</v>
      </c>
      <c r="F1184" s="129">
        <f>IFERROR(VLOOKUP(D1184,MATERIALES!A:C,3,FALSE()),"?")</f>
        <v>0</v>
      </c>
      <c r="G1184" s="119">
        <v>4.0000000000000001E-3</v>
      </c>
      <c r="H1184" s="120">
        <v>0.05</v>
      </c>
      <c r="I1184" s="96">
        <f>IFERROR(VLOOKUP(D1184,MATERIALES!A:D,4,FALSE()),0)</f>
        <v>42552.892561983499</v>
      </c>
      <c r="J1184" s="31">
        <f t="shared" si="448"/>
        <v>178.7221487603307</v>
      </c>
      <c r="K1184" s="32" t="str">
        <f t="shared" si="436"/>
        <v>PTO-1502|MAT</v>
      </c>
      <c r="L1184" s="32">
        <f>COUNTIFS($K$2:K1184,K1184)</f>
        <v>2</v>
      </c>
      <c r="M1184" s="32" t="str">
        <f t="shared" si="442"/>
        <v>PTO-1502|MAT|2</v>
      </c>
      <c r="N1184" s="121">
        <f>IFERROR(VLOOKUP(A1184,PARTIDAS!A:F,6,FALSE()),0)</f>
        <v>25</v>
      </c>
      <c r="O1184" s="123">
        <f t="shared" si="440"/>
        <v>0</v>
      </c>
      <c r="P1184" s="123">
        <f>+_xlfn.XLOOKUP(A1184,PPTO_GENERADOR!Q:Q,PPTO_GENERADOR!E:E,"-",0)</f>
        <v>525</v>
      </c>
      <c r="Q1184" s="123">
        <f t="shared" si="441"/>
        <v>0</v>
      </c>
      <c r="R1184" s="125">
        <f>+_xlfn.XLOOKUP(A1184,PPTO_GENERADOR!$Q:$Q,PPTO_GENERADOR!A:A,"-",0)</f>
        <v>15.02</v>
      </c>
    </row>
    <row r="1185" spans="1:18" ht="14.25" customHeight="1" x14ac:dyDescent="0.35">
      <c r="A1185" s="105" t="s">
        <v>244</v>
      </c>
      <c r="B1185" s="105" t="s">
        <v>1981</v>
      </c>
      <c r="C1185" s="105" t="s">
        <v>1982</v>
      </c>
      <c r="D1185" s="105" t="s">
        <v>586</v>
      </c>
      <c r="E1185" s="95" t="str">
        <f>IFERROR(VLOOKUP(D1185,MATERIALES!A:B,2,FALSE()),"?")</f>
        <v>Trapo</v>
      </c>
      <c r="F1185" s="129">
        <f>IFERROR(VLOOKUP(D1185,MATERIALES!A:C,3,FALSE()),"?")</f>
        <v>0</v>
      </c>
      <c r="G1185" s="119">
        <v>0.03</v>
      </c>
      <c r="H1185" s="120">
        <v>0.05</v>
      </c>
      <c r="I1185" s="96">
        <f>IFERROR(VLOOKUP(D1185,MATERIALES!A:D,4,FALSE()),0)</f>
        <v>1182.6446280991699</v>
      </c>
      <c r="J1185" s="31">
        <f t="shared" si="448"/>
        <v>37.25330578512385</v>
      </c>
      <c r="K1185" s="32" t="str">
        <f t="shared" si="436"/>
        <v>PTO-1502|MAT</v>
      </c>
      <c r="L1185" s="32">
        <f>COUNTIFS($K$2:K1185,K1185)</f>
        <v>3</v>
      </c>
      <c r="M1185" s="32" t="str">
        <f t="shared" si="442"/>
        <v>PTO-1502|MAT|3</v>
      </c>
      <c r="N1185" s="121">
        <f>IFERROR(VLOOKUP(A1185,PARTIDAS!A:F,6,FALSE()),0)</f>
        <v>25</v>
      </c>
      <c r="O1185" s="123">
        <f t="shared" si="440"/>
        <v>0</v>
      </c>
      <c r="P1185" s="123">
        <f>+_xlfn.XLOOKUP(A1185,PPTO_GENERADOR!Q:Q,PPTO_GENERADOR!E:E,"-",0)</f>
        <v>525</v>
      </c>
      <c r="Q1185" s="123">
        <f t="shared" si="441"/>
        <v>0</v>
      </c>
      <c r="R1185" s="125">
        <f>+_xlfn.XLOOKUP(A1185,PPTO_GENERADOR!$Q:$Q,PPTO_GENERADOR!A:A,"-",0)</f>
        <v>15.02</v>
      </c>
    </row>
    <row r="1186" spans="1:18" ht="14.25" customHeight="1" x14ac:dyDescent="0.35">
      <c r="A1186" s="105" t="s">
        <v>244</v>
      </c>
      <c r="B1186" s="105" t="s">
        <v>1981</v>
      </c>
      <c r="C1186" s="105" t="s">
        <v>1982</v>
      </c>
      <c r="D1186" s="105" t="s">
        <v>584</v>
      </c>
      <c r="E1186" s="95" t="str">
        <f>IFERROR(VLOOKUP(D1186,MATERIALES!A:B,2,FALSE()),"?")</f>
        <v>Cinta de Papel 36 mm x 40m</v>
      </c>
      <c r="F1186" s="129">
        <f>IFERROR(VLOOKUP(D1186,MATERIALES!A:C,3,FALSE()),"?")</f>
        <v>0</v>
      </c>
      <c r="G1186" s="119">
        <v>0.05</v>
      </c>
      <c r="H1186" s="120">
        <v>0.1</v>
      </c>
      <c r="I1186" s="96">
        <f>IFERROR(VLOOKUP(D1186,MATERIALES!A:D,4,FALSE()),0)</f>
        <v>5885.9504132231395</v>
      </c>
      <c r="J1186" s="31">
        <f t="shared" si="448"/>
        <v>323.72727272727269</v>
      </c>
      <c r="K1186" s="32" t="str">
        <f t="shared" si="436"/>
        <v>PTO-1502|MAT</v>
      </c>
      <c r="L1186" s="32">
        <f>COUNTIFS($K$2:K1186,K1186)</f>
        <v>4</v>
      </c>
      <c r="M1186" s="32" t="str">
        <f t="shared" si="442"/>
        <v>PTO-1502|MAT|4</v>
      </c>
      <c r="N1186" s="121">
        <f>IFERROR(VLOOKUP(A1186,PARTIDAS!A:F,6,FALSE()),0)</f>
        <v>25</v>
      </c>
      <c r="O1186" s="123">
        <f t="shared" si="440"/>
        <v>0</v>
      </c>
      <c r="P1186" s="123">
        <f>+_xlfn.XLOOKUP(A1186,PPTO_GENERADOR!Q:Q,PPTO_GENERADOR!E:E,"-",0)</f>
        <v>525</v>
      </c>
      <c r="Q1186" s="123">
        <f t="shared" si="441"/>
        <v>0</v>
      </c>
      <c r="R1186" s="125">
        <f>+_xlfn.XLOOKUP(A1186,PPTO_GENERADOR!$Q:$Q,PPTO_GENERADOR!A:A,"-",0)</f>
        <v>15.02</v>
      </c>
    </row>
    <row r="1187" spans="1:18" ht="14.25" customHeight="1" x14ac:dyDescent="0.35">
      <c r="A1187" s="105" t="s">
        <v>244</v>
      </c>
      <c r="B1187" s="105" t="s">
        <v>1981</v>
      </c>
      <c r="C1187" s="105" t="s">
        <v>1982</v>
      </c>
      <c r="D1187" s="105" t="s">
        <v>922</v>
      </c>
      <c r="E1187" s="95" t="str">
        <f>IFERROR(VLOOKUP(D1187,MATERIALES!A:B,2,FALSE()),"?")</f>
        <v>Rodillo de lana pelo largo N°22 - El Galgo</v>
      </c>
      <c r="F1187" s="129" t="str">
        <f>IFERROR(VLOOKUP(D1187,MATERIALES!A:C,3,FALSE()),"?")</f>
        <v>u</v>
      </c>
      <c r="G1187" s="119">
        <v>5.0000000000000001E-3</v>
      </c>
      <c r="H1187" s="120">
        <v>0.05</v>
      </c>
      <c r="I1187" s="96">
        <f>IFERROR(VLOOKUP(D1187,MATERIALES!A:D,4,FALSE()),0)</f>
        <v>6442.15</v>
      </c>
      <c r="J1187" s="31">
        <f t="shared" si="448"/>
        <v>33.821287499999997</v>
      </c>
      <c r="K1187" s="32" t="str">
        <f t="shared" si="436"/>
        <v>PTO-1502|MAT</v>
      </c>
      <c r="L1187" s="32">
        <f>COUNTIFS($K$2:K1187,K1187)</f>
        <v>5</v>
      </c>
      <c r="M1187" s="32" t="str">
        <f t="shared" si="442"/>
        <v>PTO-1502|MAT|5</v>
      </c>
      <c r="N1187" s="121">
        <f>IFERROR(VLOOKUP(A1187,PARTIDAS!A:F,6,FALSE()),0)</f>
        <v>25</v>
      </c>
      <c r="O1187" s="123">
        <f t="shared" si="440"/>
        <v>0</v>
      </c>
      <c r="P1187" s="123">
        <f>+_xlfn.XLOOKUP(A1187,PPTO_GENERADOR!Q:Q,PPTO_GENERADOR!E:E,"-",0)</f>
        <v>525</v>
      </c>
      <c r="Q1187" s="123">
        <f t="shared" si="441"/>
        <v>0</v>
      </c>
      <c r="R1187" s="125">
        <f>+_xlfn.XLOOKUP(A1187,PPTO_GENERADOR!$Q:$Q,PPTO_GENERADOR!A:A,"-",0)</f>
        <v>15.02</v>
      </c>
    </row>
    <row r="1188" spans="1:18" ht="14.25" customHeight="1" x14ac:dyDescent="0.35">
      <c r="A1188" s="105" t="s">
        <v>244</v>
      </c>
      <c r="B1188" s="105" t="s">
        <v>1981</v>
      </c>
      <c r="C1188" s="105" t="s">
        <v>1982</v>
      </c>
      <c r="D1188" s="105" t="s">
        <v>1007</v>
      </c>
      <c r="E1188" s="95" t="str">
        <f>IFERROR(VLOOKUP(D1188,MATERIALES!A:B,2,FALSE()),"?")</f>
        <v>Pincel N° 20 - El Galgo</v>
      </c>
      <c r="F1188" s="129" t="str">
        <f>IFERROR(VLOOKUP(D1188,MATERIALES!A:C,3,FALSE()),"?")</f>
        <v>u</v>
      </c>
      <c r="G1188" s="119">
        <v>5.0000000000000001E-3</v>
      </c>
      <c r="H1188" s="120">
        <v>0.05</v>
      </c>
      <c r="I1188" s="96">
        <f>IFERROR(VLOOKUP(D1188,MATERIALES!A:D,4,FALSE()),0)</f>
        <v>4418.1818181818198</v>
      </c>
      <c r="J1188" s="31">
        <f t="shared" si="448"/>
        <v>23.195454545454556</v>
      </c>
      <c r="K1188" s="32" t="str">
        <f t="shared" si="436"/>
        <v>PTO-1502|MAT</v>
      </c>
      <c r="L1188" s="32">
        <f>COUNTIFS($K$2:K1188,K1188)</f>
        <v>6</v>
      </c>
      <c r="M1188" s="32" t="str">
        <f t="shared" si="442"/>
        <v>PTO-1502|MAT|6</v>
      </c>
      <c r="N1188" s="121">
        <f>IFERROR(VLOOKUP(A1188,PARTIDAS!A:F,6,FALSE()),0)</f>
        <v>25</v>
      </c>
      <c r="O1188" s="123">
        <f t="shared" si="440"/>
        <v>0</v>
      </c>
      <c r="P1188" s="123">
        <f>+_xlfn.XLOOKUP(A1188,PPTO_GENERADOR!Q:Q,PPTO_GENERADOR!E:E,"-",0)</f>
        <v>525</v>
      </c>
      <c r="Q1188" s="123">
        <f t="shared" si="441"/>
        <v>0</v>
      </c>
      <c r="R1188" s="125">
        <f>+_xlfn.XLOOKUP(A1188,PPTO_GENERADOR!$Q:$Q,PPTO_GENERADOR!A:A,"-",0)</f>
        <v>15.02</v>
      </c>
    </row>
    <row r="1189" spans="1:18" ht="14.25" customHeight="1" x14ac:dyDescent="0.35">
      <c r="A1189" s="105" t="s">
        <v>244</v>
      </c>
      <c r="B1189" s="105" t="s">
        <v>1981</v>
      </c>
      <c r="C1189" s="105" t="s">
        <v>1982</v>
      </c>
      <c r="D1189" s="105" t="s">
        <v>1033</v>
      </c>
      <c r="E1189" s="95" t="str">
        <f>IFERROR(VLOOKUP(D1189,MATERIALES!A:B,2,FALSE()),"?")</f>
        <v>Rollo de cartón corrugado 0,90 x 25 mts</v>
      </c>
      <c r="F1189" s="129" t="str">
        <f>IFERROR(VLOOKUP(D1189,MATERIALES!A:C,3,FALSE()),"?")</f>
        <v>u</v>
      </c>
      <c r="G1189" s="119">
        <v>0.01</v>
      </c>
      <c r="H1189" s="120">
        <v>0.05</v>
      </c>
      <c r="I1189" s="96">
        <f>IFERROR(VLOOKUP(D1189,MATERIALES!A:D,4,FALSE()),0)</f>
        <v>8173.5537190082696</v>
      </c>
      <c r="J1189" s="31">
        <f t="shared" si="448"/>
        <v>85.822314049586836</v>
      </c>
      <c r="K1189" s="32" t="str">
        <f t="shared" si="436"/>
        <v>PTO-1502|MAT</v>
      </c>
      <c r="L1189" s="32">
        <f>COUNTIFS($K$2:K1189,K1189)</f>
        <v>7</v>
      </c>
      <c r="M1189" s="32" t="str">
        <f t="shared" si="442"/>
        <v>PTO-1502|MAT|7</v>
      </c>
      <c r="N1189" s="121">
        <f>IFERROR(VLOOKUP(A1189,PARTIDAS!A:F,6,FALSE()),0)</f>
        <v>25</v>
      </c>
      <c r="O1189" s="123">
        <f t="shared" si="440"/>
        <v>0</v>
      </c>
      <c r="P1189" s="123">
        <f>+_xlfn.XLOOKUP(A1189,PPTO_GENERADOR!Q:Q,PPTO_GENERADOR!E:E,"-",0)</f>
        <v>525</v>
      </c>
      <c r="Q1189" s="123">
        <f t="shared" si="441"/>
        <v>0</v>
      </c>
      <c r="R1189" s="125">
        <f>+_xlfn.XLOOKUP(A1189,PPTO_GENERADOR!$Q:$Q,PPTO_GENERADOR!A:A,"-",0)</f>
        <v>15.02</v>
      </c>
    </row>
    <row r="1190" spans="1:18" ht="14.25" customHeight="1" x14ac:dyDescent="0.35">
      <c r="A1190" s="105" t="s">
        <v>244</v>
      </c>
      <c r="B1190" s="105" t="s">
        <v>1981</v>
      </c>
      <c r="C1190" s="105" t="s">
        <v>1982</v>
      </c>
      <c r="D1190" s="105" t="s">
        <v>578</v>
      </c>
      <c r="E1190" s="95" t="str">
        <f>IFERROR(VLOOKUP(D1190,MATERIALES!A:B,2,FALSE()),"?")</f>
        <v>Latex Loxon Interior Sherwin Williams Mate Bco x 20lts</v>
      </c>
      <c r="F1190" s="129">
        <f>IFERROR(VLOOKUP(D1190,MATERIALES!A:C,3,FALSE()),"?")</f>
        <v>0</v>
      </c>
      <c r="G1190" s="119">
        <v>1.2500000000000001E-2</v>
      </c>
      <c r="H1190" s="120">
        <v>0.1</v>
      </c>
      <c r="I1190" s="96">
        <f>IFERROR(VLOOKUP(D1190,MATERIALES!A:D,4,FALSE()),0)</f>
        <v>143389.25619834699</v>
      </c>
      <c r="J1190" s="31">
        <f t="shared" si="448"/>
        <v>1971.6022727272714</v>
      </c>
      <c r="K1190" s="32" t="str">
        <f t="shared" si="436"/>
        <v>PTO-1502|MAT</v>
      </c>
      <c r="L1190" s="32">
        <f>COUNTIFS($K$2:K1190,K1190)</f>
        <v>8</v>
      </c>
      <c r="M1190" s="32" t="str">
        <f t="shared" si="442"/>
        <v>PTO-1502|MAT|8</v>
      </c>
      <c r="N1190" s="121">
        <f>IFERROR(VLOOKUP(A1190,PARTIDAS!A:F,6,FALSE()),0)</f>
        <v>25</v>
      </c>
      <c r="O1190" s="123">
        <f t="shared" si="440"/>
        <v>0</v>
      </c>
      <c r="P1190" s="123">
        <f>+_xlfn.XLOOKUP(A1190,PPTO_GENERADOR!Q:Q,PPTO_GENERADOR!E:E,"-",0)</f>
        <v>525</v>
      </c>
      <c r="Q1190" s="123">
        <f t="shared" si="441"/>
        <v>0</v>
      </c>
      <c r="R1190" s="125">
        <f>+_xlfn.XLOOKUP(A1190,PPTO_GENERADOR!$Q:$Q,PPTO_GENERADOR!A:A,"-",0)</f>
        <v>15.02</v>
      </c>
    </row>
    <row r="1191" spans="1:18" ht="14.25" customHeight="1" x14ac:dyDescent="0.35">
      <c r="A1191" s="105" t="s">
        <v>244</v>
      </c>
      <c r="B1191" s="105" t="s">
        <v>1983</v>
      </c>
      <c r="C1191" s="105"/>
      <c r="D1191" s="105" t="s">
        <v>1327</v>
      </c>
      <c r="E1191" s="95" t="str">
        <f>IFERROR(VLOOKUP(D1191,EQUIPOS!A:B,2,FALSE()),"?")</f>
        <v>EQUIPO PARA PINTAR</v>
      </c>
      <c r="F1191" s="129"/>
      <c r="G1191" s="119">
        <v>1</v>
      </c>
      <c r="H1191" s="120">
        <v>0</v>
      </c>
      <c r="I1191" s="96">
        <f>IFERROR(VLOOKUP(D1191,EQUIPOS!A:F,6,FALSE()),0)</f>
        <v>1873.3963608356808</v>
      </c>
      <c r="J1191" s="31">
        <f>G1191*I1191</f>
        <v>1873.3963608356808</v>
      </c>
      <c r="K1191" s="32" t="str">
        <f t="shared" si="436"/>
        <v>PTO-1502|EQ</v>
      </c>
      <c r="L1191" s="32">
        <f>COUNTIFS($K$2:K1191,K1191)</f>
        <v>1</v>
      </c>
      <c r="M1191" s="32" t="str">
        <f t="shared" si="442"/>
        <v>PTO-1502|EQ|1</v>
      </c>
      <c r="N1191" s="121">
        <f>IFERROR(VLOOKUP(A1191,PARTIDAS!A:F,6,FALSE()),0)</f>
        <v>25</v>
      </c>
      <c r="O1191" s="123">
        <f t="shared" si="440"/>
        <v>0</v>
      </c>
      <c r="P1191" s="123">
        <f>+_xlfn.XLOOKUP(A1191,PPTO_GENERADOR!Q:Q,PPTO_GENERADOR!E:E,"-",0)</f>
        <v>525</v>
      </c>
      <c r="Q1191" s="123">
        <f t="shared" si="441"/>
        <v>0</v>
      </c>
      <c r="R1191" s="125">
        <f>+_xlfn.XLOOKUP(A1191,PPTO_GENERADOR!$Q:$Q,PPTO_GENERADOR!A:A,"-",0)</f>
        <v>15.02</v>
      </c>
    </row>
    <row r="1192" spans="1:18" ht="14.25" customHeight="1" x14ac:dyDescent="0.35">
      <c r="A1192" s="105" t="s">
        <v>247</v>
      </c>
      <c r="B1192" s="105" t="s">
        <v>1981</v>
      </c>
      <c r="C1192" s="105" t="s">
        <v>1982</v>
      </c>
      <c r="D1192" s="105" t="s">
        <v>588</v>
      </c>
      <c r="E1192" s="95" t="str">
        <f>IFERROR(VLOOKUP(D1192,MATERIALES!A:B,2,FALSE()),"?")</f>
        <v>Fijador al agua x 20 lts</v>
      </c>
      <c r="F1192" s="129">
        <f>IFERROR(VLOOKUP(D1192,MATERIALES!A:C,3,FALSE()),"?")</f>
        <v>0</v>
      </c>
      <c r="G1192" s="119">
        <v>4.0000000000000001E-3</v>
      </c>
      <c r="H1192" s="120">
        <v>0.05</v>
      </c>
      <c r="I1192" s="96">
        <f>IFERROR(VLOOKUP(D1192,MATERIALES!A:D,4,FALSE()),0)</f>
        <v>42552.892561983499</v>
      </c>
      <c r="J1192" s="31">
        <f t="shared" ref="J1192:J1201" si="449">G1192*I1192*(1+H1192)</f>
        <v>178.7221487603307</v>
      </c>
      <c r="K1192" s="32" t="str">
        <f t="shared" si="436"/>
        <v>PTO-1503|MAT</v>
      </c>
      <c r="L1192" s="32">
        <f>COUNTIFS($K$2:K1192,K1192)</f>
        <v>1</v>
      </c>
      <c r="M1192" s="32" t="str">
        <f t="shared" si="442"/>
        <v>PTO-1503|MAT|1</v>
      </c>
      <c r="N1192" s="121">
        <f>IFERROR(VLOOKUP(A1192,PARTIDAS!A:F,6,FALSE()),0)</f>
        <v>17.5</v>
      </c>
      <c r="O1192" s="123">
        <f t="shared" si="440"/>
        <v>0</v>
      </c>
      <c r="P1192" s="123">
        <f>+_xlfn.XLOOKUP(A1192,PPTO_GENERADOR!Q:Q,PPTO_GENERADOR!E:E,"-",0)</f>
        <v>136</v>
      </c>
      <c r="Q1192" s="123">
        <f t="shared" si="441"/>
        <v>0</v>
      </c>
      <c r="R1192" s="125">
        <f>+_xlfn.XLOOKUP(A1192,PPTO_GENERADOR!$Q:$Q,PPTO_GENERADOR!A:A,"-",0)</f>
        <v>15.03</v>
      </c>
    </row>
    <row r="1193" spans="1:18" ht="14.25" customHeight="1" x14ac:dyDescent="0.35">
      <c r="A1193" s="105" t="s">
        <v>247</v>
      </c>
      <c r="B1193" s="105" t="s">
        <v>1981</v>
      </c>
      <c r="C1193" s="105" t="s">
        <v>1982</v>
      </c>
      <c r="D1193" s="105" t="s">
        <v>580</v>
      </c>
      <c r="E1193" s="95" t="str">
        <f>IFERROR(VLOOKUP(D1193,MATERIALES!A:B,2,FALSE()),"?")</f>
        <v>Enduido Interior x 20lts</v>
      </c>
      <c r="F1193" s="129">
        <f>IFERROR(VLOOKUP(D1193,MATERIALES!A:C,3,FALSE()),"?")</f>
        <v>0</v>
      </c>
      <c r="G1193" s="119">
        <v>0.03</v>
      </c>
      <c r="H1193" s="120">
        <v>0.1</v>
      </c>
      <c r="I1193" s="96">
        <f>IFERROR(VLOOKUP(D1193,MATERIALES!A:D,4,FALSE()),0)</f>
        <v>41314.049586776899</v>
      </c>
      <c r="J1193" s="31">
        <f t="shared" si="449"/>
        <v>1363.3636363636379</v>
      </c>
      <c r="K1193" s="32" t="str">
        <f t="shared" si="436"/>
        <v>PTO-1503|MAT</v>
      </c>
      <c r="L1193" s="32">
        <f>COUNTIFS($K$2:K1193,K1193)</f>
        <v>2</v>
      </c>
      <c r="M1193" s="32" t="str">
        <f t="shared" si="442"/>
        <v>PTO-1503|MAT|2</v>
      </c>
      <c r="N1193" s="121">
        <f>IFERROR(VLOOKUP(A1193,PARTIDAS!A:F,6,FALSE()),0)</f>
        <v>17.5</v>
      </c>
      <c r="O1193" s="123">
        <f t="shared" si="440"/>
        <v>0</v>
      </c>
      <c r="P1193" s="123">
        <f>+_xlfn.XLOOKUP(A1193,PPTO_GENERADOR!Q:Q,PPTO_GENERADOR!E:E,"-",0)</f>
        <v>136</v>
      </c>
      <c r="Q1193" s="123">
        <f t="shared" si="441"/>
        <v>0</v>
      </c>
      <c r="R1193" s="125">
        <f>+_xlfn.XLOOKUP(A1193,PPTO_GENERADOR!$Q:$Q,PPTO_GENERADOR!A:A,"-",0)</f>
        <v>15.03</v>
      </c>
    </row>
    <row r="1194" spans="1:18" ht="14.25" customHeight="1" x14ac:dyDescent="0.35">
      <c r="A1194" s="105" t="s">
        <v>247</v>
      </c>
      <c r="B1194" s="105" t="s">
        <v>1981</v>
      </c>
      <c r="C1194" s="105" t="s">
        <v>1982</v>
      </c>
      <c r="D1194" s="105" t="s">
        <v>578</v>
      </c>
      <c r="E1194" s="95" t="str">
        <f>IFERROR(VLOOKUP(D1194,MATERIALES!A:B,2,FALSE()),"?")</f>
        <v>Latex Loxon Interior Sherwin Williams Mate Bco x 20lts</v>
      </c>
      <c r="F1194" s="129">
        <f>IFERROR(VLOOKUP(D1194,MATERIALES!A:C,3,FALSE()),"?")</f>
        <v>0</v>
      </c>
      <c r="G1194" s="119">
        <v>1.2500000000000001E-2</v>
      </c>
      <c r="H1194" s="120">
        <v>0.1</v>
      </c>
      <c r="I1194" s="96">
        <f>IFERROR(VLOOKUP(D1194,MATERIALES!A:D,4,FALSE()),0)</f>
        <v>143389.25619834699</v>
      </c>
      <c r="J1194" s="31">
        <f t="shared" si="449"/>
        <v>1971.6022727272714</v>
      </c>
      <c r="K1194" s="32" t="str">
        <f t="shared" ref="K1194:K1201" si="450">A1194&amp;"|"&amp;B1194</f>
        <v>PTO-1503|MAT</v>
      </c>
      <c r="L1194" s="32">
        <f>COUNTIFS($K$2:K1194,K1194)</f>
        <v>3</v>
      </c>
      <c r="M1194" s="32" t="str">
        <f t="shared" si="442"/>
        <v>PTO-1503|MAT|3</v>
      </c>
      <c r="N1194" s="121">
        <f>IFERROR(VLOOKUP(A1194,PARTIDAS!A:F,6,FALSE()),0)</f>
        <v>17.5</v>
      </c>
      <c r="O1194" s="123">
        <f t="shared" si="440"/>
        <v>0</v>
      </c>
      <c r="P1194" s="123">
        <f>+_xlfn.XLOOKUP(A1194,PPTO_GENERADOR!Q:Q,PPTO_GENERADOR!E:E,"-",0)</f>
        <v>136</v>
      </c>
      <c r="Q1194" s="123">
        <f t="shared" si="441"/>
        <v>0</v>
      </c>
      <c r="R1194" s="125">
        <f>+_xlfn.XLOOKUP(A1194,PPTO_GENERADOR!$Q:$Q,PPTO_GENERADOR!A:A,"-",0)</f>
        <v>15.03</v>
      </c>
    </row>
    <row r="1195" spans="1:18" ht="14.25" customHeight="1" x14ac:dyDescent="0.35">
      <c r="A1195" s="105" t="s">
        <v>247</v>
      </c>
      <c r="B1195" s="105" t="s">
        <v>1981</v>
      </c>
      <c r="C1195" s="105" t="s">
        <v>1982</v>
      </c>
      <c r="D1195" s="105" t="s">
        <v>590</v>
      </c>
      <c r="E1195" s="95" t="str">
        <f>IFERROR(VLOOKUP(D1195,MATERIALES!A:B,2,FALSE()),"?")</f>
        <v>Yeso Tuyango x 30kg</v>
      </c>
      <c r="F1195" s="129">
        <f>IFERROR(VLOOKUP(D1195,MATERIALES!A:C,3,FALSE()),"?")</f>
        <v>0</v>
      </c>
      <c r="G1195" s="119">
        <v>2.5000000000000001E-3</v>
      </c>
      <c r="H1195" s="120">
        <v>0.05</v>
      </c>
      <c r="I1195" s="96">
        <f>IFERROR(VLOOKUP(D1195,MATERIALES!A:D,4,FALSE()),0)</f>
        <v>9927.59</v>
      </c>
      <c r="J1195" s="31">
        <f t="shared" si="449"/>
        <v>26.059923750000003</v>
      </c>
      <c r="K1195" s="32" t="str">
        <f t="shared" si="450"/>
        <v>PTO-1503|MAT</v>
      </c>
      <c r="L1195" s="32">
        <f>COUNTIFS($K$2:K1195,K1195)</f>
        <v>4</v>
      </c>
      <c r="M1195" s="32" t="str">
        <f t="shared" si="442"/>
        <v>PTO-1503|MAT|4</v>
      </c>
      <c r="N1195" s="121">
        <f>IFERROR(VLOOKUP(A1195,PARTIDAS!A:F,6,FALSE()),0)</f>
        <v>17.5</v>
      </c>
      <c r="O1195" s="123">
        <f t="shared" si="440"/>
        <v>0</v>
      </c>
      <c r="P1195" s="123">
        <f>+_xlfn.XLOOKUP(A1195,PPTO_GENERADOR!Q:Q,PPTO_GENERADOR!E:E,"-",0)</f>
        <v>136</v>
      </c>
      <c r="Q1195" s="123">
        <f t="shared" si="441"/>
        <v>0</v>
      </c>
      <c r="R1195" s="125">
        <f>+_xlfn.XLOOKUP(A1195,PPTO_GENERADOR!$Q:$Q,PPTO_GENERADOR!A:A,"-",0)</f>
        <v>15.03</v>
      </c>
    </row>
    <row r="1196" spans="1:18" ht="14.25" customHeight="1" x14ac:dyDescent="0.35">
      <c r="A1196" s="105" t="s">
        <v>247</v>
      </c>
      <c r="B1196" s="105" t="s">
        <v>1981</v>
      </c>
      <c r="C1196" s="105" t="s">
        <v>1982</v>
      </c>
      <c r="D1196" s="105" t="s">
        <v>586</v>
      </c>
      <c r="E1196" s="95" t="str">
        <f>IFERROR(VLOOKUP(D1196,MATERIALES!A:B,2,FALSE()),"?")</f>
        <v>Trapo</v>
      </c>
      <c r="F1196" s="129">
        <f>IFERROR(VLOOKUP(D1196,MATERIALES!A:C,3,FALSE()),"?")</f>
        <v>0</v>
      </c>
      <c r="G1196" s="119">
        <v>0.03</v>
      </c>
      <c r="H1196" s="120">
        <v>0.05</v>
      </c>
      <c r="I1196" s="96">
        <f>IFERROR(VLOOKUP(D1196,MATERIALES!A:D,4,FALSE()),0)</f>
        <v>1182.6446280991699</v>
      </c>
      <c r="J1196" s="31">
        <f t="shared" si="449"/>
        <v>37.25330578512385</v>
      </c>
      <c r="K1196" s="32" t="str">
        <f t="shared" si="450"/>
        <v>PTO-1503|MAT</v>
      </c>
      <c r="L1196" s="32">
        <f>COUNTIFS($K$2:K1196,K1196)</f>
        <v>5</v>
      </c>
      <c r="M1196" s="32" t="str">
        <f t="shared" si="442"/>
        <v>PTO-1503|MAT|5</v>
      </c>
      <c r="N1196" s="121">
        <f>IFERROR(VLOOKUP(A1196,PARTIDAS!A:F,6,FALSE()),0)</f>
        <v>17.5</v>
      </c>
      <c r="O1196" s="123">
        <f t="shared" si="440"/>
        <v>0</v>
      </c>
      <c r="P1196" s="123">
        <f>+_xlfn.XLOOKUP(A1196,PPTO_GENERADOR!Q:Q,PPTO_GENERADOR!E:E,"-",0)</f>
        <v>136</v>
      </c>
      <c r="Q1196" s="123">
        <f t="shared" si="441"/>
        <v>0</v>
      </c>
      <c r="R1196" s="125">
        <f>+_xlfn.XLOOKUP(A1196,PPTO_GENERADOR!$Q:$Q,PPTO_GENERADOR!A:A,"-",0)</f>
        <v>15.03</v>
      </c>
    </row>
    <row r="1197" spans="1:18" ht="14.25" customHeight="1" x14ac:dyDescent="0.35">
      <c r="A1197" s="105" t="s">
        <v>247</v>
      </c>
      <c r="B1197" s="105" t="s">
        <v>1981</v>
      </c>
      <c r="C1197" s="105" t="s">
        <v>1982</v>
      </c>
      <c r="D1197" s="105" t="s">
        <v>584</v>
      </c>
      <c r="E1197" s="95" t="str">
        <f>IFERROR(VLOOKUP(D1197,MATERIALES!A:B,2,FALSE()),"?")</f>
        <v>Cinta de Papel 36 mm x 40m</v>
      </c>
      <c r="F1197" s="129">
        <f>IFERROR(VLOOKUP(D1197,MATERIALES!A:C,3,FALSE()),"?")</f>
        <v>0</v>
      </c>
      <c r="G1197" s="119">
        <v>0.05</v>
      </c>
      <c r="H1197" s="120">
        <v>0.1</v>
      </c>
      <c r="I1197" s="96">
        <f>IFERROR(VLOOKUP(D1197,MATERIALES!A:D,4,FALSE()),0)</f>
        <v>5885.9504132231395</v>
      </c>
      <c r="J1197" s="31">
        <f t="shared" si="449"/>
        <v>323.72727272727269</v>
      </c>
      <c r="K1197" s="32" t="str">
        <f t="shared" si="450"/>
        <v>PTO-1503|MAT</v>
      </c>
      <c r="L1197" s="32">
        <f>COUNTIFS($K$2:K1197,K1197)</f>
        <v>6</v>
      </c>
      <c r="M1197" s="32" t="str">
        <f t="shared" si="442"/>
        <v>PTO-1503|MAT|6</v>
      </c>
      <c r="N1197" s="121">
        <f>IFERROR(VLOOKUP(A1197,PARTIDAS!A:F,6,FALSE()),0)</f>
        <v>17.5</v>
      </c>
      <c r="O1197" s="123">
        <f t="shared" si="440"/>
        <v>0</v>
      </c>
      <c r="P1197" s="123">
        <f>+_xlfn.XLOOKUP(A1197,PPTO_GENERADOR!Q:Q,PPTO_GENERADOR!E:E,"-",0)</f>
        <v>136</v>
      </c>
      <c r="Q1197" s="123">
        <f t="shared" si="441"/>
        <v>0</v>
      </c>
      <c r="R1197" s="125">
        <f>+_xlfn.XLOOKUP(A1197,PPTO_GENERADOR!$Q:$Q,PPTO_GENERADOR!A:A,"-",0)</f>
        <v>15.03</v>
      </c>
    </row>
    <row r="1198" spans="1:18" ht="14.25" customHeight="1" x14ac:dyDescent="0.35">
      <c r="A1198" s="105" t="s">
        <v>247</v>
      </c>
      <c r="B1198" s="105" t="s">
        <v>1981</v>
      </c>
      <c r="C1198" s="105" t="s">
        <v>1982</v>
      </c>
      <c r="D1198" s="105" t="s">
        <v>582</v>
      </c>
      <c r="E1198" s="95" t="str">
        <f>IFERROR(VLOOKUP(D1198,MATERIALES!A:B,2,FALSE()),"?")</f>
        <v>Lija 180 al agua x 10u</v>
      </c>
      <c r="F1198" s="129">
        <f>IFERROR(VLOOKUP(D1198,MATERIALES!A:C,3,FALSE()),"?")</f>
        <v>0</v>
      </c>
      <c r="G1198" s="119">
        <v>2.5000000000000001E-2</v>
      </c>
      <c r="H1198" s="120">
        <v>0.05</v>
      </c>
      <c r="I1198" s="96">
        <f>IFERROR(VLOOKUP(D1198,MATERIALES!A:D,4,FALSE()),0)</f>
        <v>7917.3553719008296</v>
      </c>
      <c r="J1198" s="31">
        <f t="shared" si="449"/>
        <v>207.83057851239681</v>
      </c>
      <c r="K1198" s="32" t="str">
        <f t="shared" si="450"/>
        <v>PTO-1503|MAT</v>
      </c>
      <c r="L1198" s="32">
        <f>COUNTIFS($K$2:K1198,K1198)</f>
        <v>7</v>
      </c>
      <c r="M1198" s="32" t="str">
        <f t="shared" si="442"/>
        <v>PTO-1503|MAT|7</v>
      </c>
      <c r="N1198" s="121">
        <f>IFERROR(VLOOKUP(A1198,PARTIDAS!A:F,6,FALSE()),0)</f>
        <v>17.5</v>
      </c>
      <c r="O1198" s="123">
        <f t="shared" si="440"/>
        <v>0</v>
      </c>
      <c r="P1198" s="123">
        <f>+_xlfn.XLOOKUP(A1198,PPTO_GENERADOR!Q:Q,PPTO_GENERADOR!E:E,"-",0)</f>
        <v>136</v>
      </c>
      <c r="Q1198" s="123">
        <f t="shared" si="441"/>
        <v>0</v>
      </c>
      <c r="R1198" s="125">
        <f>+_xlfn.XLOOKUP(A1198,PPTO_GENERADOR!$Q:$Q,PPTO_GENERADOR!A:A,"-",0)</f>
        <v>15.03</v>
      </c>
    </row>
    <row r="1199" spans="1:18" ht="14.25" customHeight="1" x14ac:dyDescent="0.35">
      <c r="A1199" s="105" t="s">
        <v>247</v>
      </c>
      <c r="B1199" s="105" t="s">
        <v>1981</v>
      </c>
      <c r="C1199" s="105" t="s">
        <v>1982</v>
      </c>
      <c r="D1199" s="105" t="s">
        <v>922</v>
      </c>
      <c r="E1199" s="95" t="str">
        <f>IFERROR(VLOOKUP(D1199,MATERIALES!A:B,2,FALSE()),"?")</f>
        <v>Rodillo de lana pelo largo N°22 - El Galgo</v>
      </c>
      <c r="F1199" s="129" t="str">
        <f>IFERROR(VLOOKUP(D1199,MATERIALES!A:C,3,FALSE()),"?")</f>
        <v>u</v>
      </c>
      <c r="G1199" s="119">
        <v>5.0000000000000001E-3</v>
      </c>
      <c r="H1199" s="120">
        <v>0.05</v>
      </c>
      <c r="I1199" s="96">
        <f>IFERROR(VLOOKUP(D1199,MATERIALES!A:D,4,FALSE()),0)</f>
        <v>6442.15</v>
      </c>
      <c r="J1199" s="31">
        <f t="shared" si="449"/>
        <v>33.821287499999997</v>
      </c>
      <c r="K1199" s="32" t="str">
        <f t="shared" si="450"/>
        <v>PTO-1503|MAT</v>
      </c>
      <c r="L1199" s="32">
        <f>COUNTIFS($K$2:K1199,K1199)</f>
        <v>8</v>
      </c>
      <c r="M1199" s="32" t="str">
        <f t="shared" si="442"/>
        <v>PTO-1503|MAT|8</v>
      </c>
      <c r="N1199" s="121">
        <f>IFERROR(VLOOKUP(A1199,PARTIDAS!A:F,6,FALSE()),0)</f>
        <v>17.5</v>
      </c>
      <c r="O1199" s="123">
        <f t="shared" si="440"/>
        <v>0</v>
      </c>
      <c r="P1199" s="123">
        <f>+_xlfn.XLOOKUP(A1199,PPTO_GENERADOR!Q:Q,PPTO_GENERADOR!E:E,"-",0)</f>
        <v>136</v>
      </c>
      <c r="Q1199" s="123">
        <f t="shared" si="441"/>
        <v>0</v>
      </c>
      <c r="R1199" s="125">
        <f>+_xlfn.XLOOKUP(A1199,PPTO_GENERADOR!$Q:$Q,PPTO_GENERADOR!A:A,"-",0)</f>
        <v>15.03</v>
      </c>
    </row>
    <row r="1200" spans="1:18" ht="14.25" customHeight="1" x14ac:dyDescent="0.35">
      <c r="A1200" s="105" t="s">
        <v>247</v>
      </c>
      <c r="B1200" s="105" t="s">
        <v>1981</v>
      </c>
      <c r="C1200" s="105" t="s">
        <v>1982</v>
      </c>
      <c r="D1200" s="105" t="s">
        <v>1007</v>
      </c>
      <c r="E1200" s="95" t="str">
        <f>IFERROR(VLOOKUP(D1200,MATERIALES!A:B,2,FALSE()),"?")</f>
        <v>Pincel N° 20 - El Galgo</v>
      </c>
      <c r="F1200" s="129" t="str">
        <f>IFERROR(VLOOKUP(D1200,MATERIALES!A:C,3,FALSE()),"?")</f>
        <v>u</v>
      </c>
      <c r="G1200" s="119">
        <v>5.0000000000000001E-3</v>
      </c>
      <c r="H1200" s="120">
        <v>0.05</v>
      </c>
      <c r="I1200" s="96">
        <f>IFERROR(VLOOKUP(D1200,MATERIALES!A:D,4,FALSE()),0)</f>
        <v>4418.1818181818198</v>
      </c>
      <c r="J1200" s="31">
        <f t="shared" si="449"/>
        <v>23.195454545454556</v>
      </c>
      <c r="K1200" s="32" t="str">
        <f t="shared" si="450"/>
        <v>PTO-1503|MAT</v>
      </c>
      <c r="L1200" s="32">
        <f>COUNTIFS($K$2:K1200,K1200)</f>
        <v>9</v>
      </c>
      <c r="M1200" s="32" t="str">
        <f t="shared" si="442"/>
        <v>PTO-1503|MAT|9</v>
      </c>
      <c r="N1200" s="121">
        <f>IFERROR(VLOOKUP(A1200,PARTIDAS!A:F,6,FALSE()),0)</f>
        <v>17.5</v>
      </c>
      <c r="O1200" s="123">
        <f t="shared" si="440"/>
        <v>0</v>
      </c>
      <c r="P1200" s="123">
        <f>+_xlfn.XLOOKUP(A1200,PPTO_GENERADOR!Q:Q,PPTO_GENERADOR!E:E,"-",0)</f>
        <v>136</v>
      </c>
      <c r="Q1200" s="123">
        <f t="shared" si="441"/>
        <v>0</v>
      </c>
      <c r="R1200" s="125">
        <f>+_xlfn.XLOOKUP(A1200,PPTO_GENERADOR!$Q:$Q,PPTO_GENERADOR!A:A,"-",0)</f>
        <v>15.03</v>
      </c>
    </row>
    <row r="1201" spans="1:18" ht="14.25" customHeight="1" x14ac:dyDescent="0.35">
      <c r="A1201" s="105" t="s">
        <v>247</v>
      </c>
      <c r="B1201" s="105" t="s">
        <v>1981</v>
      </c>
      <c r="C1201" s="105" t="s">
        <v>1982</v>
      </c>
      <c r="D1201" s="105" t="s">
        <v>1033</v>
      </c>
      <c r="E1201" s="95" t="str">
        <f>IFERROR(VLOOKUP(D1201,MATERIALES!A:B,2,FALSE()),"?")</f>
        <v>Rollo de cartón corrugado 0,90 x 25 mts</v>
      </c>
      <c r="F1201" s="129" t="str">
        <f>IFERROR(VLOOKUP(D1201,MATERIALES!A:C,3,FALSE()),"?")</f>
        <v>u</v>
      </c>
      <c r="G1201" s="119">
        <v>0.01</v>
      </c>
      <c r="H1201" s="120">
        <v>0.05</v>
      </c>
      <c r="I1201" s="96">
        <f>IFERROR(VLOOKUP(D1201,MATERIALES!A:D,4,FALSE()),0)</f>
        <v>8173.5537190082696</v>
      </c>
      <c r="J1201" s="31">
        <f t="shared" si="449"/>
        <v>85.822314049586836</v>
      </c>
      <c r="K1201" s="32" t="str">
        <f t="shared" si="450"/>
        <v>PTO-1503|MAT</v>
      </c>
      <c r="L1201" s="32">
        <f>COUNTIFS($K$2:K1201,K1201)</f>
        <v>10</v>
      </c>
      <c r="M1201" s="32" t="str">
        <f t="shared" si="442"/>
        <v>PTO-1503|MAT|10</v>
      </c>
      <c r="N1201" s="121">
        <f>IFERROR(VLOOKUP(A1201,PARTIDAS!A:F,6,FALSE()),0)</f>
        <v>17.5</v>
      </c>
      <c r="O1201" s="123">
        <f t="shared" si="440"/>
        <v>0</v>
      </c>
      <c r="P1201" s="123">
        <f>+_xlfn.XLOOKUP(A1201,PPTO_GENERADOR!Q:Q,PPTO_GENERADOR!E:E,"-",0)</f>
        <v>136</v>
      </c>
      <c r="Q1201" s="123">
        <f t="shared" si="441"/>
        <v>0</v>
      </c>
      <c r="R1201" s="125">
        <f>+_xlfn.XLOOKUP(A1201,PPTO_GENERADOR!$Q:$Q,PPTO_GENERADOR!A:A,"-",0)</f>
        <v>15.03</v>
      </c>
    </row>
    <row r="1202" spans="1:18" ht="14.25" customHeight="1" x14ac:dyDescent="0.35">
      <c r="A1202" s="105" t="s">
        <v>247</v>
      </c>
      <c r="B1202" s="105" t="s">
        <v>1983</v>
      </c>
      <c r="C1202" s="105"/>
      <c r="D1202" s="105" t="s">
        <v>1313</v>
      </c>
      <c r="E1202" s="95" t="str">
        <f>IFERROR(VLOOKUP(D1202,EQUIPOS!A:B,2,FALSE()),"?")</f>
        <v>ANDAMIO TUBULAR DE UNO A TRES CUERPOS</v>
      </c>
      <c r="F1202" s="129"/>
      <c r="G1202" s="119">
        <v>1</v>
      </c>
      <c r="H1202" s="120">
        <v>0</v>
      </c>
      <c r="I1202" s="96">
        <f>IFERROR(VLOOKUP(D1202,EQUIPOS!A:F,6,FALSE()),0)</f>
        <v>620.81078197718341</v>
      </c>
      <c r="J1202" s="31">
        <f t="shared" ref="J1202:J1203" si="451">G1202*I1202</f>
        <v>620.81078197718341</v>
      </c>
      <c r="K1202" s="32" t="str">
        <f t="shared" ref="K1202:K1257" si="452">A1202&amp;"|"&amp;B1202</f>
        <v>PTO-1503|EQ</v>
      </c>
      <c r="L1202" s="32">
        <f>COUNTIFS($K$2:K1202,K1202)</f>
        <v>1</v>
      </c>
      <c r="M1202" s="32" t="str">
        <f t="shared" si="442"/>
        <v>PTO-1503|EQ|1</v>
      </c>
      <c r="N1202" s="121">
        <f>IFERROR(VLOOKUP(A1202,PARTIDAS!A:F,6,FALSE()),0)</f>
        <v>17.5</v>
      </c>
      <c r="O1202" s="123">
        <f t="shared" si="440"/>
        <v>0</v>
      </c>
      <c r="P1202" s="123">
        <f>+_xlfn.XLOOKUP(A1202,PPTO_GENERADOR!Q:Q,PPTO_GENERADOR!E:E,"-",0)</f>
        <v>136</v>
      </c>
      <c r="Q1202" s="123">
        <f t="shared" si="441"/>
        <v>0</v>
      </c>
      <c r="R1202" s="125">
        <f>+_xlfn.XLOOKUP(A1202,PPTO_GENERADOR!$Q:$Q,PPTO_GENERADOR!A:A,"-",0)</f>
        <v>15.03</v>
      </c>
    </row>
    <row r="1203" spans="1:18" ht="14.25" customHeight="1" x14ac:dyDescent="0.35">
      <c r="A1203" s="105" t="s">
        <v>247</v>
      </c>
      <c r="B1203" s="105" t="s">
        <v>1983</v>
      </c>
      <c r="C1203" s="105"/>
      <c r="D1203" s="105" t="s">
        <v>1327</v>
      </c>
      <c r="E1203" s="95" t="str">
        <f>IFERROR(VLOOKUP(D1203,EQUIPOS!A:B,2,FALSE()),"?")</f>
        <v>EQUIPO PARA PINTAR</v>
      </c>
      <c r="F1203" s="129"/>
      <c r="G1203" s="119">
        <v>2</v>
      </c>
      <c r="H1203" s="120">
        <v>0</v>
      </c>
      <c r="I1203" s="96">
        <f>IFERROR(VLOOKUP(D1203,EQUIPOS!A:F,6,FALSE()),0)</f>
        <v>1873.3963608356808</v>
      </c>
      <c r="J1203" s="31">
        <f t="shared" si="451"/>
        <v>3746.7927216713615</v>
      </c>
      <c r="K1203" s="32" t="str">
        <f t="shared" si="452"/>
        <v>PTO-1503|EQ</v>
      </c>
      <c r="L1203" s="32">
        <f>COUNTIFS($K$2:K1203,K1203)</f>
        <v>2</v>
      </c>
      <c r="M1203" s="32" t="str">
        <f t="shared" si="442"/>
        <v>PTO-1503|EQ|2</v>
      </c>
      <c r="N1203" s="121">
        <f>IFERROR(VLOOKUP(A1203,PARTIDAS!A:F,6,FALSE()),0)</f>
        <v>17.5</v>
      </c>
      <c r="O1203" s="123">
        <f t="shared" si="440"/>
        <v>0</v>
      </c>
      <c r="P1203" s="123">
        <f>+_xlfn.XLOOKUP(A1203,PPTO_GENERADOR!Q:Q,PPTO_GENERADOR!E:E,"-",0)</f>
        <v>136</v>
      </c>
      <c r="Q1203" s="123">
        <f t="shared" si="441"/>
        <v>0</v>
      </c>
      <c r="R1203" s="125">
        <f>+_xlfn.XLOOKUP(A1203,PPTO_GENERADOR!$Q:$Q,PPTO_GENERADOR!A:A,"-",0)</f>
        <v>15.03</v>
      </c>
    </row>
    <row r="1204" spans="1:18" ht="14.25" customHeight="1" x14ac:dyDescent="0.35">
      <c r="A1204" s="105" t="s">
        <v>250</v>
      </c>
      <c r="B1204" s="105" t="s">
        <v>1981</v>
      </c>
      <c r="C1204" s="105" t="s">
        <v>1982</v>
      </c>
      <c r="D1204" s="105" t="s">
        <v>588</v>
      </c>
      <c r="E1204" s="95" t="str">
        <f>IFERROR(VLOOKUP(D1204,MATERIALES!A:B,2,FALSE()),"?")</f>
        <v>Fijador al agua x 20 lts</v>
      </c>
      <c r="F1204" s="129">
        <f>IFERROR(VLOOKUP(D1204,MATERIALES!A:C,3,FALSE()),"?")</f>
        <v>0</v>
      </c>
      <c r="G1204" s="119">
        <v>4.0000000000000001E-3</v>
      </c>
      <c r="H1204" s="120">
        <v>0.05</v>
      </c>
      <c r="I1204" s="96">
        <f>IFERROR(VLOOKUP(D1204,MATERIALES!A:D,4,FALSE()),0)</f>
        <v>42552.892561983499</v>
      </c>
      <c r="J1204" s="31">
        <f t="shared" ref="J1204:J1213" si="453">G1204*I1204*(1+H1204)</f>
        <v>178.7221487603307</v>
      </c>
      <c r="K1204" s="32" t="str">
        <f t="shared" si="452"/>
        <v>PTO-1504|MAT</v>
      </c>
      <c r="L1204" s="32">
        <f>COUNTIFS($K$2:K1204,K1204)</f>
        <v>1</v>
      </c>
      <c r="M1204" s="32" t="str">
        <f t="shared" si="442"/>
        <v>PTO-1504|MAT|1</v>
      </c>
      <c r="N1204" s="121">
        <f>IFERROR(VLOOKUP(A1204,PARTIDAS!A:F,6,FALSE()),0)</f>
        <v>17.5</v>
      </c>
      <c r="O1204" s="123">
        <f t="shared" si="440"/>
        <v>0</v>
      </c>
      <c r="P1204" s="123">
        <f>+_xlfn.XLOOKUP(A1204,PPTO_GENERADOR!Q:Q,PPTO_GENERADOR!E:E,"-",0)</f>
        <v>296</v>
      </c>
      <c r="Q1204" s="123">
        <f t="shared" si="441"/>
        <v>0</v>
      </c>
      <c r="R1204" s="125">
        <f>+_xlfn.XLOOKUP(A1204,PPTO_GENERADOR!$Q:$Q,PPTO_GENERADOR!A:A,"-",0)</f>
        <v>15.04</v>
      </c>
    </row>
    <row r="1205" spans="1:18" ht="14.25" customHeight="1" x14ac:dyDescent="0.35">
      <c r="A1205" s="105" t="s">
        <v>250</v>
      </c>
      <c r="B1205" s="105" t="s">
        <v>1981</v>
      </c>
      <c r="C1205" s="105" t="s">
        <v>1982</v>
      </c>
      <c r="D1205" s="105" t="s">
        <v>580</v>
      </c>
      <c r="E1205" s="95" t="str">
        <f>IFERROR(VLOOKUP(D1205,MATERIALES!A:B,2,FALSE()),"?")</f>
        <v>Enduido Interior x 20lts</v>
      </c>
      <c r="F1205" s="129">
        <f>IFERROR(VLOOKUP(D1205,MATERIALES!A:C,3,FALSE()),"?")</f>
        <v>0</v>
      </c>
      <c r="G1205" s="119">
        <v>0.03</v>
      </c>
      <c r="H1205" s="120">
        <v>0.1</v>
      </c>
      <c r="I1205" s="96">
        <f>IFERROR(VLOOKUP(D1205,MATERIALES!A:D,4,FALSE()),0)</f>
        <v>41314.049586776899</v>
      </c>
      <c r="J1205" s="31">
        <f t="shared" si="453"/>
        <v>1363.3636363636379</v>
      </c>
      <c r="K1205" s="32" t="str">
        <f t="shared" si="452"/>
        <v>PTO-1504|MAT</v>
      </c>
      <c r="L1205" s="32">
        <f>COUNTIFS($K$2:K1205,K1205)</f>
        <v>2</v>
      </c>
      <c r="M1205" s="32" t="str">
        <f t="shared" si="442"/>
        <v>PTO-1504|MAT|2</v>
      </c>
      <c r="N1205" s="121">
        <f>IFERROR(VLOOKUP(A1205,PARTIDAS!A:F,6,FALSE()),0)</f>
        <v>17.5</v>
      </c>
      <c r="O1205" s="123">
        <f t="shared" si="440"/>
        <v>0</v>
      </c>
      <c r="P1205" s="123">
        <f>+_xlfn.XLOOKUP(A1205,PPTO_GENERADOR!Q:Q,PPTO_GENERADOR!E:E,"-",0)</f>
        <v>296</v>
      </c>
      <c r="Q1205" s="123">
        <f t="shared" si="441"/>
        <v>0</v>
      </c>
      <c r="R1205" s="125">
        <f>+_xlfn.XLOOKUP(A1205,PPTO_GENERADOR!$Q:$Q,PPTO_GENERADOR!A:A,"-",0)</f>
        <v>15.04</v>
      </c>
    </row>
    <row r="1206" spans="1:18" ht="14.25" customHeight="1" x14ac:dyDescent="0.35">
      <c r="A1206" s="105" t="s">
        <v>250</v>
      </c>
      <c r="B1206" s="105" t="s">
        <v>1981</v>
      </c>
      <c r="C1206" s="105" t="s">
        <v>1982</v>
      </c>
      <c r="D1206" s="105" t="s">
        <v>578</v>
      </c>
      <c r="E1206" s="95" t="str">
        <f>IFERROR(VLOOKUP(D1206,MATERIALES!A:B,2,FALSE()),"?")</f>
        <v>Latex Loxon Interior Sherwin Williams Mate Bco x 20lts</v>
      </c>
      <c r="F1206" s="129">
        <f>IFERROR(VLOOKUP(D1206,MATERIALES!A:C,3,FALSE()),"?")</f>
        <v>0</v>
      </c>
      <c r="G1206" s="119">
        <v>1.2500000000000001E-2</v>
      </c>
      <c r="H1206" s="120">
        <v>0.1</v>
      </c>
      <c r="I1206" s="96">
        <f>IFERROR(VLOOKUP(D1206,MATERIALES!A:D,4,FALSE()),0)</f>
        <v>143389.25619834699</v>
      </c>
      <c r="J1206" s="31">
        <f t="shared" si="453"/>
        <v>1971.6022727272714</v>
      </c>
      <c r="K1206" s="32" t="str">
        <f t="shared" si="452"/>
        <v>PTO-1504|MAT</v>
      </c>
      <c r="L1206" s="32">
        <f>COUNTIFS($K$2:K1206,K1206)</f>
        <v>3</v>
      </c>
      <c r="M1206" s="32" t="str">
        <f t="shared" si="442"/>
        <v>PTO-1504|MAT|3</v>
      </c>
      <c r="N1206" s="121">
        <f>IFERROR(VLOOKUP(A1206,PARTIDAS!A:F,6,FALSE()),0)</f>
        <v>17.5</v>
      </c>
      <c r="O1206" s="123">
        <f t="shared" si="440"/>
        <v>0</v>
      </c>
      <c r="P1206" s="123">
        <f>+_xlfn.XLOOKUP(A1206,PPTO_GENERADOR!Q:Q,PPTO_GENERADOR!E:E,"-",0)</f>
        <v>296</v>
      </c>
      <c r="Q1206" s="123">
        <f t="shared" si="441"/>
        <v>0</v>
      </c>
      <c r="R1206" s="125">
        <f>+_xlfn.XLOOKUP(A1206,PPTO_GENERADOR!$Q:$Q,PPTO_GENERADOR!A:A,"-",0)</f>
        <v>15.04</v>
      </c>
    </row>
    <row r="1207" spans="1:18" ht="14.25" customHeight="1" x14ac:dyDescent="0.35">
      <c r="A1207" s="105" t="s">
        <v>250</v>
      </c>
      <c r="B1207" s="105" t="s">
        <v>1981</v>
      </c>
      <c r="C1207" s="105" t="s">
        <v>1982</v>
      </c>
      <c r="D1207" s="105" t="s">
        <v>590</v>
      </c>
      <c r="E1207" s="95" t="str">
        <f>IFERROR(VLOOKUP(D1207,MATERIALES!A:B,2,FALSE()),"?")</f>
        <v>Yeso Tuyango x 30kg</v>
      </c>
      <c r="F1207" s="129">
        <f>IFERROR(VLOOKUP(D1207,MATERIALES!A:C,3,FALSE()),"?")</f>
        <v>0</v>
      </c>
      <c r="G1207" s="119">
        <v>2.5000000000000001E-3</v>
      </c>
      <c r="H1207" s="120">
        <v>0.05</v>
      </c>
      <c r="I1207" s="96">
        <f>IFERROR(VLOOKUP(D1207,MATERIALES!A:D,4,FALSE()),0)</f>
        <v>9927.59</v>
      </c>
      <c r="J1207" s="31">
        <f t="shared" si="453"/>
        <v>26.059923750000003</v>
      </c>
      <c r="K1207" s="32" t="str">
        <f t="shared" si="452"/>
        <v>PTO-1504|MAT</v>
      </c>
      <c r="L1207" s="32">
        <f>COUNTIFS($K$2:K1207,K1207)</f>
        <v>4</v>
      </c>
      <c r="M1207" s="32" t="str">
        <f t="shared" si="442"/>
        <v>PTO-1504|MAT|4</v>
      </c>
      <c r="N1207" s="121">
        <f>IFERROR(VLOOKUP(A1207,PARTIDAS!A:F,6,FALSE()),0)</f>
        <v>17.5</v>
      </c>
      <c r="O1207" s="123">
        <f t="shared" si="440"/>
        <v>0</v>
      </c>
      <c r="P1207" s="123">
        <f>+_xlfn.XLOOKUP(A1207,PPTO_GENERADOR!Q:Q,PPTO_GENERADOR!E:E,"-",0)</f>
        <v>296</v>
      </c>
      <c r="Q1207" s="123">
        <f t="shared" si="441"/>
        <v>0</v>
      </c>
      <c r="R1207" s="125">
        <f>+_xlfn.XLOOKUP(A1207,PPTO_GENERADOR!$Q:$Q,PPTO_GENERADOR!A:A,"-",0)</f>
        <v>15.04</v>
      </c>
    </row>
    <row r="1208" spans="1:18" ht="14.25" customHeight="1" x14ac:dyDescent="0.35">
      <c r="A1208" s="105" t="s">
        <v>250</v>
      </c>
      <c r="B1208" s="105" t="s">
        <v>1981</v>
      </c>
      <c r="C1208" s="105" t="s">
        <v>1982</v>
      </c>
      <c r="D1208" s="105" t="s">
        <v>586</v>
      </c>
      <c r="E1208" s="95" t="str">
        <f>IFERROR(VLOOKUP(D1208,MATERIALES!A:B,2,FALSE()),"?")</f>
        <v>Trapo</v>
      </c>
      <c r="F1208" s="129">
        <f>IFERROR(VLOOKUP(D1208,MATERIALES!A:C,3,FALSE()),"?")</f>
        <v>0</v>
      </c>
      <c r="G1208" s="119">
        <v>0.03</v>
      </c>
      <c r="H1208" s="120">
        <v>0.05</v>
      </c>
      <c r="I1208" s="96">
        <f>IFERROR(VLOOKUP(D1208,MATERIALES!A:D,4,FALSE()),0)</f>
        <v>1182.6446280991699</v>
      </c>
      <c r="J1208" s="31">
        <f t="shared" si="453"/>
        <v>37.25330578512385</v>
      </c>
      <c r="K1208" s="32" t="str">
        <f t="shared" si="452"/>
        <v>PTO-1504|MAT</v>
      </c>
      <c r="L1208" s="32">
        <f>COUNTIFS($K$2:K1208,K1208)</f>
        <v>5</v>
      </c>
      <c r="M1208" s="32" t="str">
        <f t="shared" si="442"/>
        <v>PTO-1504|MAT|5</v>
      </c>
      <c r="N1208" s="121">
        <f>IFERROR(VLOOKUP(A1208,PARTIDAS!A:F,6,FALSE()),0)</f>
        <v>17.5</v>
      </c>
      <c r="O1208" s="123">
        <f t="shared" si="440"/>
        <v>0</v>
      </c>
      <c r="P1208" s="123">
        <f>+_xlfn.XLOOKUP(A1208,PPTO_GENERADOR!Q:Q,PPTO_GENERADOR!E:E,"-",0)</f>
        <v>296</v>
      </c>
      <c r="Q1208" s="123">
        <f t="shared" si="441"/>
        <v>0</v>
      </c>
      <c r="R1208" s="125">
        <f>+_xlfn.XLOOKUP(A1208,PPTO_GENERADOR!$Q:$Q,PPTO_GENERADOR!A:A,"-",0)</f>
        <v>15.04</v>
      </c>
    </row>
    <row r="1209" spans="1:18" ht="14.25" customHeight="1" x14ac:dyDescent="0.35">
      <c r="A1209" s="105" t="s">
        <v>250</v>
      </c>
      <c r="B1209" s="105" t="s">
        <v>1981</v>
      </c>
      <c r="C1209" s="105" t="s">
        <v>1982</v>
      </c>
      <c r="D1209" s="105" t="s">
        <v>584</v>
      </c>
      <c r="E1209" s="95" t="str">
        <f>IFERROR(VLOOKUP(D1209,MATERIALES!A:B,2,FALSE()),"?")</f>
        <v>Cinta de Papel 36 mm x 40m</v>
      </c>
      <c r="F1209" s="129">
        <f>IFERROR(VLOOKUP(D1209,MATERIALES!A:C,3,FALSE()),"?")</f>
        <v>0</v>
      </c>
      <c r="G1209" s="119">
        <v>0.05</v>
      </c>
      <c r="H1209" s="120">
        <v>0.1</v>
      </c>
      <c r="I1209" s="96">
        <f>IFERROR(VLOOKUP(D1209,MATERIALES!A:D,4,FALSE()),0)</f>
        <v>5885.9504132231395</v>
      </c>
      <c r="J1209" s="31">
        <f t="shared" si="453"/>
        <v>323.72727272727269</v>
      </c>
      <c r="K1209" s="32" t="str">
        <f t="shared" si="452"/>
        <v>PTO-1504|MAT</v>
      </c>
      <c r="L1209" s="32">
        <f>COUNTIFS($K$2:K1209,K1209)</f>
        <v>6</v>
      </c>
      <c r="M1209" s="32" t="str">
        <f t="shared" si="442"/>
        <v>PTO-1504|MAT|6</v>
      </c>
      <c r="N1209" s="121">
        <f>IFERROR(VLOOKUP(A1209,PARTIDAS!A:F,6,FALSE()),0)</f>
        <v>17.5</v>
      </c>
      <c r="O1209" s="123">
        <f t="shared" si="440"/>
        <v>0</v>
      </c>
      <c r="P1209" s="123">
        <f>+_xlfn.XLOOKUP(A1209,PPTO_GENERADOR!Q:Q,PPTO_GENERADOR!E:E,"-",0)</f>
        <v>296</v>
      </c>
      <c r="Q1209" s="123">
        <f t="shared" si="441"/>
        <v>0</v>
      </c>
      <c r="R1209" s="125">
        <f>+_xlfn.XLOOKUP(A1209,PPTO_GENERADOR!$Q:$Q,PPTO_GENERADOR!A:A,"-",0)</f>
        <v>15.04</v>
      </c>
    </row>
    <row r="1210" spans="1:18" ht="14.25" customHeight="1" x14ac:dyDescent="0.35">
      <c r="A1210" s="105" t="s">
        <v>250</v>
      </c>
      <c r="B1210" s="105" t="s">
        <v>1981</v>
      </c>
      <c r="C1210" s="105" t="s">
        <v>1982</v>
      </c>
      <c r="D1210" s="105" t="s">
        <v>582</v>
      </c>
      <c r="E1210" s="95" t="str">
        <f>IFERROR(VLOOKUP(D1210,MATERIALES!A:B,2,FALSE()),"?")</f>
        <v>Lija 180 al agua x 10u</v>
      </c>
      <c r="F1210" s="129">
        <f>IFERROR(VLOOKUP(D1210,MATERIALES!A:C,3,FALSE()),"?")</f>
        <v>0</v>
      </c>
      <c r="G1210" s="119">
        <v>2.5000000000000001E-2</v>
      </c>
      <c r="H1210" s="120">
        <v>0.05</v>
      </c>
      <c r="I1210" s="96">
        <f>IFERROR(VLOOKUP(D1210,MATERIALES!A:D,4,FALSE()),0)</f>
        <v>7917.3553719008296</v>
      </c>
      <c r="J1210" s="31">
        <f t="shared" si="453"/>
        <v>207.83057851239681</v>
      </c>
      <c r="K1210" s="32" t="str">
        <f t="shared" si="452"/>
        <v>PTO-1504|MAT</v>
      </c>
      <c r="L1210" s="32">
        <f>COUNTIFS($K$2:K1210,K1210)</f>
        <v>7</v>
      </c>
      <c r="M1210" s="32" t="str">
        <f t="shared" ref="M1210:M1213" si="454">K1210&amp;"|"&amp;L1210</f>
        <v>PTO-1504|MAT|7</v>
      </c>
      <c r="N1210" s="121">
        <f>IFERROR(VLOOKUP(A1210,PARTIDAS!A:F,6,FALSE()),0)</f>
        <v>17.5</v>
      </c>
      <c r="O1210" s="123">
        <f t="shared" si="440"/>
        <v>0</v>
      </c>
      <c r="P1210" s="123">
        <f>+_xlfn.XLOOKUP(A1210,PPTO_GENERADOR!Q:Q,PPTO_GENERADOR!E:E,"-",0)</f>
        <v>296</v>
      </c>
      <c r="Q1210" s="123">
        <f t="shared" si="441"/>
        <v>0</v>
      </c>
      <c r="R1210" s="125">
        <f>+_xlfn.XLOOKUP(A1210,PPTO_GENERADOR!$Q:$Q,PPTO_GENERADOR!A:A,"-",0)</f>
        <v>15.04</v>
      </c>
    </row>
    <row r="1211" spans="1:18" ht="14.25" customHeight="1" x14ac:dyDescent="0.35">
      <c r="A1211" s="105" t="s">
        <v>250</v>
      </c>
      <c r="B1211" s="105" t="s">
        <v>1981</v>
      </c>
      <c r="C1211" s="105" t="s">
        <v>1982</v>
      </c>
      <c r="D1211" s="105" t="s">
        <v>922</v>
      </c>
      <c r="E1211" s="95" t="str">
        <f>IFERROR(VLOOKUP(D1211,MATERIALES!A:B,2,FALSE()),"?")</f>
        <v>Rodillo de lana pelo largo N°22 - El Galgo</v>
      </c>
      <c r="F1211" s="129" t="str">
        <f>IFERROR(VLOOKUP(D1211,MATERIALES!A:C,3,FALSE()),"?")</f>
        <v>u</v>
      </c>
      <c r="G1211" s="119">
        <v>5.0000000000000001E-3</v>
      </c>
      <c r="H1211" s="120">
        <v>0.05</v>
      </c>
      <c r="I1211" s="96">
        <f>IFERROR(VLOOKUP(D1211,MATERIALES!A:D,4,FALSE()),0)</f>
        <v>6442.15</v>
      </c>
      <c r="J1211" s="31">
        <f t="shared" si="453"/>
        <v>33.821287499999997</v>
      </c>
      <c r="K1211" s="32" t="str">
        <f t="shared" si="452"/>
        <v>PTO-1504|MAT</v>
      </c>
      <c r="L1211" s="32">
        <f>COUNTIFS($K$2:K1211,K1211)</f>
        <v>8</v>
      </c>
      <c r="M1211" s="32" t="str">
        <f t="shared" si="454"/>
        <v>PTO-1504|MAT|8</v>
      </c>
      <c r="N1211" s="121">
        <f>IFERROR(VLOOKUP(A1211,PARTIDAS!A:F,6,FALSE()),0)</f>
        <v>17.5</v>
      </c>
      <c r="O1211" s="123">
        <f t="shared" si="440"/>
        <v>0</v>
      </c>
      <c r="P1211" s="123">
        <f>+_xlfn.XLOOKUP(A1211,PPTO_GENERADOR!Q:Q,PPTO_GENERADOR!E:E,"-",0)</f>
        <v>296</v>
      </c>
      <c r="Q1211" s="123">
        <f t="shared" si="441"/>
        <v>0</v>
      </c>
      <c r="R1211" s="125">
        <f>+_xlfn.XLOOKUP(A1211,PPTO_GENERADOR!$Q:$Q,PPTO_GENERADOR!A:A,"-",0)</f>
        <v>15.04</v>
      </c>
    </row>
    <row r="1212" spans="1:18" ht="14.25" customHeight="1" x14ac:dyDescent="0.35">
      <c r="A1212" s="105" t="s">
        <v>250</v>
      </c>
      <c r="B1212" s="105" t="s">
        <v>1981</v>
      </c>
      <c r="C1212" s="105" t="s">
        <v>1982</v>
      </c>
      <c r="D1212" s="105" t="s">
        <v>1007</v>
      </c>
      <c r="E1212" s="95" t="str">
        <f>IFERROR(VLOOKUP(D1212,MATERIALES!A:B,2,FALSE()),"?")</f>
        <v>Pincel N° 20 - El Galgo</v>
      </c>
      <c r="F1212" s="129" t="str">
        <f>IFERROR(VLOOKUP(D1212,MATERIALES!A:C,3,FALSE()),"?")</f>
        <v>u</v>
      </c>
      <c r="G1212" s="119">
        <v>5.0000000000000001E-3</v>
      </c>
      <c r="H1212" s="120">
        <v>0.05</v>
      </c>
      <c r="I1212" s="96">
        <f>IFERROR(VLOOKUP(D1212,MATERIALES!A:D,4,FALSE()),0)</f>
        <v>4418.1818181818198</v>
      </c>
      <c r="J1212" s="31">
        <f t="shared" si="453"/>
        <v>23.195454545454556</v>
      </c>
      <c r="K1212" s="32" t="str">
        <f t="shared" si="452"/>
        <v>PTO-1504|MAT</v>
      </c>
      <c r="L1212" s="32">
        <f>COUNTIFS($K$2:K1212,K1212)</f>
        <v>9</v>
      </c>
      <c r="M1212" s="32" t="str">
        <f t="shared" si="454"/>
        <v>PTO-1504|MAT|9</v>
      </c>
      <c r="N1212" s="121">
        <f>IFERROR(VLOOKUP(A1212,PARTIDAS!A:F,6,FALSE()),0)</f>
        <v>17.5</v>
      </c>
      <c r="O1212" s="123">
        <f t="shared" si="440"/>
        <v>0</v>
      </c>
      <c r="P1212" s="123">
        <f>+_xlfn.XLOOKUP(A1212,PPTO_GENERADOR!Q:Q,PPTO_GENERADOR!E:E,"-",0)</f>
        <v>296</v>
      </c>
      <c r="Q1212" s="123">
        <f t="shared" si="441"/>
        <v>0</v>
      </c>
      <c r="R1212" s="125">
        <f>+_xlfn.XLOOKUP(A1212,PPTO_GENERADOR!$Q:$Q,PPTO_GENERADOR!A:A,"-",0)</f>
        <v>15.04</v>
      </c>
    </row>
    <row r="1213" spans="1:18" ht="14.25" customHeight="1" x14ac:dyDescent="0.35">
      <c r="A1213" s="105" t="s">
        <v>250</v>
      </c>
      <c r="B1213" s="105" t="s">
        <v>1981</v>
      </c>
      <c r="C1213" s="105" t="s">
        <v>1982</v>
      </c>
      <c r="D1213" s="105" t="s">
        <v>1033</v>
      </c>
      <c r="E1213" s="95" t="str">
        <f>IFERROR(VLOOKUP(D1213,MATERIALES!A:B,2,FALSE()),"?")</f>
        <v>Rollo de cartón corrugado 0,90 x 25 mts</v>
      </c>
      <c r="F1213" s="129" t="str">
        <f>IFERROR(VLOOKUP(D1213,MATERIALES!A:C,3,FALSE()),"?")</f>
        <v>u</v>
      </c>
      <c r="G1213" s="119">
        <v>0.01</v>
      </c>
      <c r="H1213" s="120">
        <v>0.05</v>
      </c>
      <c r="I1213" s="96">
        <f>IFERROR(VLOOKUP(D1213,MATERIALES!A:D,4,FALSE()),0)</f>
        <v>8173.5537190082696</v>
      </c>
      <c r="J1213" s="31">
        <f t="shared" si="453"/>
        <v>85.822314049586836</v>
      </c>
      <c r="K1213" s="32" t="str">
        <f t="shared" si="452"/>
        <v>PTO-1504|MAT</v>
      </c>
      <c r="L1213" s="32">
        <f>COUNTIFS($K$2:K1213,K1213)</f>
        <v>10</v>
      </c>
      <c r="M1213" s="32" t="str">
        <f t="shared" si="454"/>
        <v>PTO-1504|MAT|10</v>
      </c>
      <c r="N1213" s="121">
        <f>IFERROR(VLOOKUP(A1213,PARTIDAS!A:F,6,FALSE()),0)</f>
        <v>17.5</v>
      </c>
      <c r="O1213" s="123">
        <f t="shared" si="440"/>
        <v>0</v>
      </c>
      <c r="P1213" s="123">
        <f>+_xlfn.XLOOKUP(A1213,PPTO_GENERADOR!Q:Q,PPTO_GENERADOR!E:E,"-",0)</f>
        <v>296</v>
      </c>
      <c r="Q1213" s="123">
        <f t="shared" si="441"/>
        <v>0</v>
      </c>
      <c r="R1213" s="125">
        <f>+_xlfn.XLOOKUP(A1213,PPTO_GENERADOR!$Q:$Q,PPTO_GENERADOR!A:A,"-",0)</f>
        <v>15.04</v>
      </c>
    </row>
    <row r="1214" spans="1:18" ht="14.25" customHeight="1" x14ac:dyDescent="0.35">
      <c r="A1214" s="105" t="s">
        <v>250</v>
      </c>
      <c r="B1214" s="105" t="s">
        <v>1983</v>
      </c>
      <c r="C1214" s="105"/>
      <c r="D1214" s="105" t="s">
        <v>1313</v>
      </c>
      <c r="E1214" s="95" t="str">
        <f>IFERROR(VLOOKUP(D1214,EQUIPOS!A:B,2,FALSE()),"?")</f>
        <v>ANDAMIO TUBULAR DE UNO A TRES CUERPOS</v>
      </c>
      <c r="F1214" s="129"/>
      <c r="G1214" s="119">
        <v>1</v>
      </c>
      <c r="H1214" s="120">
        <v>0</v>
      </c>
      <c r="I1214" s="96">
        <f>IFERROR(VLOOKUP(D1214,EQUIPOS!A:F,6,FALSE()),0)</f>
        <v>620.81078197718341</v>
      </c>
      <c r="J1214" s="31">
        <f t="shared" ref="J1214:J1215" si="455">G1214*I1214</f>
        <v>620.81078197718341</v>
      </c>
      <c r="K1214" s="32" t="str">
        <f t="shared" si="452"/>
        <v>PTO-1504|EQ</v>
      </c>
      <c r="L1214" s="32">
        <f>COUNTIFS($K$2:K1214,K1214)</f>
        <v>1</v>
      </c>
      <c r="M1214" s="32" t="str">
        <f t="shared" ref="M1214:M1273" si="456">K1214&amp;"|"&amp;L1214</f>
        <v>PTO-1504|EQ|1</v>
      </c>
      <c r="N1214" s="121">
        <f>IFERROR(VLOOKUP(A1214,PARTIDAS!A:F,6,FALSE()),0)</f>
        <v>17.5</v>
      </c>
      <c r="O1214" s="123">
        <f t="shared" si="440"/>
        <v>0</v>
      </c>
      <c r="P1214" s="123">
        <f>+_xlfn.XLOOKUP(A1214,PPTO_GENERADOR!Q:Q,PPTO_GENERADOR!E:E,"-",0)</f>
        <v>296</v>
      </c>
      <c r="Q1214" s="123">
        <f t="shared" si="441"/>
        <v>0</v>
      </c>
      <c r="R1214" s="125">
        <f>+_xlfn.XLOOKUP(A1214,PPTO_GENERADOR!$Q:$Q,PPTO_GENERADOR!A:A,"-",0)</f>
        <v>15.04</v>
      </c>
    </row>
    <row r="1215" spans="1:18" ht="14.25" customHeight="1" x14ac:dyDescent="0.35">
      <c r="A1215" s="105" t="s">
        <v>250</v>
      </c>
      <c r="B1215" s="105" t="s">
        <v>1983</v>
      </c>
      <c r="C1215" s="105"/>
      <c r="D1215" s="105" t="s">
        <v>1327</v>
      </c>
      <c r="E1215" s="95" t="str">
        <f>IFERROR(VLOOKUP(D1215,EQUIPOS!A:B,2,FALSE()),"?")</f>
        <v>EQUIPO PARA PINTAR</v>
      </c>
      <c r="F1215" s="129"/>
      <c r="G1215" s="119">
        <v>2</v>
      </c>
      <c r="H1215" s="120">
        <v>0</v>
      </c>
      <c r="I1215" s="96">
        <f>IFERROR(VLOOKUP(D1215,EQUIPOS!A:F,6,FALSE()),0)</f>
        <v>1873.3963608356808</v>
      </c>
      <c r="J1215" s="31">
        <f t="shared" si="455"/>
        <v>3746.7927216713615</v>
      </c>
      <c r="K1215" s="32" t="str">
        <f t="shared" si="452"/>
        <v>PTO-1504|EQ</v>
      </c>
      <c r="L1215" s="32">
        <f>COUNTIFS($K$2:K1215,K1215)</f>
        <v>2</v>
      </c>
      <c r="M1215" s="32" t="str">
        <f t="shared" si="456"/>
        <v>PTO-1504|EQ|2</v>
      </c>
      <c r="N1215" s="121">
        <f>IFERROR(VLOOKUP(A1215,PARTIDAS!A:F,6,FALSE()),0)</f>
        <v>17.5</v>
      </c>
      <c r="O1215" s="123">
        <f t="shared" si="440"/>
        <v>0</v>
      </c>
      <c r="P1215" s="123">
        <f>+_xlfn.XLOOKUP(A1215,PPTO_GENERADOR!Q:Q,PPTO_GENERADOR!E:E,"-",0)</f>
        <v>296</v>
      </c>
      <c r="Q1215" s="123">
        <f t="shared" si="441"/>
        <v>0</v>
      </c>
      <c r="R1215" s="125">
        <f>+_xlfn.XLOOKUP(A1215,PPTO_GENERADOR!$Q:$Q,PPTO_GENERADOR!A:A,"-",0)</f>
        <v>15.04</v>
      </c>
    </row>
    <row r="1216" spans="1:18" ht="14.25" customHeight="1" x14ac:dyDescent="0.35">
      <c r="A1216" s="105" t="s">
        <v>252</v>
      </c>
      <c r="B1216" s="105" t="s">
        <v>1981</v>
      </c>
      <c r="C1216" s="105" t="s">
        <v>1982</v>
      </c>
      <c r="D1216" s="105" t="s">
        <v>590</v>
      </c>
      <c r="E1216" s="95" t="str">
        <f>IFERROR(VLOOKUP(D1216,MATERIALES!A:B,2,FALSE()),"?")</f>
        <v>Yeso Tuyango x 30kg</v>
      </c>
      <c r="F1216" s="129">
        <f>IFERROR(VLOOKUP(D1216,MATERIALES!A:C,3,FALSE()),"?")</f>
        <v>0</v>
      </c>
      <c r="G1216" s="119">
        <v>1E-3</v>
      </c>
      <c r="H1216" s="120">
        <v>0.05</v>
      </c>
      <c r="I1216" s="96">
        <f>IFERROR(VLOOKUP(D1216,MATERIALES!A:D,4,FALSE()),0)</f>
        <v>9927.59</v>
      </c>
      <c r="J1216" s="31">
        <f t="shared" ref="J1216:J1225" si="457">G1216*I1216*(1+H1216)</f>
        <v>10.4239695</v>
      </c>
      <c r="K1216" s="32" t="str">
        <f t="shared" si="452"/>
        <v>PTO-1505|MAT</v>
      </c>
      <c r="L1216" s="32">
        <f>COUNTIFS($K$2:K1216,K1216)</f>
        <v>1</v>
      </c>
      <c r="M1216" s="32" t="str">
        <f t="shared" si="456"/>
        <v>PTO-1505|MAT|1</v>
      </c>
      <c r="N1216" s="121">
        <f>IFERROR(VLOOKUP(A1216,PARTIDAS!A:F,6,FALSE()),0)</f>
        <v>20</v>
      </c>
      <c r="O1216" s="123">
        <f t="shared" si="440"/>
        <v>0</v>
      </c>
      <c r="P1216" s="123">
        <f>+_xlfn.XLOOKUP(A1216,PPTO_GENERADOR!Q:Q,PPTO_GENERADOR!E:E,"-",0)</f>
        <v>668</v>
      </c>
      <c r="Q1216" s="123">
        <f t="shared" si="441"/>
        <v>0</v>
      </c>
      <c r="R1216" s="125">
        <f>+_xlfn.XLOOKUP(A1216,PPTO_GENERADOR!$Q:$Q,PPTO_GENERADOR!A:A,"-",0)</f>
        <v>15.05</v>
      </c>
    </row>
    <row r="1217" spans="1:18" ht="14.25" customHeight="1" x14ac:dyDescent="0.35">
      <c r="A1217" s="105" t="s">
        <v>252</v>
      </c>
      <c r="B1217" s="105" t="s">
        <v>1981</v>
      </c>
      <c r="C1217" s="105" t="s">
        <v>1982</v>
      </c>
      <c r="D1217" s="105" t="s">
        <v>588</v>
      </c>
      <c r="E1217" s="95" t="str">
        <f>IFERROR(VLOOKUP(D1217,MATERIALES!A:B,2,FALSE()),"?")</f>
        <v>Fijador al agua x 20 lts</v>
      </c>
      <c r="F1217" s="129">
        <f>IFERROR(VLOOKUP(D1217,MATERIALES!A:C,3,FALSE()),"?")</f>
        <v>0</v>
      </c>
      <c r="G1217" s="119">
        <v>4.0000000000000001E-3</v>
      </c>
      <c r="H1217" s="120">
        <v>0.05</v>
      </c>
      <c r="I1217" s="96">
        <f>IFERROR(VLOOKUP(D1217,MATERIALES!A:D,4,FALSE()),0)</f>
        <v>42552.892561983499</v>
      </c>
      <c r="J1217" s="31">
        <f t="shared" si="457"/>
        <v>178.7221487603307</v>
      </c>
      <c r="K1217" s="32" t="str">
        <f t="shared" si="452"/>
        <v>PTO-1505|MAT</v>
      </c>
      <c r="L1217" s="32">
        <f>COUNTIFS($K$2:K1217,K1217)</f>
        <v>2</v>
      </c>
      <c r="M1217" s="32" t="str">
        <f t="shared" si="456"/>
        <v>PTO-1505|MAT|2</v>
      </c>
      <c r="N1217" s="121">
        <f>IFERROR(VLOOKUP(A1217,PARTIDAS!A:F,6,FALSE()),0)</f>
        <v>20</v>
      </c>
      <c r="O1217" s="123">
        <f t="shared" si="440"/>
        <v>0</v>
      </c>
      <c r="P1217" s="123">
        <f>+_xlfn.XLOOKUP(A1217,PPTO_GENERADOR!Q:Q,PPTO_GENERADOR!E:E,"-",0)</f>
        <v>668</v>
      </c>
      <c r="Q1217" s="123">
        <f t="shared" si="441"/>
        <v>0</v>
      </c>
      <c r="R1217" s="125">
        <f>+_xlfn.XLOOKUP(A1217,PPTO_GENERADOR!$Q:$Q,PPTO_GENERADOR!A:A,"-",0)</f>
        <v>15.05</v>
      </c>
    </row>
    <row r="1218" spans="1:18" ht="14.25" customHeight="1" x14ac:dyDescent="0.35">
      <c r="A1218" s="105" t="s">
        <v>252</v>
      </c>
      <c r="B1218" s="105" t="s">
        <v>1981</v>
      </c>
      <c r="C1218" s="105" t="s">
        <v>1982</v>
      </c>
      <c r="D1218" s="105" t="s">
        <v>586</v>
      </c>
      <c r="E1218" s="95" t="str">
        <f>IFERROR(VLOOKUP(D1218,MATERIALES!A:B,2,FALSE()),"?")</f>
        <v>Trapo</v>
      </c>
      <c r="F1218" s="129">
        <f>IFERROR(VLOOKUP(D1218,MATERIALES!A:C,3,FALSE()),"?")</f>
        <v>0</v>
      </c>
      <c r="G1218" s="119">
        <v>0.03</v>
      </c>
      <c r="H1218" s="120">
        <v>0.05</v>
      </c>
      <c r="I1218" s="96">
        <f>IFERROR(VLOOKUP(D1218,MATERIALES!A:D,4,FALSE()),0)</f>
        <v>1182.6446280991699</v>
      </c>
      <c r="J1218" s="31">
        <f t="shared" si="457"/>
        <v>37.25330578512385</v>
      </c>
      <c r="K1218" s="32" t="str">
        <f t="shared" si="452"/>
        <v>PTO-1505|MAT</v>
      </c>
      <c r="L1218" s="32">
        <f>COUNTIFS($K$2:K1218,K1218)</f>
        <v>3</v>
      </c>
      <c r="M1218" s="32" t="str">
        <f t="shared" si="456"/>
        <v>PTO-1505|MAT|3</v>
      </c>
      <c r="N1218" s="121">
        <f>IFERROR(VLOOKUP(A1218,PARTIDAS!A:F,6,FALSE()),0)</f>
        <v>20</v>
      </c>
      <c r="O1218" s="123">
        <f t="shared" si="440"/>
        <v>0</v>
      </c>
      <c r="P1218" s="123">
        <f>+_xlfn.XLOOKUP(A1218,PPTO_GENERADOR!Q:Q,PPTO_GENERADOR!E:E,"-",0)</f>
        <v>668</v>
      </c>
      <c r="Q1218" s="123">
        <f t="shared" si="441"/>
        <v>0</v>
      </c>
      <c r="R1218" s="125">
        <f>+_xlfn.XLOOKUP(A1218,PPTO_GENERADOR!$Q:$Q,PPTO_GENERADOR!A:A,"-",0)</f>
        <v>15.05</v>
      </c>
    </row>
    <row r="1219" spans="1:18" ht="14.25" customHeight="1" x14ac:dyDescent="0.35">
      <c r="A1219" s="105" t="s">
        <v>252</v>
      </c>
      <c r="B1219" s="105" t="s">
        <v>1981</v>
      </c>
      <c r="C1219" s="105" t="s">
        <v>1982</v>
      </c>
      <c r="D1219" s="105" t="s">
        <v>584</v>
      </c>
      <c r="E1219" s="95" t="str">
        <f>IFERROR(VLOOKUP(D1219,MATERIALES!A:B,2,FALSE()),"?")</f>
        <v>Cinta de Papel 36 mm x 40m</v>
      </c>
      <c r="F1219" s="129">
        <f>IFERROR(VLOOKUP(D1219,MATERIALES!A:C,3,FALSE()),"?")</f>
        <v>0</v>
      </c>
      <c r="G1219" s="119">
        <v>0.05</v>
      </c>
      <c r="H1219" s="120">
        <v>0.1</v>
      </c>
      <c r="I1219" s="96">
        <f>IFERROR(VLOOKUP(D1219,MATERIALES!A:D,4,FALSE()),0)</f>
        <v>5885.9504132231395</v>
      </c>
      <c r="J1219" s="31">
        <f t="shared" si="457"/>
        <v>323.72727272727269</v>
      </c>
      <c r="K1219" s="32" t="str">
        <f t="shared" si="452"/>
        <v>PTO-1505|MAT</v>
      </c>
      <c r="L1219" s="32">
        <f>COUNTIFS($K$2:K1219,K1219)</f>
        <v>4</v>
      </c>
      <c r="M1219" s="32" t="str">
        <f t="shared" si="456"/>
        <v>PTO-1505|MAT|4</v>
      </c>
      <c r="N1219" s="121">
        <f>IFERROR(VLOOKUP(A1219,PARTIDAS!A:F,6,FALSE()),0)</f>
        <v>20</v>
      </c>
      <c r="O1219" s="123">
        <f t="shared" ref="O1219:O1282" si="458">+IF(C1219="ALB",G1219/N1219,0)</f>
        <v>0</v>
      </c>
      <c r="P1219" s="123">
        <f>+_xlfn.XLOOKUP(A1219,PPTO_GENERADOR!Q:Q,PPTO_GENERADOR!E:E,"-",0)</f>
        <v>668</v>
      </c>
      <c r="Q1219" s="123">
        <f t="shared" ref="Q1219:Q1282" si="459">IFERROR(P1219*O1219,0)</f>
        <v>0</v>
      </c>
      <c r="R1219" s="125">
        <f>+_xlfn.XLOOKUP(A1219,PPTO_GENERADOR!$Q:$Q,PPTO_GENERADOR!A:A,"-",0)</f>
        <v>15.05</v>
      </c>
    </row>
    <row r="1220" spans="1:18" ht="14.25" customHeight="1" x14ac:dyDescent="0.35">
      <c r="A1220" s="105" t="s">
        <v>252</v>
      </c>
      <c r="B1220" s="105" t="s">
        <v>1981</v>
      </c>
      <c r="C1220" s="105" t="s">
        <v>1982</v>
      </c>
      <c r="D1220" s="105" t="s">
        <v>582</v>
      </c>
      <c r="E1220" s="95" t="str">
        <f>IFERROR(VLOOKUP(D1220,MATERIALES!A:B,2,FALSE()),"?")</f>
        <v>Lija 180 al agua x 10u</v>
      </c>
      <c r="F1220" s="129">
        <f>IFERROR(VLOOKUP(D1220,MATERIALES!A:C,3,FALSE()),"?")</f>
        <v>0</v>
      </c>
      <c r="G1220" s="119">
        <v>1.4999999999999999E-2</v>
      </c>
      <c r="H1220" s="120">
        <v>0.05</v>
      </c>
      <c r="I1220" s="96">
        <f>IFERROR(VLOOKUP(D1220,MATERIALES!A:D,4,FALSE()),0)</f>
        <v>7917.3553719008296</v>
      </c>
      <c r="J1220" s="31">
        <f t="shared" si="457"/>
        <v>124.69834710743807</v>
      </c>
      <c r="K1220" s="32" t="str">
        <f t="shared" si="452"/>
        <v>PTO-1505|MAT</v>
      </c>
      <c r="L1220" s="32">
        <f>COUNTIFS($K$2:K1220,K1220)</f>
        <v>5</v>
      </c>
      <c r="M1220" s="32" t="str">
        <f t="shared" si="456"/>
        <v>PTO-1505|MAT|5</v>
      </c>
      <c r="N1220" s="121">
        <f>IFERROR(VLOOKUP(A1220,PARTIDAS!A:F,6,FALSE()),0)</f>
        <v>20</v>
      </c>
      <c r="O1220" s="123">
        <f t="shared" si="458"/>
        <v>0</v>
      </c>
      <c r="P1220" s="123">
        <f>+_xlfn.XLOOKUP(A1220,PPTO_GENERADOR!Q:Q,PPTO_GENERADOR!E:E,"-",0)</f>
        <v>668</v>
      </c>
      <c r="Q1220" s="123">
        <f t="shared" si="459"/>
        <v>0</v>
      </c>
      <c r="R1220" s="125">
        <f>+_xlfn.XLOOKUP(A1220,PPTO_GENERADOR!$Q:$Q,PPTO_GENERADOR!A:A,"-",0)</f>
        <v>15.05</v>
      </c>
    </row>
    <row r="1221" spans="1:18" ht="14.25" customHeight="1" x14ac:dyDescent="0.35">
      <c r="A1221" s="105" t="s">
        <v>252</v>
      </c>
      <c r="B1221" s="105" t="s">
        <v>1981</v>
      </c>
      <c r="C1221" s="105" t="s">
        <v>1982</v>
      </c>
      <c r="D1221" s="105" t="s">
        <v>922</v>
      </c>
      <c r="E1221" s="95" t="str">
        <f>IFERROR(VLOOKUP(D1221,MATERIALES!A:B,2,FALSE()),"?")</f>
        <v>Rodillo de lana pelo largo N°22 - El Galgo</v>
      </c>
      <c r="F1221" s="129" t="str">
        <f>IFERROR(VLOOKUP(D1221,MATERIALES!A:C,3,FALSE()),"?")</f>
        <v>u</v>
      </c>
      <c r="G1221" s="119">
        <v>5.0000000000000001E-3</v>
      </c>
      <c r="H1221" s="120">
        <v>0.05</v>
      </c>
      <c r="I1221" s="96">
        <f>IFERROR(VLOOKUP(D1221,MATERIALES!A:D,4,FALSE()),0)</f>
        <v>6442.15</v>
      </c>
      <c r="J1221" s="31">
        <f t="shared" si="457"/>
        <v>33.821287499999997</v>
      </c>
      <c r="K1221" s="32" t="str">
        <f t="shared" si="452"/>
        <v>PTO-1505|MAT</v>
      </c>
      <c r="L1221" s="32">
        <f>COUNTIFS($K$2:K1221,K1221)</f>
        <v>6</v>
      </c>
      <c r="M1221" s="32" t="str">
        <f t="shared" si="456"/>
        <v>PTO-1505|MAT|6</v>
      </c>
      <c r="N1221" s="121">
        <f>IFERROR(VLOOKUP(A1221,PARTIDAS!A:F,6,FALSE()),0)</f>
        <v>20</v>
      </c>
      <c r="O1221" s="123">
        <f t="shared" si="458"/>
        <v>0</v>
      </c>
      <c r="P1221" s="123">
        <f>+_xlfn.XLOOKUP(A1221,PPTO_GENERADOR!Q:Q,PPTO_GENERADOR!E:E,"-",0)</f>
        <v>668</v>
      </c>
      <c r="Q1221" s="123">
        <f t="shared" si="459"/>
        <v>0</v>
      </c>
      <c r="R1221" s="125">
        <f>+_xlfn.XLOOKUP(A1221,PPTO_GENERADOR!$Q:$Q,PPTO_GENERADOR!A:A,"-",0)</f>
        <v>15.05</v>
      </c>
    </row>
    <row r="1222" spans="1:18" ht="14.25" customHeight="1" x14ac:dyDescent="0.35">
      <c r="A1222" s="105" t="s">
        <v>252</v>
      </c>
      <c r="B1222" s="105" t="s">
        <v>1981</v>
      </c>
      <c r="C1222" s="105" t="s">
        <v>1982</v>
      </c>
      <c r="D1222" s="105" t="s">
        <v>1007</v>
      </c>
      <c r="E1222" s="95" t="str">
        <f>IFERROR(VLOOKUP(D1222,MATERIALES!A:B,2,FALSE()),"?")</f>
        <v>Pincel N° 20 - El Galgo</v>
      </c>
      <c r="F1222" s="129" t="str">
        <f>IFERROR(VLOOKUP(D1222,MATERIALES!A:C,3,FALSE()),"?")</f>
        <v>u</v>
      </c>
      <c r="G1222" s="119">
        <v>5.0000000000000001E-3</v>
      </c>
      <c r="H1222" s="120">
        <v>0.05</v>
      </c>
      <c r="I1222" s="96">
        <f>IFERROR(VLOOKUP(D1222,MATERIALES!A:D,4,FALSE()),0)</f>
        <v>4418.1818181818198</v>
      </c>
      <c r="J1222" s="31">
        <f t="shared" si="457"/>
        <v>23.195454545454556</v>
      </c>
      <c r="K1222" s="32" t="str">
        <f t="shared" si="452"/>
        <v>PTO-1505|MAT</v>
      </c>
      <c r="L1222" s="32">
        <f>COUNTIFS($K$2:K1222,K1222)</f>
        <v>7</v>
      </c>
      <c r="M1222" s="32" t="str">
        <f t="shared" si="456"/>
        <v>PTO-1505|MAT|7</v>
      </c>
      <c r="N1222" s="121">
        <f>IFERROR(VLOOKUP(A1222,PARTIDAS!A:F,6,FALSE()),0)</f>
        <v>20</v>
      </c>
      <c r="O1222" s="123">
        <f t="shared" si="458"/>
        <v>0</v>
      </c>
      <c r="P1222" s="123">
        <f>+_xlfn.XLOOKUP(A1222,PPTO_GENERADOR!Q:Q,PPTO_GENERADOR!E:E,"-",0)</f>
        <v>668</v>
      </c>
      <c r="Q1222" s="123">
        <f t="shared" si="459"/>
        <v>0</v>
      </c>
      <c r="R1222" s="125">
        <f>+_xlfn.XLOOKUP(A1222,PPTO_GENERADOR!$Q:$Q,PPTO_GENERADOR!A:A,"-",0)</f>
        <v>15.05</v>
      </c>
    </row>
    <row r="1223" spans="1:18" ht="14.25" customHeight="1" x14ac:dyDescent="0.35">
      <c r="A1223" s="105" t="s">
        <v>252</v>
      </c>
      <c r="B1223" s="105" t="s">
        <v>1981</v>
      </c>
      <c r="C1223" s="105" t="s">
        <v>1982</v>
      </c>
      <c r="D1223" s="105" t="s">
        <v>1033</v>
      </c>
      <c r="E1223" s="95" t="str">
        <f>IFERROR(VLOOKUP(D1223,MATERIALES!A:B,2,FALSE()),"?")</f>
        <v>Rollo de cartón corrugado 0,90 x 25 mts</v>
      </c>
      <c r="F1223" s="129" t="str">
        <f>IFERROR(VLOOKUP(D1223,MATERIALES!A:C,3,FALSE()),"?")</f>
        <v>u</v>
      </c>
      <c r="G1223" s="119">
        <v>0.01</v>
      </c>
      <c r="H1223" s="120">
        <v>0.05</v>
      </c>
      <c r="I1223" s="96">
        <f>IFERROR(VLOOKUP(D1223,MATERIALES!A:D,4,FALSE()),0)</f>
        <v>8173.5537190082696</v>
      </c>
      <c r="J1223" s="31">
        <f t="shared" si="457"/>
        <v>85.822314049586836</v>
      </c>
      <c r="K1223" s="32" t="str">
        <f t="shared" si="452"/>
        <v>PTO-1505|MAT</v>
      </c>
      <c r="L1223" s="32">
        <f>COUNTIFS($K$2:K1223,K1223)</f>
        <v>8</v>
      </c>
      <c r="M1223" s="32" t="str">
        <f t="shared" si="456"/>
        <v>PTO-1505|MAT|8</v>
      </c>
      <c r="N1223" s="121">
        <f>IFERROR(VLOOKUP(A1223,PARTIDAS!A:F,6,FALSE()),0)</f>
        <v>20</v>
      </c>
      <c r="O1223" s="123">
        <f t="shared" si="458"/>
        <v>0</v>
      </c>
      <c r="P1223" s="123">
        <f>+_xlfn.XLOOKUP(A1223,PPTO_GENERADOR!Q:Q,PPTO_GENERADOR!E:E,"-",0)</f>
        <v>668</v>
      </c>
      <c r="Q1223" s="123">
        <f t="shared" si="459"/>
        <v>0</v>
      </c>
      <c r="R1223" s="125">
        <f>+_xlfn.XLOOKUP(A1223,PPTO_GENERADOR!$Q:$Q,PPTO_GENERADOR!A:A,"-",0)</f>
        <v>15.05</v>
      </c>
    </row>
    <row r="1224" spans="1:18" ht="14.25" customHeight="1" x14ac:dyDescent="0.35">
      <c r="A1224" s="105" t="s">
        <v>252</v>
      </c>
      <c r="B1224" s="105" t="s">
        <v>1981</v>
      </c>
      <c r="C1224" s="105" t="s">
        <v>1982</v>
      </c>
      <c r="D1224" s="105" t="s">
        <v>580</v>
      </c>
      <c r="E1224" s="95" t="str">
        <f>IFERROR(VLOOKUP(D1224,MATERIALES!A:B,2,FALSE()),"?")</f>
        <v>Enduido Interior x 20lts</v>
      </c>
      <c r="F1224" s="129">
        <f>IFERROR(VLOOKUP(D1224,MATERIALES!A:C,3,FALSE()),"?")</f>
        <v>0</v>
      </c>
      <c r="G1224" s="119">
        <v>2E-3</v>
      </c>
      <c r="H1224" s="120">
        <v>0.1</v>
      </c>
      <c r="I1224" s="96">
        <f>IFERROR(VLOOKUP(D1224,MATERIALES!A:D,4,FALSE()),0)</f>
        <v>41314.049586776899</v>
      </c>
      <c r="J1224" s="31">
        <f t="shared" si="457"/>
        <v>90.890909090909176</v>
      </c>
      <c r="K1224" s="32" t="str">
        <f t="shared" si="452"/>
        <v>PTO-1505|MAT</v>
      </c>
      <c r="L1224" s="32">
        <f>COUNTIFS($K$2:K1224,K1224)</f>
        <v>9</v>
      </c>
      <c r="M1224" s="32" t="str">
        <f t="shared" si="456"/>
        <v>PTO-1505|MAT|9</v>
      </c>
      <c r="N1224" s="121">
        <f>IFERROR(VLOOKUP(A1224,PARTIDAS!A:F,6,FALSE()),0)</f>
        <v>20</v>
      </c>
      <c r="O1224" s="123">
        <f t="shared" si="458"/>
        <v>0</v>
      </c>
      <c r="P1224" s="123">
        <f>+_xlfn.XLOOKUP(A1224,PPTO_GENERADOR!Q:Q,PPTO_GENERADOR!E:E,"-",0)</f>
        <v>668</v>
      </c>
      <c r="Q1224" s="123">
        <f t="shared" si="459"/>
        <v>0</v>
      </c>
      <c r="R1224" s="125">
        <f>+_xlfn.XLOOKUP(A1224,PPTO_GENERADOR!$Q:$Q,PPTO_GENERADOR!A:A,"-",0)</f>
        <v>15.05</v>
      </c>
    </row>
    <row r="1225" spans="1:18" ht="14.25" customHeight="1" x14ac:dyDescent="0.35">
      <c r="A1225" s="105" t="s">
        <v>252</v>
      </c>
      <c r="B1225" s="105" t="s">
        <v>1981</v>
      </c>
      <c r="C1225" s="105" t="s">
        <v>1982</v>
      </c>
      <c r="D1225" s="105" t="s">
        <v>578</v>
      </c>
      <c r="E1225" s="95" t="str">
        <f>IFERROR(VLOOKUP(D1225,MATERIALES!A:B,2,FALSE()),"?")</f>
        <v>Latex Loxon Interior Sherwin Williams Mate Bco x 20lts</v>
      </c>
      <c r="F1225" s="129">
        <f>IFERROR(VLOOKUP(D1225,MATERIALES!A:C,3,FALSE()),"?")</f>
        <v>0</v>
      </c>
      <c r="G1225" s="119">
        <v>1.2500000000000001E-2</v>
      </c>
      <c r="H1225" s="120">
        <v>0.1</v>
      </c>
      <c r="I1225" s="96">
        <f>IFERROR(VLOOKUP(D1225,MATERIALES!A:D,4,FALSE()),0)</f>
        <v>143389.25619834699</v>
      </c>
      <c r="J1225" s="31">
        <f t="shared" si="457"/>
        <v>1971.6022727272714</v>
      </c>
      <c r="K1225" s="32" t="str">
        <f t="shared" si="452"/>
        <v>PTO-1505|MAT</v>
      </c>
      <c r="L1225" s="32">
        <f>COUNTIFS($K$2:K1225,K1225)</f>
        <v>10</v>
      </c>
      <c r="M1225" s="32" t="str">
        <f t="shared" si="456"/>
        <v>PTO-1505|MAT|10</v>
      </c>
      <c r="N1225" s="121">
        <f>IFERROR(VLOOKUP(A1225,PARTIDAS!A:F,6,FALSE()),0)</f>
        <v>20</v>
      </c>
      <c r="O1225" s="123">
        <f t="shared" si="458"/>
        <v>0</v>
      </c>
      <c r="P1225" s="123">
        <f>+_xlfn.XLOOKUP(A1225,PPTO_GENERADOR!Q:Q,PPTO_GENERADOR!E:E,"-",0)</f>
        <v>668</v>
      </c>
      <c r="Q1225" s="123">
        <f t="shared" si="459"/>
        <v>0</v>
      </c>
      <c r="R1225" s="125">
        <f>+_xlfn.XLOOKUP(A1225,PPTO_GENERADOR!$Q:$Q,PPTO_GENERADOR!A:A,"-",0)</f>
        <v>15.05</v>
      </c>
    </row>
    <row r="1226" spans="1:18" ht="14.25" customHeight="1" x14ac:dyDescent="0.35">
      <c r="A1226" s="105" t="s">
        <v>252</v>
      </c>
      <c r="B1226" s="105" t="s">
        <v>1983</v>
      </c>
      <c r="C1226" s="105"/>
      <c r="D1226" s="105" t="s">
        <v>1327</v>
      </c>
      <c r="E1226" s="95" t="str">
        <f>IFERROR(VLOOKUP(D1226,EQUIPOS!A:B,2,FALSE()),"?")</f>
        <v>EQUIPO PARA PINTAR</v>
      </c>
      <c r="F1226" s="129"/>
      <c r="G1226" s="119">
        <v>1</v>
      </c>
      <c r="H1226" s="120">
        <v>0</v>
      </c>
      <c r="I1226" s="96">
        <f>IFERROR(VLOOKUP(D1226,EQUIPOS!A:F,6,FALSE()),0)</f>
        <v>1873.3963608356808</v>
      </c>
      <c r="J1226" s="31">
        <f>G1226*I1226</f>
        <v>1873.3963608356808</v>
      </c>
      <c r="K1226" s="32" t="str">
        <f t="shared" si="452"/>
        <v>PTO-1505|EQ</v>
      </c>
      <c r="L1226" s="32">
        <f>COUNTIFS($K$2:K1226,K1226)</f>
        <v>1</v>
      </c>
      <c r="M1226" s="32" t="str">
        <f t="shared" si="456"/>
        <v>PTO-1505|EQ|1</v>
      </c>
      <c r="N1226" s="121">
        <f>IFERROR(VLOOKUP(A1226,PARTIDAS!A:F,6,FALSE()),0)</f>
        <v>20</v>
      </c>
      <c r="O1226" s="123">
        <f t="shared" si="458"/>
        <v>0</v>
      </c>
      <c r="P1226" s="123">
        <f>+_xlfn.XLOOKUP(A1226,PPTO_GENERADOR!Q:Q,PPTO_GENERADOR!E:E,"-",0)</f>
        <v>668</v>
      </c>
      <c r="Q1226" s="123">
        <f t="shared" si="459"/>
        <v>0</v>
      </c>
      <c r="R1226" s="125">
        <f>+_xlfn.XLOOKUP(A1226,PPTO_GENERADOR!$Q:$Q,PPTO_GENERADOR!A:A,"-",0)</f>
        <v>15.05</v>
      </c>
    </row>
    <row r="1227" spans="1:18" ht="14.25" customHeight="1" x14ac:dyDescent="0.35">
      <c r="A1227" s="105" t="s">
        <v>254</v>
      </c>
      <c r="B1227" s="105" t="s">
        <v>1981</v>
      </c>
      <c r="C1227" s="105" t="s">
        <v>1982</v>
      </c>
      <c r="D1227" s="105" t="s">
        <v>590</v>
      </c>
      <c r="E1227" s="95" t="str">
        <f>IFERROR(VLOOKUP(D1227,MATERIALES!A:B,2,FALSE()),"?")</f>
        <v>Yeso Tuyango x 30kg</v>
      </c>
      <c r="F1227" s="129">
        <f>IFERROR(VLOOKUP(D1227,MATERIALES!A:C,3,FALSE()),"?")</f>
        <v>0</v>
      </c>
      <c r="G1227" s="119">
        <v>1E-3</v>
      </c>
      <c r="H1227" s="120">
        <v>0.05</v>
      </c>
      <c r="I1227" s="96">
        <f>IFERROR(VLOOKUP(D1227,MATERIALES!A:D,4,FALSE()),0)</f>
        <v>9927.59</v>
      </c>
      <c r="J1227" s="31">
        <f t="shared" ref="J1227:J1234" si="460">G1227*I1227*(1+H1227)</f>
        <v>10.4239695</v>
      </c>
      <c r="K1227" s="32" t="str">
        <f t="shared" si="452"/>
        <v>PTO-1506|MAT</v>
      </c>
      <c r="L1227" s="32">
        <f>COUNTIFS($K$2:K1227,K1227)</f>
        <v>1</v>
      </c>
      <c r="M1227" s="32" t="str">
        <f t="shared" si="456"/>
        <v>PTO-1506|MAT|1</v>
      </c>
      <c r="N1227" s="121">
        <f>IFERROR(VLOOKUP(A1227,PARTIDAS!A:F,6,FALSE()),0)</f>
        <v>25</v>
      </c>
      <c r="O1227" s="123">
        <f t="shared" si="458"/>
        <v>0</v>
      </c>
      <c r="P1227" s="123">
        <f>+_xlfn.XLOOKUP(A1227,PPTO_GENERADOR!Q:Q,PPTO_GENERADOR!E:E,"-",0)</f>
        <v>281</v>
      </c>
      <c r="Q1227" s="123">
        <f t="shared" si="459"/>
        <v>0</v>
      </c>
      <c r="R1227" s="125">
        <f>+_xlfn.XLOOKUP(A1227,PPTO_GENERADOR!$Q:$Q,PPTO_GENERADOR!A:A,"-",0)</f>
        <v>15.06</v>
      </c>
    </row>
    <row r="1228" spans="1:18" ht="14.25" customHeight="1" x14ac:dyDescent="0.35">
      <c r="A1228" s="105" t="s">
        <v>254</v>
      </c>
      <c r="B1228" s="105" t="s">
        <v>1981</v>
      </c>
      <c r="C1228" s="105" t="s">
        <v>1982</v>
      </c>
      <c r="D1228" s="105" t="s">
        <v>588</v>
      </c>
      <c r="E1228" s="95" t="str">
        <f>IFERROR(VLOOKUP(D1228,MATERIALES!A:B,2,FALSE()),"?")</f>
        <v>Fijador al agua x 20 lts</v>
      </c>
      <c r="F1228" s="129">
        <f>IFERROR(VLOOKUP(D1228,MATERIALES!A:C,3,FALSE()),"?")</f>
        <v>0</v>
      </c>
      <c r="G1228" s="119">
        <v>4.0000000000000001E-3</v>
      </c>
      <c r="H1228" s="120">
        <v>0.05</v>
      </c>
      <c r="I1228" s="96">
        <f>IFERROR(VLOOKUP(D1228,MATERIALES!A:D,4,FALSE()),0)</f>
        <v>42552.892561983499</v>
      </c>
      <c r="J1228" s="31">
        <f t="shared" si="460"/>
        <v>178.7221487603307</v>
      </c>
      <c r="K1228" s="32" t="str">
        <f t="shared" si="452"/>
        <v>PTO-1506|MAT</v>
      </c>
      <c r="L1228" s="32">
        <f>COUNTIFS($K$2:K1228,K1228)</f>
        <v>2</v>
      </c>
      <c r="M1228" s="32" t="str">
        <f t="shared" si="456"/>
        <v>PTO-1506|MAT|2</v>
      </c>
      <c r="N1228" s="121">
        <f>IFERROR(VLOOKUP(A1228,PARTIDAS!A:F,6,FALSE()),0)</f>
        <v>25</v>
      </c>
      <c r="O1228" s="123">
        <f t="shared" si="458"/>
        <v>0</v>
      </c>
      <c r="P1228" s="123">
        <f>+_xlfn.XLOOKUP(A1228,PPTO_GENERADOR!Q:Q,PPTO_GENERADOR!E:E,"-",0)</f>
        <v>281</v>
      </c>
      <c r="Q1228" s="123">
        <f t="shared" si="459"/>
        <v>0</v>
      </c>
      <c r="R1228" s="125">
        <f>+_xlfn.XLOOKUP(A1228,PPTO_GENERADOR!$Q:$Q,PPTO_GENERADOR!A:A,"-",0)</f>
        <v>15.06</v>
      </c>
    </row>
    <row r="1229" spans="1:18" ht="14.25" customHeight="1" x14ac:dyDescent="0.35">
      <c r="A1229" s="105" t="s">
        <v>254</v>
      </c>
      <c r="B1229" s="105" t="s">
        <v>1981</v>
      </c>
      <c r="C1229" s="105" t="s">
        <v>1982</v>
      </c>
      <c r="D1229" s="105" t="s">
        <v>586</v>
      </c>
      <c r="E1229" s="95" t="str">
        <f>IFERROR(VLOOKUP(D1229,MATERIALES!A:B,2,FALSE()),"?")</f>
        <v>Trapo</v>
      </c>
      <c r="F1229" s="129">
        <f>IFERROR(VLOOKUP(D1229,MATERIALES!A:C,3,FALSE()),"?")</f>
        <v>0</v>
      </c>
      <c r="G1229" s="119">
        <v>0.03</v>
      </c>
      <c r="H1229" s="120">
        <v>0.05</v>
      </c>
      <c r="I1229" s="96">
        <f>IFERROR(VLOOKUP(D1229,MATERIALES!A:D,4,FALSE()),0)</f>
        <v>1182.6446280991699</v>
      </c>
      <c r="J1229" s="31">
        <f t="shared" si="460"/>
        <v>37.25330578512385</v>
      </c>
      <c r="K1229" s="32" t="str">
        <f t="shared" si="452"/>
        <v>PTO-1506|MAT</v>
      </c>
      <c r="L1229" s="32">
        <f>COUNTIFS($K$2:K1229,K1229)</f>
        <v>3</v>
      </c>
      <c r="M1229" s="32" t="str">
        <f t="shared" si="456"/>
        <v>PTO-1506|MAT|3</v>
      </c>
      <c r="N1229" s="121">
        <f>IFERROR(VLOOKUP(A1229,PARTIDAS!A:F,6,FALSE()),0)</f>
        <v>25</v>
      </c>
      <c r="O1229" s="123">
        <f t="shared" si="458"/>
        <v>0</v>
      </c>
      <c r="P1229" s="123">
        <f>+_xlfn.XLOOKUP(A1229,PPTO_GENERADOR!Q:Q,PPTO_GENERADOR!E:E,"-",0)</f>
        <v>281</v>
      </c>
      <c r="Q1229" s="123">
        <f t="shared" si="459"/>
        <v>0</v>
      </c>
      <c r="R1229" s="125">
        <f>+_xlfn.XLOOKUP(A1229,PPTO_GENERADOR!$Q:$Q,PPTO_GENERADOR!A:A,"-",0)</f>
        <v>15.06</v>
      </c>
    </row>
    <row r="1230" spans="1:18" ht="14.25" customHeight="1" x14ac:dyDescent="0.35">
      <c r="A1230" s="105" t="s">
        <v>254</v>
      </c>
      <c r="B1230" s="105" t="s">
        <v>1981</v>
      </c>
      <c r="C1230" s="105" t="s">
        <v>1982</v>
      </c>
      <c r="D1230" s="105" t="s">
        <v>584</v>
      </c>
      <c r="E1230" s="95" t="str">
        <f>IFERROR(VLOOKUP(D1230,MATERIALES!A:B,2,FALSE()),"?")</f>
        <v>Cinta de Papel 36 mm x 40m</v>
      </c>
      <c r="F1230" s="129">
        <f>IFERROR(VLOOKUP(D1230,MATERIALES!A:C,3,FALSE()),"?")</f>
        <v>0</v>
      </c>
      <c r="G1230" s="119">
        <v>0.05</v>
      </c>
      <c r="H1230" s="120">
        <v>0.1</v>
      </c>
      <c r="I1230" s="96">
        <f>IFERROR(VLOOKUP(D1230,MATERIALES!A:D,4,FALSE()),0)</f>
        <v>5885.9504132231395</v>
      </c>
      <c r="J1230" s="31">
        <f t="shared" si="460"/>
        <v>323.72727272727269</v>
      </c>
      <c r="K1230" s="32" t="str">
        <f t="shared" si="452"/>
        <v>PTO-1506|MAT</v>
      </c>
      <c r="L1230" s="32">
        <f>COUNTIFS($K$2:K1230,K1230)</f>
        <v>4</v>
      </c>
      <c r="M1230" s="32" t="str">
        <f t="shared" si="456"/>
        <v>PTO-1506|MAT|4</v>
      </c>
      <c r="N1230" s="121">
        <f>IFERROR(VLOOKUP(A1230,PARTIDAS!A:F,6,FALSE()),0)</f>
        <v>25</v>
      </c>
      <c r="O1230" s="123">
        <f t="shared" si="458"/>
        <v>0</v>
      </c>
      <c r="P1230" s="123">
        <f>+_xlfn.XLOOKUP(A1230,PPTO_GENERADOR!Q:Q,PPTO_GENERADOR!E:E,"-",0)</f>
        <v>281</v>
      </c>
      <c r="Q1230" s="123">
        <f t="shared" si="459"/>
        <v>0</v>
      </c>
      <c r="R1230" s="125">
        <f>+_xlfn.XLOOKUP(A1230,PPTO_GENERADOR!$Q:$Q,PPTO_GENERADOR!A:A,"-",0)</f>
        <v>15.06</v>
      </c>
    </row>
    <row r="1231" spans="1:18" ht="14.25" customHeight="1" x14ac:dyDescent="0.35">
      <c r="A1231" s="105" t="s">
        <v>254</v>
      </c>
      <c r="B1231" s="105" t="s">
        <v>1981</v>
      </c>
      <c r="C1231" s="105" t="s">
        <v>1982</v>
      </c>
      <c r="D1231" s="105" t="s">
        <v>922</v>
      </c>
      <c r="E1231" s="95" t="str">
        <f>IFERROR(VLOOKUP(D1231,MATERIALES!A:B,2,FALSE()),"?")</f>
        <v>Rodillo de lana pelo largo N°22 - El Galgo</v>
      </c>
      <c r="F1231" s="129" t="str">
        <f>IFERROR(VLOOKUP(D1231,MATERIALES!A:C,3,FALSE()),"?")</f>
        <v>u</v>
      </c>
      <c r="G1231" s="119">
        <v>5.0000000000000001E-3</v>
      </c>
      <c r="H1231" s="120">
        <v>0.05</v>
      </c>
      <c r="I1231" s="96">
        <f>IFERROR(VLOOKUP(D1231,MATERIALES!A:D,4,FALSE()),0)</f>
        <v>6442.15</v>
      </c>
      <c r="J1231" s="31">
        <f t="shared" si="460"/>
        <v>33.821287499999997</v>
      </c>
      <c r="K1231" s="32" t="str">
        <f t="shared" si="452"/>
        <v>PTO-1506|MAT</v>
      </c>
      <c r="L1231" s="32">
        <f>COUNTIFS($K$2:K1231,K1231)</f>
        <v>5</v>
      </c>
      <c r="M1231" s="32" t="str">
        <f t="shared" si="456"/>
        <v>PTO-1506|MAT|5</v>
      </c>
      <c r="N1231" s="121">
        <f>IFERROR(VLOOKUP(A1231,PARTIDAS!A:F,6,FALSE()),0)</f>
        <v>25</v>
      </c>
      <c r="O1231" s="123">
        <f t="shared" si="458"/>
        <v>0</v>
      </c>
      <c r="P1231" s="123">
        <f>+_xlfn.XLOOKUP(A1231,PPTO_GENERADOR!Q:Q,PPTO_GENERADOR!E:E,"-",0)</f>
        <v>281</v>
      </c>
      <c r="Q1231" s="123">
        <f t="shared" si="459"/>
        <v>0</v>
      </c>
      <c r="R1231" s="125">
        <f>+_xlfn.XLOOKUP(A1231,PPTO_GENERADOR!$Q:$Q,PPTO_GENERADOR!A:A,"-",0)</f>
        <v>15.06</v>
      </c>
    </row>
    <row r="1232" spans="1:18" ht="14.25" customHeight="1" x14ac:dyDescent="0.35">
      <c r="A1232" s="105" t="s">
        <v>254</v>
      </c>
      <c r="B1232" s="105" t="s">
        <v>1981</v>
      </c>
      <c r="C1232" s="105" t="s">
        <v>1982</v>
      </c>
      <c r="D1232" s="105" t="s">
        <v>1007</v>
      </c>
      <c r="E1232" s="95" t="str">
        <f>IFERROR(VLOOKUP(D1232,MATERIALES!A:B,2,FALSE()),"?")</f>
        <v>Pincel N° 20 - El Galgo</v>
      </c>
      <c r="F1232" s="129" t="str">
        <f>IFERROR(VLOOKUP(D1232,MATERIALES!A:C,3,FALSE()),"?")</f>
        <v>u</v>
      </c>
      <c r="G1232" s="119">
        <v>5.0000000000000001E-3</v>
      </c>
      <c r="H1232" s="120">
        <v>0.05</v>
      </c>
      <c r="I1232" s="96">
        <f>IFERROR(VLOOKUP(D1232,MATERIALES!A:D,4,FALSE()),0)</f>
        <v>4418.1818181818198</v>
      </c>
      <c r="J1232" s="31">
        <f t="shared" si="460"/>
        <v>23.195454545454556</v>
      </c>
      <c r="K1232" s="32" t="str">
        <f t="shared" si="452"/>
        <v>PTO-1506|MAT</v>
      </c>
      <c r="L1232" s="32">
        <f>COUNTIFS($K$2:K1232,K1232)</f>
        <v>6</v>
      </c>
      <c r="M1232" s="32" t="str">
        <f t="shared" si="456"/>
        <v>PTO-1506|MAT|6</v>
      </c>
      <c r="N1232" s="121">
        <f>IFERROR(VLOOKUP(A1232,PARTIDAS!A:F,6,FALSE()),0)</f>
        <v>25</v>
      </c>
      <c r="O1232" s="123">
        <f t="shared" si="458"/>
        <v>0</v>
      </c>
      <c r="P1232" s="123">
        <f>+_xlfn.XLOOKUP(A1232,PPTO_GENERADOR!Q:Q,PPTO_GENERADOR!E:E,"-",0)</f>
        <v>281</v>
      </c>
      <c r="Q1232" s="123">
        <f t="shared" si="459"/>
        <v>0</v>
      </c>
      <c r="R1232" s="125">
        <f>+_xlfn.XLOOKUP(A1232,PPTO_GENERADOR!$Q:$Q,PPTO_GENERADOR!A:A,"-",0)</f>
        <v>15.06</v>
      </c>
    </row>
    <row r="1233" spans="1:18" ht="14.25" customHeight="1" x14ac:dyDescent="0.35">
      <c r="A1233" s="105" t="s">
        <v>254</v>
      </c>
      <c r="B1233" s="105" t="s">
        <v>1981</v>
      </c>
      <c r="C1233" s="105" t="s">
        <v>1982</v>
      </c>
      <c r="D1233" s="105" t="s">
        <v>1033</v>
      </c>
      <c r="E1233" s="95" t="str">
        <f>IFERROR(VLOOKUP(D1233,MATERIALES!A:B,2,FALSE()),"?")</f>
        <v>Rollo de cartón corrugado 0,90 x 25 mts</v>
      </c>
      <c r="F1233" s="129" t="str">
        <f>IFERROR(VLOOKUP(D1233,MATERIALES!A:C,3,FALSE()),"?")</f>
        <v>u</v>
      </c>
      <c r="G1233" s="119">
        <v>0.01</v>
      </c>
      <c r="H1233" s="120">
        <v>0.05</v>
      </c>
      <c r="I1233" s="96">
        <f>IFERROR(VLOOKUP(D1233,MATERIALES!A:D,4,FALSE()),0)</f>
        <v>8173.5537190082696</v>
      </c>
      <c r="J1233" s="31">
        <f t="shared" si="460"/>
        <v>85.822314049586836</v>
      </c>
      <c r="K1233" s="32" t="str">
        <f t="shared" si="452"/>
        <v>PTO-1506|MAT</v>
      </c>
      <c r="L1233" s="32">
        <f>COUNTIFS($K$2:K1233,K1233)</f>
        <v>7</v>
      </c>
      <c r="M1233" s="32" t="str">
        <f t="shared" si="456"/>
        <v>PTO-1506|MAT|7</v>
      </c>
      <c r="N1233" s="121">
        <f>IFERROR(VLOOKUP(A1233,PARTIDAS!A:F,6,FALSE()),0)</f>
        <v>25</v>
      </c>
      <c r="O1233" s="123">
        <f t="shared" si="458"/>
        <v>0</v>
      </c>
      <c r="P1233" s="123">
        <f>+_xlfn.XLOOKUP(A1233,PPTO_GENERADOR!Q:Q,PPTO_GENERADOR!E:E,"-",0)</f>
        <v>281</v>
      </c>
      <c r="Q1233" s="123">
        <f t="shared" si="459"/>
        <v>0</v>
      </c>
      <c r="R1233" s="125">
        <f>+_xlfn.XLOOKUP(A1233,PPTO_GENERADOR!$Q:$Q,PPTO_GENERADOR!A:A,"-",0)</f>
        <v>15.06</v>
      </c>
    </row>
    <row r="1234" spans="1:18" ht="14.25" customHeight="1" x14ac:dyDescent="0.35">
      <c r="A1234" s="105" t="s">
        <v>254</v>
      </c>
      <c r="B1234" s="105" t="s">
        <v>1981</v>
      </c>
      <c r="C1234" s="105" t="s">
        <v>1982</v>
      </c>
      <c r="D1234" s="105" t="s">
        <v>578</v>
      </c>
      <c r="E1234" s="95" t="str">
        <f>IFERROR(VLOOKUP(D1234,MATERIALES!A:B,2,FALSE()),"?")</f>
        <v>Latex Loxon Interior Sherwin Williams Mate Bco x 20lts</v>
      </c>
      <c r="F1234" s="129">
        <f>IFERROR(VLOOKUP(D1234,MATERIALES!A:C,3,FALSE()),"?")</f>
        <v>0</v>
      </c>
      <c r="G1234" s="119">
        <v>1.2500000000000001E-2</v>
      </c>
      <c r="H1234" s="120">
        <v>0.1</v>
      </c>
      <c r="I1234" s="96">
        <f>IFERROR(VLOOKUP(D1234,MATERIALES!A:D,4,FALSE()),0)</f>
        <v>143389.25619834699</v>
      </c>
      <c r="J1234" s="31">
        <f t="shared" si="460"/>
        <v>1971.6022727272714</v>
      </c>
      <c r="K1234" s="32" t="str">
        <f t="shared" si="452"/>
        <v>PTO-1506|MAT</v>
      </c>
      <c r="L1234" s="32">
        <f>COUNTIFS($K$2:K1234,K1234)</f>
        <v>8</v>
      </c>
      <c r="M1234" s="32" t="str">
        <f t="shared" si="456"/>
        <v>PTO-1506|MAT|8</v>
      </c>
      <c r="N1234" s="121">
        <f>IFERROR(VLOOKUP(A1234,PARTIDAS!A:F,6,FALSE()),0)</f>
        <v>25</v>
      </c>
      <c r="O1234" s="123">
        <f t="shared" si="458"/>
        <v>0</v>
      </c>
      <c r="P1234" s="123">
        <f>+_xlfn.XLOOKUP(A1234,PPTO_GENERADOR!Q:Q,PPTO_GENERADOR!E:E,"-",0)</f>
        <v>281</v>
      </c>
      <c r="Q1234" s="123">
        <f t="shared" si="459"/>
        <v>0</v>
      </c>
      <c r="R1234" s="125">
        <f>+_xlfn.XLOOKUP(A1234,PPTO_GENERADOR!$Q:$Q,PPTO_GENERADOR!A:A,"-",0)</f>
        <v>15.06</v>
      </c>
    </row>
    <row r="1235" spans="1:18" ht="14.25" customHeight="1" x14ac:dyDescent="0.35">
      <c r="A1235" s="105" t="s">
        <v>254</v>
      </c>
      <c r="B1235" s="105" t="s">
        <v>1983</v>
      </c>
      <c r="C1235" s="105"/>
      <c r="D1235" s="105" t="s">
        <v>1327</v>
      </c>
      <c r="E1235" s="95" t="str">
        <f>IFERROR(VLOOKUP(D1235,EQUIPOS!A:B,2,FALSE()),"?")</f>
        <v>EQUIPO PARA PINTAR</v>
      </c>
      <c r="F1235" s="129"/>
      <c r="G1235" s="119">
        <v>1</v>
      </c>
      <c r="H1235" s="120">
        <v>0</v>
      </c>
      <c r="I1235" s="96">
        <f>IFERROR(VLOOKUP(D1235,EQUIPOS!A:F,6,FALSE()),0)</f>
        <v>1873.3963608356808</v>
      </c>
      <c r="J1235" s="31">
        <f>G1235*I1235</f>
        <v>1873.3963608356808</v>
      </c>
      <c r="K1235" s="32" t="str">
        <f t="shared" si="452"/>
        <v>PTO-1506|EQ</v>
      </c>
      <c r="L1235" s="32">
        <f>COUNTIFS($K$2:K1235,K1235)</f>
        <v>1</v>
      </c>
      <c r="M1235" s="32" t="str">
        <f t="shared" si="456"/>
        <v>PTO-1506|EQ|1</v>
      </c>
      <c r="N1235" s="121">
        <f>IFERROR(VLOOKUP(A1235,PARTIDAS!A:F,6,FALSE()),0)</f>
        <v>25</v>
      </c>
      <c r="O1235" s="123">
        <f t="shared" si="458"/>
        <v>0</v>
      </c>
      <c r="P1235" s="123">
        <f>+_xlfn.XLOOKUP(A1235,PPTO_GENERADOR!Q:Q,PPTO_GENERADOR!E:E,"-",0)</f>
        <v>281</v>
      </c>
      <c r="Q1235" s="123">
        <f t="shared" si="459"/>
        <v>0</v>
      </c>
      <c r="R1235" s="125">
        <f>+_xlfn.XLOOKUP(A1235,PPTO_GENERADOR!$Q:$Q,PPTO_GENERADOR!A:A,"-",0)</f>
        <v>15.06</v>
      </c>
    </row>
    <row r="1236" spans="1:18" ht="14.25" customHeight="1" x14ac:dyDescent="0.35">
      <c r="A1236" s="105" t="s">
        <v>256</v>
      </c>
      <c r="B1236" s="105" t="s">
        <v>1981</v>
      </c>
      <c r="C1236" s="105" t="s">
        <v>1982</v>
      </c>
      <c r="D1236" s="105" t="s">
        <v>1060</v>
      </c>
      <c r="E1236" s="95" t="str">
        <f>IFERROR(VLOOKUP(D1236,MATERIALES!A:B,2,FALSE()),"?")</f>
        <v>Quimtex Romano Fino x 27kg</v>
      </c>
      <c r="F1236" s="129" t="str">
        <f>IFERROR(VLOOKUP(D1236,MATERIALES!A:C,3,FALSE()),"?")</f>
        <v>bol</v>
      </c>
      <c r="G1236" s="119">
        <v>7.4099999999999999E-2</v>
      </c>
      <c r="H1236" s="120">
        <v>0.1</v>
      </c>
      <c r="I1236" s="96">
        <f>IFERROR(VLOOKUP(D1236,MATERIALES!A:D,4,FALSE()),0)</f>
        <v>66598.347107438007</v>
      </c>
      <c r="J1236" s="31">
        <f t="shared" ref="J1236:J1241" si="461">G1236*I1236*(1+H1236)</f>
        <v>5428.4312727272727</v>
      </c>
      <c r="K1236" s="32" t="str">
        <f t="shared" si="452"/>
        <v>PTO-1507|MAT</v>
      </c>
      <c r="L1236" s="32">
        <f>COUNTIFS($K$2:K1236,K1236)</f>
        <v>1</v>
      </c>
      <c r="M1236" s="32" t="str">
        <f t="shared" si="456"/>
        <v>PTO-1507|MAT|1</v>
      </c>
      <c r="N1236" s="121">
        <f>IFERROR(VLOOKUP(A1236,PARTIDAS!A:F,6,FALSE()),0)</f>
        <v>20</v>
      </c>
      <c r="O1236" s="123">
        <f t="shared" si="458"/>
        <v>0</v>
      </c>
      <c r="P1236" s="123">
        <f>+_xlfn.XLOOKUP(A1236,PPTO_GENERADOR!Q:Q,PPTO_GENERADOR!E:E,"-",0)</f>
        <v>752</v>
      </c>
      <c r="Q1236" s="123">
        <f t="shared" si="459"/>
        <v>0</v>
      </c>
      <c r="R1236" s="125">
        <f>+_xlfn.XLOOKUP(A1236,PPTO_GENERADOR!$Q:$Q,PPTO_GENERADOR!A:A,"-",0)</f>
        <v>15.07</v>
      </c>
    </row>
    <row r="1237" spans="1:18" ht="14.25" customHeight="1" x14ac:dyDescent="0.35">
      <c r="A1237" s="105" t="s">
        <v>256</v>
      </c>
      <c r="B1237" s="105" t="s">
        <v>1981</v>
      </c>
      <c r="C1237" s="105" t="s">
        <v>1982</v>
      </c>
      <c r="D1237" s="105" t="s">
        <v>1062</v>
      </c>
      <c r="E1237" s="95" t="str">
        <f>IFERROR(VLOOKUP(D1237,MATERIALES!A:B,2,FALSE()),"?")</f>
        <v>Quimtex base cuarzo 18lts</v>
      </c>
      <c r="F1237" s="129" t="str">
        <f>IFERROR(VLOOKUP(D1237,MATERIALES!A:C,3,FALSE()),"?")</f>
        <v>bol</v>
      </c>
      <c r="G1237" s="119">
        <v>1.11E-2</v>
      </c>
      <c r="H1237" s="120">
        <v>0.1</v>
      </c>
      <c r="I1237" s="96">
        <f>IFERROR(VLOOKUP(D1237,MATERIALES!A:D,4,FALSE()),0)</f>
        <v>102070.24793388401</v>
      </c>
      <c r="J1237" s="31">
        <f t="shared" si="461"/>
        <v>1246.277727272724</v>
      </c>
      <c r="K1237" s="32" t="str">
        <f t="shared" si="452"/>
        <v>PTO-1507|MAT</v>
      </c>
      <c r="L1237" s="32">
        <f>COUNTIFS($K$2:K1237,K1237)</f>
        <v>2</v>
      </c>
      <c r="M1237" s="32" t="str">
        <f t="shared" si="456"/>
        <v>PTO-1507|MAT|2</v>
      </c>
      <c r="N1237" s="121">
        <f>IFERROR(VLOOKUP(A1237,PARTIDAS!A:F,6,FALSE()),0)</f>
        <v>20</v>
      </c>
      <c r="O1237" s="123">
        <f t="shared" si="458"/>
        <v>0</v>
      </c>
      <c r="P1237" s="123">
        <f>+_xlfn.XLOOKUP(A1237,PPTO_GENERADOR!Q:Q,PPTO_GENERADOR!E:E,"-",0)</f>
        <v>752</v>
      </c>
      <c r="Q1237" s="123">
        <f t="shared" si="459"/>
        <v>0</v>
      </c>
      <c r="R1237" s="125">
        <f>+_xlfn.XLOOKUP(A1237,PPTO_GENERADOR!$Q:$Q,PPTO_GENERADOR!A:A,"-",0)</f>
        <v>15.07</v>
      </c>
    </row>
    <row r="1238" spans="1:18" ht="14.25" customHeight="1" x14ac:dyDescent="0.35">
      <c r="A1238" s="105" t="s">
        <v>256</v>
      </c>
      <c r="B1238" s="105" t="s">
        <v>1981</v>
      </c>
      <c r="C1238" s="105" t="s">
        <v>1982</v>
      </c>
      <c r="D1238" s="105" t="s">
        <v>1064</v>
      </c>
      <c r="E1238" s="95" t="str">
        <f>IFERROR(VLOOKUP(D1238,MATERIALES!A:B,2,FALSE()),"?")</f>
        <v>Llana plástica 12x25cm</v>
      </c>
      <c r="F1238" s="129" t="str">
        <f>IFERROR(VLOOKUP(D1238,MATERIALES!A:C,3,FALSE()),"?")</f>
        <v>u</v>
      </c>
      <c r="G1238" s="119">
        <v>0.01</v>
      </c>
      <c r="H1238" s="120">
        <v>0.1</v>
      </c>
      <c r="I1238" s="96">
        <f>IFERROR(VLOOKUP(D1238,MATERIALES!A:D,4,FALSE()),0)</f>
        <v>13876.0330578512</v>
      </c>
      <c r="J1238" s="31">
        <f t="shared" si="461"/>
        <v>152.6363636363632</v>
      </c>
      <c r="K1238" s="32" t="str">
        <f t="shared" si="452"/>
        <v>PTO-1507|MAT</v>
      </c>
      <c r="L1238" s="32">
        <f>COUNTIFS($K$2:K1238,K1238)</f>
        <v>3</v>
      </c>
      <c r="M1238" s="32" t="str">
        <f t="shared" si="456"/>
        <v>PTO-1507|MAT|3</v>
      </c>
      <c r="N1238" s="121">
        <f>IFERROR(VLOOKUP(A1238,PARTIDAS!A:F,6,FALSE()),0)</f>
        <v>20</v>
      </c>
      <c r="O1238" s="123">
        <f t="shared" si="458"/>
        <v>0</v>
      </c>
      <c r="P1238" s="123">
        <f>+_xlfn.XLOOKUP(A1238,PPTO_GENERADOR!Q:Q,PPTO_GENERADOR!E:E,"-",0)</f>
        <v>752</v>
      </c>
      <c r="Q1238" s="123">
        <f t="shared" si="459"/>
        <v>0</v>
      </c>
      <c r="R1238" s="125">
        <f>+_xlfn.XLOOKUP(A1238,PPTO_GENERADOR!$Q:$Q,PPTO_GENERADOR!A:A,"-",0)</f>
        <v>15.07</v>
      </c>
    </row>
    <row r="1239" spans="1:18" ht="14.25" customHeight="1" x14ac:dyDescent="0.35">
      <c r="A1239" s="105" t="s">
        <v>256</v>
      </c>
      <c r="B1239" s="105" t="s">
        <v>1981</v>
      </c>
      <c r="C1239" s="105" t="s">
        <v>1982</v>
      </c>
      <c r="D1239" s="105" t="s">
        <v>922</v>
      </c>
      <c r="E1239" s="95" t="str">
        <f>IFERROR(VLOOKUP(D1239,MATERIALES!A:B,2,FALSE()),"?")</f>
        <v>Rodillo de lana pelo largo N°22 - El Galgo</v>
      </c>
      <c r="F1239" s="129" t="str">
        <f>IFERROR(VLOOKUP(D1239,MATERIALES!A:C,3,FALSE()),"?")</f>
        <v>u</v>
      </c>
      <c r="G1239" s="119">
        <v>5.0000000000000001E-3</v>
      </c>
      <c r="H1239" s="120">
        <v>0.05</v>
      </c>
      <c r="I1239" s="96">
        <f>IFERROR(VLOOKUP(D1239,MATERIALES!A:D,4,FALSE()),0)</f>
        <v>6442.15</v>
      </c>
      <c r="J1239" s="31">
        <f t="shared" si="461"/>
        <v>33.821287499999997</v>
      </c>
      <c r="K1239" s="32" t="str">
        <f t="shared" si="452"/>
        <v>PTO-1507|MAT</v>
      </c>
      <c r="L1239" s="32">
        <f>COUNTIFS($K$2:K1239,K1239)</f>
        <v>4</v>
      </c>
      <c r="M1239" s="32" t="str">
        <f t="shared" si="456"/>
        <v>PTO-1507|MAT|4</v>
      </c>
      <c r="N1239" s="121">
        <f>IFERROR(VLOOKUP(A1239,PARTIDAS!A:F,6,FALSE()),0)</f>
        <v>20</v>
      </c>
      <c r="O1239" s="123">
        <f t="shared" si="458"/>
        <v>0</v>
      </c>
      <c r="P1239" s="123">
        <f>+_xlfn.XLOOKUP(A1239,PPTO_GENERADOR!Q:Q,PPTO_GENERADOR!E:E,"-",0)</f>
        <v>752</v>
      </c>
      <c r="Q1239" s="123">
        <f t="shared" si="459"/>
        <v>0</v>
      </c>
      <c r="R1239" s="125">
        <f>+_xlfn.XLOOKUP(A1239,PPTO_GENERADOR!$Q:$Q,PPTO_GENERADOR!A:A,"-",0)</f>
        <v>15.07</v>
      </c>
    </row>
    <row r="1240" spans="1:18" ht="14.25" customHeight="1" x14ac:dyDescent="0.35">
      <c r="A1240" s="105" t="s">
        <v>256</v>
      </c>
      <c r="B1240" s="105" t="s">
        <v>1981</v>
      </c>
      <c r="C1240" s="105" t="s">
        <v>1982</v>
      </c>
      <c r="D1240" s="105" t="s">
        <v>586</v>
      </c>
      <c r="E1240" s="95" t="str">
        <f>IFERROR(VLOOKUP(D1240,MATERIALES!A:B,2,FALSE()),"?")</f>
        <v>Trapo</v>
      </c>
      <c r="F1240" s="129">
        <f>IFERROR(VLOOKUP(D1240,MATERIALES!A:C,3,FALSE()),"?")</f>
        <v>0</v>
      </c>
      <c r="G1240" s="119">
        <v>5.0000000000000001E-3</v>
      </c>
      <c r="H1240" s="120">
        <v>0.05</v>
      </c>
      <c r="I1240" s="96">
        <f>IFERROR(VLOOKUP(D1240,MATERIALES!A:D,4,FALSE()),0)</f>
        <v>1182.6446280991699</v>
      </c>
      <c r="J1240" s="31">
        <f t="shared" si="461"/>
        <v>6.2088842975206431</v>
      </c>
      <c r="K1240" s="32" t="str">
        <f t="shared" si="452"/>
        <v>PTO-1507|MAT</v>
      </c>
      <c r="L1240" s="32">
        <f>COUNTIFS($K$2:K1240,K1240)</f>
        <v>5</v>
      </c>
      <c r="M1240" s="32" t="str">
        <f t="shared" si="456"/>
        <v>PTO-1507|MAT|5</v>
      </c>
      <c r="N1240" s="121">
        <f>IFERROR(VLOOKUP(A1240,PARTIDAS!A:F,6,FALSE()),0)</f>
        <v>20</v>
      </c>
      <c r="O1240" s="123">
        <f t="shared" si="458"/>
        <v>0</v>
      </c>
      <c r="P1240" s="123">
        <f>+_xlfn.XLOOKUP(A1240,PPTO_GENERADOR!Q:Q,PPTO_GENERADOR!E:E,"-",0)</f>
        <v>752</v>
      </c>
      <c r="Q1240" s="123">
        <f t="shared" si="459"/>
        <v>0</v>
      </c>
      <c r="R1240" s="125">
        <f>+_xlfn.XLOOKUP(A1240,PPTO_GENERADOR!$Q:$Q,PPTO_GENERADOR!A:A,"-",0)</f>
        <v>15.07</v>
      </c>
    </row>
    <row r="1241" spans="1:18" ht="14.25" customHeight="1" x14ac:dyDescent="0.35">
      <c r="A1241" s="105" t="s">
        <v>256</v>
      </c>
      <c r="B1241" s="105" t="s">
        <v>1981</v>
      </c>
      <c r="C1241" s="105" t="s">
        <v>1982</v>
      </c>
      <c r="D1241" s="105" t="s">
        <v>584</v>
      </c>
      <c r="E1241" s="95" t="str">
        <f>IFERROR(VLOOKUP(D1241,MATERIALES!A:B,2,FALSE()),"?")</f>
        <v>Cinta de Papel 36 mm x 40m</v>
      </c>
      <c r="F1241" s="129">
        <f>IFERROR(VLOOKUP(D1241,MATERIALES!A:C,3,FALSE()),"?")</f>
        <v>0</v>
      </c>
      <c r="G1241" s="119">
        <v>0.01</v>
      </c>
      <c r="H1241" s="120">
        <v>0.05</v>
      </c>
      <c r="I1241" s="96">
        <f>IFERROR(VLOOKUP(D1241,MATERIALES!A:D,4,FALSE()),0)</f>
        <v>5885.9504132231395</v>
      </c>
      <c r="J1241" s="31">
        <f t="shared" si="461"/>
        <v>61.802479338842964</v>
      </c>
      <c r="K1241" s="32" t="str">
        <f t="shared" si="452"/>
        <v>PTO-1507|MAT</v>
      </c>
      <c r="L1241" s="32">
        <f>COUNTIFS($K$2:K1241,K1241)</f>
        <v>6</v>
      </c>
      <c r="M1241" s="32" t="str">
        <f t="shared" si="456"/>
        <v>PTO-1507|MAT|6</v>
      </c>
      <c r="N1241" s="121">
        <f>IFERROR(VLOOKUP(A1241,PARTIDAS!A:F,6,FALSE()),0)</f>
        <v>20</v>
      </c>
      <c r="O1241" s="123">
        <f t="shared" si="458"/>
        <v>0</v>
      </c>
      <c r="P1241" s="123">
        <f>+_xlfn.XLOOKUP(A1241,PPTO_GENERADOR!Q:Q,PPTO_GENERADOR!E:E,"-",0)</f>
        <v>752</v>
      </c>
      <c r="Q1241" s="123">
        <f t="shared" si="459"/>
        <v>0</v>
      </c>
      <c r="R1241" s="125">
        <f>+_xlfn.XLOOKUP(A1241,PPTO_GENERADOR!$Q:$Q,PPTO_GENERADOR!A:A,"-",0)</f>
        <v>15.07</v>
      </c>
    </row>
    <row r="1242" spans="1:18" ht="14.25" customHeight="1" x14ac:dyDescent="0.35">
      <c r="A1242" s="105" t="s">
        <v>256</v>
      </c>
      <c r="B1242" s="105" t="s">
        <v>1983</v>
      </c>
      <c r="C1242" s="105"/>
      <c r="D1242" s="105" t="s">
        <v>1503</v>
      </c>
      <c r="E1242" s="95" t="str">
        <f>IFERROR(VLOOKUP(D1242,EQUIPOS!A:B,2,FALSE()),"?")</f>
        <v>Kit Complementario Silleta Descensor Conector Soga X 50 Mts</v>
      </c>
      <c r="F1242" s="129"/>
      <c r="G1242" s="119">
        <v>0.75</v>
      </c>
      <c r="H1242" s="120">
        <v>0</v>
      </c>
      <c r="I1242" s="96">
        <f>IFERROR(VLOOKUP(D1242,EQUIPOS!A:F,6,FALSE()),0)</f>
        <v>2064.2076262094447</v>
      </c>
      <c r="J1242" s="31">
        <f t="shared" ref="J1242:J1245" si="462">G1242*I1242</f>
        <v>1548.1557196570834</v>
      </c>
      <c r="K1242" s="32" t="str">
        <f t="shared" si="452"/>
        <v>PTO-1507|EQ</v>
      </c>
      <c r="L1242" s="32">
        <f>COUNTIFS($K$2:K1242,K1242)</f>
        <v>1</v>
      </c>
      <c r="M1242" s="32" t="str">
        <f t="shared" si="456"/>
        <v>PTO-1507|EQ|1</v>
      </c>
      <c r="N1242" s="121">
        <f>IFERROR(VLOOKUP(A1242,PARTIDAS!A:F,6,FALSE()),0)</f>
        <v>20</v>
      </c>
      <c r="O1242" s="123">
        <f t="shared" si="458"/>
        <v>0</v>
      </c>
      <c r="P1242" s="123">
        <f>+_xlfn.XLOOKUP(A1242,PPTO_GENERADOR!Q:Q,PPTO_GENERADOR!E:E,"-",0)</f>
        <v>752</v>
      </c>
      <c r="Q1242" s="123">
        <f t="shared" si="459"/>
        <v>0</v>
      </c>
      <c r="R1242" s="125">
        <f>+_xlfn.XLOOKUP(A1242,PPTO_GENERADOR!$Q:$Q,PPTO_GENERADOR!A:A,"-",0)</f>
        <v>15.07</v>
      </c>
    </row>
    <row r="1243" spans="1:18" ht="14.25" customHeight="1" x14ac:dyDescent="0.35">
      <c r="A1243" s="105" t="s">
        <v>256</v>
      </c>
      <c r="B1243" s="105" t="s">
        <v>1983</v>
      </c>
      <c r="C1243" s="105"/>
      <c r="D1243" s="105" t="s">
        <v>1313</v>
      </c>
      <c r="E1243" s="95" t="str">
        <f>IFERROR(VLOOKUP(D1243,EQUIPOS!A:B,2,FALSE()),"?")</f>
        <v>ANDAMIO TUBULAR DE UNO A TRES CUERPOS</v>
      </c>
      <c r="F1243" s="129"/>
      <c r="G1243" s="119">
        <v>0.5</v>
      </c>
      <c r="H1243" s="120">
        <v>0</v>
      </c>
      <c r="I1243" s="96">
        <f>IFERROR(VLOOKUP(D1243,EQUIPOS!A:F,6,FALSE()),0)</f>
        <v>620.81078197718341</v>
      </c>
      <c r="J1243" s="31">
        <f t="shared" si="462"/>
        <v>310.40539098859171</v>
      </c>
      <c r="K1243" s="32" t="str">
        <f t="shared" si="452"/>
        <v>PTO-1507|EQ</v>
      </c>
      <c r="L1243" s="32">
        <f>COUNTIFS($K$2:K1243,K1243)</f>
        <v>2</v>
      </c>
      <c r="M1243" s="32" t="str">
        <f t="shared" si="456"/>
        <v>PTO-1507|EQ|2</v>
      </c>
      <c r="N1243" s="121">
        <f>IFERROR(VLOOKUP(A1243,PARTIDAS!A:F,6,FALSE()),0)</f>
        <v>20</v>
      </c>
      <c r="O1243" s="123">
        <f t="shared" si="458"/>
        <v>0</v>
      </c>
      <c r="P1243" s="123">
        <f>+_xlfn.XLOOKUP(A1243,PPTO_GENERADOR!Q:Q,PPTO_GENERADOR!E:E,"-",0)</f>
        <v>752</v>
      </c>
      <c r="Q1243" s="123">
        <f t="shared" si="459"/>
        <v>0</v>
      </c>
      <c r="R1243" s="125">
        <f>+_xlfn.XLOOKUP(A1243,PPTO_GENERADOR!$Q:$Q,PPTO_GENERADOR!A:A,"-",0)</f>
        <v>15.07</v>
      </c>
    </row>
    <row r="1244" spans="1:18" ht="14.25" customHeight="1" x14ac:dyDescent="0.35">
      <c r="A1244" s="105" t="s">
        <v>256</v>
      </c>
      <c r="B1244" s="105" t="s">
        <v>1983</v>
      </c>
      <c r="C1244" s="105"/>
      <c r="D1244" s="105" t="s">
        <v>1509</v>
      </c>
      <c r="E1244" s="95" t="str">
        <f>IFERROR(VLOOKUP(D1244,EQUIPOS!A:B,2,FALSE()),"?")</f>
        <v>Escalera madera pintor 8 escalones</v>
      </c>
      <c r="F1244" s="129"/>
      <c r="G1244" s="119">
        <v>1</v>
      </c>
      <c r="H1244" s="120">
        <v>0</v>
      </c>
      <c r="I1244" s="96">
        <f>IFERROR(VLOOKUP(D1244,EQUIPOS!A:F,6,FALSE()),0)</f>
        <v>217.65359719478195</v>
      </c>
      <c r="J1244" s="31">
        <f t="shared" si="462"/>
        <v>217.65359719478195</v>
      </c>
      <c r="K1244" s="32" t="str">
        <f t="shared" si="452"/>
        <v>PTO-1507|EQ</v>
      </c>
      <c r="L1244" s="32">
        <f>COUNTIFS($K$2:K1244,K1244)</f>
        <v>3</v>
      </c>
      <c r="M1244" s="32" t="str">
        <f t="shared" si="456"/>
        <v>PTO-1507|EQ|3</v>
      </c>
      <c r="N1244" s="121">
        <f>IFERROR(VLOOKUP(A1244,PARTIDAS!A:F,6,FALSE()),0)</f>
        <v>20</v>
      </c>
      <c r="O1244" s="123">
        <f t="shared" si="458"/>
        <v>0</v>
      </c>
      <c r="P1244" s="123">
        <f>+_xlfn.XLOOKUP(A1244,PPTO_GENERADOR!Q:Q,PPTO_GENERADOR!E:E,"-",0)</f>
        <v>752</v>
      </c>
      <c r="Q1244" s="123">
        <f t="shared" si="459"/>
        <v>0</v>
      </c>
      <c r="R1244" s="125">
        <f>+_xlfn.XLOOKUP(A1244,PPTO_GENERADOR!$Q:$Q,PPTO_GENERADOR!A:A,"-",0)</f>
        <v>15.07</v>
      </c>
    </row>
    <row r="1245" spans="1:18" ht="14.25" customHeight="1" x14ac:dyDescent="0.35">
      <c r="A1245" s="105" t="s">
        <v>256</v>
      </c>
      <c r="B1245" s="105" t="s">
        <v>1983</v>
      </c>
      <c r="C1245" s="105"/>
      <c r="D1245" s="105" t="s">
        <v>1327</v>
      </c>
      <c r="E1245" s="95" t="str">
        <f>IFERROR(VLOOKUP(D1245,EQUIPOS!A:B,2,FALSE()),"?")</f>
        <v>EQUIPO PARA PINTAR</v>
      </c>
      <c r="F1245" s="129"/>
      <c r="G1245" s="119">
        <v>1</v>
      </c>
      <c r="H1245" s="120">
        <v>0</v>
      </c>
      <c r="I1245" s="96">
        <f>IFERROR(VLOOKUP(D1245,EQUIPOS!A:F,6,FALSE()),0)</f>
        <v>1873.3963608356808</v>
      </c>
      <c r="J1245" s="31">
        <f t="shared" si="462"/>
        <v>1873.3963608356808</v>
      </c>
      <c r="K1245" s="32" t="str">
        <f t="shared" si="452"/>
        <v>PTO-1507|EQ</v>
      </c>
      <c r="L1245" s="32">
        <f>COUNTIFS($K$2:K1245,K1245)</f>
        <v>4</v>
      </c>
      <c r="M1245" s="32" t="str">
        <f t="shared" si="456"/>
        <v>PTO-1507|EQ|4</v>
      </c>
      <c r="N1245" s="121">
        <f>IFERROR(VLOOKUP(A1245,PARTIDAS!A:F,6,FALSE()),0)</f>
        <v>20</v>
      </c>
      <c r="O1245" s="123">
        <f t="shared" si="458"/>
        <v>0</v>
      </c>
      <c r="P1245" s="123">
        <f>+_xlfn.XLOOKUP(A1245,PPTO_GENERADOR!Q:Q,PPTO_GENERADOR!E:E,"-",0)</f>
        <v>752</v>
      </c>
      <c r="Q1245" s="123">
        <f t="shared" si="459"/>
        <v>0</v>
      </c>
      <c r="R1245" s="125">
        <f>+_xlfn.XLOOKUP(A1245,PPTO_GENERADOR!$Q:$Q,PPTO_GENERADOR!A:A,"-",0)</f>
        <v>15.07</v>
      </c>
    </row>
    <row r="1246" spans="1:18" ht="14.25" customHeight="1" x14ac:dyDescent="0.35">
      <c r="A1246" s="105" t="s">
        <v>259</v>
      </c>
      <c r="B1246" s="105" t="s">
        <v>1981</v>
      </c>
      <c r="C1246" s="105" t="s">
        <v>1982</v>
      </c>
      <c r="D1246" s="105" t="s">
        <v>1060</v>
      </c>
      <c r="E1246" s="95" t="str">
        <f>IFERROR(VLOOKUP(D1246,MATERIALES!A:B,2,FALSE()),"?")</f>
        <v>Quimtex Romano Fino x 27kg</v>
      </c>
      <c r="F1246" s="129" t="str">
        <f>IFERROR(VLOOKUP(D1246,MATERIALES!A:C,3,FALSE()),"?")</f>
        <v>bol</v>
      </c>
      <c r="G1246" s="119">
        <v>7.4099999999999999E-2</v>
      </c>
      <c r="H1246" s="120">
        <v>0.1</v>
      </c>
      <c r="I1246" s="96">
        <f>IFERROR(VLOOKUP(D1246,MATERIALES!A:D,4,FALSE()),0)</f>
        <v>66598.347107438007</v>
      </c>
      <c r="J1246" s="31">
        <f t="shared" ref="J1246:J1251" si="463">G1246*I1246*(1+H1246)</f>
        <v>5428.4312727272727</v>
      </c>
      <c r="K1246" s="32" t="str">
        <f t="shared" si="452"/>
        <v>PTO-1508|MAT</v>
      </c>
      <c r="L1246" s="32">
        <f>COUNTIFS($K$2:K1246,K1246)</f>
        <v>1</v>
      </c>
      <c r="M1246" s="32" t="str">
        <f t="shared" si="456"/>
        <v>PTO-1508|MAT|1</v>
      </c>
      <c r="N1246" s="121">
        <f>IFERROR(VLOOKUP(A1246,PARTIDAS!A:F,6,FALSE()),0)</f>
        <v>20</v>
      </c>
      <c r="O1246" s="123">
        <f t="shared" si="458"/>
        <v>0</v>
      </c>
      <c r="P1246" s="123">
        <f>+_xlfn.XLOOKUP(A1246,PPTO_GENERADOR!Q:Q,PPTO_GENERADOR!E:E,"-",0)</f>
        <v>433</v>
      </c>
      <c r="Q1246" s="123">
        <f t="shared" si="459"/>
        <v>0</v>
      </c>
      <c r="R1246" s="125">
        <f>+_xlfn.XLOOKUP(A1246,PPTO_GENERADOR!$Q:$Q,PPTO_GENERADOR!A:A,"-",0)</f>
        <v>15.08</v>
      </c>
    </row>
    <row r="1247" spans="1:18" ht="14.25" customHeight="1" x14ac:dyDescent="0.35">
      <c r="A1247" s="105" t="s">
        <v>259</v>
      </c>
      <c r="B1247" s="105" t="s">
        <v>1981</v>
      </c>
      <c r="C1247" s="105" t="s">
        <v>1982</v>
      </c>
      <c r="D1247" s="105" t="s">
        <v>1062</v>
      </c>
      <c r="E1247" s="95" t="str">
        <f>IFERROR(VLOOKUP(D1247,MATERIALES!A:B,2,FALSE()),"?")</f>
        <v>Quimtex base cuarzo 18lts</v>
      </c>
      <c r="F1247" s="129" t="str">
        <f>IFERROR(VLOOKUP(D1247,MATERIALES!A:C,3,FALSE()),"?")</f>
        <v>bol</v>
      </c>
      <c r="G1247" s="119">
        <v>1.11E-2</v>
      </c>
      <c r="H1247" s="120">
        <v>0.1</v>
      </c>
      <c r="I1247" s="96">
        <f>IFERROR(VLOOKUP(D1247,MATERIALES!A:D,4,FALSE()),0)</f>
        <v>102070.24793388401</v>
      </c>
      <c r="J1247" s="31">
        <f t="shared" si="463"/>
        <v>1246.277727272724</v>
      </c>
      <c r="K1247" s="32" t="str">
        <f t="shared" si="452"/>
        <v>PTO-1508|MAT</v>
      </c>
      <c r="L1247" s="32">
        <f>COUNTIFS($K$2:K1247,K1247)</f>
        <v>2</v>
      </c>
      <c r="M1247" s="32" t="str">
        <f t="shared" si="456"/>
        <v>PTO-1508|MAT|2</v>
      </c>
      <c r="N1247" s="121">
        <f>IFERROR(VLOOKUP(A1247,PARTIDAS!A:F,6,FALSE()),0)</f>
        <v>20</v>
      </c>
      <c r="O1247" s="123">
        <f t="shared" si="458"/>
        <v>0</v>
      </c>
      <c r="P1247" s="123">
        <f>+_xlfn.XLOOKUP(A1247,PPTO_GENERADOR!Q:Q,PPTO_GENERADOR!E:E,"-",0)</f>
        <v>433</v>
      </c>
      <c r="Q1247" s="123">
        <f t="shared" si="459"/>
        <v>0</v>
      </c>
      <c r="R1247" s="125">
        <f>+_xlfn.XLOOKUP(A1247,PPTO_GENERADOR!$Q:$Q,PPTO_GENERADOR!A:A,"-",0)</f>
        <v>15.08</v>
      </c>
    </row>
    <row r="1248" spans="1:18" ht="14.25" customHeight="1" x14ac:dyDescent="0.35">
      <c r="A1248" s="105" t="s">
        <v>259</v>
      </c>
      <c r="B1248" s="105" t="s">
        <v>1981</v>
      </c>
      <c r="C1248" s="105" t="s">
        <v>1982</v>
      </c>
      <c r="D1248" s="105" t="s">
        <v>1064</v>
      </c>
      <c r="E1248" s="95" t="str">
        <f>IFERROR(VLOOKUP(D1248,MATERIALES!A:B,2,FALSE()),"?")</f>
        <v>Llana plástica 12x25cm</v>
      </c>
      <c r="F1248" s="129" t="str">
        <f>IFERROR(VLOOKUP(D1248,MATERIALES!A:C,3,FALSE()),"?")</f>
        <v>u</v>
      </c>
      <c r="G1248" s="119">
        <v>0.01</v>
      </c>
      <c r="H1248" s="120">
        <v>0.1</v>
      </c>
      <c r="I1248" s="96">
        <f>IFERROR(VLOOKUP(D1248,MATERIALES!A:D,4,FALSE()),0)</f>
        <v>13876.0330578512</v>
      </c>
      <c r="J1248" s="31">
        <f t="shared" si="463"/>
        <v>152.6363636363632</v>
      </c>
      <c r="K1248" s="32" t="str">
        <f t="shared" si="452"/>
        <v>PTO-1508|MAT</v>
      </c>
      <c r="L1248" s="32">
        <f>COUNTIFS($K$2:K1248,K1248)</f>
        <v>3</v>
      </c>
      <c r="M1248" s="32" t="str">
        <f t="shared" si="456"/>
        <v>PTO-1508|MAT|3</v>
      </c>
      <c r="N1248" s="121">
        <f>IFERROR(VLOOKUP(A1248,PARTIDAS!A:F,6,FALSE()),0)</f>
        <v>20</v>
      </c>
      <c r="O1248" s="123">
        <f t="shared" si="458"/>
        <v>0</v>
      </c>
      <c r="P1248" s="123">
        <f>+_xlfn.XLOOKUP(A1248,PPTO_GENERADOR!Q:Q,PPTO_GENERADOR!E:E,"-",0)</f>
        <v>433</v>
      </c>
      <c r="Q1248" s="123">
        <f t="shared" si="459"/>
        <v>0</v>
      </c>
      <c r="R1248" s="125">
        <f>+_xlfn.XLOOKUP(A1248,PPTO_GENERADOR!$Q:$Q,PPTO_GENERADOR!A:A,"-",0)</f>
        <v>15.08</v>
      </c>
    </row>
    <row r="1249" spans="1:18" ht="14.25" customHeight="1" x14ac:dyDescent="0.35">
      <c r="A1249" s="105" t="s">
        <v>259</v>
      </c>
      <c r="B1249" s="105" t="s">
        <v>1981</v>
      </c>
      <c r="C1249" s="105" t="s">
        <v>1982</v>
      </c>
      <c r="D1249" s="105" t="s">
        <v>922</v>
      </c>
      <c r="E1249" s="95" t="str">
        <f>IFERROR(VLOOKUP(D1249,MATERIALES!A:B,2,FALSE()),"?")</f>
        <v>Rodillo de lana pelo largo N°22 - El Galgo</v>
      </c>
      <c r="F1249" s="129" t="str">
        <f>IFERROR(VLOOKUP(D1249,MATERIALES!A:C,3,FALSE()),"?")</f>
        <v>u</v>
      </c>
      <c r="G1249" s="119">
        <v>5.0000000000000001E-3</v>
      </c>
      <c r="H1249" s="120">
        <v>0.05</v>
      </c>
      <c r="I1249" s="96">
        <f>IFERROR(VLOOKUP(D1249,MATERIALES!A:D,4,FALSE()),0)</f>
        <v>6442.15</v>
      </c>
      <c r="J1249" s="31">
        <f t="shared" si="463"/>
        <v>33.821287499999997</v>
      </c>
      <c r="K1249" s="32" t="str">
        <f t="shared" si="452"/>
        <v>PTO-1508|MAT</v>
      </c>
      <c r="L1249" s="32">
        <f>COUNTIFS($K$2:K1249,K1249)</f>
        <v>4</v>
      </c>
      <c r="M1249" s="32" t="str">
        <f t="shared" si="456"/>
        <v>PTO-1508|MAT|4</v>
      </c>
      <c r="N1249" s="121">
        <f>IFERROR(VLOOKUP(A1249,PARTIDAS!A:F,6,FALSE()),0)</f>
        <v>20</v>
      </c>
      <c r="O1249" s="123">
        <f t="shared" si="458"/>
        <v>0</v>
      </c>
      <c r="P1249" s="123">
        <f>+_xlfn.XLOOKUP(A1249,PPTO_GENERADOR!Q:Q,PPTO_GENERADOR!E:E,"-",0)</f>
        <v>433</v>
      </c>
      <c r="Q1249" s="123">
        <f t="shared" si="459"/>
        <v>0</v>
      </c>
      <c r="R1249" s="125">
        <f>+_xlfn.XLOOKUP(A1249,PPTO_GENERADOR!$Q:$Q,PPTO_GENERADOR!A:A,"-",0)</f>
        <v>15.08</v>
      </c>
    </row>
    <row r="1250" spans="1:18" ht="14.25" customHeight="1" x14ac:dyDescent="0.35">
      <c r="A1250" s="105" t="s">
        <v>259</v>
      </c>
      <c r="B1250" s="105" t="s">
        <v>1981</v>
      </c>
      <c r="C1250" s="105" t="s">
        <v>1982</v>
      </c>
      <c r="D1250" s="105" t="s">
        <v>586</v>
      </c>
      <c r="E1250" s="95" t="str">
        <f>IFERROR(VLOOKUP(D1250,MATERIALES!A:B,2,FALSE()),"?")</f>
        <v>Trapo</v>
      </c>
      <c r="F1250" s="129">
        <f>IFERROR(VLOOKUP(D1250,MATERIALES!A:C,3,FALSE()),"?")</f>
        <v>0</v>
      </c>
      <c r="G1250" s="119">
        <v>5.0000000000000001E-3</v>
      </c>
      <c r="H1250" s="120">
        <v>0.05</v>
      </c>
      <c r="I1250" s="96">
        <f>IFERROR(VLOOKUP(D1250,MATERIALES!A:D,4,FALSE()),0)</f>
        <v>1182.6446280991699</v>
      </c>
      <c r="J1250" s="31">
        <f t="shared" si="463"/>
        <v>6.2088842975206431</v>
      </c>
      <c r="K1250" s="32" t="str">
        <f t="shared" si="452"/>
        <v>PTO-1508|MAT</v>
      </c>
      <c r="L1250" s="32">
        <f>COUNTIFS($K$2:K1250,K1250)</f>
        <v>5</v>
      </c>
      <c r="M1250" s="32" t="str">
        <f t="shared" si="456"/>
        <v>PTO-1508|MAT|5</v>
      </c>
      <c r="N1250" s="121">
        <f>IFERROR(VLOOKUP(A1250,PARTIDAS!A:F,6,FALSE()),0)</f>
        <v>20</v>
      </c>
      <c r="O1250" s="123">
        <f t="shared" si="458"/>
        <v>0</v>
      </c>
      <c r="P1250" s="123">
        <f>+_xlfn.XLOOKUP(A1250,PPTO_GENERADOR!Q:Q,PPTO_GENERADOR!E:E,"-",0)</f>
        <v>433</v>
      </c>
      <c r="Q1250" s="123">
        <f t="shared" si="459"/>
        <v>0</v>
      </c>
      <c r="R1250" s="125">
        <f>+_xlfn.XLOOKUP(A1250,PPTO_GENERADOR!$Q:$Q,PPTO_GENERADOR!A:A,"-",0)</f>
        <v>15.08</v>
      </c>
    </row>
    <row r="1251" spans="1:18" ht="14.25" customHeight="1" x14ac:dyDescent="0.35">
      <c r="A1251" s="105" t="s">
        <v>259</v>
      </c>
      <c r="B1251" s="105" t="s">
        <v>1981</v>
      </c>
      <c r="C1251" s="105" t="s">
        <v>1982</v>
      </c>
      <c r="D1251" s="105" t="s">
        <v>584</v>
      </c>
      <c r="E1251" s="95" t="str">
        <f>IFERROR(VLOOKUP(D1251,MATERIALES!A:B,2,FALSE()),"?")</f>
        <v>Cinta de Papel 36 mm x 40m</v>
      </c>
      <c r="F1251" s="129">
        <f>IFERROR(VLOOKUP(D1251,MATERIALES!A:C,3,FALSE()),"?")</f>
        <v>0</v>
      </c>
      <c r="G1251" s="119">
        <v>0.01</v>
      </c>
      <c r="H1251" s="120">
        <v>0.05</v>
      </c>
      <c r="I1251" s="96">
        <f>IFERROR(VLOOKUP(D1251,MATERIALES!A:D,4,FALSE()),0)</f>
        <v>5885.9504132231395</v>
      </c>
      <c r="J1251" s="31">
        <f t="shared" si="463"/>
        <v>61.802479338842964</v>
      </c>
      <c r="K1251" s="32" t="str">
        <f t="shared" si="452"/>
        <v>PTO-1508|MAT</v>
      </c>
      <c r="L1251" s="32">
        <f>COUNTIFS($K$2:K1251,K1251)</f>
        <v>6</v>
      </c>
      <c r="M1251" s="32" t="str">
        <f t="shared" si="456"/>
        <v>PTO-1508|MAT|6</v>
      </c>
      <c r="N1251" s="121">
        <f>IFERROR(VLOOKUP(A1251,PARTIDAS!A:F,6,FALSE()),0)</f>
        <v>20</v>
      </c>
      <c r="O1251" s="123">
        <f t="shared" si="458"/>
        <v>0</v>
      </c>
      <c r="P1251" s="123">
        <f>+_xlfn.XLOOKUP(A1251,PPTO_GENERADOR!Q:Q,PPTO_GENERADOR!E:E,"-",0)</f>
        <v>433</v>
      </c>
      <c r="Q1251" s="123">
        <f t="shared" si="459"/>
        <v>0</v>
      </c>
      <c r="R1251" s="125">
        <f>+_xlfn.XLOOKUP(A1251,PPTO_GENERADOR!$Q:$Q,PPTO_GENERADOR!A:A,"-",0)</f>
        <v>15.08</v>
      </c>
    </row>
    <row r="1252" spans="1:18" ht="14.25" customHeight="1" x14ac:dyDescent="0.35">
      <c r="A1252" s="105" t="s">
        <v>259</v>
      </c>
      <c r="B1252" s="105" t="s">
        <v>1983</v>
      </c>
      <c r="C1252" s="105"/>
      <c r="D1252" s="105" t="s">
        <v>1503</v>
      </c>
      <c r="E1252" s="95" t="str">
        <f>IFERROR(VLOOKUP(D1252,EQUIPOS!A:B,2,FALSE()),"?")</f>
        <v>Kit Complementario Silleta Descensor Conector Soga X 50 Mts</v>
      </c>
      <c r="F1252" s="129"/>
      <c r="G1252" s="119">
        <v>0.75</v>
      </c>
      <c r="H1252" s="120">
        <v>0</v>
      </c>
      <c r="I1252" s="96">
        <f>IFERROR(VLOOKUP(D1252,EQUIPOS!A:F,6,FALSE()),0)</f>
        <v>2064.2076262094447</v>
      </c>
      <c r="J1252" s="31">
        <f t="shared" ref="J1252:J1255" si="464">G1252*I1252</f>
        <v>1548.1557196570834</v>
      </c>
      <c r="K1252" s="32" t="str">
        <f t="shared" si="452"/>
        <v>PTO-1508|EQ</v>
      </c>
      <c r="L1252" s="32">
        <f>COUNTIFS($K$2:K1252,K1252)</f>
        <v>1</v>
      </c>
      <c r="M1252" s="32" t="str">
        <f t="shared" si="456"/>
        <v>PTO-1508|EQ|1</v>
      </c>
      <c r="N1252" s="121">
        <f>IFERROR(VLOOKUP(A1252,PARTIDAS!A:F,6,FALSE()),0)</f>
        <v>20</v>
      </c>
      <c r="O1252" s="123">
        <f t="shared" si="458"/>
        <v>0</v>
      </c>
      <c r="P1252" s="123">
        <f>+_xlfn.XLOOKUP(A1252,PPTO_GENERADOR!Q:Q,PPTO_GENERADOR!E:E,"-",0)</f>
        <v>433</v>
      </c>
      <c r="Q1252" s="123">
        <f t="shared" si="459"/>
        <v>0</v>
      </c>
      <c r="R1252" s="125">
        <f>+_xlfn.XLOOKUP(A1252,PPTO_GENERADOR!$Q:$Q,PPTO_GENERADOR!A:A,"-",0)</f>
        <v>15.08</v>
      </c>
    </row>
    <row r="1253" spans="1:18" ht="14.25" customHeight="1" x14ac:dyDescent="0.35">
      <c r="A1253" s="105" t="s">
        <v>259</v>
      </c>
      <c r="B1253" s="105" t="s">
        <v>1983</v>
      </c>
      <c r="C1253" s="105"/>
      <c r="D1253" s="105" t="s">
        <v>1313</v>
      </c>
      <c r="E1253" s="95" t="str">
        <f>IFERROR(VLOOKUP(D1253,EQUIPOS!A:B,2,FALSE()),"?")</f>
        <v>ANDAMIO TUBULAR DE UNO A TRES CUERPOS</v>
      </c>
      <c r="F1253" s="129"/>
      <c r="G1253" s="119">
        <v>0.5</v>
      </c>
      <c r="H1253" s="120">
        <v>0</v>
      </c>
      <c r="I1253" s="96">
        <f>IFERROR(VLOOKUP(D1253,EQUIPOS!A:F,6,FALSE()),0)</f>
        <v>620.81078197718341</v>
      </c>
      <c r="J1253" s="31">
        <f t="shared" si="464"/>
        <v>310.40539098859171</v>
      </c>
      <c r="K1253" s="32" t="str">
        <f t="shared" si="452"/>
        <v>PTO-1508|EQ</v>
      </c>
      <c r="L1253" s="32">
        <f>COUNTIFS($K$2:K1253,K1253)</f>
        <v>2</v>
      </c>
      <c r="M1253" s="32" t="str">
        <f t="shared" si="456"/>
        <v>PTO-1508|EQ|2</v>
      </c>
      <c r="N1253" s="121">
        <f>IFERROR(VLOOKUP(A1253,PARTIDAS!A:F,6,FALSE()),0)</f>
        <v>20</v>
      </c>
      <c r="O1253" s="123">
        <f t="shared" si="458"/>
        <v>0</v>
      </c>
      <c r="P1253" s="123">
        <f>+_xlfn.XLOOKUP(A1253,PPTO_GENERADOR!Q:Q,PPTO_GENERADOR!E:E,"-",0)</f>
        <v>433</v>
      </c>
      <c r="Q1253" s="123">
        <f t="shared" si="459"/>
        <v>0</v>
      </c>
      <c r="R1253" s="125">
        <f>+_xlfn.XLOOKUP(A1253,PPTO_GENERADOR!$Q:$Q,PPTO_GENERADOR!A:A,"-",0)</f>
        <v>15.08</v>
      </c>
    </row>
    <row r="1254" spans="1:18" ht="14.25" customHeight="1" x14ac:dyDescent="0.35">
      <c r="A1254" s="105" t="s">
        <v>259</v>
      </c>
      <c r="B1254" s="105" t="s">
        <v>1983</v>
      </c>
      <c r="C1254" s="105"/>
      <c r="D1254" s="105" t="s">
        <v>1509</v>
      </c>
      <c r="E1254" s="95" t="str">
        <f>IFERROR(VLOOKUP(D1254,EQUIPOS!A:B,2,FALSE()),"?")</f>
        <v>Escalera madera pintor 8 escalones</v>
      </c>
      <c r="F1254" s="129"/>
      <c r="G1254" s="119">
        <v>1</v>
      </c>
      <c r="H1254" s="120">
        <v>0</v>
      </c>
      <c r="I1254" s="96">
        <f>IFERROR(VLOOKUP(D1254,EQUIPOS!A:F,6,FALSE()),0)</f>
        <v>217.65359719478195</v>
      </c>
      <c r="J1254" s="31">
        <f t="shared" si="464"/>
        <v>217.65359719478195</v>
      </c>
      <c r="K1254" s="32" t="str">
        <f t="shared" si="452"/>
        <v>PTO-1508|EQ</v>
      </c>
      <c r="L1254" s="32">
        <f>COUNTIFS($K$2:K1254,K1254)</f>
        <v>3</v>
      </c>
      <c r="M1254" s="32" t="str">
        <f t="shared" si="456"/>
        <v>PTO-1508|EQ|3</v>
      </c>
      <c r="N1254" s="121">
        <f>IFERROR(VLOOKUP(A1254,PARTIDAS!A:F,6,FALSE()),0)</f>
        <v>20</v>
      </c>
      <c r="O1254" s="123">
        <f t="shared" si="458"/>
        <v>0</v>
      </c>
      <c r="P1254" s="123">
        <f>+_xlfn.XLOOKUP(A1254,PPTO_GENERADOR!Q:Q,PPTO_GENERADOR!E:E,"-",0)</f>
        <v>433</v>
      </c>
      <c r="Q1254" s="123">
        <f t="shared" si="459"/>
        <v>0</v>
      </c>
      <c r="R1254" s="125">
        <f>+_xlfn.XLOOKUP(A1254,PPTO_GENERADOR!$Q:$Q,PPTO_GENERADOR!A:A,"-",0)</f>
        <v>15.08</v>
      </c>
    </row>
    <row r="1255" spans="1:18" ht="14.25" customHeight="1" x14ac:dyDescent="0.35">
      <c r="A1255" s="105" t="s">
        <v>259</v>
      </c>
      <c r="B1255" s="105" t="s">
        <v>1983</v>
      </c>
      <c r="C1255" s="105"/>
      <c r="D1255" s="105" t="s">
        <v>1327</v>
      </c>
      <c r="E1255" s="95" t="str">
        <f>IFERROR(VLOOKUP(D1255,EQUIPOS!A:B,2,FALSE()),"?")</f>
        <v>EQUIPO PARA PINTAR</v>
      </c>
      <c r="F1255" s="129"/>
      <c r="G1255" s="119">
        <v>1</v>
      </c>
      <c r="H1255" s="120">
        <v>0</v>
      </c>
      <c r="I1255" s="96">
        <f>IFERROR(VLOOKUP(D1255,EQUIPOS!A:F,6,FALSE()),0)</f>
        <v>1873.3963608356808</v>
      </c>
      <c r="J1255" s="31">
        <f t="shared" si="464"/>
        <v>1873.3963608356808</v>
      </c>
      <c r="K1255" s="32" t="str">
        <f t="shared" si="452"/>
        <v>PTO-1508|EQ</v>
      </c>
      <c r="L1255" s="32">
        <f>COUNTIFS($K$2:K1255,K1255)</f>
        <v>4</v>
      </c>
      <c r="M1255" s="32" t="str">
        <f t="shared" si="456"/>
        <v>PTO-1508|EQ|4</v>
      </c>
      <c r="N1255" s="121">
        <f>IFERROR(VLOOKUP(A1255,PARTIDAS!A:F,6,FALSE()),0)</f>
        <v>20</v>
      </c>
      <c r="O1255" s="123">
        <f t="shared" si="458"/>
        <v>0</v>
      </c>
      <c r="P1255" s="123">
        <f>+_xlfn.XLOOKUP(A1255,PPTO_GENERADOR!Q:Q,PPTO_GENERADOR!E:E,"-",0)</f>
        <v>433</v>
      </c>
      <c r="Q1255" s="123">
        <f t="shared" si="459"/>
        <v>0</v>
      </c>
      <c r="R1255" s="125">
        <f>+_xlfn.XLOOKUP(A1255,PPTO_GENERADOR!$Q:$Q,PPTO_GENERADOR!A:A,"-",0)</f>
        <v>15.08</v>
      </c>
    </row>
    <row r="1256" spans="1:18" ht="14.25" customHeight="1" x14ac:dyDescent="0.35">
      <c r="A1256" s="105" t="s">
        <v>261</v>
      </c>
      <c r="B1256" s="105" t="s">
        <v>1981</v>
      </c>
      <c r="C1256" s="105" t="s">
        <v>1982</v>
      </c>
      <c r="D1256" s="105" t="s">
        <v>772</v>
      </c>
      <c r="E1256" s="95" t="str">
        <f>IFERROR(VLOOKUP(D1256,MATERIALES!A:B,2,FALSE()),"?")</f>
        <v>Base Coat Bicomponente Durlock® Exteriores</v>
      </c>
      <c r="F1256" s="129" t="str">
        <f>IFERROR(VLOOKUP(D1256,MATERIALES!A:C,3,FALSE()),"?")</f>
        <v>u</v>
      </c>
      <c r="G1256" s="119">
        <v>0.20091300000000001</v>
      </c>
      <c r="H1256" s="120">
        <v>0</v>
      </c>
      <c r="I1256" s="96">
        <f>IFERROR(VLOOKUP(D1256,MATERIALES!A:D,4,FALSE()),0)</f>
        <v>53719.008264462798</v>
      </c>
      <c r="J1256" s="31">
        <f t="shared" ref="J1256:J1257" si="465">G1256*I1256*(1+H1256)</f>
        <v>10792.847107438014</v>
      </c>
      <c r="K1256" s="32" t="str">
        <f t="shared" si="452"/>
        <v>PTO-1509|MAT</v>
      </c>
      <c r="L1256" s="32">
        <f>COUNTIFS($K$2:K1256,K1256)</f>
        <v>1</v>
      </c>
      <c r="M1256" s="32" t="str">
        <f t="shared" si="456"/>
        <v>PTO-1509|MAT|1</v>
      </c>
      <c r="N1256" s="121">
        <f>IFERROR(VLOOKUP(A1256,PARTIDAS!A:F,6,FALSE()),0)</f>
        <v>1</v>
      </c>
      <c r="O1256" s="123">
        <f t="shared" si="458"/>
        <v>0</v>
      </c>
      <c r="P1256" s="123">
        <f>+_xlfn.XLOOKUP(A1256,PPTO_GENERADOR!Q:Q,PPTO_GENERADOR!E:E,"-",0)</f>
        <v>219</v>
      </c>
      <c r="Q1256" s="123">
        <f t="shared" si="459"/>
        <v>0</v>
      </c>
      <c r="R1256" s="125">
        <f>+_xlfn.XLOOKUP(A1256,PPTO_GENERADOR!$Q:$Q,PPTO_GENERADOR!A:A,"-",0)</f>
        <v>15.09</v>
      </c>
    </row>
    <row r="1257" spans="1:18" ht="14.25" customHeight="1" x14ac:dyDescent="0.35">
      <c r="A1257" s="105" t="s">
        <v>261</v>
      </c>
      <c r="B1257" s="105" t="s">
        <v>1981</v>
      </c>
      <c r="C1257" s="105" t="s">
        <v>1982</v>
      </c>
      <c r="D1257" s="105" t="s">
        <v>559</v>
      </c>
      <c r="E1257" s="95" t="str">
        <f>IFERROR(VLOOKUP(D1257,MATERIALES!A:B,2,FALSE()),"?")</f>
        <v>CONSUMIBLES (varios)</v>
      </c>
      <c r="F1257" s="129" t="str">
        <f>IFERROR(VLOOKUP(D1257,MATERIALES!A:C,3,FALSE()),"?")</f>
        <v>gl</v>
      </c>
      <c r="G1257" s="119">
        <v>1080.1818181818201</v>
      </c>
      <c r="H1257" s="120">
        <v>0</v>
      </c>
      <c r="I1257" s="96">
        <f>IFERROR(VLOOKUP(D1257,MATERIALES!A:D,4,FALSE()),0)</f>
        <v>1</v>
      </c>
      <c r="J1257" s="31">
        <f t="shared" si="465"/>
        <v>1080.1818181818201</v>
      </c>
      <c r="K1257" s="32" t="str">
        <f t="shared" si="452"/>
        <v>PTO-1509|MAT</v>
      </c>
      <c r="L1257" s="32">
        <f>COUNTIFS($K$2:K1257,K1257)</f>
        <v>2</v>
      </c>
      <c r="M1257" s="32" t="str">
        <f t="shared" si="456"/>
        <v>PTO-1509|MAT|2</v>
      </c>
      <c r="N1257" s="121">
        <f>IFERROR(VLOOKUP(A1257,PARTIDAS!A:F,6,FALSE()),0)</f>
        <v>1</v>
      </c>
      <c r="O1257" s="123">
        <f t="shared" si="458"/>
        <v>0</v>
      </c>
      <c r="P1257" s="123">
        <f>+_xlfn.XLOOKUP(A1257,PPTO_GENERADOR!Q:Q,PPTO_GENERADOR!E:E,"-",0)</f>
        <v>219</v>
      </c>
      <c r="Q1257" s="123">
        <f t="shared" si="459"/>
        <v>0</v>
      </c>
      <c r="R1257" s="125">
        <f>+_xlfn.XLOOKUP(A1257,PPTO_GENERADOR!$Q:$Q,PPTO_GENERADOR!A:A,"-",0)</f>
        <v>15.09</v>
      </c>
    </row>
    <row r="1258" spans="1:18" ht="14.25" customHeight="1" x14ac:dyDescent="0.35">
      <c r="A1258" s="105" t="s">
        <v>261</v>
      </c>
      <c r="B1258" s="105" t="s">
        <v>1979</v>
      </c>
      <c r="C1258" s="105" t="s">
        <v>1980</v>
      </c>
      <c r="D1258" s="105" t="s">
        <v>1292</v>
      </c>
      <c r="E1258" s="95" t="str">
        <f>IFERROR(VLOOKUP(D1258,MANO_DE_OBRA!A:B,2,FALSE()),"?")</f>
        <v>ESPECIALIZADO</v>
      </c>
      <c r="F1258" s="129" t="s">
        <v>2042</v>
      </c>
      <c r="G1258" s="119">
        <v>5.4795000000000003E-2</v>
      </c>
      <c r="H1258" s="120">
        <v>0</v>
      </c>
      <c r="I1258" s="96">
        <f>IFERROR(VLOOKUP(D1258,MANO_DE_OBRA!A:C,3,FALSE()),0)</f>
        <v>94177.137883538904</v>
      </c>
      <c r="J1258" s="31">
        <f t="shared" ref="J1258:J1259" si="466">G1258*I1258</f>
        <v>5160.4362703285142</v>
      </c>
      <c r="K1258" s="32" t="str">
        <f t="shared" ref="K1258:K1262" si="467">A1258&amp;"|"&amp;B1258</f>
        <v>PTO-1509|MO</v>
      </c>
      <c r="L1258" s="32">
        <f>COUNTIFS($K$2:K1258,K1258)</f>
        <v>1</v>
      </c>
      <c r="M1258" s="32" t="str">
        <f t="shared" si="456"/>
        <v>PTO-1509|MO|1</v>
      </c>
      <c r="N1258" s="121">
        <f>IFERROR(VLOOKUP(A1258,PARTIDAS!A:F,6,FALSE()),0)</f>
        <v>1</v>
      </c>
      <c r="O1258" s="123">
        <f t="shared" si="458"/>
        <v>5.4795000000000003E-2</v>
      </c>
      <c r="P1258" s="123">
        <f>+_xlfn.XLOOKUP(A1258,PPTO_GENERADOR!Q:Q,PPTO_GENERADOR!E:E,"-",0)</f>
        <v>219</v>
      </c>
      <c r="Q1258" s="123">
        <f t="shared" si="459"/>
        <v>12.000105000000001</v>
      </c>
      <c r="R1258" s="125">
        <f>+_xlfn.XLOOKUP(A1258,PPTO_GENERADOR!$Q:$Q,PPTO_GENERADOR!A:A,"-",0)</f>
        <v>15.09</v>
      </c>
    </row>
    <row r="1259" spans="1:18" ht="14.25" customHeight="1" x14ac:dyDescent="0.35">
      <c r="A1259" s="105" t="s">
        <v>261</v>
      </c>
      <c r="B1259" s="105" t="s">
        <v>1979</v>
      </c>
      <c r="C1259" s="105" t="s">
        <v>1980</v>
      </c>
      <c r="D1259" s="105" t="s">
        <v>1288</v>
      </c>
      <c r="E1259" s="95" t="str">
        <f>IFERROR(VLOOKUP(D1259,MANO_DE_OBRA!A:B,2,FALSE()),"?")</f>
        <v>MEDIO OFICIAL</v>
      </c>
      <c r="F1259" s="129" t="s">
        <v>2042</v>
      </c>
      <c r="G1259" s="119">
        <v>5.4795000000000003E-2</v>
      </c>
      <c r="H1259" s="120">
        <v>0</v>
      </c>
      <c r="I1259" s="96">
        <f>IFERROR(VLOOKUP(D1259,MANO_DE_OBRA!A:C,3,FALSE()),0)</f>
        <v>72132.138365590101</v>
      </c>
      <c r="J1259" s="31">
        <f t="shared" si="466"/>
        <v>3952.4805217425096</v>
      </c>
      <c r="K1259" s="32" t="str">
        <f t="shared" si="467"/>
        <v>PTO-1509|MO</v>
      </c>
      <c r="L1259" s="32">
        <f>COUNTIFS($K$2:K1259,K1259)</f>
        <v>2</v>
      </c>
      <c r="M1259" s="32" t="str">
        <f t="shared" si="456"/>
        <v>PTO-1509|MO|2</v>
      </c>
      <c r="N1259" s="121">
        <f>IFERROR(VLOOKUP(A1259,PARTIDAS!A:F,6,FALSE()),0)</f>
        <v>1</v>
      </c>
      <c r="O1259" s="123">
        <f t="shared" si="458"/>
        <v>5.4795000000000003E-2</v>
      </c>
      <c r="P1259" s="123">
        <f>+_xlfn.XLOOKUP(A1259,PPTO_GENERADOR!Q:Q,PPTO_GENERADOR!E:E,"-",0)</f>
        <v>219</v>
      </c>
      <c r="Q1259" s="123">
        <f t="shared" si="459"/>
        <v>12.000105000000001</v>
      </c>
      <c r="R1259" s="125">
        <f>+_xlfn.XLOOKUP(A1259,PPTO_GENERADOR!$Q:$Q,PPTO_GENERADOR!A:A,"-",0)</f>
        <v>15.09</v>
      </c>
    </row>
    <row r="1260" spans="1:18" ht="14.25" customHeight="1" x14ac:dyDescent="0.35">
      <c r="A1260" s="105" t="s">
        <v>261</v>
      </c>
      <c r="B1260" s="105" t="s">
        <v>1983</v>
      </c>
      <c r="C1260" s="105"/>
      <c r="D1260" s="105" t="s">
        <v>1415</v>
      </c>
      <c r="E1260" s="95" t="str">
        <f>IFERROR(VLOOKUP(D1260,EQUIPOS!A:B,2,FALSE()),"?")</f>
        <v xml:space="preserve">Herramientas — Preparación de superficie con base coat </v>
      </c>
      <c r="F1260" s="129"/>
      <c r="G1260" s="119">
        <v>1</v>
      </c>
      <c r="H1260" s="120">
        <v>0</v>
      </c>
      <c r="I1260" s="96">
        <f>IFERROR(VLOOKUP(D1260,EQUIPOS!A:F,6,FALSE()),0)</f>
        <v>314.77474760202398</v>
      </c>
      <c r="J1260" s="31">
        <f>G1260*I1260</f>
        <v>314.77474760202398</v>
      </c>
      <c r="K1260" s="32" t="str">
        <f t="shared" si="467"/>
        <v>PTO-1509|EQ</v>
      </c>
      <c r="L1260" s="32">
        <f>COUNTIFS($K$2:K1260,K1260)</f>
        <v>1</v>
      </c>
      <c r="M1260" s="32" t="str">
        <f t="shared" si="456"/>
        <v>PTO-1509|EQ|1</v>
      </c>
      <c r="N1260" s="121">
        <f>IFERROR(VLOOKUP(A1260,PARTIDAS!A:F,6,FALSE()),0)</f>
        <v>1</v>
      </c>
      <c r="O1260" s="123">
        <f t="shared" si="458"/>
        <v>0</v>
      </c>
      <c r="P1260" s="123">
        <f>+_xlfn.XLOOKUP(A1260,PPTO_GENERADOR!Q:Q,PPTO_GENERADOR!E:E,"-",0)</f>
        <v>219</v>
      </c>
      <c r="Q1260" s="123">
        <f t="shared" si="459"/>
        <v>0</v>
      </c>
      <c r="R1260" s="125">
        <f>+_xlfn.XLOOKUP(A1260,PPTO_GENERADOR!$Q:$Q,PPTO_GENERADOR!A:A,"-",0)</f>
        <v>15.09</v>
      </c>
    </row>
    <row r="1261" spans="1:18" ht="14.25" customHeight="1" x14ac:dyDescent="0.35">
      <c r="A1261" s="105" t="s">
        <v>263</v>
      </c>
      <c r="B1261" s="105" t="s">
        <v>1981</v>
      </c>
      <c r="C1261" s="105" t="s">
        <v>1982</v>
      </c>
      <c r="D1261" s="105" t="s">
        <v>776</v>
      </c>
      <c r="E1261" s="95" t="str">
        <f>IFERROR(VLOOKUP(D1261,MATERIALES!A:B,2,FALSE()),"?")</f>
        <v>Quimtex Forma x 27 kg (rinde 1kg/m2)</v>
      </c>
      <c r="F1261" s="129" t="str">
        <f>IFERROR(VLOOKUP(D1261,MATERIALES!A:C,3,FALSE()),"?")</f>
        <v>u</v>
      </c>
      <c r="G1261" s="119">
        <v>4.1812000000000002E-2</v>
      </c>
      <c r="H1261" s="120">
        <v>0</v>
      </c>
      <c r="I1261" s="96">
        <f>IFERROR(VLOOKUP(D1261,MATERIALES!A:D,4,FALSE()),0)</f>
        <v>66115.702479338797</v>
      </c>
      <c r="J1261" s="31">
        <f t="shared" ref="J1261:J1262" si="468">G1261*I1261*(1+H1261)</f>
        <v>2764.4297520661139</v>
      </c>
      <c r="K1261" s="32" t="str">
        <f t="shared" si="467"/>
        <v>PTO-0151|MAT</v>
      </c>
      <c r="L1261" s="32">
        <f>COUNTIFS($K$2:K1261,K1261)</f>
        <v>1</v>
      </c>
      <c r="M1261" s="32" t="str">
        <f t="shared" si="456"/>
        <v>PTO-0151|MAT|1</v>
      </c>
      <c r="N1261" s="121">
        <f>IFERROR(VLOOKUP(A1261,PARTIDAS!A:F,6,FALSE()),0)</f>
        <v>1</v>
      </c>
      <c r="O1261" s="123">
        <f t="shared" si="458"/>
        <v>0</v>
      </c>
      <c r="P1261" s="123">
        <f>+_xlfn.XLOOKUP(A1261,PPTO_GENERADOR!Q:Q,PPTO_GENERADOR!E:E,"-",0)</f>
        <v>861</v>
      </c>
      <c r="Q1261" s="123">
        <f t="shared" si="459"/>
        <v>0</v>
      </c>
      <c r="R1261" s="125">
        <f>+_xlfn.XLOOKUP(A1261,PPTO_GENERADOR!$Q:$Q,PPTO_GENERADOR!A:A,"-",0)</f>
        <v>15.1</v>
      </c>
    </row>
    <row r="1262" spans="1:18" ht="14.25" customHeight="1" x14ac:dyDescent="0.35">
      <c r="A1262" s="105" t="s">
        <v>263</v>
      </c>
      <c r="B1262" s="105" t="s">
        <v>1981</v>
      </c>
      <c r="C1262" s="105" t="s">
        <v>1982</v>
      </c>
      <c r="D1262" s="105" t="s">
        <v>559</v>
      </c>
      <c r="E1262" s="95" t="str">
        <f>IFERROR(VLOOKUP(D1262,MATERIALES!A:B,2,FALSE()),"?")</f>
        <v>CONSUMIBLES (varios)</v>
      </c>
      <c r="F1262" s="129" t="str">
        <f>IFERROR(VLOOKUP(D1262,MATERIALES!A:C,3,FALSE()),"?")</f>
        <v>gl</v>
      </c>
      <c r="G1262" s="119">
        <v>691.10490396520004</v>
      </c>
      <c r="H1262" s="120">
        <v>0</v>
      </c>
      <c r="I1262" s="96">
        <f>IFERROR(VLOOKUP(D1262,MATERIALES!A:D,4,FALSE()),0)</f>
        <v>1</v>
      </c>
      <c r="J1262" s="31">
        <f t="shared" si="468"/>
        <v>691.10490396520004</v>
      </c>
      <c r="K1262" s="32" t="str">
        <f t="shared" si="467"/>
        <v>PTO-0151|MAT</v>
      </c>
      <c r="L1262" s="32">
        <f>COUNTIFS($K$2:K1262,K1262)</f>
        <v>2</v>
      </c>
      <c r="M1262" s="32" t="str">
        <f t="shared" si="456"/>
        <v>PTO-0151|MAT|2</v>
      </c>
      <c r="N1262" s="121">
        <f>IFERROR(VLOOKUP(A1262,PARTIDAS!A:F,6,FALSE()),0)</f>
        <v>1</v>
      </c>
      <c r="O1262" s="123">
        <f t="shared" si="458"/>
        <v>0</v>
      </c>
      <c r="P1262" s="123">
        <f>+_xlfn.XLOOKUP(A1262,PPTO_GENERADOR!Q:Q,PPTO_GENERADOR!E:E,"-",0)</f>
        <v>861</v>
      </c>
      <c r="Q1262" s="123">
        <f t="shared" si="459"/>
        <v>0</v>
      </c>
      <c r="R1262" s="125">
        <f>+_xlfn.XLOOKUP(A1262,PPTO_GENERADOR!$Q:$Q,PPTO_GENERADOR!A:A,"-",0)</f>
        <v>15.1</v>
      </c>
    </row>
    <row r="1263" spans="1:18" ht="14.25" customHeight="1" x14ac:dyDescent="0.35">
      <c r="A1263" s="105" t="s">
        <v>263</v>
      </c>
      <c r="B1263" s="105" t="s">
        <v>1979</v>
      </c>
      <c r="C1263" s="105" t="s">
        <v>1982</v>
      </c>
      <c r="D1263" s="105" t="s">
        <v>1594</v>
      </c>
      <c r="E1263" s="95" t="str">
        <f>IFERROR(VLOOKUP(D1263,SUBCONTRATOS_PRY!A:B,2,FALSE()),"?")</f>
        <v>M.O</v>
      </c>
      <c r="F1263" s="129" t="s">
        <v>2042</v>
      </c>
      <c r="G1263" s="119">
        <v>1</v>
      </c>
      <c r="H1263" s="120">
        <v>0</v>
      </c>
      <c r="I1263" s="96">
        <f>IFERROR(VLOOKUP(D1263,SUBCONTRATOS_PRY!A:D,4,FALSE()),0)</f>
        <v>6075.9443795831503</v>
      </c>
      <c r="J1263" s="31">
        <f t="shared" ref="J1263:J1265" si="469">G1263*I1263</f>
        <v>6075.9443795831503</v>
      </c>
      <c r="K1263" s="32" t="str">
        <f t="shared" ref="K1263:K1321" si="470">A1263&amp;"|"&amp;B1263</f>
        <v>PTO-0151|MO</v>
      </c>
      <c r="L1263" s="32">
        <f>COUNTIFS($K$2:K1263,K1263)</f>
        <v>1</v>
      </c>
      <c r="M1263" s="32" t="str">
        <f t="shared" si="456"/>
        <v>PTO-0151|MO|1</v>
      </c>
      <c r="N1263" s="121">
        <f>IFERROR(VLOOKUP(A1263,PARTIDAS!A:F,6,FALSE()),0)</f>
        <v>1</v>
      </c>
      <c r="O1263" s="123">
        <f t="shared" si="458"/>
        <v>0</v>
      </c>
      <c r="P1263" s="123">
        <f>+_xlfn.XLOOKUP(A1263,PPTO_GENERADOR!Q:Q,PPTO_GENERADOR!E:E,"-",0)</f>
        <v>861</v>
      </c>
      <c r="Q1263" s="123">
        <f t="shared" si="459"/>
        <v>0</v>
      </c>
      <c r="R1263" s="125">
        <f>+_xlfn.XLOOKUP(A1263,PPTO_GENERADOR!$Q:$Q,PPTO_GENERADOR!A:A,"-",0)</f>
        <v>15.1</v>
      </c>
    </row>
    <row r="1264" spans="1:18" ht="14.25" customHeight="1" x14ac:dyDescent="0.35">
      <c r="A1264" s="105" t="s">
        <v>263</v>
      </c>
      <c r="B1264" s="105" t="s">
        <v>1979</v>
      </c>
      <c r="C1264" s="105" t="s">
        <v>1982</v>
      </c>
      <c r="D1264" s="105" t="s">
        <v>1596</v>
      </c>
      <c r="E1264" s="95" t="str">
        <f>IFERROR(VLOOKUP(D1264,SUBCONTRATOS_PRY!A:B,2,FALSE()),"?")</f>
        <v>Plus por silleta y rendimiento (40%)</v>
      </c>
      <c r="F1264" s="129" t="s">
        <v>2042</v>
      </c>
      <c r="G1264" s="119">
        <v>1</v>
      </c>
      <c r="H1264" s="120">
        <v>0</v>
      </c>
      <c r="I1264" s="96">
        <f>IFERROR(VLOOKUP(D1264,SUBCONTRATOS_PRY!A:D,4,FALSE()),0)</f>
        <v>2430.3777518332599</v>
      </c>
      <c r="J1264" s="31">
        <f t="shared" si="469"/>
        <v>2430.3777518332599</v>
      </c>
      <c r="K1264" s="32" t="str">
        <f t="shared" si="470"/>
        <v>PTO-0151|MO</v>
      </c>
      <c r="L1264" s="32">
        <f>COUNTIFS($K$2:K1264,K1264)</f>
        <v>2</v>
      </c>
      <c r="M1264" s="32" t="str">
        <f t="shared" si="456"/>
        <v>PTO-0151|MO|2</v>
      </c>
      <c r="N1264" s="121">
        <f>IFERROR(VLOOKUP(A1264,PARTIDAS!A:F,6,FALSE()),0)</f>
        <v>1</v>
      </c>
      <c r="O1264" s="123">
        <f t="shared" si="458"/>
        <v>0</v>
      </c>
      <c r="P1264" s="123">
        <f>+_xlfn.XLOOKUP(A1264,PPTO_GENERADOR!Q:Q,PPTO_GENERADOR!E:E,"-",0)</f>
        <v>861</v>
      </c>
      <c r="Q1264" s="123">
        <f t="shared" si="459"/>
        <v>0</v>
      </c>
      <c r="R1264" s="125">
        <f>+_xlfn.XLOOKUP(A1264,PPTO_GENERADOR!$Q:$Q,PPTO_GENERADOR!A:A,"-",0)</f>
        <v>15.1</v>
      </c>
    </row>
    <row r="1265" spans="1:18" ht="14.25" customHeight="1" x14ac:dyDescent="0.35">
      <c r="A1265" s="105" t="s">
        <v>263</v>
      </c>
      <c r="B1265" s="105" t="s">
        <v>1979</v>
      </c>
      <c r="C1265" s="105" t="s">
        <v>1982</v>
      </c>
      <c r="D1265" s="105" t="s">
        <v>1598</v>
      </c>
      <c r="E1265" s="95" t="str">
        <f>IFERROR(VLOOKUP(D1265,SUBCONTRATOS_PRY!A:B,2,FALSE()),"?")</f>
        <v>Alquiler de balancin - Leiten 3,00 m</v>
      </c>
      <c r="F1265" s="129" t="s">
        <v>2042</v>
      </c>
      <c r="G1265" s="119">
        <v>1.1609999999999999E-3</v>
      </c>
      <c r="H1265" s="120">
        <v>0</v>
      </c>
      <c r="I1265" s="96">
        <f>IFERROR(VLOOKUP(D1265,SUBCONTRATOS_PRY!A:D,4,FALSE()),0)</f>
        <v>672000</v>
      </c>
      <c r="J1265" s="31">
        <f t="shared" si="469"/>
        <v>780.19199999999989</v>
      </c>
      <c r="K1265" s="32" t="str">
        <f t="shared" si="470"/>
        <v>PTO-0151|MO</v>
      </c>
      <c r="L1265" s="32">
        <f>COUNTIFS($K$2:K1265,K1265)</f>
        <v>3</v>
      </c>
      <c r="M1265" s="32" t="str">
        <f t="shared" si="456"/>
        <v>PTO-0151|MO|3</v>
      </c>
      <c r="N1265" s="121">
        <f>IFERROR(VLOOKUP(A1265,PARTIDAS!A:F,6,FALSE()),0)</f>
        <v>1</v>
      </c>
      <c r="O1265" s="123">
        <f t="shared" si="458"/>
        <v>0</v>
      </c>
      <c r="P1265" s="123">
        <f>+_xlfn.XLOOKUP(A1265,PPTO_GENERADOR!Q:Q,PPTO_GENERADOR!E:E,"-",0)</f>
        <v>861</v>
      </c>
      <c r="Q1265" s="123">
        <f t="shared" si="459"/>
        <v>0</v>
      </c>
      <c r="R1265" s="125">
        <f>+_xlfn.XLOOKUP(A1265,PPTO_GENERADOR!$Q:$Q,PPTO_GENERADOR!A:A,"-",0)</f>
        <v>15.1</v>
      </c>
    </row>
    <row r="1266" spans="1:18" ht="14.25" customHeight="1" x14ac:dyDescent="0.35">
      <c r="A1266" s="105" t="s">
        <v>263</v>
      </c>
      <c r="B1266" s="105" t="s">
        <v>1983</v>
      </c>
      <c r="C1266" s="105"/>
      <c r="D1266" s="105" t="s">
        <v>1417</v>
      </c>
      <c r="E1266" s="95" t="str">
        <f>IFERROR(VLOOKUP(D1266,EQUIPOS!A:B,2,FALSE()),"?")</f>
        <v>Herramientas — Revestimiento plástico a rodillo tipo Qu</v>
      </c>
      <c r="F1266" s="129"/>
      <c r="G1266" s="119">
        <v>1</v>
      </c>
      <c r="H1266" s="120">
        <v>0</v>
      </c>
      <c r="I1266" s="96">
        <f>IFERROR(VLOOKUP(D1266,EQUIPOS!A:F,6,FALSE()),0)</f>
        <v>191.13501684180801</v>
      </c>
      <c r="J1266" s="31">
        <f>G1266*I1266</f>
        <v>191.13501684180801</v>
      </c>
      <c r="K1266" s="32" t="str">
        <f t="shared" si="470"/>
        <v>PTO-0151|EQ</v>
      </c>
      <c r="L1266" s="32">
        <f>COUNTIFS($K$2:K1266,K1266)</f>
        <v>1</v>
      </c>
      <c r="M1266" s="32" t="str">
        <f t="shared" si="456"/>
        <v>PTO-0151|EQ|1</v>
      </c>
      <c r="N1266" s="121">
        <f>IFERROR(VLOOKUP(A1266,PARTIDAS!A:F,6,FALSE()),0)</f>
        <v>1</v>
      </c>
      <c r="O1266" s="123">
        <f t="shared" si="458"/>
        <v>0</v>
      </c>
      <c r="P1266" s="123">
        <f>+_xlfn.XLOOKUP(A1266,PPTO_GENERADOR!Q:Q,PPTO_GENERADOR!E:E,"-",0)</f>
        <v>861</v>
      </c>
      <c r="Q1266" s="123">
        <f t="shared" si="459"/>
        <v>0</v>
      </c>
      <c r="R1266" s="125">
        <f>+_xlfn.XLOOKUP(A1266,PPTO_GENERADOR!$Q:$Q,PPTO_GENERADOR!A:A,"-",0)</f>
        <v>15.1</v>
      </c>
    </row>
    <row r="1267" spans="1:18" ht="14.25" customHeight="1" x14ac:dyDescent="0.35">
      <c r="A1267" s="105" t="s">
        <v>265</v>
      </c>
      <c r="B1267" s="105" t="s">
        <v>1981</v>
      </c>
      <c r="C1267" s="105" t="s">
        <v>1982</v>
      </c>
      <c r="D1267" s="105" t="s">
        <v>778</v>
      </c>
      <c r="E1267" s="95" t="str">
        <f>IFERROR(VLOOKUP(D1267,MATERIALES!A:B,2,FALSE()),"?")</f>
        <v>Removedor en gel para marcos</v>
      </c>
      <c r="F1267" s="129" t="str">
        <f>IFERROR(VLOOKUP(D1267,MATERIALES!A:C,3,FALSE()),"?")</f>
        <v>u</v>
      </c>
      <c r="G1267" s="119">
        <v>2.2727000000000001E-2</v>
      </c>
      <c r="H1267" s="120">
        <v>0</v>
      </c>
      <c r="I1267" s="96">
        <f>IFERROR(VLOOKUP(D1267,MATERIALES!A:D,4,FALSE()),0)</f>
        <v>35000</v>
      </c>
      <c r="J1267" s="31">
        <f>G1267*I1267*(1+H1267)</f>
        <v>795.44500000000005</v>
      </c>
      <c r="K1267" s="32" t="str">
        <f t="shared" si="470"/>
        <v>PTO-1511|MAT</v>
      </c>
      <c r="L1267" s="32">
        <f>COUNTIFS($K$2:K1267,K1267)</f>
        <v>1</v>
      </c>
      <c r="M1267" s="32" t="str">
        <f t="shared" si="456"/>
        <v>PTO-1511|MAT|1</v>
      </c>
      <c r="N1267" s="121">
        <f>IFERROR(VLOOKUP(A1267,PARTIDAS!A:F,6,FALSE()),0)</f>
        <v>1</v>
      </c>
      <c r="O1267" s="123">
        <f t="shared" si="458"/>
        <v>0</v>
      </c>
      <c r="P1267" s="123">
        <f>+_xlfn.XLOOKUP(A1267,PPTO_GENERADOR!Q:Q,PPTO_GENERADOR!E:E,"-",0)</f>
        <v>88</v>
      </c>
      <c r="Q1267" s="123">
        <f t="shared" si="459"/>
        <v>0</v>
      </c>
      <c r="R1267" s="125">
        <f>+_xlfn.XLOOKUP(A1267,PPTO_GENERADOR!$Q:$Q,PPTO_GENERADOR!A:A,"-",0)</f>
        <v>15.11</v>
      </c>
    </row>
    <row r="1268" spans="1:18" ht="14.25" customHeight="1" x14ac:dyDescent="0.35">
      <c r="A1268" s="105" t="s">
        <v>265</v>
      </c>
      <c r="B1268" s="105" t="s">
        <v>1979</v>
      </c>
      <c r="C1268" s="105" t="s">
        <v>1980</v>
      </c>
      <c r="D1268" s="105" t="s">
        <v>2038</v>
      </c>
      <c r="E1268" s="95" t="str">
        <f>IFERROR(VLOOKUP(D1268,MANO_DE_OBRA!A:B,2,FALSE()),"?")</f>
        <v>AYUDANTE</v>
      </c>
      <c r="F1268" s="129" t="s">
        <v>2042</v>
      </c>
      <c r="G1268" s="119">
        <v>0.204545</v>
      </c>
      <c r="H1268" s="120">
        <v>0</v>
      </c>
      <c r="I1268" s="96">
        <f>IFERROR(VLOOKUP(D1268,MANO_DE_OBRA!A:C,3,FALSE()),0)</f>
        <v>67240.498860267602</v>
      </c>
      <c r="J1268" s="31">
        <f t="shared" ref="J1268" si="471">G1268*I1268</f>
        <v>13753.707839373437</v>
      </c>
      <c r="K1268" s="32" t="str">
        <f t="shared" si="470"/>
        <v>PTO-1511|MO</v>
      </c>
      <c r="L1268" s="32">
        <f>COUNTIFS($K$2:K1268,K1268)</f>
        <v>1</v>
      </c>
      <c r="M1268" s="32" t="str">
        <f t="shared" si="456"/>
        <v>PTO-1511|MO|1</v>
      </c>
      <c r="N1268" s="121">
        <f>IFERROR(VLOOKUP(A1268,PARTIDAS!A:F,6,FALSE()),0)</f>
        <v>1</v>
      </c>
      <c r="O1268" s="123">
        <f t="shared" si="458"/>
        <v>0.204545</v>
      </c>
      <c r="P1268" s="123">
        <f>+_xlfn.XLOOKUP(A1268,PPTO_GENERADOR!Q:Q,PPTO_GENERADOR!E:E,"-",0)</f>
        <v>88</v>
      </c>
      <c r="Q1268" s="123">
        <f t="shared" si="459"/>
        <v>17.999960000000002</v>
      </c>
      <c r="R1268" s="125">
        <f>+_xlfn.XLOOKUP(A1268,PPTO_GENERADOR!$Q:$Q,PPTO_GENERADOR!A:A,"-",0)</f>
        <v>15.11</v>
      </c>
    </row>
    <row r="1269" spans="1:18" ht="14.25" customHeight="1" x14ac:dyDescent="0.35">
      <c r="A1269" s="105" t="s">
        <v>265</v>
      </c>
      <c r="B1269" s="105" t="s">
        <v>1981</v>
      </c>
      <c r="C1269" s="105" t="s">
        <v>1982</v>
      </c>
      <c r="D1269" s="105" t="s">
        <v>780</v>
      </c>
      <c r="E1269" s="95" t="str">
        <f>IFERROR(VLOOKUP(D1269,MATERIALES!A:B,2,FALSE()),"?")</f>
        <v>Esmalte sintetico</v>
      </c>
      <c r="F1269" s="129" t="str">
        <f>IFERROR(VLOOKUP(D1269,MATERIALES!A:C,3,FALSE()),"?")</f>
        <v>u</v>
      </c>
      <c r="G1269" s="119">
        <v>5.6048749999999998</v>
      </c>
      <c r="H1269" s="120">
        <v>0</v>
      </c>
      <c r="I1269" s="96">
        <f>IFERROR(VLOOKUP(D1269,MATERIALES!A:D,4,FALSE()),0)</f>
        <v>4460.73119834711</v>
      </c>
      <c r="J1269" s="31">
        <f>G1269*I1269*(1+H1269)</f>
        <v>25001.840775335757</v>
      </c>
      <c r="K1269" s="32" t="str">
        <f t="shared" si="470"/>
        <v>PTO-1511|MAT</v>
      </c>
      <c r="L1269" s="32">
        <f>COUNTIFS($K$2:K1269,K1269)</f>
        <v>2</v>
      </c>
      <c r="M1269" s="32" t="str">
        <f t="shared" si="456"/>
        <v>PTO-1511|MAT|2</v>
      </c>
      <c r="N1269" s="121">
        <f>IFERROR(VLOOKUP(A1269,PARTIDAS!A:F,6,FALSE()),0)</f>
        <v>1</v>
      </c>
      <c r="O1269" s="123">
        <f t="shared" si="458"/>
        <v>0</v>
      </c>
      <c r="P1269" s="123">
        <f>+_xlfn.XLOOKUP(A1269,PPTO_GENERADOR!Q:Q,PPTO_GENERADOR!E:E,"-",0)</f>
        <v>88</v>
      </c>
      <c r="Q1269" s="123">
        <f t="shared" si="459"/>
        <v>0</v>
      </c>
      <c r="R1269" s="125">
        <f>+_xlfn.XLOOKUP(A1269,PPTO_GENERADOR!$Q:$Q,PPTO_GENERADOR!A:A,"-",0)</f>
        <v>15.11</v>
      </c>
    </row>
    <row r="1270" spans="1:18" ht="14.25" customHeight="1" x14ac:dyDescent="0.35">
      <c r="A1270" s="105" t="s">
        <v>265</v>
      </c>
      <c r="B1270" s="105" t="s">
        <v>1979</v>
      </c>
      <c r="C1270" s="105" t="s">
        <v>1982</v>
      </c>
      <c r="D1270" s="105" t="s">
        <v>1600</v>
      </c>
      <c r="E1270" s="95" t="str">
        <f>IFERROR(VLOOKUP(D1270,SUBCONTRATOS_PRY!A:B,2,FALSE()),"?")</f>
        <v>Esmalte sintetico</v>
      </c>
      <c r="F1270" s="129" t="s">
        <v>2042</v>
      </c>
      <c r="G1270" s="119">
        <v>5.6048749999999998</v>
      </c>
      <c r="H1270" s="120">
        <v>0</v>
      </c>
      <c r="I1270" s="96">
        <f>IFERROR(VLOOKUP(D1270,SUBCONTRATOS_PRY!A:D,4,FALSE()),0)</f>
        <v>12033.5234801962</v>
      </c>
      <c r="J1270" s="31">
        <f>G1270*I1270</f>
        <v>67446.394916064673</v>
      </c>
      <c r="K1270" s="32" t="str">
        <f t="shared" si="470"/>
        <v>PTO-1511|MO</v>
      </c>
      <c r="L1270" s="32">
        <f>COUNTIFS($K$2:K1270,K1270)</f>
        <v>2</v>
      </c>
      <c r="M1270" s="32" t="str">
        <f t="shared" si="456"/>
        <v>PTO-1511|MO|2</v>
      </c>
      <c r="N1270" s="121">
        <f>IFERROR(VLOOKUP(A1270,PARTIDAS!A:F,6,FALSE()),0)</f>
        <v>1</v>
      </c>
      <c r="O1270" s="123">
        <f t="shared" si="458"/>
        <v>0</v>
      </c>
      <c r="P1270" s="123">
        <f>+_xlfn.XLOOKUP(A1270,PPTO_GENERADOR!Q:Q,PPTO_GENERADOR!E:E,"-",0)</f>
        <v>88</v>
      </c>
      <c r="Q1270" s="123">
        <f t="shared" si="459"/>
        <v>0</v>
      </c>
      <c r="R1270" s="125">
        <f>+_xlfn.XLOOKUP(A1270,PPTO_GENERADOR!$Q:$Q,PPTO_GENERADOR!A:A,"-",0)</f>
        <v>15.11</v>
      </c>
    </row>
    <row r="1271" spans="1:18" ht="14.25" customHeight="1" x14ac:dyDescent="0.35">
      <c r="A1271" s="105" t="s">
        <v>265</v>
      </c>
      <c r="B1271" s="105" t="s">
        <v>1983</v>
      </c>
      <c r="C1271" s="105"/>
      <c r="D1271" s="105" t="s">
        <v>1419</v>
      </c>
      <c r="E1271" s="95" t="str">
        <f>IFERROR(VLOOKUP(D1271,EQUIPOS!A:B,2,FALSE()),"?")</f>
        <v>Herramientas — Esmalte sintético en puertas placa, chap</v>
      </c>
      <c r="F1271" s="129"/>
      <c r="G1271" s="119">
        <v>1</v>
      </c>
      <c r="H1271" s="120">
        <v>0</v>
      </c>
      <c r="I1271" s="96">
        <f>IFERROR(VLOOKUP(D1271,EQUIPOS!A:F,6,FALSE()),0)</f>
        <v>1604.9614296013699</v>
      </c>
      <c r="J1271" s="31">
        <f>G1271*I1271</f>
        <v>1604.9614296013699</v>
      </c>
      <c r="K1271" s="32" t="str">
        <f t="shared" si="470"/>
        <v>PTO-1511|EQ</v>
      </c>
      <c r="L1271" s="32">
        <f>COUNTIFS($K$2:K1271,K1271)</f>
        <v>1</v>
      </c>
      <c r="M1271" s="32" t="str">
        <f t="shared" si="456"/>
        <v>PTO-1511|EQ|1</v>
      </c>
      <c r="N1271" s="121">
        <f>IFERROR(VLOOKUP(A1271,PARTIDAS!A:F,6,FALSE()),0)</f>
        <v>1</v>
      </c>
      <c r="O1271" s="123">
        <f t="shared" si="458"/>
        <v>0</v>
      </c>
      <c r="P1271" s="123">
        <f>+_xlfn.XLOOKUP(A1271,PPTO_GENERADOR!Q:Q,PPTO_GENERADOR!E:E,"-",0)</f>
        <v>88</v>
      </c>
      <c r="Q1271" s="123">
        <f t="shared" si="459"/>
        <v>0</v>
      </c>
      <c r="R1271" s="125">
        <f>+_xlfn.XLOOKUP(A1271,PPTO_GENERADOR!$Q:$Q,PPTO_GENERADOR!A:A,"-",0)</f>
        <v>15.11</v>
      </c>
    </row>
    <row r="1272" spans="1:18" ht="14.25" customHeight="1" x14ac:dyDescent="0.35">
      <c r="A1272" s="105" t="s">
        <v>267</v>
      </c>
      <c r="B1272" s="105" t="s">
        <v>1981</v>
      </c>
      <c r="C1272" s="105" t="s">
        <v>1982</v>
      </c>
      <c r="D1272" s="105" t="s">
        <v>782</v>
      </c>
      <c r="E1272" s="95" t="str">
        <f>IFERROR(VLOOKUP(D1272,MATERIALES!A:B,2,FALSE()),"?")</f>
        <v>m2</v>
      </c>
      <c r="F1272" s="129" t="str">
        <f>IFERROR(VLOOKUP(D1272,MATERIALES!A:C,3,FALSE()),"?")</f>
        <v>u</v>
      </c>
      <c r="G1272" s="119">
        <v>473.21199999999999</v>
      </c>
      <c r="H1272" s="120">
        <v>0</v>
      </c>
      <c r="I1272" s="96">
        <f>IFERROR(VLOOKUP(D1272,MATERIALES!A:D,4,FALSE()),0)</f>
        <v>2676.4387190082598</v>
      </c>
      <c r="J1272" s="31">
        <f>G1272*I1272*(1+H1272)</f>
        <v>1266522.9190993365</v>
      </c>
      <c r="K1272" s="32" t="str">
        <f t="shared" si="470"/>
        <v>PTO-1512|MAT</v>
      </c>
      <c r="L1272" s="32">
        <f>COUNTIFS($K$2:K1272,K1272)</f>
        <v>1</v>
      </c>
      <c r="M1272" s="32" t="str">
        <f t="shared" si="456"/>
        <v>PTO-1512|MAT|1</v>
      </c>
      <c r="N1272" s="121">
        <f>IFERROR(VLOOKUP(A1272,PARTIDAS!A:F,6,FALSE()),0)</f>
        <v>1</v>
      </c>
      <c r="O1272" s="123">
        <f t="shared" si="458"/>
        <v>0</v>
      </c>
      <c r="P1272" s="123">
        <f>+_xlfn.XLOOKUP(A1272,PPTO_GENERADOR!Q:Q,PPTO_GENERADOR!E:E,"-",0)</f>
        <v>1</v>
      </c>
      <c r="Q1272" s="123">
        <f t="shared" si="459"/>
        <v>0</v>
      </c>
      <c r="R1272" s="125">
        <f>+_xlfn.XLOOKUP(A1272,PPTO_GENERADOR!$Q:$Q,PPTO_GENERADOR!A:A,"-",0)</f>
        <v>15.12</v>
      </c>
    </row>
    <row r="1273" spans="1:18" ht="14.25" customHeight="1" x14ac:dyDescent="0.35">
      <c r="A1273" s="105" t="s">
        <v>267</v>
      </c>
      <c r="B1273" s="105" t="s">
        <v>1979</v>
      </c>
      <c r="C1273" s="105" t="s">
        <v>1982</v>
      </c>
      <c r="D1273" s="105" t="s">
        <v>1601</v>
      </c>
      <c r="E1273" s="95" t="str">
        <f>IFERROR(VLOOKUP(D1273,SUBCONTRATOS_PRY!A:B,2,FALSE()),"?")</f>
        <v>m2</v>
      </c>
      <c r="F1273" s="129" t="s">
        <v>2042</v>
      </c>
      <c r="G1273" s="119">
        <v>473.21199999999999</v>
      </c>
      <c r="H1273" s="120">
        <v>0</v>
      </c>
      <c r="I1273" s="96">
        <f>IFERROR(VLOOKUP(D1273,SUBCONTRATOS_PRY!A:D,4,FALSE()),0)</f>
        <v>12033.5234801962</v>
      </c>
      <c r="J1273" s="31">
        <f>G1273*I1273</f>
        <v>5694407.7131106043</v>
      </c>
      <c r="K1273" s="32" t="str">
        <f t="shared" si="470"/>
        <v>PTO-1512|MO</v>
      </c>
      <c r="L1273" s="32">
        <f>COUNTIFS($K$2:K1273,K1273)</f>
        <v>1</v>
      </c>
      <c r="M1273" s="32" t="str">
        <f t="shared" si="456"/>
        <v>PTO-1512|MO|1</v>
      </c>
      <c r="N1273" s="121">
        <f>IFERROR(VLOOKUP(A1273,PARTIDAS!A:F,6,FALSE()),0)</f>
        <v>1</v>
      </c>
      <c r="O1273" s="123">
        <f t="shared" si="458"/>
        <v>0</v>
      </c>
      <c r="P1273" s="123">
        <f>+_xlfn.XLOOKUP(A1273,PPTO_GENERADOR!Q:Q,PPTO_GENERADOR!E:E,"-",0)</f>
        <v>1</v>
      </c>
      <c r="Q1273" s="123">
        <f t="shared" si="459"/>
        <v>0</v>
      </c>
      <c r="R1273" s="125">
        <f>+_xlfn.XLOOKUP(A1273,PPTO_GENERADOR!$Q:$Q,PPTO_GENERADOR!A:A,"-",0)</f>
        <v>15.12</v>
      </c>
    </row>
    <row r="1274" spans="1:18" ht="14.25" customHeight="1" x14ac:dyDescent="0.35">
      <c r="A1274" s="105" t="s">
        <v>267</v>
      </c>
      <c r="B1274" s="105" t="s">
        <v>1983</v>
      </c>
      <c r="C1274" s="105"/>
      <c r="D1274" s="105" t="s">
        <v>1421</v>
      </c>
      <c r="E1274" s="95" t="str">
        <f>IFERROR(VLOOKUP(D1274,EQUIPOS!A:B,2,FALSE()),"?")</f>
        <v>Herramientas — Convertidor y esmalte sintético en baran</v>
      </c>
      <c r="F1274" s="129"/>
      <c r="G1274" s="119">
        <v>1</v>
      </c>
      <c r="H1274" s="120">
        <v>0</v>
      </c>
      <c r="I1274" s="96">
        <f>IFERROR(VLOOKUP(D1274,EQUIPOS!A:F,6,FALSE()),0)</f>
        <v>104413.959483149</v>
      </c>
      <c r="J1274" s="31">
        <f>G1274*I1274</f>
        <v>104413.959483149</v>
      </c>
      <c r="K1274" s="32" t="str">
        <f t="shared" si="470"/>
        <v>PTO-1512|EQ</v>
      </c>
      <c r="L1274" s="32">
        <f>COUNTIFS($K$2:K1274,K1274)</f>
        <v>1</v>
      </c>
      <c r="M1274" s="32" t="str">
        <f t="shared" ref="M1274:M1276" si="472">K1274&amp;"|"&amp;L1274</f>
        <v>PTO-1512|EQ|1</v>
      </c>
      <c r="N1274" s="121">
        <f>IFERROR(VLOOKUP(A1274,PARTIDAS!A:F,6,FALSE()),0)</f>
        <v>1</v>
      </c>
      <c r="O1274" s="123">
        <f t="shared" si="458"/>
        <v>0</v>
      </c>
      <c r="P1274" s="123">
        <f>+_xlfn.XLOOKUP(A1274,PPTO_GENERADOR!Q:Q,PPTO_GENERADOR!E:E,"-",0)</f>
        <v>1</v>
      </c>
      <c r="Q1274" s="123">
        <f t="shared" si="459"/>
        <v>0</v>
      </c>
      <c r="R1274" s="125">
        <f>+_xlfn.XLOOKUP(A1274,PPTO_GENERADOR!$Q:$Q,PPTO_GENERADOR!A:A,"-",0)</f>
        <v>15.12</v>
      </c>
    </row>
    <row r="1275" spans="1:18" ht="14.25" customHeight="1" x14ac:dyDescent="0.35">
      <c r="A1275" s="105" t="s">
        <v>269</v>
      </c>
      <c r="B1275" s="105" t="s">
        <v>1981</v>
      </c>
      <c r="C1275" s="105" t="s">
        <v>1982</v>
      </c>
      <c r="D1275" s="105" t="s">
        <v>538</v>
      </c>
      <c r="E1275" s="95" t="str">
        <f>IFERROR(VLOOKUP(D1275,MATERIALES!A:B,2,FALSE()),"?")</f>
        <v>ARENA LAVADA</v>
      </c>
      <c r="F1275" s="129">
        <f>IFERROR(VLOOKUP(D1275,MATERIALES!A:C,3,FALSE()),"?")</f>
        <v>0</v>
      </c>
      <c r="G1275" s="119">
        <v>3.5999999999999997E-2</v>
      </c>
      <c r="H1275" s="120">
        <v>0.1</v>
      </c>
      <c r="I1275" s="96">
        <f>IFERROR(VLOOKUP(D1275,MATERIALES!A:D,4,FALSE()),0)</f>
        <v>32620.38</v>
      </c>
      <c r="J1275" s="31">
        <f t="shared" ref="J1275:J1276" si="473">G1275*I1275*(1+H1275)</f>
        <v>1291.7670480000002</v>
      </c>
      <c r="K1275" s="32" t="str">
        <f t="shared" si="470"/>
        <v>PTO-1701|MAT</v>
      </c>
      <c r="L1275" s="32">
        <f>COUNTIFS($K$2:K1275,K1275)</f>
        <v>1</v>
      </c>
      <c r="M1275" s="32" t="str">
        <f t="shared" si="472"/>
        <v>PTO-1701|MAT|1</v>
      </c>
      <c r="N1275" s="121">
        <f>IFERROR(VLOOKUP(A1275,PARTIDAS!A:F,6,FALSE()),0)</f>
        <v>2</v>
      </c>
      <c r="O1275" s="123">
        <f t="shared" si="458"/>
        <v>0</v>
      </c>
      <c r="P1275" s="123">
        <f>+_xlfn.XLOOKUP(A1275,PPTO_GENERADOR!Q:Q,PPTO_GENERADOR!E:E,"-",0)</f>
        <v>43</v>
      </c>
      <c r="Q1275" s="123">
        <f t="shared" si="459"/>
        <v>0</v>
      </c>
      <c r="R1275" s="125">
        <f>+_xlfn.XLOOKUP(A1275,PPTO_GENERADOR!$Q:$Q,PPTO_GENERADOR!A:A,"-",0)</f>
        <v>17.010000000000002</v>
      </c>
    </row>
    <row r="1276" spans="1:18" ht="14.25" customHeight="1" x14ac:dyDescent="0.35">
      <c r="A1276" s="105" t="s">
        <v>269</v>
      </c>
      <c r="B1276" s="105" t="s">
        <v>1981</v>
      </c>
      <c r="C1276" s="105" t="s">
        <v>1982</v>
      </c>
      <c r="D1276" s="105" t="s">
        <v>540</v>
      </c>
      <c r="E1276" s="95" t="str">
        <f>IFERROR(VLOOKUP(D1276,MATERIALES!A:B,2,FALSE()),"?")</f>
        <v>Cemento Portland x 50kg</v>
      </c>
      <c r="F1276" s="129">
        <f>IFERROR(VLOOKUP(D1276,MATERIALES!A:C,3,FALSE()),"?")</f>
        <v>0</v>
      </c>
      <c r="G1276" s="119">
        <v>0.32400000000000001</v>
      </c>
      <c r="H1276" s="120">
        <v>0.1</v>
      </c>
      <c r="I1276" s="96">
        <f>IFERROR(VLOOKUP(D1276,MATERIALES!A:D,4,FALSE()),0)</f>
        <v>7891.74</v>
      </c>
      <c r="J1276" s="31">
        <f t="shared" si="473"/>
        <v>2812.6161360000006</v>
      </c>
      <c r="K1276" s="32" t="str">
        <f t="shared" si="470"/>
        <v>PTO-1701|MAT</v>
      </c>
      <c r="L1276" s="32">
        <f>COUNTIFS($K$2:K1276,K1276)</f>
        <v>2</v>
      </c>
      <c r="M1276" s="32" t="str">
        <f t="shared" si="472"/>
        <v>PTO-1701|MAT|2</v>
      </c>
      <c r="N1276" s="121">
        <f>IFERROR(VLOOKUP(A1276,PARTIDAS!A:F,6,FALSE()),0)</f>
        <v>2</v>
      </c>
      <c r="O1276" s="123">
        <f t="shared" si="458"/>
        <v>0</v>
      </c>
      <c r="P1276" s="123">
        <f>+_xlfn.XLOOKUP(A1276,PPTO_GENERADOR!Q:Q,PPTO_GENERADOR!E:E,"-",0)</f>
        <v>43</v>
      </c>
      <c r="Q1276" s="123">
        <f t="shared" si="459"/>
        <v>0</v>
      </c>
      <c r="R1276" s="125">
        <f>+_xlfn.XLOOKUP(A1276,PPTO_GENERADOR!$Q:$Q,PPTO_GENERADOR!A:A,"-",0)</f>
        <v>17.010000000000002</v>
      </c>
    </row>
    <row r="1277" spans="1:18" ht="14.25" customHeight="1" x14ac:dyDescent="0.35">
      <c r="A1277" s="105" t="s">
        <v>269</v>
      </c>
      <c r="B1277" s="105" t="s">
        <v>1979</v>
      </c>
      <c r="C1277" s="105" t="s">
        <v>1980</v>
      </c>
      <c r="D1277" s="105" t="s">
        <v>2038</v>
      </c>
      <c r="E1277" s="95" t="str">
        <f>IFERROR(VLOOKUP(D1277,MANO_DE_OBRA!A:B,2,FALSE()),"?")</f>
        <v>AYUDANTE</v>
      </c>
      <c r="F1277" s="129" t="s">
        <v>2042</v>
      </c>
      <c r="G1277" s="119">
        <v>0.75</v>
      </c>
      <c r="H1277" s="120">
        <v>0</v>
      </c>
      <c r="I1277" s="96">
        <f>IFERROR(VLOOKUP(D1277,MANO_DE_OBRA!A:C,3,FALSE()),0)</f>
        <v>67240.498860267602</v>
      </c>
      <c r="J1277" s="31">
        <f t="shared" ref="J1277:J1280" si="474">G1277*I1277</f>
        <v>50430.374145200702</v>
      </c>
      <c r="K1277" s="32" t="str">
        <f t="shared" si="470"/>
        <v>PTO-1701|MO</v>
      </c>
      <c r="L1277" s="32">
        <f>COUNTIFS($K$2:K1277,K1277)</f>
        <v>1</v>
      </c>
      <c r="M1277" s="32" t="str">
        <f t="shared" ref="M1277:M1337" si="475">K1277&amp;"|"&amp;L1277</f>
        <v>PTO-1701|MO|1</v>
      </c>
      <c r="N1277" s="121">
        <f>IFERROR(VLOOKUP(A1277,PARTIDAS!A:F,6,FALSE()),0)</f>
        <v>2</v>
      </c>
      <c r="O1277" s="123">
        <f t="shared" si="458"/>
        <v>0.375</v>
      </c>
      <c r="P1277" s="123">
        <f>+_xlfn.XLOOKUP(A1277,PPTO_GENERADOR!Q:Q,PPTO_GENERADOR!E:E,"-",0)</f>
        <v>43</v>
      </c>
      <c r="Q1277" s="123">
        <f t="shared" si="459"/>
        <v>16.125</v>
      </c>
      <c r="R1277" s="125">
        <f>+_xlfn.XLOOKUP(A1277,PPTO_GENERADOR!$Q:$Q,PPTO_GENERADOR!A:A,"-",0)</f>
        <v>17.010000000000002</v>
      </c>
    </row>
    <row r="1278" spans="1:18" ht="14.25" customHeight="1" x14ac:dyDescent="0.35">
      <c r="A1278" s="105" t="s">
        <v>269</v>
      </c>
      <c r="B1278" s="105" t="s">
        <v>1979</v>
      </c>
      <c r="C1278" s="105" t="s">
        <v>1980</v>
      </c>
      <c r="D1278" s="105" t="s">
        <v>1292</v>
      </c>
      <c r="E1278" s="95" t="str">
        <f>IFERROR(VLOOKUP(D1278,MANO_DE_OBRA!A:B,2,FALSE()),"?")</f>
        <v>ESPECIALIZADO</v>
      </c>
      <c r="F1278" s="129" t="s">
        <v>2042</v>
      </c>
      <c r="G1278" s="119">
        <v>0.75</v>
      </c>
      <c r="H1278" s="120">
        <v>0</v>
      </c>
      <c r="I1278" s="96">
        <f>IFERROR(VLOOKUP(D1278,MANO_DE_OBRA!A:C,3,FALSE()),0)</f>
        <v>94177.137883538904</v>
      </c>
      <c r="J1278" s="31">
        <f t="shared" si="474"/>
        <v>70632.853412654178</v>
      </c>
      <c r="K1278" s="32" t="str">
        <f t="shared" si="470"/>
        <v>PTO-1701|MO</v>
      </c>
      <c r="L1278" s="32">
        <f>COUNTIFS($K$2:K1278,K1278)</f>
        <v>2</v>
      </c>
      <c r="M1278" s="32" t="str">
        <f t="shared" si="475"/>
        <v>PTO-1701|MO|2</v>
      </c>
      <c r="N1278" s="121">
        <f>IFERROR(VLOOKUP(A1278,PARTIDAS!A:F,6,FALSE()),0)</f>
        <v>2</v>
      </c>
      <c r="O1278" s="123">
        <f t="shared" si="458"/>
        <v>0.375</v>
      </c>
      <c r="P1278" s="123">
        <f>+_xlfn.XLOOKUP(A1278,PPTO_GENERADOR!Q:Q,PPTO_GENERADOR!E:E,"-",0)</f>
        <v>43</v>
      </c>
      <c r="Q1278" s="123">
        <f t="shared" si="459"/>
        <v>16.125</v>
      </c>
      <c r="R1278" s="125">
        <f>+_xlfn.XLOOKUP(A1278,PPTO_GENERADOR!$Q:$Q,PPTO_GENERADOR!A:A,"-",0)</f>
        <v>17.010000000000002</v>
      </c>
    </row>
    <row r="1279" spans="1:18" ht="14.25" customHeight="1" x14ac:dyDescent="0.35">
      <c r="A1279" s="105" t="s">
        <v>269</v>
      </c>
      <c r="B1279" s="105" t="s">
        <v>1983</v>
      </c>
      <c r="C1279" s="105"/>
      <c r="D1279" s="105" t="s">
        <v>1319</v>
      </c>
      <c r="E1279" s="95" t="str">
        <f>IFERROR(VLOOKUP(D1279,EQUIPOS!A:B,2,FALSE()),"?")</f>
        <v>EQUIPO DE ALBAÑILERIA, carpetas, ladrillo</v>
      </c>
      <c r="F1279" s="129"/>
      <c r="G1279" s="119">
        <v>0.25</v>
      </c>
      <c r="H1279" s="120">
        <v>0</v>
      </c>
      <c r="I1279" s="96">
        <f>IFERROR(VLOOKUP(D1279,EQUIPOS!A:F,6,FALSE()),0)</f>
        <v>2485.8709964593982</v>
      </c>
      <c r="J1279" s="31">
        <f t="shared" si="474"/>
        <v>621.46774911484954</v>
      </c>
      <c r="K1279" s="32" t="str">
        <f t="shared" si="470"/>
        <v>PTO-1701|EQ</v>
      </c>
      <c r="L1279" s="32">
        <f>COUNTIFS($K$2:K1279,K1279)</f>
        <v>1</v>
      </c>
      <c r="M1279" s="32" t="str">
        <f t="shared" si="475"/>
        <v>PTO-1701|EQ|1</v>
      </c>
      <c r="N1279" s="121">
        <f>IFERROR(VLOOKUP(A1279,PARTIDAS!A:F,6,FALSE()),0)</f>
        <v>2</v>
      </c>
      <c r="O1279" s="123">
        <f t="shared" si="458"/>
        <v>0</v>
      </c>
      <c r="P1279" s="123">
        <f>+_xlfn.XLOOKUP(A1279,PPTO_GENERADOR!Q:Q,PPTO_GENERADOR!E:E,"-",0)</f>
        <v>43</v>
      </c>
      <c r="Q1279" s="123">
        <f t="shared" si="459"/>
        <v>0</v>
      </c>
      <c r="R1279" s="125">
        <f>+_xlfn.XLOOKUP(A1279,PPTO_GENERADOR!$Q:$Q,PPTO_GENERADOR!A:A,"-",0)</f>
        <v>17.010000000000002</v>
      </c>
    </row>
    <row r="1280" spans="1:18" ht="14.25" customHeight="1" x14ac:dyDescent="0.35">
      <c r="A1280" s="105" t="s">
        <v>269</v>
      </c>
      <c r="B1280" s="105" t="s">
        <v>1983</v>
      </c>
      <c r="C1280" s="105"/>
      <c r="D1280" s="105" t="s">
        <v>1507</v>
      </c>
      <c r="E1280" s="95" t="str">
        <f>IFERROR(VLOOKUP(D1280,EQUIPOS!A:B,2,FALSE()),"?")</f>
        <v>Hormigonera De 150 Litros 1hp Con Rueda Maciza</v>
      </c>
      <c r="F1280" s="129"/>
      <c r="G1280" s="119">
        <v>0.25</v>
      </c>
      <c r="H1280" s="120">
        <v>0</v>
      </c>
      <c r="I1280" s="96">
        <f>IFERROR(VLOOKUP(D1280,EQUIPOS!A:F,6,FALSE()),0)</f>
        <v>1040.4314486705237</v>
      </c>
      <c r="J1280" s="31">
        <f t="shared" si="474"/>
        <v>260.10786216763091</v>
      </c>
      <c r="K1280" s="32" t="str">
        <f t="shared" si="470"/>
        <v>PTO-1701|EQ</v>
      </c>
      <c r="L1280" s="32">
        <f>COUNTIFS($K$2:K1280,K1280)</f>
        <v>2</v>
      </c>
      <c r="M1280" s="32" t="str">
        <f t="shared" si="475"/>
        <v>PTO-1701|EQ|2</v>
      </c>
      <c r="N1280" s="121">
        <f>IFERROR(VLOOKUP(A1280,PARTIDAS!A:F,6,FALSE()),0)</f>
        <v>2</v>
      </c>
      <c r="O1280" s="123">
        <f t="shared" si="458"/>
        <v>0</v>
      </c>
      <c r="P1280" s="123">
        <f>+_xlfn.XLOOKUP(A1280,PPTO_GENERADOR!Q:Q,PPTO_GENERADOR!E:E,"-",0)</f>
        <v>43</v>
      </c>
      <c r="Q1280" s="123">
        <f t="shared" si="459"/>
        <v>0</v>
      </c>
      <c r="R1280" s="125">
        <f>+_xlfn.XLOOKUP(A1280,PPTO_GENERADOR!$Q:$Q,PPTO_GENERADOR!A:A,"-",0)</f>
        <v>17.010000000000002</v>
      </c>
    </row>
    <row r="1281" spans="1:18" ht="14.25" customHeight="1" x14ac:dyDescent="0.35">
      <c r="A1281" s="105" t="s">
        <v>272</v>
      </c>
      <c r="B1281" s="105" t="s">
        <v>1981</v>
      </c>
      <c r="C1281" s="105" t="s">
        <v>1982</v>
      </c>
      <c r="D1281" s="105" t="s">
        <v>538</v>
      </c>
      <c r="E1281" s="95" t="str">
        <f>IFERROR(VLOOKUP(D1281,MATERIALES!A:B,2,FALSE()),"?")</f>
        <v>ARENA LAVADA</v>
      </c>
      <c r="F1281" s="129">
        <f>IFERROR(VLOOKUP(D1281,MATERIALES!A:C,3,FALSE()),"?")</f>
        <v>0</v>
      </c>
      <c r="G1281" s="119">
        <v>3.5999999999999997E-2</v>
      </c>
      <c r="H1281" s="120">
        <v>0.1</v>
      </c>
      <c r="I1281" s="96">
        <f>IFERROR(VLOOKUP(D1281,MATERIALES!A:D,4,FALSE()),0)</f>
        <v>32620.38</v>
      </c>
      <c r="J1281" s="31">
        <f t="shared" ref="J1281:J1282" si="476">G1281*I1281*(1+H1281)</f>
        <v>1291.7670480000002</v>
      </c>
      <c r="K1281" s="32" t="str">
        <f t="shared" si="470"/>
        <v>PTO-1702|MAT</v>
      </c>
      <c r="L1281" s="32">
        <f>COUNTIFS($K$2:K1281,K1281)</f>
        <v>1</v>
      </c>
      <c r="M1281" s="32" t="str">
        <f t="shared" si="475"/>
        <v>PTO-1702|MAT|1</v>
      </c>
      <c r="N1281" s="121">
        <f>IFERROR(VLOOKUP(A1281,PARTIDAS!A:F,6,FALSE()),0)</f>
        <v>2</v>
      </c>
      <c r="O1281" s="123">
        <f t="shared" si="458"/>
        <v>0</v>
      </c>
      <c r="P1281" s="123">
        <f>+_xlfn.XLOOKUP(A1281,PPTO_GENERADOR!Q:Q,PPTO_GENERADOR!E:E,"-",0)</f>
        <v>38</v>
      </c>
      <c r="Q1281" s="123">
        <f t="shared" si="459"/>
        <v>0</v>
      </c>
      <c r="R1281" s="125">
        <f>+_xlfn.XLOOKUP(A1281,PPTO_GENERADOR!$Q:$Q,PPTO_GENERADOR!A:A,"-",0)</f>
        <v>17.02</v>
      </c>
    </row>
    <row r="1282" spans="1:18" ht="14.25" customHeight="1" x14ac:dyDescent="0.35">
      <c r="A1282" s="105" t="s">
        <v>272</v>
      </c>
      <c r="B1282" s="105" t="s">
        <v>1981</v>
      </c>
      <c r="C1282" s="105" t="s">
        <v>1982</v>
      </c>
      <c r="D1282" s="105" t="s">
        <v>540</v>
      </c>
      <c r="E1282" s="95" t="str">
        <f>IFERROR(VLOOKUP(D1282,MATERIALES!A:B,2,FALSE()),"?")</f>
        <v>Cemento Portland x 50kg</v>
      </c>
      <c r="F1282" s="129">
        <f>IFERROR(VLOOKUP(D1282,MATERIALES!A:C,3,FALSE()),"?")</f>
        <v>0</v>
      </c>
      <c r="G1282" s="119">
        <v>0.32400000000000001</v>
      </c>
      <c r="H1282" s="120">
        <v>0.1</v>
      </c>
      <c r="I1282" s="96">
        <f>IFERROR(VLOOKUP(D1282,MATERIALES!A:D,4,FALSE()),0)</f>
        <v>7891.74</v>
      </c>
      <c r="J1282" s="31">
        <f t="shared" si="476"/>
        <v>2812.6161360000006</v>
      </c>
      <c r="K1282" s="32" t="str">
        <f t="shared" si="470"/>
        <v>PTO-1702|MAT</v>
      </c>
      <c r="L1282" s="32">
        <f>COUNTIFS($K$2:K1282,K1282)</f>
        <v>2</v>
      </c>
      <c r="M1282" s="32" t="str">
        <f t="shared" si="475"/>
        <v>PTO-1702|MAT|2</v>
      </c>
      <c r="N1282" s="121">
        <f>IFERROR(VLOOKUP(A1282,PARTIDAS!A:F,6,FALSE()),0)</f>
        <v>2</v>
      </c>
      <c r="O1282" s="123">
        <f t="shared" si="458"/>
        <v>0</v>
      </c>
      <c r="P1282" s="123">
        <f>+_xlfn.XLOOKUP(A1282,PPTO_GENERADOR!Q:Q,PPTO_GENERADOR!E:E,"-",0)</f>
        <v>38</v>
      </c>
      <c r="Q1282" s="123">
        <f t="shared" si="459"/>
        <v>0</v>
      </c>
      <c r="R1282" s="125">
        <f>+_xlfn.XLOOKUP(A1282,PPTO_GENERADOR!$Q:$Q,PPTO_GENERADOR!A:A,"-",0)</f>
        <v>17.02</v>
      </c>
    </row>
    <row r="1283" spans="1:18" ht="14.25" customHeight="1" x14ac:dyDescent="0.35">
      <c r="A1283" s="105" t="s">
        <v>272</v>
      </c>
      <c r="B1283" s="105" t="s">
        <v>1979</v>
      </c>
      <c r="C1283" s="105" t="s">
        <v>1980</v>
      </c>
      <c r="D1283" s="105" t="s">
        <v>2038</v>
      </c>
      <c r="E1283" s="95" t="str">
        <f>IFERROR(VLOOKUP(D1283,MANO_DE_OBRA!A:B,2,FALSE()),"?")</f>
        <v>AYUDANTE</v>
      </c>
      <c r="F1283" s="129" t="s">
        <v>2042</v>
      </c>
      <c r="G1283" s="119">
        <v>0.75</v>
      </c>
      <c r="H1283" s="120">
        <v>0</v>
      </c>
      <c r="I1283" s="96">
        <f>IFERROR(VLOOKUP(D1283,MANO_DE_OBRA!A:C,3,FALSE()),0)</f>
        <v>67240.498860267602</v>
      </c>
      <c r="J1283" s="31">
        <f t="shared" ref="J1283:J1286" si="477">G1283*I1283</f>
        <v>50430.374145200702</v>
      </c>
      <c r="K1283" s="32" t="str">
        <f t="shared" si="470"/>
        <v>PTO-1702|MO</v>
      </c>
      <c r="L1283" s="32">
        <f>COUNTIFS($K$2:K1283,K1283)</f>
        <v>1</v>
      </c>
      <c r="M1283" s="32" t="str">
        <f t="shared" si="475"/>
        <v>PTO-1702|MO|1</v>
      </c>
      <c r="N1283" s="121">
        <f>IFERROR(VLOOKUP(A1283,PARTIDAS!A:F,6,FALSE()),0)</f>
        <v>2</v>
      </c>
      <c r="O1283" s="123">
        <f t="shared" ref="O1283:O1346" si="478">+IF(C1283="ALB",G1283/N1283,0)</f>
        <v>0.375</v>
      </c>
      <c r="P1283" s="123">
        <f>+_xlfn.XLOOKUP(A1283,PPTO_GENERADOR!Q:Q,PPTO_GENERADOR!E:E,"-",0)</f>
        <v>38</v>
      </c>
      <c r="Q1283" s="123">
        <f t="shared" ref="Q1283:Q1346" si="479">IFERROR(P1283*O1283,0)</f>
        <v>14.25</v>
      </c>
      <c r="R1283" s="125">
        <f>+_xlfn.XLOOKUP(A1283,PPTO_GENERADOR!$Q:$Q,PPTO_GENERADOR!A:A,"-",0)</f>
        <v>17.02</v>
      </c>
    </row>
    <row r="1284" spans="1:18" ht="14.25" customHeight="1" x14ac:dyDescent="0.35">
      <c r="A1284" s="105" t="s">
        <v>272</v>
      </c>
      <c r="B1284" s="105" t="s">
        <v>1979</v>
      </c>
      <c r="C1284" s="105" t="s">
        <v>1980</v>
      </c>
      <c r="D1284" s="105" t="s">
        <v>1292</v>
      </c>
      <c r="E1284" s="95" t="str">
        <f>IFERROR(VLOOKUP(D1284,MANO_DE_OBRA!A:B,2,FALSE()),"?")</f>
        <v>ESPECIALIZADO</v>
      </c>
      <c r="F1284" s="129" t="s">
        <v>2042</v>
      </c>
      <c r="G1284" s="119">
        <v>0.75</v>
      </c>
      <c r="H1284" s="120">
        <v>0</v>
      </c>
      <c r="I1284" s="96">
        <f>IFERROR(VLOOKUP(D1284,MANO_DE_OBRA!A:C,3,FALSE()),0)</f>
        <v>94177.137883538904</v>
      </c>
      <c r="J1284" s="31">
        <f t="shared" si="477"/>
        <v>70632.853412654178</v>
      </c>
      <c r="K1284" s="32" t="str">
        <f t="shared" si="470"/>
        <v>PTO-1702|MO</v>
      </c>
      <c r="L1284" s="32">
        <f>COUNTIFS($K$2:K1284,K1284)</f>
        <v>2</v>
      </c>
      <c r="M1284" s="32" t="str">
        <f t="shared" si="475"/>
        <v>PTO-1702|MO|2</v>
      </c>
      <c r="N1284" s="121">
        <f>IFERROR(VLOOKUP(A1284,PARTIDAS!A:F,6,FALSE()),0)</f>
        <v>2</v>
      </c>
      <c r="O1284" s="123">
        <f t="shared" si="478"/>
        <v>0.375</v>
      </c>
      <c r="P1284" s="123">
        <f>+_xlfn.XLOOKUP(A1284,PPTO_GENERADOR!Q:Q,PPTO_GENERADOR!E:E,"-",0)</f>
        <v>38</v>
      </c>
      <c r="Q1284" s="123">
        <f t="shared" si="479"/>
        <v>14.25</v>
      </c>
      <c r="R1284" s="125">
        <f>+_xlfn.XLOOKUP(A1284,PPTO_GENERADOR!$Q:$Q,PPTO_GENERADOR!A:A,"-",0)</f>
        <v>17.02</v>
      </c>
    </row>
    <row r="1285" spans="1:18" ht="14.25" customHeight="1" x14ac:dyDescent="0.35">
      <c r="A1285" s="105" t="s">
        <v>272</v>
      </c>
      <c r="B1285" s="105" t="s">
        <v>1983</v>
      </c>
      <c r="C1285" s="105"/>
      <c r="D1285" s="105" t="s">
        <v>1319</v>
      </c>
      <c r="E1285" s="95" t="str">
        <f>IFERROR(VLOOKUP(D1285,EQUIPOS!A:B,2,FALSE()),"?")</f>
        <v>EQUIPO DE ALBAÑILERIA, carpetas, ladrillo</v>
      </c>
      <c r="F1285" s="129"/>
      <c r="G1285" s="119">
        <v>0.25</v>
      </c>
      <c r="H1285" s="120">
        <v>0</v>
      </c>
      <c r="I1285" s="96">
        <f>IFERROR(VLOOKUP(D1285,EQUIPOS!A:F,6,FALSE()),0)</f>
        <v>2485.8709964593982</v>
      </c>
      <c r="J1285" s="31">
        <f t="shared" si="477"/>
        <v>621.46774911484954</v>
      </c>
      <c r="K1285" s="32" t="str">
        <f t="shared" si="470"/>
        <v>PTO-1702|EQ</v>
      </c>
      <c r="L1285" s="32">
        <f>COUNTIFS($K$2:K1285,K1285)</f>
        <v>1</v>
      </c>
      <c r="M1285" s="32" t="str">
        <f t="shared" si="475"/>
        <v>PTO-1702|EQ|1</v>
      </c>
      <c r="N1285" s="121">
        <f>IFERROR(VLOOKUP(A1285,PARTIDAS!A:F,6,FALSE()),0)</f>
        <v>2</v>
      </c>
      <c r="O1285" s="123">
        <f t="shared" si="478"/>
        <v>0</v>
      </c>
      <c r="P1285" s="123">
        <f>+_xlfn.XLOOKUP(A1285,PPTO_GENERADOR!Q:Q,PPTO_GENERADOR!E:E,"-",0)</f>
        <v>38</v>
      </c>
      <c r="Q1285" s="123">
        <f t="shared" si="479"/>
        <v>0</v>
      </c>
      <c r="R1285" s="125">
        <f>+_xlfn.XLOOKUP(A1285,PPTO_GENERADOR!$Q:$Q,PPTO_GENERADOR!A:A,"-",0)</f>
        <v>17.02</v>
      </c>
    </row>
    <row r="1286" spans="1:18" ht="14.25" customHeight="1" x14ac:dyDescent="0.35">
      <c r="A1286" s="105" t="s">
        <v>272</v>
      </c>
      <c r="B1286" s="105" t="s">
        <v>1983</v>
      </c>
      <c r="C1286" s="105"/>
      <c r="D1286" s="105" t="s">
        <v>1507</v>
      </c>
      <c r="E1286" s="95" t="str">
        <f>IFERROR(VLOOKUP(D1286,EQUIPOS!A:B,2,FALSE()),"?")</f>
        <v>Hormigonera De 150 Litros 1hp Con Rueda Maciza</v>
      </c>
      <c r="F1286" s="129"/>
      <c r="G1286" s="119">
        <v>0.25</v>
      </c>
      <c r="H1286" s="120">
        <v>0</v>
      </c>
      <c r="I1286" s="96">
        <f>IFERROR(VLOOKUP(D1286,EQUIPOS!A:F,6,FALSE()),0)</f>
        <v>1040.4314486705237</v>
      </c>
      <c r="J1286" s="31">
        <f t="shared" si="477"/>
        <v>260.10786216763091</v>
      </c>
      <c r="K1286" s="32" t="str">
        <f t="shared" si="470"/>
        <v>PTO-1702|EQ</v>
      </c>
      <c r="L1286" s="32">
        <f>COUNTIFS($K$2:K1286,K1286)</f>
        <v>2</v>
      </c>
      <c r="M1286" s="32" t="str">
        <f t="shared" si="475"/>
        <v>PTO-1702|EQ|2</v>
      </c>
      <c r="N1286" s="121">
        <f>IFERROR(VLOOKUP(A1286,PARTIDAS!A:F,6,FALSE()),0)</f>
        <v>2</v>
      </c>
      <c r="O1286" s="123">
        <f t="shared" si="478"/>
        <v>0</v>
      </c>
      <c r="P1286" s="123">
        <f>+_xlfn.XLOOKUP(A1286,PPTO_GENERADOR!Q:Q,PPTO_GENERADOR!E:E,"-",0)</f>
        <v>38</v>
      </c>
      <c r="Q1286" s="123">
        <f t="shared" si="479"/>
        <v>0</v>
      </c>
      <c r="R1286" s="125">
        <f>+_xlfn.XLOOKUP(A1286,PPTO_GENERADOR!$Q:$Q,PPTO_GENERADOR!A:A,"-",0)</f>
        <v>17.02</v>
      </c>
    </row>
    <row r="1287" spans="1:18" ht="14.25" customHeight="1" x14ac:dyDescent="0.35">
      <c r="A1287" s="105" t="s">
        <v>274</v>
      </c>
      <c r="B1287" s="105" t="s">
        <v>1981</v>
      </c>
      <c r="C1287" s="105" t="s">
        <v>1982</v>
      </c>
      <c r="D1287" s="105" t="s">
        <v>538</v>
      </c>
      <c r="E1287" s="95" t="str">
        <f>IFERROR(VLOOKUP(D1287,MATERIALES!A:B,2,FALSE()),"?")</f>
        <v>ARENA LAVADA</v>
      </c>
      <c r="F1287" s="129">
        <f>IFERROR(VLOOKUP(D1287,MATERIALES!A:C,3,FALSE()),"?")</f>
        <v>0</v>
      </c>
      <c r="G1287" s="119">
        <v>1.38E-2</v>
      </c>
      <c r="H1287" s="120">
        <v>0.05</v>
      </c>
      <c r="I1287" s="96">
        <f>IFERROR(VLOOKUP(D1287,MATERIALES!A:D,4,FALSE()),0)</f>
        <v>32620.38</v>
      </c>
      <c r="J1287" s="31">
        <f t="shared" ref="J1287:J1288" si="480">G1287*I1287*(1+H1287)</f>
        <v>472.66930620000005</v>
      </c>
      <c r="K1287" s="32" t="str">
        <f t="shared" si="470"/>
        <v>PTO-1703|MAT</v>
      </c>
      <c r="L1287" s="32">
        <f>COUNTIFS($K$2:K1287,K1287)</f>
        <v>1</v>
      </c>
      <c r="M1287" s="32" t="str">
        <f t="shared" si="475"/>
        <v>PTO-1703|MAT|1</v>
      </c>
      <c r="N1287" s="121">
        <f>IFERROR(VLOOKUP(A1287,PARTIDAS!A:F,6,FALSE()),0)</f>
        <v>4</v>
      </c>
      <c r="O1287" s="123">
        <f t="shared" si="478"/>
        <v>0</v>
      </c>
      <c r="P1287" s="123">
        <f>+_xlfn.XLOOKUP(A1287,PPTO_GENERADOR!Q:Q,PPTO_GENERADOR!E:E,"-",0)</f>
        <v>72</v>
      </c>
      <c r="Q1287" s="123">
        <f t="shared" si="479"/>
        <v>0</v>
      </c>
      <c r="R1287" s="125">
        <f>+_xlfn.XLOOKUP(A1287,PPTO_GENERADOR!$Q:$Q,PPTO_GENERADOR!A:A,"-",0)</f>
        <v>17.03</v>
      </c>
    </row>
    <row r="1288" spans="1:18" ht="14.25" customHeight="1" x14ac:dyDescent="0.35">
      <c r="A1288" s="105" t="s">
        <v>274</v>
      </c>
      <c r="B1288" s="105" t="s">
        <v>1981</v>
      </c>
      <c r="C1288" s="105" t="s">
        <v>1982</v>
      </c>
      <c r="D1288" s="105" t="s">
        <v>540</v>
      </c>
      <c r="E1288" s="95" t="str">
        <f>IFERROR(VLOOKUP(D1288,MATERIALES!A:B,2,FALSE()),"?")</f>
        <v>Cemento Portland x 50kg</v>
      </c>
      <c r="F1288" s="129">
        <f>IFERROR(VLOOKUP(D1288,MATERIALES!A:C,3,FALSE()),"?")</f>
        <v>0</v>
      </c>
      <c r="G1288" s="119">
        <v>0.1242</v>
      </c>
      <c r="H1288" s="120">
        <v>0.05</v>
      </c>
      <c r="I1288" s="96">
        <f>IFERROR(VLOOKUP(D1288,MATERIALES!A:D,4,FALSE()),0)</f>
        <v>7891.74</v>
      </c>
      <c r="J1288" s="31">
        <f t="shared" si="480"/>
        <v>1029.1618134</v>
      </c>
      <c r="K1288" s="32" t="str">
        <f t="shared" si="470"/>
        <v>PTO-1703|MAT</v>
      </c>
      <c r="L1288" s="32">
        <f>COUNTIFS($K$2:K1288,K1288)</f>
        <v>2</v>
      </c>
      <c r="M1288" s="32" t="str">
        <f t="shared" si="475"/>
        <v>PTO-1703|MAT|2</v>
      </c>
      <c r="N1288" s="121">
        <f>IFERROR(VLOOKUP(A1288,PARTIDAS!A:F,6,FALSE()),0)</f>
        <v>4</v>
      </c>
      <c r="O1288" s="123">
        <f t="shared" si="478"/>
        <v>0</v>
      </c>
      <c r="P1288" s="123">
        <f>+_xlfn.XLOOKUP(A1288,PPTO_GENERADOR!Q:Q,PPTO_GENERADOR!E:E,"-",0)</f>
        <v>72</v>
      </c>
      <c r="Q1288" s="123">
        <f t="shared" si="479"/>
        <v>0</v>
      </c>
      <c r="R1288" s="125">
        <f>+_xlfn.XLOOKUP(A1288,PPTO_GENERADOR!$Q:$Q,PPTO_GENERADOR!A:A,"-",0)</f>
        <v>17.03</v>
      </c>
    </row>
    <row r="1289" spans="1:18" ht="14.25" customHeight="1" x14ac:dyDescent="0.35">
      <c r="A1289" s="105" t="s">
        <v>274</v>
      </c>
      <c r="B1289" s="105" t="s">
        <v>1979</v>
      </c>
      <c r="C1289" s="105" t="s">
        <v>1980</v>
      </c>
      <c r="D1289" s="105" t="s">
        <v>2038</v>
      </c>
      <c r="E1289" s="95" t="str">
        <f>IFERROR(VLOOKUP(D1289,MANO_DE_OBRA!A:B,2,FALSE()),"?")</f>
        <v>AYUDANTE</v>
      </c>
      <c r="F1289" s="129" t="s">
        <v>2042</v>
      </c>
      <c r="G1289" s="119">
        <v>1</v>
      </c>
      <c r="H1289" s="120">
        <v>0</v>
      </c>
      <c r="I1289" s="96">
        <f>IFERROR(VLOOKUP(D1289,MANO_DE_OBRA!A:C,3,FALSE()),0)</f>
        <v>67240.498860267602</v>
      </c>
      <c r="J1289" s="31">
        <f t="shared" ref="J1289:J1292" si="481">G1289*I1289</f>
        <v>67240.498860267602</v>
      </c>
      <c r="K1289" s="32" t="str">
        <f t="shared" si="470"/>
        <v>PTO-1703|MO</v>
      </c>
      <c r="L1289" s="32">
        <f>COUNTIFS($K$2:K1289,K1289)</f>
        <v>1</v>
      </c>
      <c r="M1289" s="32" t="str">
        <f t="shared" si="475"/>
        <v>PTO-1703|MO|1</v>
      </c>
      <c r="N1289" s="121">
        <f>IFERROR(VLOOKUP(A1289,PARTIDAS!A:F,6,FALSE()),0)</f>
        <v>4</v>
      </c>
      <c r="O1289" s="123">
        <f t="shared" si="478"/>
        <v>0.25</v>
      </c>
      <c r="P1289" s="123">
        <f>+_xlfn.XLOOKUP(A1289,PPTO_GENERADOR!Q:Q,PPTO_GENERADOR!E:E,"-",0)</f>
        <v>72</v>
      </c>
      <c r="Q1289" s="123">
        <f t="shared" si="479"/>
        <v>18</v>
      </c>
      <c r="R1289" s="125">
        <f>+_xlfn.XLOOKUP(A1289,PPTO_GENERADOR!$Q:$Q,PPTO_GENERADOR!A:A,"-",0)</f>
        <v>17.03</v>
      </c>
    </row>
    <row r="1290" spans="1:18" ht="14.25" customHeight="1" x14ac:dyDescent="0.35">
      <c r="A1290" s="105" t="s">
        <v>274</v>
      </c>
      <c r="B1290" s="105" t="s">
        <v>1979</v>
      </c>
      <c r="C1290" s="105" t="s">
        <v>1980</v>
      </c>
      <c r="D1290" s="105" t="s">
        <v>1292</v>
      </c>
      <c r="E1290" s="95" t="str">
        <f>IFERROR(VLOOKUP(D1290,MANO_DE_OBRA!A:B,2,FALSE()),"?")</f>
        <v>ESPECIALIZADO</v>
      </c>
      <c r="F1290" s="129" t="s">
        <v>2042</v>
      </c>
      <c r="G1290" s="119">
        <v>1</v>
      </c>
      <c r="H1290" s="120">
        <v>0</v>
      </c>
      <c r="I1290" s="96">
        <f>IFERROR(VLOOKUP(D1290,MANO_DE_OBRA!A:C,3,FALSE()),0)</f>
        <v>94177.137883538904</v>
      </c>
      <c r="J1290" s="31">
        <f t="shared" si="481"/>
        <v>94177.137883538904</v>
      </c>
      <c r="K1290" s="32" t="str">
        <f t="shared" si="470"/>
        <v>PTO-1703|MO</v>
      </c>
      <c r="L1290" s="32">
        <f>COUNTIFS($K$2:K1290,K1290)</f>
        <v>2</v>
      </c>
      <c r="M1290" s="32" t="str">
        <f t="shared" si="475"/>
        <v>PTO-1703|MO|2</v>
      </c>
      <c r="N1290" s="121">
        <f>IFERROR(VLOOKUP(A1290,PARTIDAS!A:F,6,FALSE()),0)</f>
        <v>4</v>
      </c>
      <c r="O1290" s="123">
        <f t="shared" si="478"/>
        <v>0.25</v>
      </c>
      <c r="P1290" s="123">
        <f>+_xlfn.XLOOKUP(A1290,PPTO_GENERADOR!Q:Q,PPTO_GENERADOR!E:E,"-",0)</f>
        <v>72</v>
      </c>
      <c r="Q1290" s="123">
        <f t="shared" si="479"/>
        <v>18</v>
      </c>
      <c r="R1290" s="125">
        <f>+_xlfn.XLOOKUP(A1290,PPTO_GENERADOR!$Q:$Q,PPTO_GENERADOR!A:A,"-",0)</f>
        <v>17.03</v>
      </c>
    </row>
    <row r="1291" spans="1:18" ht="14.25" customHeight="1" x14ac:dyDescent="0.35">
      <c r="A1291" s="105" t="s">
        <v>274</v>
      </c>
      <c r="B1291" s="105" t="s">
        <v>1983</v>
      </c>
      <c r="C1291" s="105"/>
      <c r="D1291" s="105" t="s">
        <v>1319</v>
      </c>
      <c r="E1291" s="95" t="str">
        <f>IFERROR(VLOOKUP(D1291,EQUIPOS!A:B,2,FALSE()),"?")</f>
        <v>EQUIPO DE ALBAÑILERIA, carpetas, ladrillo</v>
      </c>
      <c r="F1291" s="129"/>
      <c r="G1291" s="119">
        <v>0.25</v>
      </c>
      <c r="H1291" s="120">
        <v>0</v>
      </c>
      <c r="I1291" s="96">
        <f>IFERROR(VLOOKUP(D1291,EQUIPOS!A:F,6,FALSE()),0)</f>
        <v>2485.8709964593982</v>
      </c>
      <c r="J1291" s="31">
        <f t="shared" si="481"/>
        <v>621.46774911484954</v>
      </c>
      <c r="K1291" s="32" t="str">
        <f t="shared" si="470"/>
        <v>PTO-1703|EQ</v>
      </c>
      <c r="L1291" s="32">
        <f>COUNTIFS($K$2:K1291,K1291)</f>
        <v>1</v>
      </c>
      <c r="M1291" s="32" t="str">
        <f t="shared" si="475"/>
        <v>PTO-1703|EQ|1</v>
      </c>
      <c r="N1291" s="121">
        <f>IFERROR(VLOOKUP(A1291,PARTIDAS!A:F,6,FALSE()),0)</f>
        <v>4</v>
      </c>
      <c r="O1291" s="123">
        <f t="shared" si="478"/>
        <v>0</v>
      </c>
      <c r="P1291" s="123">
        <f>+_xlfn.XLOOKUP(A1291,PPTO_GENERADOR!Q:Q,PPTO_GENERADOR!E:E,"-",0)</f>
        <v>72</v>
      </c>
      <c r="Q1291" s="123">
        <f t="shared" si="479"/>
        <v>0</v>
      </c>
      <c r="R1291" s="125">
        <f>+_xlfn.XLOOKUP(A1291,PPTO_GENERADOR!$Q:$Q,PPTO_GENERADOR!A:A,"-",0)</f>
        <v>17.03</v>
      </c>
    </row>
    <row r="1292" spans="1:18" ht="14.25" customHeight="1" x14ac:dyDescent="0.35">
      <c r="A1292" s="105" t="s">
        <v>274</v>
      </c>
      <c r="B1292" s="105" t="s">
        <v>1983</v>
      </c>
      <c r="C1292" s="105"/>
      <c r="D1292" s="105" t="s">
        <v>1507</v>
      </c>
      <c r="E1292" s="95" t="str">
        <f>IFERROR(VLOOKUP(D1292,EQUIPOS!A:B,2,FALSE()),"?")</f>
        <v>Hormigonera De 150 Litros 1hp Con Rueda Maciza</v>
      </c>
      <c r="F1292" s="129"/>
      <c r="G1292" s="119">
        <v>0.25</v>
      </c>
      <c r="H1292" s="120">
        <v>0</v>
      </c>
      <c r="I1292" s="96">
        <f>IFERROR(VLOOKUP(D1292,EQUIPOS!A:F,6,FALSE()),0)</f>
        <v>1040.4314486705237</v>
      </c>
      <c r="J1292" s="31">
        <f t="shared" si="481"/>
        <v>260.10786216763091</v>
      </c>
      <c r="K1292" s="32" t="str">
        <f t="shared" si="470"/>
        <v>PTO-1703|EQ</v>
      </c>
      <c r="L1292" s="32">
        <f>COUNTIFS($K$2:K1292,K1292)</f>
        <v>2</v>
      </c>
      <c r="M1292" s="32" t="str">
        <f t="shared" si="475"/>
        <v>PTO-1703|EQ|2</v>
      </c>
      <c r="N1292" s="121">
        <f>IFERROR(VLOOKUP(A1292,PARTIDAS!A:F,6,FALSE()),0)</f>
        <v>4</v>
      </c>
      <c r="O1292" s="123">
        <f t="shared" si="478"/>
        <v>0</v>
      </c>
      <c r="P1292" s="123">
        <f>+_xlfn.XLOOKUP(A1292,PPTO_GENERADOR!Q:Q,PPTO_GENERADOR!E:E,"-",0)</f>
        <v>72</v>
      </c>
      <c r="Q1292" s="123">
        <f t="shared" si="479"/>
        <v>0</v>
      </c>
      <c r="R1292" s="125">
        <f>+_xlfn.XLOOKUP(A1292,PPTO_GENERADOR!$Q:$Q,PPTO_GENERADOR!A:A,"-",0)</f>
        <v>17.03</v>
      </c>
    </row>
    <row r="1293" spans="1:18" ht="14.25" customHeight="1" x14ac:dyDescent="0.35">
      <c r="A1293" s="105" t="s">
        <v>277</v>
      </c>
      <c r="B1293" s="105" t="s">
        <v>1981</v>
      </c>
      <c r="C1293" s="105" t="s">
        <v>1982</v>
      </c>
      <c r="D1293" s="105" t="s">
        <v>784</v>
      </c>
      <c r="E1293" s="95" t="str">
        <f>IFERROR(VLOOKUP(D1293,MATERIALES!A:B,2,FALSE()),"?")</f>
        <v>Amure Puertas de Ascensor - Provisión a cargo del comitente</v>
      </c>
      <c r="F1293" s="129" t="str">
        <f>IFERROR(VLOOKUP(D1293,MATERIALES!A:C,3,FALSE()),"?")</f>
        <v>u</v>
      </c>
      <c r="G1293" s="119">
        <v>1</v>
      </c>
      <c r="H1293" s="120">
        <v>0</v>
      </c>
      <c r="I1293" s="96">
        <f>IFERROR(VLOOKUP(D1293,MATERIALES!A:D,4,FALSE()),0)</f>
        <v>4104.3831840000003</v>
      </c>
      <c r="J1293" s="31">
        <f>G1293*I1293*(1+H1293)</f>
        <v>4104.3831840000003</v>
      </c>
      <c r="K1293" s="32" t="str">
        <f t="shared" si="470"/>
        <v>PTO-1704|MAT</v>
      </c>
      <c r="L1293" s="32">
        <f>COUNTIFS($K$2:K1293,K1293)</f>
        <v>1</v>
      </c>
      <c r="M1293" s="32" t="str">
        <f t="shared" si="475"/>
        <v>PTO-1704|MAT|1</v>
      </c>
      <c r="N1293" s="121">
        <f>IFERROR(VLOOKUP(A1293,PARTIDAS!A:F,6,FALSE()),0)</f>
        <v>1</v>
      </c>
      <c r="O1293" s="123">
        <f t="shared" si="478"/>
        <v>0</v>
      </c>
      <c r="P1293" s="123">
        <f>+_xlfn.XLOOKUP(A1293,PPTO_GENERADOR!Q:Q,PPTO_GENERADOR!E:E,"-",0)</f>
        <v>8</v>
      </c>
      <c r="Q1293" s="123">
        <f t="shared" si="479"/>
        <v>0</v>
      </c>
      <c r="R1293" s="125">
        <f>+_xlfn.XLOOKUP(A1293,PPTO_GENERADOR!$Q:$Q,PPTO_GENERADOR!A:A,"-",0)</f>
        <v>17.04</v>
      </c>
    </row>
    <row r="1294" spans="1:18" ht="14.25" customHeight="1" x14ac:dyDescent="0.35">
      <c r="A1294" s="105" t="s">
        <v>277</v>
      </c>
      <c r="B1294" s="105" t="s">
        <v>1979</v>
      </c>
      <c r="C1294" s="105" t="s">
        <v>1982</v>
      </c>
      <c r="D1294" s="105" t="s">
        <v>1602</v>
      </c>
      <c r="E1294" s="95" t="str">
        <f>IFERROR(VLOOKUP(D1294,SUBCONTRATOS_PRY!A:B,2,FALSE()),"?")</f>
        <v>MO — Amure Puertas de Ascensor - Provisión a cargo del comit</v>
      </c>
      <c r="F1294" s="129" t="s">
        <v>2042</v>
      </c>
      <c r="G1294" s="119">
        <v>1</v>
      </c>
      <c r="H1294" s="120">
        <v>0</v>
      </c>
      <c r="I1294" s="96">
        <f>IFERROR(VLOOKUP(D1294,SUBCONTRATOS_PRY!A:D,4,FALSE()),0)</f>
        <v>90797.420668391205</v>
      </c>
      <c r="J1294" s="31">
        <f>G1294*I1294</f>
        <v>90797.420668391205</v>
      </c>
      <c r="K1294" s="32" t="str">
        <f t="shared" si="470"/>
        <v>PTO-1704|MO</v>
      </c>
      <c r="L1294" s="32">
        <f>COUNTIFS($K$2:K1294,K1294)</f>
        <v>1</v>
      </c>
      <c r="M1294" s="32" t="str">
        <f t="shared" si="475"/>
        <v>PTO-1704|MO|1</v>
      </c>
      <c r="N1294" s="121">
        <f>IFERROR(VLOOKUP(A1294,PARTIDAS!A:F,6,FALSE()),0)</f>
        <v>1</v>
      </c>
      <c r="O1294" s="123">
        <f t="shared" si="478"/>
        <v>0</v>
      </c>
      <c r="P1294" s="123">
        <f>+_xlfn.XLOOKUP(A1294,PPTO_GENERADOR!Q:Q,PPTO_GENERADOR!E:E,"-",0)</f>
        <v>8</v>
      </c>
      <c r="Q1294" s="123">
        <f t="shared" si="479"/>
        <v>0</v>
      </c>
      <c r="R1294" s="125">
        <f>+_xlfn.XLOOKUP(A1294,PPTO_GENERADOR!$Q:$Q,PPTO_GENERADOR!A:A,"-",0)</f>
        <v>17.04</v>
      </c>
    </row>
    <row r="1295" spans="1:18" ht="14.25" customHeight="1" x14ac:dyDescent="0.35">
      <c r="A1295" s="105" t="s">
        <v>277</v>
      </c>
      <c r="B1295" s="105" t="s">
        <v>1983</v>
      </c>
      <c r="C1295" s="105"/>
      <c r="D1295" s="105" t="s">
        <v>1423</v>
      </c>
      <c r="E1295" s="95" t="str">
        <f>IFERROR(VLOOKUP(D1295,EQUIPOS!A:B,2,FALSE()),"?")</f>
        <v>EQ — Amure Puertas de Ascensor - Provisión a cargo del comit</v>
      </c>
      <c r="F1295" s="129"/>
      <c r="G1295" s="119">
        <v>1</v>
      </c>
      <c r="H1295" s="120">
        <v>0</v>
      </c>
      <c r="I1295" s="96">
        <f>IFERROR(VLOOKUP(D1295,EQUIPOS!A:F,6,FALSE()),0)</f>
        <v>440.78780564124003</v>
      </c>
      <c r="J1295" s="31">
        <f>G1295*I1295</f>
        <v>440.78780564124003</v>
      </c>
      <c r="K1295" s="32" t="str">
        <f t="shared" si="470"/>
        <v>PTO-1704|EQ</v>
      </c>
      <c r="L1295" s="32">
        <f>COUNTIFS($K$2:K1295,K1295)</f>
        <v>1</v>
      </c>
      <c r="M1295" s="32" t="str">
        <f t="shared" si="475"/>
        <v>PTO-1704|EQ|1</v>
      </c>
      <c r="N1295" s="121">
        <f>IFERROR(VLOOKUP(A1295,PARTIDAS!A:F,6,FALSE()),0)</f>
        <v>1</v>
      </c>
      <c r="O1295" s="123">
        <f t="shared" si="478"/>
        <v>0</v>
      </c>
      <c r="P1295" s="123">
        <f>+_xlfn.XLOOKUP(A1295,PPTO_GENERADOR!Q:Q,PPTO_GENERADOR!E:E,"-",0)</f>
        <v>8</v>
      </c>
      <c r="Q1295" s="123">
        <f t="shared" si="479"/>
        <v>0</v>
      </c>
      <c r="R1295" s="125">
        <f>+_xlfn.XLOOKUP(A1295,PPTO_GENERADOR!$Q:$Q,PPTO_GENERADOR!A:A,"-",0)</f>
        <v>17.04</v>
      </c>
    </row>
    <row r="1296" spans="1:18" ht="14.25" customHeight="1" x14ac:dyDescent="0.35">
      <c r="A1296" s="105" t="s">
        <v>279</v>
      </c>
      <c r="B1296" s="105" t="s">
        <v>1981</v>
      </c>
      <c r="C1296" s="105" t="s">
        <v>1982</v>
      </c>
      <c r="D1296" s="105" t="s">
        <v>1066</v>
      </c>
      <c r="E1296" s="95" t="str">
        <f>IFERROR(VLOOKUP(D1296,MATERIALES!A:B,2,FALSE()),"?")</f>
        <v>Caño rígido 7/8" x 3m</v>
      </c>
      <c r="F1296" s="129" t="str">
        <f>IFERROR(VLOOKUP(D1296,MATERIALES!A:C,3,FALSE()),"?")</f>
        <v>u</v>
      </c>
      <c r="G1296" s="119">
        <v>5</v>
      </c>
      <c r="H1296" s="120">
        <v>0.1</v>
      </c>
      <c r="I1296" s="96">
        <f>IFERROR(VLOOKUP(D1296,MATERIALES!A:D,4,FALSE()),0)</f>
        <v>514.58833333333303</v>
      </c>
      <c r="J1296" s="31">
        <f t="shared" ref="J1296:J1304" si="482">G1296*I1296*(1+H1296)</f>
        <v>2830.2358333333318</v>
      </c>
      <c r="K1296" s="32" t="str">
        <f t="shared" si="470"/>
        <v>PTO-1801|MAT</v>
      </c>
      <c r="L1296" s="32">
        <f>COUNTIFS($K$2:K1296,K1296)</f>
        <v>1</v>
      </c>
      <c r="M1296" s="32" t="str">
        <f t="shared" si="475"/>
        <v>PTO-1801|MAT|1</v>
      </c>
      <c r="N1296" s="121">
        <f>IFERROR(VLOOKUP(A1296,PARTIDAS!A:F,6,FALSE()),0)</f>
        <v>3.25</v>
      </c>
      <c r="O1296" s="123">
        <f t="shared" si="478"/>
        <v>0</v>
      </c>
      <c r="P1296" s="123">
        <f>+_xlfn.XLOOKUP(A1296,PPTO_GENERADOR!Q:Q,PPTO_GENERADOR!E:E,"-",0)</f>
        <v>222</v>
      </c>
      <c r="Q1296" s="123">
        <f t="shared" si="479"/>
        <v>0</v>
      </c>
      <c r="R1296" s="125">
        <f>+_xlfn.XLOOKUP(A1296,PPTO_GENERADOR!$Q:$Q,PPTO_GENERADOR!A:A,"-",0)</f>
        <v>18.010000000000002</v>
      </c>
    </row>
    <row r="1297" spans="1:18" ht="14.25" customHeight="1" x14ac:dyDescent="0.35">
      <c r="A1297" s="105" t="s">
        <v>279</v>
      </c>
      <c r="B1297" s="105" t="s">
        <v>1981</v>
      </c>
      <c r="C1297" s="105" t="s">
        <v>1982</v>
      </c>
      <c r="D1297" s="105" t="s">
        <v>970</v>
      </c>
      <c r="E1297" s="95" t="str">
        <f>IFERROR(VLOOKUP(D1297,MATERIALES!A:B,2,FALSE()),"?")</f>
        <v>Conector hierro 3/4"</v>
      </c>
      <c r="F1297" s="129" t="str">
        <f>IFERROR(VLOOKUP(D1297,MATERIALES!A:C,3,FALSE()),"?")</f>
        <v>u</v>
      </c>
      <c r="G1297" s="119">
        <v>3</v>
      </c>
      <c r="H1297" s="120">
        <v>0.1</v>
      </c>
      <c r="I1297" s="96">
        <f>IFERROR(VLOOKUP(D1297,MATERIALES!A:D,4,FALSE()),0)</f>
        <v>250.31899999999999</v>
      </c>
      <c r="J1297" s="31">
        <f t="shared" si="482"/>
        <v>826.05270000000007</v>
      </c>
      <c r="K1297" s="32" t="str">
        <f t="shared" si="470"/>
        <v>PTO-1801|MAT</v>
      </c>
      <c r="L1297" s="32">
        <f>COUNTIFS($K$2:K1297,K1297)</f>
        <v>2</v>
      </c>
      <c r="M1297" s="32" t="str">
        <f t="shared" si="475"/>
        <v>PTO-1801|MAT|2</v>
      </c>
      <c r="N1297" s="121">
        <f>IFERROR(VLOOKUP(A1297,PARTIDAS!A:F,6,FALSE()),0)</f>
        <v>3.25</v>
      </c>
      <c r="O1297" s="123">
        <f t="shared" si="478"/>
        <v>0</v>
      </c>
      <c r="P1297" s="123">
        <f>+_xlfn.XLOOKUP(A1297,PPTO_GENERADOR!Q:Q,PPTO_GENERADOR!E:E,"-",0)</f>
        <v>222</v>
      </c>
      <c r="Q1297" s="123">
        <f t="shared" si="479"/>
        <v>0</v>
      </c>
      <c r="R1297" s="125">
        <f>+_xlfn.XLOOKUP(A1297,PPTO_GENERADOR!$Q:$Q,PPTO_GENERADOR!A:A,"-",0)</f>
        <v>18.010000000000002</v>
      </c>
    </row>
    <row r="1298" spans="1:18" ht="14.25" customHeight="1" x14ac:dyDescent="0.35">
      <c r="A1298" s="105" t="s">
        <v>279</v>
      </c>
      <c r="B1298" s="105" t="s">
        <v>1981</v>
      </c>
      <c r="C1298" s="105" t="s">
        <v>1982</v>
      </c>
      <c r="D1298" s="105" t="s">
        <v>972</v>
      </c>
      <c r="E1298" s="95" t="str">
        <f>IFERROR(VLOOKUP(D1298,MATERIALES!A:B,2,FALSE()),"?")</f>
        <v>Cupla PVC 3/4"</v>
      </c>
      <c r="F1298" s="129" t="str">
        <f>IFERROR(VLOOKUP(D1298,MATERIALES!A:C,3,FALSE()),"?")</f>
        <v>u</v>
      </c>
      <c r="G1298" s="119">
        <v>2</v>
      </c>
      <c r="H1298" s="120">
        <v>0.1</v>
      </c>
      <c r="I1298" s="96">
        <f>IFERROR(VLOOKUP(D1298,MATERIALES!A:D,4,FALSE()),0)</f>
        <v>110.121</v>
      </c>
      <c r="J1298" s="31">
        <f t="shared" si="482"/>
        <v>242.2662</v>
      </c>
      <c r="K1298" s="32" t="str">
        <f t="shared" si="470"/>
        <v>PTO-1801|MAT</v>
      </c>
      <c r="L1298" s="32">
        <f>COUNTIFS($K$2:K1298,K1298)</f>
        <v>3</v>
      </c>
      <c r="M1298" s="32" t="str">
        <f t="shared" si="475"/>
        <v>PTO-1801|MAT|3</v>
      </c>
      <c r="N1298" s="121">
        <f>IFERROR(VLOOKUP(A1298,PARTIDAS!A:F,6,FALSE()),0)</f>
        <v>3.25</v>
      </c>
      <c r="O1298" s="123">
        <f t="shared" si="478"/>
        <v>0</v>
      </c>
      <c r="P1298" s="123">
        <f>+_xlfn.XLOOKUP(A1298,PPTO_GENERADOR!Q:Q,PPTO_GENERADOR!E:E,"-",0)</f>
        <v>222</v>
      </c>
      <c r="Q1298" s="123">
        <f t="shared" si="479"/>
        <v>0</v>
      </c>
      <c r="R1298" s="125">
        <f>+_xlfn.XLOOKUP(A1298,PPTO_GENERADOR!$Q:$Q,PPTO_GENERADOR!A:A,"-",0)</f>
        <v>18.010000000000002</v>
      </c>
    </row>
    <row r="1299" spans="1:18" ht="14.25" customHeight="1" x14ac:dyDescent="0.35">
      <c r="A1299" s="105" t="s">
        <v>279</v>
      </c>
      <c r="B1299" s="105" t="s">
        <v>1981</v>
      </c>
      <c r="C1299" s="105" t="s">
        <v>1982</v>
      </c>
      <c r="D1299" s="105" t="s">
        <v>1068</v>
      </c>
      <c r="E1299" s="95" t="str">
        <f>IFERROR(VLOOKUP(D1299,MATERIALES!A:B,2,FALSE()),"?")</f>
        <v>Cable unipolar 1 x 1,50</v>
      </c>
      <c r="F1299" s="129" t="str">
        <f>IFERROR(VLOOKUP(D1299,MATERIALES!A:C,3,FALSE()),"?")</f>
        <v>ml</v>
      </c>
      <c r="G1299" s="119">
        <v>7.5</v>
      </c>
      <c r="H1299" s="120">
        <v>0.1</v>
      </c>
      <c r="I1299" s="96">
        <f>IFERROR(VLOOKUP(D1299,MATERIALES!A:D,4,FALSE()),0)</f>
        <v>339.47162557191899</v>
      </c>
      <c r="J1299" s="31">
        <f t="shared" si="482"/>
        <v>2800.6409109683323</v>
      </c>
      <c r="K1299" s="32" t="str">
        <f t="shared" si="470"/>
        <v>PTO-1801|MAT</v>
      </c>
      <c r="L1299" s="32">
        <f>COUNTIFS($K$2:K1299,K1299)</f>
        <v>4</v>
      </c>
      <c r="M1299" s="32" t="str">
        <f t="shared" si="475"/>
        <v>PTO-1801|MAT|4</v>
      </c>
      <c r="N1299" s="121">
        <f>IFERROR(VLOOKUP(A1299,PARTIDAS!A:F,6,FALSE()),0)</f>
        <v>3.25</v>
      </c>
      <c r="O1299" s="123">
        <f t="shared" si="478"/>
        <v>0</v>
      </c>
      <c r="P1299" s="123">
        <f>+_xlfn.XLOOKUP(A1299,PPTO_GENERADOR!Q:Q,PPTO_GENERADOR!E:E,"-",0)</f>
        <v>222</v>
      </c>
      <c r="Q1299" s="123">
        <f t="shared" si="479"/>
        <v>0</v>
      </c>
      <c r="R1299" s="125">
        <f>+_xlfn.XLOOKUP(A1299,PPTO_GENERADOR!$Q:$Q,PPTO_GENERADOR!A:A,"-",0)</f>
        <v>18.010000000000002</v>
      </c>
    </row>
    <row r="1300" spans="1:18" ht="14.25" customHeight="1" x14ac:dyDescent="0.35">
      <c r="A1300" s="105" t="s">
        <v>279</v>
      </c>
      <c r="B1300" s="105" t="s">
        <v>1981</v>
      </c>
      <c r="C1300" s="105" t="s">
        <v>1982</v>
      </c>
      <c r="D1300" s="105" t="s">
        <v>974</v>
      </c>
      <c r="E1300" s="95" t="str">
        <f>IFERROR(VLOOKUP(D1300,MATERIALES!A:B,2,FALSE()),"?")</f>
        <v>Cable unipolar 1 x 2,50 VA</v>
      </c>
      <c r="F1300" s="129" t="str">
        <f>IFERROR(VLOOKUP(D1300,MATERIALES!A:C,3,FALSE()),"?")</f>
        <v>m</v>
      </c>
      <c r="G1300" s="119">
        <v>5</v>
      </c>
      <c r="H1300" s="120">
        <v>0.1</v>
      </c>
      <c r="I1300" s="96">
        <f>IFERROR(VLOOKUP(D1300,MATERIALES!A:D,4,FALSE()),0)</f>
        <v>546.37687500000004</v>
      </c>
      <c r="J1300" s="31">
        <f t="shared" si="482"/>
        <v>3005.0728125000005</v>
      </c>
      <c r="K1300" s="32" t="str">
        <f t="shared" si="470"/>
        <v>PTO-1801|MAT</v>
      </c>
      <c r="L1300" s="32">
        <f>COUNTIFS($K$2:K1300,K1300)</f>
        <v>5</v>
      </c>
      <c r="M1300" s="32" t="str">
        <f t="shared" si="475"/>
        <v>PTO-1801|MAT|5</v>
      </c>
      <c r="N1300" s="121">
        <f>IFERROR(VLOOKUP(A1300,PARTIDAS!A:F,6,FALSE()),0)</f>
        <v>3.25</v>
      </c>
      <c r="O1300" s="123">
        <f t="shared" si="478"/>
        <v>0</v>
      </c>
      <c r="P1300" s="123">
        <f>+_xlfn.XLOOKUP(A1300,PPTO_GENERADOR!Q:Q,PPTO_GENERADOR!E:E,"-",0)</f>
        <v>222</v>
      </c>
      <c r="Q1300" s="123">
        <f t="shared" si="479"/>
        <v>0</v>
      </c>
      <c r="R1300" s="125">
        <f>+_xlfn.XLOOKUP(A1300,PPTO_GENERADOR!$Q:$Q,PPTO_GENERADOR!A:A,"-",0)</f>
        <v>18.010000000000002</v>
      </c>
    </row>
    <row r="1301" spans="1:18" ht="14.25" customHeight="1" x14ac:dyDescent="0.35">
      <c r="A1301" s="105" t="s">
        <v>279</v>
      </c>
      <c r="B1301" s="105" t="s">
        <v>1981</v>
      </c>
      <c r="C1301" s="105" t="s">
        <v>1982</v>
      </c>
      <c r="D1301" s="105" t="s">
        <v>974</v>
      </c>
      <c r="E1301" s="95" t="str">
        <f>IFERROR(VLOOKUP(D1301,MATERIALES!A:B,2,FALSE()),"?")</f>
        <v>Cable unipolar 1 x 2,50 VA</v>
      </c>
      <c r="F1301" s="129" t="str">
        <f>IFERROR(VLOOKUP(D1301,MATERIALES!A:C,3,FALSE()),"?")</f>
        <v>m</v>
      </c>
      <c r="G1301" s="119">
        <v>7.5</v>
      </c>
      <c r="H1301" s="120">
        <v>0.1</v>
      </c>
      <c r="I1301" s="96">
        <f>IFERROR(VLOOKUP(D1301,MATERIALES!A:D,4,FALSE()),0)</f>
        <v>546.37687500000004</v>
      </c>
      <c r="J1301" s="31">
        <f t="shared" si="482"/>
        <v>4507.6092187500008</v>
      </c>
      <c r="K1301" s="32" t="str">
        <f t="shared" si="470"/>
        <v>PTO-1801|MAT</v>
      </c>
      <c r="L1301" s="32">
        <f>COUNTIFS($K$2:K1301,K1301)</f>
        <v>6</v>
      </c>
      <c r="M1301" s="32" t="str">
        <f t="shared" si="475"/>
        <v>PTO-1801|MAT|6</v>
      </c>
      <c r="N1301" s="121">
        <f>IFERROR(VLOOKUP(A1301,PARTIDAS!A:F,6,FALSE()),0)</f>
        <v>3.25</v>
      </c>
      <c r="O1301" s="123">
        <f t="shared" si="478"/>
        <v>0</v>
      </c>
      <c r="P1301" s="123">
        <f>+_xlfn.XLOOKUP(A1301,PPTO_GENERADOR!Q:Q,PPTO_GENERADOR!E:E,"-",0)</f>
        <v>222</v>
      </c>
      <c r="Q1301" s="123">
        <f t="shared" si="479"/>
        <v>0</v>
      </c>
      <c r="R1301" s="125">
        <f>+_xlfn.XLOOKUP(A1301,PPTO_GENERADOR!$Q:$Q,PPTO_GENERADOR!A:A,"-",0)</f>
        <v>18.010000000000002</v>
      </c>
    </row>
    <row r="1302" spans="1:18" ht="14.25" customHeight="1" x14ac:dyDescent="0.35">
      <c r="A1302" s="105" t="s">
        <v>279</v>
      </c>
      <c r="B1302" s="105" t="s">
        <v>1981</v>
      </c>
      <c r="C1302" s="105" t="s">
        <v>1982</v>
      </c>
      <c r="D1302" s="105" t="s">
        <v>977</v>
      </c>
      <c r="E1302" s="95" t="str">
        <f>IFERROR(VLOOKUP(D1302,MATERIALES!A:B,2,FALSE()),"?")</f>
        <v>Caja rectangular chica</v>
      </c>
      <c r="F1302" s="129" t="str">
        <f>IFERROR(VLOOKUP(D1302,MATERIALES!A:C,3,FALSE()),"?")</f>
        <v>u</v>
      </c>
      <c r="G1302" s="119">
        <v>0.5</v>
      </c>
      <c r="H1302" s="120">
        <v>0.05</v>
      </c>
      <c r="I1302" s="96">
        <f>IFERROR(VLOOKUP(D1302,MATERIALES!A:D,4,FALSE()),0)</f>
        <v>217.14975799999999</v>
      </c>
      <c r="J1302" s="31">
        <f t="shared" si="482"/>
        <v>114.00362294999999</v>
      </c>
      <c r="K1302" s="32" t="str">
        <f t="shared" si="470"/>
        <v>PTO-1801|MAT</v>
      </c>
      <c r="L1302" s="32">
        <f>COUNTIFS($K$2:K1302,K1302)</f>
        <v>7</v>
      </c>
      <c r="M1302" s="32" t="str">
        <f t="shared" si="475"/>
        <v>PTO-1801|MAT|7</v>
      </c>
      <c r="N1302" s="121">
        <f>IFERROR(VLOOKUP(A1302,PARTIDAS!A:F,6,FALSE()),0)</f>
        <v>3.25</v>
      </c>
      <c r="O1302" s="123">
        <f t="shared" si="478"/>
        <v>0</v>
      </c>
      <c r="P1302" s="123">
        <f>+_xlfn.XLOOKUP(A1302,PPTO_GENERADOR!Q:Q,PPTO_GENERADOR!E:E,"-",0)</f>
        <v>222</v>
      </c>
      <c r="Q1302" s="123">
        <f t="shared" si="479"/>
        <v>0</v>
      </c>
      <c r="R1302" s="125">
        <f>+_xlfn.XLOOKUP(A1302,PPTO_GENERADOR!$Q:$Q,PPTO_GENERADOR!A:A,"-",0)</f>
        <v>18.010000000000002</v>
      </c>
    </row>
    <row r="1303" spans="1:18" ht="14.25" customHeight="1" x14ac:dyDescent="0.35">
      <c r="A1303" s="105" t="s">
        <v>279</v>
      </c>
      <c r="B1303" s="105" t="s">
        <v>1981</v>
      </c>
      <c r="C1303" s="105" t="s">
        <v>1982</v>
      </c>
      <c r="D1303" s="105" t="s">
        <v>1070</v>
      </c>
      <c r="E1303" s="95" t="str">
        <f>IFERROR(VLOOKUP(D1303,MATERIALES!A:B,2,FALSE()),"?")</f>
        <v>Caja octogonal profunda</v>
      </c>
      <c r="F1303" s="129" t="str">
        <f>IFERROR(VLOOKUP(D1303,MATERIALES!A:C,3,FALSE()),"?")</f>
        <v>u</v>
      </c>
      <c r="G1303" s="119">
        <v>1</v>
      </c>
      <c r="H1303" s="120">
        <v>0.05</v>
      </c>
      <c r="I1303" s="96">
        <f>IFERROR(VLOOKUP(D1303,MATERIALES!A:D,4,FALSE()),0)</f>
        <v>1152.752</v>
      </c>
      <c r="J1303" s="31">
        <f t="shared" si="482"/>
        <v>1210.3896</v>
      </c>
      <c r="K1303" s="32" t="str">
        <f t="shared" si="470"/>
        <v>PTO-1801|MAT</v>
      </c>
      <c r="L1303" s="32">
        <f>COUNTIFS($K$2:K1303,K1303)</f>
        <v>8</v>
      </c>
      <c r="M1303" s="32" t="str">
        <f t="shared" si="475"/>
        <v>PTO-1801|MAT|8</v>
      </c>
      <c r="N1303" s="121">
        <f>IFERROR(VLOOKUP(A1303,PARTIDAS!A:F,6,FALSE()),0)</f>
        <v>3.25</v>
      </c>
      <c r="O1303" s="123">
        <f t="shared" si="478"/>
        <v>0</v>
      </c>
      <c r="P1303" s="123">
        <f>+_xlfn.XLOOKUP(A1303,PPTO_GENERADOR!Q:Q,PPTO_GENERADOR!E:E,"-",0)</f>
        <v>222</v>
      </c>
      <c r="Q1303" s="123">
        <f t="shared" si="479"/>
        <v>0</v>
      </c>
      <c r="R1303" s="125">
        <f>+_xlfn.XLOOKUP(A1303,PPTO_GENERADOR!$Q:$Q,PPTO_GENERADOR!A:A,"-",0)</f>
        <v>18.010000000000002</v>
      </c>
    </row>
    <row r="1304" spans="1:18" ht="14.25" customHeight="1" x14ac:dyDescent="0.35">
      <c r="A1304" s="105" t="s">
        <v>279</v>
      </c>
      <c r="B1304" s="105" t="s">
        <v>1981</v>
      </c>
      <c r="C1304" s="105" t="s">
        <v>1982</v>
      </c>
      <c r="D1304" s="105" t="s">
        <v>559</v>
      </c>
      <c r="E1304" s="95" t="str">
        <f>IFERROR(VLOOKUP(D1304,MATERIALES!A:B,2,FALSE()),"?")</f>
        <v>CONSUMIBLES (varios)</v>
      </c>
      <c r="F1304" s="129" t="str">
        <f>IFERROR(VLOOKUP(D1304,MATERIALES!A:C,3,FALSE()),"?")</f>
        <v>gl</v>
      </c>
      <c r="G1304" s="119">
        <v>3262.61688872589</v>
      </c>
      <c r="H1304" s="120">
        <v>0</v>
      </c>
      <c r="I1304" s="96">
        <f>IFERROR(VLOOKUP(D1304,MATERIALES!A:D,4,FALSE()),0)</f>
        <v>1</v>
      </c>
      <c r="J1304" s="31">
        <f t="shared" si="482"/>
        <v>3262.61688872589</v>
      </c>
      <c r="K1304" s="32" t="str">
        <f t="shared" si="470"/>
        <v>PTO-1801|MAT</v>
      </c>
      <c r="L1304" s="32">
        <f>COUNTIFS($K$2:K1304,K1304)</f>
        <v>9</v>
      </c>
      <c r="M1304" s="32" t="str">
        <f t="shared" si="475"/>
        <v>PTO-1801|MAT|9</v>
      </c>
      <c r="N1304" s="121">
        <f>IFERROR(VLOOKUP(A1304,PARTIDAS!A:F,6,FALSE()),0)</f>
        <v>3.25</v>
      </c>
      <c r="O1304" s="123">
        <f t="shared" si="478"/>
        <v>0</v>
      </c>
      <c r="P1304" s="123">
        <f>+_xlfn.XLOOKUP(A1304,PPTO_GENERADOR!Q:Q,PPTO_GENERADOR!E:E,"-",0)</f>
        <v>222</v>
      </c>
      <c r="Q1304" s="123">
        <f t="shared" si="479"/>
        <v>0</v>
      </c>
      <c r="R1304" s="125">
        <f>+_xlfn.XLOOKUP(A1304,PPTO_GENERADOR!$Q:$Q,PPTO_GENERADOR!A:A,"-",0)</f>
        <v>18.010000000000002</v>
      </c>
    </row>
    <row r="1305" spans="1:18" ht="14.25" customHeight="1" x14ac:dyDescent="0.35">
      <c r="A1305" s="105" t="s">
        <v>279</v>
      </c>
      <c r="B1305" s="105" t="s">
        <v>1983</v>
      </c>
      <c r="C1305" s="105"/>
      <c r="D1305" s="105" t="s">
        <v>1325</v>
      </c>
      <c r="E1305" s="95" t="str">
        <f>IFERROR(VLOOKUP(D1305,EQUIPOS!A:B,2,FALSE()),"?")</f>
        <v>EQUIPO PARA INSTALACION ELECTRICA</v>
      </c>
      <c r="F1305" s="129"/>
      <c r="G1305" s="119">
        <v>1</v>
      </c>
      <c r="H1305" s="120">
        <v>0</v>
      </c>
      <c r="I1305" s="96">
        <f>IFERROR(VLOOKUP(D1305,EQUIPOS!A:F,6,FALSE()),0)</f>
        <v>5503.040438867889</v>
      </c>
      <c r="J1305" s="31">
        <f t="shared" ref="J1305:J1307" si="483">G1305*I1305</f>
        <v>5503.040438867889</v>
      </c>
      <c r="K1305" s="32" t="str">
        <f t="shared" si="470"/>
        <v>PTO-1801|EQ</v>
      </c>
      <c r="L1305" s="32">
        <f>COUNTIFS($K$2:K1305,K1305)</f>
        <v>1</v>
      </c>
      <c r="M1305" s="32" t="str">
        <f t="shared" si="475"/>
        <v>PTO-1801|EQ|1</v>
      </c>
      <c r="N1305" s="121">
        <f>IFERROR(VLOOKUP(A1305,PARTIDAS!A:F,6,FALSE()),0)</f>
        <v>3.25</v>
      </c>
      <c r="O1305" s="123">
        <f t="shared" si="478"/>
        <v>0</v>
      </c>
      <c r="P1305" s="123">
        <f>+_xlfn.XLOOKUP(A1305,PPTO_GENERADOR!Q:Q,PPTO_GENERADOR!E:E,"-",0)</f>
        <v>222</v>
      </c>
      <c r="Q1305" s="123">
        <f t="shared" si="479"/>
        <v>0</v>
      </c>
      <c r="R1305" s="125">
        <f>+_xlfn.XLOOKUP(A1305,PPTO_GENERADOR!$Q:$Q,PPTO_GENERADOR!A:A,"-",0)</f>
        <v>18.010000000000002</v>
      </c>
    </row>
    <row r="1306" spans="1:18" ht="14.25" customHeight="1" x14ac:dyDescent="0.35">
      <c r="A1306" s="105" t="s">
        <v>279</v>
      </c>
      <c r="B1306" s="105" t="s">
        <v>1983</v>
      </c>
      <c r="C1306" s="105"/>
      <c r="D1306" s="105" t="s">
        <v>1313</v>
      </c>
      <c r="E1306" s="95" t="str">
        <f>IFERROR(VLOOKUP(D1306,EQUIPOS!A:B,2,FALSE()),"?")</f>
        <v>ANDAMIO TUBULAR DE UNO A TRES CUERPOS</v>
      </c>
      <c r="F1306" s="129"/>
      <c r="G1306" s="119">
        <v>0.5</v>
      </c>
      <c r="H1306" s="120">
        <v>0</v>
      </c>
      <c r="I1306" s="96">
        <f>IFERROR(VLOOKUP(D1306,EQUIPOS!A:F,6,FALSE()),0)</f>
        <v>620.81078197718341</v>
      </c>
      <c r="J1306" s="31">
        <f t="shared" si="483"/>
        <v>310.40539098859171</v>
      </c>
      <c r="K1306" s="32" t="str">
        <f t="shared" si="470"/>
        <v>PTO-1801|EQ</v>
      </c>
      <c r="L1306" s="32">
        <f>COUNTIFS($K$2:K1306,K1306)</f>
        <v>2</v>
      </c>
      <c r="M1306" s="32" t="str">
        <f t="shared" si="475"/>
        <v>PTO-1801|EQ|2</v>
      </c>
      <c r="N1306" s="121">
        <f>IFERROR(VLOOKUP(A1306,PARTIDAS!A:F,6,FALSE()),0)</f>
        <v>3.25</v>
      </c>
      <c r="O1306" s="123">
        <f t="shared" si="478"/>
        <v>0</v>
      </c>
      <c r="P1306" s="123">
        <f>+_xlfn.XLOOKUP(A1306,PPTO_GENERADOR!Q:Q,PPTO_GENERADOR!E:E,"-",0)</f>
        <v>222</v>
      </c>
      <c r="Q1306" s="123">
        <f t="shared" si="479"/>
        <v>0</v>
      </c>
      <c r="R1306" s="125">
        <f>+_xlfn.XLOOKUP(A1306,PPTO_GENERADOR!$Q:$Q,PPTO_GENERADOR!A:A,"-",0)</f>
        <v>18.010000000000002</v>
      </c>
    </row>
    <row r="1307" spans="1:18" ht="14.25" customHeight="1" x14ac:dyDescent="0.35">
      <c r="A1307" s="105" t="s">
        <v>279</v>
      </c>
      <c r="B1307" s="105" t="s">
        <v>1983</v>
      </c>
      <c r="C1307" s="105"/>
      <c r="D1307" s="105" t="s">
        <v>1311</v>
      </c>
      <c r="E1307" s="95" t="str">
        <f>IFERROR(VLOOKUP(D1307,EQUIPOS!A:B,2,FALSE()),"?")</f>
        <v>ESCALERA GLOSS ALUMINIO ARTICULADA 4 X 4 ESCALONES HASTA 150KG</v>
      </c>
      <c r="F1307" s="129"/>
      <c r="G1307" s="119">
        <v>0.5</v>
      </c>
      <c r="H1307" s="120">
        <v>0</v>
      </c>
      <c r="I1307" s="96">
        <f>IFERROR(VLOOKUP(D1307,EQUIPOS!A:F,6,FALSE()),0)</f>
        <v>152.38027427373819</v>
      </c>
      <c r="J1307" s="31">
        <f t="shared" si="483"/>
        <v>76.190137136869097</v>
      </c>
      <c r="K1307" s="32" t="str">
        <f t="shared" si="470"/>
        <v>PTO-1801|EQ</v>
      </c>
      <c r="L1307" s="32">
        <f>COUNTIFS($K$2:K1307,K1307)</f>
        <v>3</v>
      </c>
      <c r="M1307" s="32" t="str">
        <f t="shared" si="475"/>
        <v>PTO-1801|EQ|3</v>
      </c>
      <c r="N1307" s="121">
        <f>IFERROR(VLOOKUP(A1307,PARTIDAS!A:F,6,FALSE()),0)</f>
        <v>3.25</v>
      </c>
      <c r="O1307" s="123">
        <f t="shared" si="478"/>
        <v>0</v>
      </c>
      <c r="P1307" s="123">
        <f>+_xlfn.XLOOKUP(A1307,PPTO_GENERADOR!Q:Q,PPTO_GENERADOR!E:E,"-",0)</f>
        <v>222</v>
      </c>
      <c r="Q1307" s="123">
        <f t="shared" si="479"/>
        <v>0</v>
      </c>
      <c r="R1307" s="125">
        <f>+_xlfn.XLOOKUP(A1307,PPTO_GENERADOR!$Q:$Q,PPTO_GENERADOR!A:A,"-",0)</f>
        <v>18.010000000000002</v>
      </c>
    </row>
    <row r="1308" spans="1:18" ht="14.25" customHeight="1" x14ac:dyDescent="0.35">
      <c r="A1308" s="105" t="s">
        <v>282</v>
      </c>
      <c r="B1308" s="105" t="s">
        <v>1981</v>
      </c>
      <c r="C1308" s="105" t="s">
        <v>1982</v>
      </c>
      <c r="D1308" s="105" t="s">
        <v>1066</v>
      </c>
      <c r="E1308" s="95" t="str">
        <f>IFERROR(VLOOKUP(D1308,MATERIALES!A:B,2,FALSE()),"?")</f>
        <v>Caño rígido 7/8" x 3m</v>
      </c>
      <c r="F1308" s="129" t="str">
        <f>IFERROR(VLOOKUP(D1308,MATERIALES!A:C,3,FALSE()),"?")</f>
        <v>u</v>
      </c>
      <c r="G1308" s="119">
        <v>5</v>
      </c>
      <c r="H1308" s="120">
        <v>0.1</v>
      </c>
      <c r="I1308" s="96">
        <f>IFERROR(VLOOKUP(D1308,MATERIALES!A:D,4,FALSE()),0)</f>
        <v>514.58833333333303</v>
      </c>
      <c r="J1308" s="31">
        <f t="shared" ref="J1308:J1316" si="484">G1308*I1308*(1+H1308)</f>
        <v>2830.2358333333318</v>
      </c>
      <c r="K1308" s="32" t="str">
        <f t="shared" si="470"/>
        <v>PTO-1802|MAT</v>
      </c>
      <c r="L1308" s="32">
        <f>COUNTIFS($K$2:K1308,K1308)</f>
        <v>1</v>
      </c>
      <c r="M1308" s="32" t="str">
        <f t="shared" si="475"/>
        <v>PTO-1802|MAT|1</v>
      </c>
      <c r="N1308" s="121">
        <f>IFERROR(VLOOKUP(A1308,PARTIDAS!A:F,6,FALSE()),0)</f>
        <v>3.25</v>
      </c>
      <c r="O1308" s="123">
        <f t="shared" si="478"/>
        <v>0</v>
      </c>
      <c r="P1308" s="123">
        <f>+_xlfn.XLOOKUP(A1308,PPTO_GENERADOR!Q:Q,PPTO_GENERADOR!E:E,"-",0)</f>
        <v>67</v>
      </c>
      <c r="Q1308" s="123">
        <f t="shared" si="479"/>
        <v>0</v>
      </c>
      <c r="R1308" s="125">
        <f>+_xlfn.XLOOKUP(A1308,PPTO_GENERADOR!$Q:$Q,PPTO_GENERADOR!A:A,"-",0)</f>
        <v>18.02</v>
      </c>
    </row>
    <row r="1309" spans="1:18" ht="14.25" customHeight="1" x14ac:dyDescent="0.35">
      <c r="A1309" s="105" t="s">
        <v>282</v>
      </c>
      <c r="B1309" s="105" t="s">
        <v>1981</v>
      </c>
      <c r="C1309" s="105" t="s">
        <v>1982</v>
      </c>
      <c r="D1309" s="105" t="s">
        <v>970</v>
      </c>
      <c r="E1309" s="95" t="str">
        <f>IFERROR(VLOOKUP(D1309,MATERIALES!A:B,2,FALSE()),"?")</f>
        <v>Conector hierro 3/4"</v>
      </c>
      <c r="F1309" s="129" t="str">
        <f>IFERROR(VLOOKUP(D1309,MATERIALES!A:C,3,FALSE()),"?")</f>
        <v>u</v>
      </c>
      <c r="G1309" s="119">
        <v>3</v>
      </c>
      <c r="H1309" s="120">
        <v>0.1</v>
      </c>
      <c r="I1309" s="96">
        <f>IFERROR(VLOOKUP(D1309,MATERIALES!A:D,4,FALSE()),0)</f>
        <v>250.31899999999999</v>
      </c>
      <c r="J1309" s="31">
        <f t="shared" si="484"/>
        <v>826.05270000000007</v>
      </c>
      <c r="K1309" s="32" t="str">
        <f t="shared" si="470"/>
        <v>PTO-1802|MAT</v>
      </c>
      <c r="L1309" s="32">
        <f>COUNTIFS($K$2:K1309,K1309)</f>
        <v>2</v>
      </c>
      <c r="M1309" s="32" t="str">
        <f t="shared" si="475"/>
        <v>PTO-1802|MAT|2</v>
      </c>
      <c r="N1309" s="121">
        <f>IFERROR(VLOOKUP(A1309,PARTIDAS!A:F,6,FALSE()),0)</f>
        <v>3.25</v>
      </c>
      <c r="O1309" s="123">
        <f t="shared" si="478"/>
        <v>0</v>
      </c>
      <c r="P1309" s="123">
        <f>+_xlfn.XLOOKUP(A1309,PPTO_GENERADOR!Q:Q,PPTO_GENERADOR!E:E,"-",0)</f>
        <v>67</v>
      </c>
      <c r="Q1309" s="123">
        <f t="shared" si="479"/>
        <v>0</v>
      </c>
      <c r="R1309" s="125">
        <f>+_xlfn.XLOOKUP(A1309,PPTO_GENERADOR!$Q:$Q,PPTO_GENERADOR!A:A,"-",0)</f>
        <v>18.02</v>
      </c>
    </row>
    <row r="1310" spans="1:18" ht="14.25" customHeight="1" x14ac:dyDescent="0.35">
      <c r="A1310" s="105" t="s">
        <v>282</v>
      </c>
      <c r="B1310" s="105" t="s">
        <v>1981</v>
      </c>
      <c r="C1310" s="105" t="s">
        <v>1982</v>
      </c>
      <c r="D1310" s="105" t="s">
        <v>972</v>
      </c>
      <c r="E1310" s="95" t="str">
        <f>IFERROR(VLOOKUP(D1310,MATERIALES!A:B,2,FALSE()),"?")</f>
        <v>Cupla PVC 3/4"</v>
      </c>
      <c r="F1310" s="129" t="str">
        <f>IFERROR(VLOOKUP(D1310,MATERIALES!A:C,3,FALSE()),"?")</f>
        <v>u</v>
      </c>
      <c r="G1310" s="119">
        <v>2</v>
      </c>
      <c r="H1310" s="120">
        <v>0.1</v>
      </c>
      <c r="I1310" s="96">
        <f>IFERROR(VLOOKUP(D1310,MATERIALES!A:D,4,FALSE()),0)</f>
        <v>110.121</v>
      </c>
      <c r="J1310" s="31">
        <f t="shared" si="484"/>
        <v>242.2662</v>
      </c>
      <c r="K1310" s="32" t="str">
        <f t="shared" si="470"/>
        <v>PTO-1802|MAT</v>
      </c>
      <c r="L1310" s="32">
        <f>COUNTIFS($K$2:K1310,K1310)</f>
        <v>3</v>
      </c>
      <c r="M1310" s="32" t="str">
        <f t="shared" si="475"/>
        <v>PTO-1802|MAT|3</v>
      </c>
      <c r="N1310" s="121">
        <f>IFERROR(VLOOKUP(A1310,PARTIDAS!A:F,6,FALSE()),0)</f>
        <v>3.25</v>
      </c>
      <c r="O1310" s="123">
        <f t="shared" si="478"/>
        <v>0</v>
      </c>
      <c r="P1310" s="123">
        <f>+_xlfn.XLOOKUP(A1310,PPTO_GENERADOR!Q:Q,PPTO_GENERADOR!E:E,"-",0)</f>
        <v>67</v>
      </c>
      <c r="Q1310" s="123">
        <f t="shared" si="479"/>
        <v>0</v>
      </c>
      <c r="R1310" s="125">
        <f>+_xlfn.XLOOKUP(A1310,PPTO_GENERADOR!$Q:$Q,PPTO_GENERADOR!A:A,"-",0)</f>
        <v>18.02</v>
      </c>
    </row>
    <row r="1311" spans="1:18" ht="14.25" customHeight="1" x14ac:dyDescent="0.35">
      <c r="A1311" s="105" t="s">
        <v>282</v>
      </c>
      <c r="B1311" s="105" t="s">
        <v>1981</v>
      </c>
      <c r="C1311" s="105" t="s">
        <v>1982</v>
      </c>
      <c r="D1311" s="105" t="s">
        <v>1068</v>
      </c>
      <c r="E1311" s="95" t="str">
        <f>IFERROR(VLOOKUP(D1311,MATERIALES!A:B,2,FALSE()),"?")</f>
        <v>Cable unipolar 1 x 1,50</v>
      </c>
      <c r="F1311" s="129" t="str">
        <f>IFERROR(VLOOKUP(D1311,MATERIALES!A:C,3,FALSE()),"?")</f>
        <v>ml</v>
      </c>
      <c r="G1311" s="119">
        <v>7.5</v>
      </c>
      <c r="H1311" s="120">
        <v>0.1</v>
      </c>
      <c r="I1311" s="96">
        <f>IFERROR(VLOOKUP(D1311,MATERIALES!A:D,4,FALSE()),0)</f>
        <v>339.47162557191899</v>
      </c>
      <c r="J1311" s="31">
        <f t="shared" si="484"/>
        <v>2800.6409109683323</v>
      </c>
      <c r="K1311" s="32" t="str">
        <f t="shared" si="470"/>
        <v>PTO-1802|MAT</v>
      </c>
      <c r="L1311" s="32">
        <f>COUNTIFS($K$2:K1311,K1311)</f>
        <v>4</v>
      </c>
      <c r="M1311" s="32" t="str">
        <f t="shared" si="475"/>
        <v>PTO-1802|MAT|4</v>
      </c>
      <c r="N1311" s="121">
        <f>IFERROR(VLOOKUP(A1311,PARTIDAS!A:F,6,FALSE()),0)</f>
        <v>3.25</v>
      </c>
      <c r="O1311" s="123">
        <f t="shared" si="478"/>
        <v>0</v>
      </c>
      <c r="P1311" s="123">
        <f>+_xlfn.XLOOKUP(A1311,PPTO_GENERADOR!Q:Q,PPTO_GENERADOR!E:E,"-",0)</f>
        <v>67</v>
      </c>
      <c r="Q1311" s="123">
        <f t="shared" si="479"/>
        <v>0</v>
      </c>
      <c r="R1311" s="125">
        <f>+_xlfn.XLOOKUP(A1311,PPTO_GENERADOR!$Q:$Q,PPTO_GENERADOR!A:A,"-",0)</f>
        <v>18.02</v>
      </c>
    </row>
    <row r="1312" spans="1:18" ht="14.25" customHeight="1" x14ac:dyDescent="0.35">
      <c r="A1312" s="105" t="s">
        <v>282</v>
      </c>
      <c r="B1312" s="105" t="s">
        <v>1981</v>
      </c>
      <c r="C1312" s="105" t="s">
        <v>1982</v>
      </c>
      <c r="D1312" s="105" t="s">
        <v>974</v>
      </c>
      <c r="E1312" s="95" t="str">
        <f>IFERROR(VLOOKUP(D1312,MATERIALES!A:B,2,FALSE()),"?")</f>
        <v>Cable unipolar 1 x 2,50 VA</v>
      </c>
      <c r="F1312" s="129" t="str">
        <f>IFERROR(VLOOKUP(D1312,MATERIALES!A:C,3,FALSE()),"?")</f>
        <v>m</v>
      </c>
      <c r="G1312" s="119">
        <v>5</v>
      </c>
      <c r="H1312" s="120">
        <v>0.1</v>
      </c>
      <c r="I1312" s="96">
        <f>IFERROR(VLOOKUP(D1312,MATERIALES!A:D,4,FALSE()),0)</f>
        <v>546.37687500000004</v>
      </c>
      <c r="J1312" s="31">
        <f t="shared" si="484"/>
        <v>3005.0728125000005</v>
      </c>
      <c r="K1312" s="32" t="str">
        <f t="shared" si="470"/>
        <v>PTO-1802|MAT</v>
      </c>
      <c r="L1312" s="32">
        <f>COUNTIFS($K$2:K1312,K1312)</f>
        <v>5</v>
      </c>
      <c r="M1312" s="32" t="str">
        <f t="shared" si="475"/>
        <v>PTO-1802|MAT|5</v>
      </c>
      <c r="N1312" s="121">
        <f>IFERROR(VLOOKUP(A1312,PARTIDAS!A:F,6,FALSE()),0)</f>
        <v>3.25</v>
      </c>
      <c r="O1312" s="123">
        <f t="shared" si="478"/>
        <v>0</v>
      </c>
      <c r="P1312" s="123">
        <f>+_xlfn.XLOOKUP(A1312,PPTO_GENERADOR!Q:Q,PPTO_GENERADOR!E:E,"-",0)</f>
        <v>67</v>
      </c>
      <c r="Q1312" s="123">
        <f t="shared" si="479"/>
        <v>0</v>
      </c>
      <c r="R1312" s="125">
        <f>+_xlfn.XLOOKUP(A1312,PPTO_GENERADOR!$Q:$Q,PPTO_GENERADOR!A:A,"-",0)</f>
        <v>18.02</v>
      </c>
    </row>
    <row r="1313" spans="1:18" ht="14.25" customHeight="1" x14ac:dyDescent="0.35">
      <c r="A1313" s="105" t="s">
        <v>282</v>
      </c>
      <c r="B1313" s="105" t="s">
        <v>1981</v>
      </c>
      <c r="C1313" s="105" t="s">
        <v>1982</v>
      </c>
      <c r="D1313" s="105" t="s">
        <v>974</v>
      </c>
      <c r="E1313" s="95" t="str">
        <f>IFERROR(VLOOKUP(D1313,MATERIALES!A:B,2,FALSE()),"?")</f>
        <v>Cable unipolar 1 x 2,50 VA</v>
      </c>
      <c r="F1313" s="129" t="str">
        <f>IFERROR(VLOOKUP(D1313,MATERIALES!A:C,3,FALSE()),"?")</f>
        <v>m</v>
      </c>
      <c r="G1313" s="119">
        <v>7.5</v>
      </c>
      <c r="H1313" s="120">
        <v>0.1</v>
      </c>
      <c r="I1313" s="96">
        <f>IFERROR(VLOOKUP(D1313,MATERIALES!A:D,4,FALSE()),0)</f>
        <v>546.37687500000004</v>
      </c>
      <c r="J1313" s="31">
        <f t="shared" si="484"/>
        <v>4507.6092187500008</v>
      </c>
      <c r="K1313" s="32" t="str">
        <f t="shared" si="470"/>
        <v>PTO-1802|MAT</v>
      </c>
      <c r="L1313" s="32">
        <f>COUNTIFS($K$2:K1313,K1313)</f>
        <v>6</v>
      </c>
      <c r="M1313" s="32" t="str">
        <f t="shared" si="475"/>
        <v>PTO-1802|MAT|6</v>
      </c>
      <c r="N1313" s="121">
        <f>IFERROR(VLOOKUP(A1313,PARTIDAS!A:F,6,FALSE()),0)</f>
        <v>3.25</v>
      </c>
      <c r="O1313" s="123">
        <f t="shared" si="478"/>
        <v>0</v>
      </c>
      <c r="P1313" s="123">
        <f>+_xlfn.XLOOKUP(A1313,PPTO_GENERADOR!Q:Q,PPTO_GENERADOR!E:E,"-",0)</f>
        <v>67</v>
      </c>
      <c r="Q1313" s="123">
        <f t="shared" si="479"/>
        <v>0</v>
      </c>
      <c r="R1313" s="125">
        <f>+_xlfn.XLOOKUP(A1313,PPTO_GENERADOR!$Q:$Q,PPTO_GENERADOR!A:A,"-",0)</f>
        <v>18.02</v>
      </c>
    </row>
    <row r="1314" spans="1:18" ht="14.25" customHeight="1" x14ac:dyDescent="0.35">
      <c r="A1314" s="105" t="s">
        <v>282</v>
      </c>
      <c r="B1314" s="105" t="s">
        <v>1981</v>
      </c>
      <c r="C1314" s="105" t="s">
        <v>1982</v>
      </c>
      <c r="D1314" s="105" t="s">
        <v>977</v>
      </c>
      <c r="E1314" s="95" t="str">
        <f>IFERROR(VLOOKUP(D1314,MATERIALES!A:B,2,FALSE()),"?")</f>
        <v>Caja rectangular chica</v>
      </c>
      <c r="F1314" s="129" t="str">
        <f>IFERROR(VLOOKUP(D1314,MATERIALES!A:C,3,FALSE()),"?")</f>
        <v>u</v>
      </c>
      <c r="G1314" s="119">
        <v>0.5</v>
      </c>
      <c r="H1314" s="120">
        <v>0.05</v>
      </c>
      <c r="I1314" s="96">
        <f>IFERROR(VLOOKUP(D1314,MATERIALES!A:D,4,FALSE()),0)</f>
        <v>217.14975799999999</v>
      </c>
      <c r="J1314" s="31">
        <f t="shared" si="484"/>
        <v>114.00362294999999</v>
      </c>
      <c r="K1314" s="32" t="str">
        <f t="shared" si="470"/>
        <v>PTO-1802|MAT</v>
      </c>
      <c r="L1314" s="32">
        <f>COUNTIFS($K$2:K1314,K1314)</f>
        <v>7</v>
      </c>
      <c r="M1314" s="32" t="str">
        <f t="shared" si="475"/>
        <v>PTO-1802|MAT|7</v>
      </c>
      <c r="N1314" s="121">
        <f>IFERROR(VLOOKUP(A1314,PARTIDAS!A:F,6,FALSE()),0)</f>
        <v>3.25</v>
      </c>
      <c r="O1314" s="123">
        <f t="shared" si="478"/>
        <v>0</v>
      </c>
      <c r="P1314" s="123">
        <f>+_xlfn.XLOOKUP(A1314,PPTO_GENERADOR!Q:Q,PPTO_GENERADOR!E:E,"-",0)</f>
        <v>67</v>
      </c>
      <c r="Q1314" s="123">
        <f t="shared" si="479"/>
        <v>0</v>
      </c>
      <c r="R1314" s="125">
        <f>+_xlfn.XLOOKUP(A1314,PPTO_GENERADOR!$Q:$Q,PPTO_GENERADOR!A:A,"-",0)</f>
        <v>18.02</v>
      </c>
    </row>
    <row r="1315" spans="1:18" ht="14.25" customHeight="1" x14ac:dyDescent="0.35">
      <c r="A1315" s="105" t="s">
        <v>282</v>
      </c>
      <c r="B1315" s="105" t="s">
        <v>1981</v>
      </c>
      <c r="C1315" s="105" t="s">
        <v>1982</v>
      </c>
      <c r="D1315" s="105" t="s">
        <v>977</v>
      </c>
      <c r="E1315" s="95" t="str">
        <f>IFERROR(VLOOKUP(D1315,MATERIALES!A:B,2,FALSE()),"?")</f>
        <v>Caja rectangular chica</v>
      </c>
      <c r="F1315" s="129" t="str">
        <f>IFERROR(VLOOKUP(D1315,MATERIALES!A:C,3,FALSE()),"?")</f>
        <v>u</v>
      </c>
      <c r="G1315" s="119">
        <v>1</v>
      </c>
      <c r="H1315" s="120">
        <v>0.05</v>
      </c>
      <c r="I1315" s="96">
        <f>IFERROR(VLOOKUP(D1315,MATERIALES!A:D,4,FALSE()),0)</f>
        <v>217.14975799999999</v>
      </c>
      <c r="J1315" s="31">
        <f t="shared" si="484"/>
        <v>228.00724589999999</v>
      </c>
      <c r="K1315" s="32" t="str">
        <f t="shared" si="470"/>
        <v>PTO-1802|MAT</v>
      </c>
      <c r="L1315" s="32">
        <f>COUNTIFS($K$2:K1315,K1315)</f>
        <v>8</v>
      </c>
      <c r="M1315" s="32" t="str">
        <f t="shared" si="475"/>
        <v>PTO-1802|MAT|8</v>
      </c>
      <c r="N1315" s="121">
        <f>IFERROR(VLOOKUP(A1315,PARTIDAS!A:F,6,FALSE()),0)</f>
        <v>3.25</v>
      </c>
      <c r="O1315" s="123">
        <f t="shared" si="478"/>
        <v>0</v>
      </c>
      <c r="P1315" s="123">
        <f>+_xlfn.XLOOKUP(A1315,PPTO_GENERADOR!Q:Q,PPTO_GENERADOR!E:E,"-",0)</f>
        <v>67</v>
      </c>
      <c r="Q1315" s="123">
        <f t="shared" si="479"/>
        <v>0</v>
      </c>
      <c r="R1315" s="125">
        <f>+_xlfn.XLOOKUP(A1315,PPTO_GENERADOR!$Q:$Q,PPTO_GENERADOR!A:A,"-",0)</f>
        <v>18.02</v>
      </c>
    </row>
    <row r="1316" spans="1:18" ht="14.25" customHeight="1" x14ac:dyDescent="0.35">
      <c r="A1316" s="105" t="s">
        <v>282</v>
      </c>
      <c r="B1316" s="105" t="s">
        <v>1981</v>
      </c>
      <c r="C1316" s="105" t="s">
        <v>1982</v>
      </c>
      <c r="D1316" s="105" t="s">
        <v>559</v>
      </c>
      <c r="E1316" s="95" t="str">
        <f>IFERROR(VLOOKUP(D1316,MATERIALES!A:B,2,FALSE()),"?")</f>
        <v>CONSUMIBLES (varios)</v>
      </c>
      <c r="F1316" s="129" t="str">
        <f>IFERROR(VLOOKUP(D1316,MATERIALES!A:C,3,FALSE()),"?")</f>
        <v>gl</v>
      </c>
      <c r="G1316" s="119">
        <v>3056.31659426235</v>
      </c>
      <c r="H1316" s="120">
        <v>0</v>
      </c>
      <c r="I1316" s="96">
        <f>IFERROR(VLOOKUP(D1316,MATERIALES!A:D,4,FALSE()),0)</f>
        <v>1</v>
      </c>
      <c r="J1316" s="31">
        <f t="shared" si="484"/>
        <v>3056.31659426235</v>
      </c>
      <c r="K1316" s="32" t="str">
        <f t="shared" si="470"/>
        <v>PTO-1802|MAT</v>
      </c>
      <c r="L1316" s="32">
        <f>COUNTIFS($K$2:K1316,K1316)</f>
        <v>9</v>
      </c>
      <c r="M1316" s="32" t="str">
        <f t="shared" si="475"/>
        <v>PTO-1802|MAT|9</v>
      </c>
      <c r="N1316" s="121">
        <f>IFERROR(VLOOKUP(A1316,PARTIDAS!A:F,6,FALSE()),0)</f>
        <v>3.25</v>
      </c>
      <c r="O1316" s="123">
        <f t="shared" si="478"/>
        <v>0</v>
      </c>
      <c r="P1316" s="123">
        <f>+_xlfn.XLOOKUP(A1316,PPTO_GENERADOR!Q:Q,PPTO_GENERADOR!E:E,"-",0)</f>
        <v>67</v>
      </c>
      <c r="Q1316" s="123">
        <f t="shared" si="479"/>
        <v>0</v>
      </c>
      <c r="R1316" s="125">
        <f>+_xlfn.XLOOKUP(A1316,PPTO_GENERADOR!$Q:$Q,PPTO_GENERADOR!A:A,"-",0)</f>
        <v>18.02</v>
      </c>
    </row>
    <row r="1317" spans="1:18" ht="14.25" customHeight="1" x14ac:dyDescent="0.35">
      <c r="A1317" s="105" t="s">
        <v>282</v>
      </c>
      <c r="B1317" s="105" t="s">
        <v>1983</v>
      </c>
      <c r="C1317" s="105"/>
      <c r="D1317" s="105" t="s">
        <v>1325</v>
      </c>
      <c r="E1317" s="95" t="str">
        <f>IFERROR(VLOOKUP(D1317,EQUIPOS!A:B,2,FALSE()),"?")</f>
        <v>EQUIPO PARA INSTALACION ELECTRICA</v>
      </c>
      <c r="F1317" s="129"/>
      <c r="G1317" s="119">
        <v>1</v>
      </c>
      <c r="H1317" s="120">
        <v>0</v>
      </c>
      <c r="I1317" s="96">
        <f>IFERROR(VLOOKUP(D1317,EQUIPOS!A:F,6,FALSE()),0)</f>
        <v>5503.040438867889</v>
      </c>
      <c r="J1317" s="31">
        <f t="shared" ref="J1317:J1319" si="485">G1317*I1317</f>
        <v>5503.040438867889</v>
      </c>
      <c r="K1317" s="32" t="str">
        <f t="shared" si="470"/>
        <v>PTO-1802|EQ</v>
      </c>
      <c r="L1317" s="32">
        <f>COUNTIFS($K$2:K1317,K1317)</f>
        <v>1</v>
      </c>
      <c r="M1317" s="32" t="str">
        <f t="shared" si="475"/>
        <v>PTO-1802|EQ|1</v>
      </c>
      <c r="N1317" s="121">
        <f>IFERROR(VLOOKUP(A1317,PARTIDAS!A:F,6,FALSE()),0)</f>
        <v>3.25</v>
      </c>
      <c r="O1317" s="123">
        <f t="shared" si="478"/>
        <v>0</v>
      </c>
      <c r="P1317" s="123">
        <f>+_xlfn.XLOOKUP(A1317,PPTO_GENERADOR!Q:Q,PPTO_GENERADOR!E:E,"-",0)</f>
        <v>67</v>
      </c>
      <c r="Q1317" s="123">
        <f t="shared" si="479"/>
        <v>0</v>
      </c>
      <c r="R1317" s="125">
        <f>+_xlfn.XLOOKUP(A1317,PPTO_GENERADOR!$Q:$Q,PPTO_GENERADOR!A:A,"-",0)</f>
        <v>18.02</v>
      </c>
    </row>
    <row r="1318" spans="1:18" ht="14.25" customHeight="1" x14ac:dyDescent="0.35">
      <c r="A1318" s="105" t="s">
        <v>282</v>
      </c>
      <c r="B1318" s="105" t="s">
        <v>1983</v>
      </c>
      <c r="C1318" s="105"/>
      <c r="D1318" s="105" t="s">
        <v>1313</v>
      </c>
      <c r="E1318" s="95" t="str">
        <f>IFERROR(VLOOKUP(D1318,EQUIPOS!A:B,2,FALSE()),"?")</f>
        <v>ANDAMIO TUBULAR DE UNO A TRES CUERPOS</v>
      </c>
      <c r="F1318" s="129"/>
      <c r="G1318" s="119">
        <v>0.5</v>
      </c>
      <c r="H1318" s="120">
        <v>0</v>
      </c>
      <c r="I1318" s="96">
        <f>IFERROR(VLOOKUP(D1318,EQUIPOS!A:F,6,FALSE()),0)</f>
        <v>620.81078197718341</v>
      </c>
      <c r="J1318" s="31">
        <f t="shared" si="485"/>
        <v>310.40539098859171</v>
      </c>
      <c r="K1318" s="32" t="str">
        <f t="shared" si="470"/>
        <v>PTO-1802|EQ</v>
      </c>
      <c r="L1318" s="32">
        <f>COUNTIFS($K$2:K1318,K1318)</f>
        <v>2</v>
      </c>
      <c r="M1318" s="32" t="str">
        <f t="shared" si="475"/>
        <v>PTO-1802|EQ|2</v>
      </c>
      <c r="N1318" s="121">
        <f>IFERROR(VLOOKUP(A1318,PARTIDAS!A:F,6,FALSE()),0)</f>
        <v>3.25</v>
      </c>
      <c r="O1318" s="123">
        <f t="shared" si="478"/>
        <v>0</v>
      </c>
      <c r="P1318" s="123">
        <f>+_xlfn.XLOOKUP(A1318,PPTO_GENERADOR!Q:Q,PPTO_GENERADOR!E:E,"-",0)</f>
        <v>67</v>
      </c>
      <c r="Q1318" s="123">
        <f t="shared" si="479"/>
        <v>0</v>
      </c>
      <c r="R1318" s="125">
        <f>+_xlfn.XLOOKUP(A1318,PPTO_GENERADOR!$Q:$Q,PPTO_GENERADOR!A:A,"-",0)</f>
        <v>18.02</v>
      </c>
    </row>
    <row r="1319" spans="1:18" ht="14.25" customHeight="1" x14ac:dyDescent="0.35">
      <c r="A1319" s="105" t="s">
        <v>282</v>
      </c>
      <c r="B1319" s="105" t="s">
        <v>1983</v>
      </c>
      <c r="C1319" s="105"/>
      <c r="D1319" s="105" t="s">
        <v>1311</v>
      </c>
      <c r="E1319" s="95" t="str">
        <f>IFERROR(VLOOKUP(D1319,EQUIPOS!A:B,2,FALSE()),"?")</f>
        <v>ESCALERA GLOSS ALUMINIO ARTICULADA 4 X 4 ESCALONES HASTA 150KG</v>
      </c>
      <c r="F1319" s="129"/>
      <c r="G1319" s="119">
        <v>0.5</v>
      </c>
      <c r="H1319" s="120">
        <v>0</v>
      </c>
      <c r="I1319" s="96">
        <f>IFERROR(VLOOKUP(D1319,EQUIPOS!A:F,6,FALSE()),0)</f>
        <v>152.38027427373819</v>
      </c>
      <c r="J1319" s="31">
        <f t="shared" si="485"/>
        <v>76.190137136869097</v>
      </c>
      <c r="K1319" s="32" t="str">
        <f t="shared" si="470"/>
        <v>PTO-1802|EQ</v>
      </c>
      <c r="L1319" s="32">
        <f>COUNTIFS($K$2:K1319,K1319)</f>
        <v>3</v>
      </c>
      <c r="M1319" s="32" t="str">
        <f t="shared" si="475"/>
        <v>PTO-1802|EQ|3</v>
      </c>
      <c r="N1319" s="121">
        <f>IFERROR(VLOOKUP(A1319,PARTIDAS!A:F,6,FALSE()),0)</f>
        <v>3.25</v>
      </c>
      <c r="O1319" s="123">
        <f t="shared" si="478"/>
        <v>0</v>
      </c>
      <c r="P1319" s="123">
        <f>+_xlfn.XLOOKUP(A1319,PPTO_GENERADOR!Q:Q,PPTO_GENERADOR!E:E,"-",0)</f>
        <v>67</v>
      </c>
      <c r="Q1319" s="123">
        <f t="shared" si="479"/>
        <v>0</v>
      </c>
      <c r="R1319" s="125">
        <f>+_xlfn.XLOOKUP(A1319,PPTO_GENERADOR!$Q:$Q,PPTO_GENERADOR!A:A,"-",0)</f>
        <v>18.02</v>
      </c>
    </row>
    <row r="1320" spans="1:18" ht="14.25" customHeight="1" x14ac:dyDescent="0.35">
      <c r="A1320" s="105" t="s">
        <v>285</v>
      </c>
      <c r="B1320" s="105" t="s">
        <v>1981</v>
      </c>
      <c r="C1320" s="105" t="s">
        <v>1982</v>
      </c>
      <c r="D1320" s="105" t="s">
        <v>1066</v>
      </c>
      <c r="E1320" s="95" t="str">
        <f>IFERROR(VLOOKUP(D1320,MATERIALES!A:B,2,FALSE()),"?")</f>
        <v>Caño rígido 7/8" x 3m</v>
      </c>
      <c r="F1320" s="129" t="str">
        <f>IFERROR(VLOOKUP(D1320,MATERIALES!A:C,3,FALSE()),"?")</f>
        <v>u</v>
      </c>
      <c r="G1320" s="119">
        <v>5</v>
      </c>
      <c r="H1320" s="120">
        <v>0.1</v>
      </c>
      <c r="I1320" s="96">
        <f>IFERROR(VLOOKUP(D1320,MATERIALES!A:D,4,FALSE()),0)</f>
        <v>514.58833333333303</v>
      </c>
      <c r="J1320" s="31">
        <f t="shared" ref="J1320:J1328" si="486">G1320*I1320*(1+H1320)</f>
        <v>2830.2358333333318</v>
      </c>
      <c r="K1320" s="32" t="str">
        <f t="shared" si="470"/>
        <v>PTO-1803|MAT</v>
      </c>
      <c r="L1320" s="32">
        <f>COUNTIFS($K$2:K1320,K1320)</f>
        <v>1</v>
      </c>
      <c r="M1320" s="32" t="str">
        <f t="shared" si="475"/>
        <v>PTO-1803|MAT|1</v>
      </c>
      <c r="N1320" s="121">
        <f>IFERROR(VLOOKUP(A1320,PARTIDAS!A:F,6,FALSE()),0)</f>
        <v>3.25</v>
      </c>
      <c r="O1320" s="123">
        <f t="shared" si="478"/>
        <v>0</v>
      </c>
      <c r="P1320" s="123">
        <f>+_xlfn.XLOOKUP(A1320,PPTO_GENERADOR!Q:Q,PPTO_GENERADOR!E:E,"-",0)</f>
        <v>23</v>
      </c>
      <c r="Q1320" s="123">
        <f t="shared" si="479"/>
        <v>0</v>
      </c>
      <c r="R1320" s="125">
        <f>+_xlfn.XLOOKUP(A1320,PPTO_GENERADOR!$Q:$Q,PPTO_GENERADOR!A:A,"-",0)</f>
        <v>18.03</v>
      </c>
    </row>
    <row r="1321" spans="1:18" ht="14.25" customHeight="1" x14ac:dyDescent="0.35">
      <c r="A1321" s="105" t="s">
        <v>285</v>
      </c>
      <c r="B1321" s="105" t="s">
        <v>1981</v>
      </c>
      <c r="C1321" s="105" t="s">
        <v>1982</v>
      </c>
      <c r="D1321" s="105" t="s">
        <v>970</v>
      </c>
      <c r="E1321" s="95" t="str">
        <f>IFERROR(VLOOKUP(D1321,MATERIALES!A:B,2,FALSE()),"?")</f>
        <v>Conector hierro 3/4"</v>
      </c>
      <c r="F1321" s="129" t="str">
        <f>IFERROR(VLOOKUP(D1321,MATERIALES!A:C,3,FALSE()),"?")</f>
        <v>u</v>
      </c>
      <c r="G1321" s="119">
        <v>3</v>
      </c>
      <c r="H1321" s="120">
        <v>0.1</v>
      </c>
      <c r="I1321" s="96">
        <f>IFERROR(VLOOKUP(D1321,MATERIALES!A:D,4,FALSE()),0)</f>
        <v>250.31899999999999</v>
      </c>
      <c r="J1321" s="31">
        <f t="shared" si="486"/>
        <v>826.05270000000007</v>
      </c>
      <c r="K1321" s="32" t="str">
        <f t="shared" si="470"/>
        <v>PTO-1803|MAT</v>
      </c>
      <c r="L1321" s="32">
        <f>COUNTIFS($K$2:K1321,K1321)</f>
        <v>2</v>
      </c>
      <c r="M1321" s="32" t="str">
        <f t="shared" si="475"/>
        <v>PTO-1803|MAT|2</v>
      </c>
      <c r="N1321" s="121">
        <f>IFERROR(VLOOKUP(A1321,PARTIDAS!A:F,6,FALSE()),0)</f>
        <v>3.25</v>
      </c>
      <c r="O1321" s="123">
        <f t="shared" si="478"/>
        <v>0</v>
      </c>
      <c r="P1321" s="123">
        <f>+_xlfn.XLOOKUP(A1321,PPTO_GENERADOR!Q:Q,PPTO_GENERADOR!E:E,"-",0)</f>
        <v>23</v>
      </c>
      <c r="Q1321" s="123">
        <f t="shared" si="479"/>
        <v>0</v>
      </c>
      <c r="R1321" s="125">
        <f>+_xlfn.XLOOKUP(A1321,PPTO_GENERADOR!$Q:$Q,PPTO_GENERADOR!A:A,"-",0)</f>
        <v>18.03</v>
      </c>
    </row>
    <row r="1322" spans="1:18" ht="14.25" customHeight="1" x14ac:dyDescent="0.35">
      <c r="A1322" s="105" t="s">
        <v>285</v>
      </c>
      <c r="B1322" s="105" t="s">
        <v>1981</v>
      </c>
      <c r="C1322" s="105" t="s">
        <v>1982</v>
      </c>
      <c r="D1322" s="105" t="s">
        <v>972</v>
      </c>
      <c r="E1322" s="95" t="str">
        <f>IFERROR(VLOOKUP(D1322,MATERIALES!A:B,2,FALSE()),"?")</f>
        <v>Cupla PVC 3/4"</v>
      </c>
      <c r="F1322" s="129" t="str">
        <f>IFERROR(VLOOKUP(D1322,MATERIALES!A:C,3,FALSE()),"?")</f>
        <v>u</v>
      </c>
      <c r="G1322" s="119">
        <v>2</v>
      </c>
      <c r="H1322" s="120">
        <v>0.1</v>
      </c>
      <c r="I1322" s="96">
        <f>IFERROR(VLOOKUP(D1322,MATERIALES!A:D,4,FALSE()),0)</f>
        <v>110.121</v>
      </c>
      <c r="J1322" s="31">
        <f t="shared" si="486"/>
        <v>242.2662</v>
      </c>
      <c r="K1322" s="32" t="str">
        <f t="shared" ref="K1322:K1328" si="487">A1322&amp;"|"&amp;B1322</f>
        <v>PTO-1803|MAT</v>
      </c>
      <c r="L1322" s="32">
        <f>COUNTIFS($K$2:K1322,K1322)</f>
        <v>3</v>
      </c>
      <c r="M1322" s="32" t="str">
        <f t="shared" si="475"/>
        <v>PTO-1803|MAT|3</v>
      </c>
      <c r="N1322" s="121">
        <f>IFERROR(VLOOKUP(A1322,PARTIDAS!A:F,6,FALSE()),0)</f>
        <v>3.25</v>
      </c>
      <c r="O1322" s="123">
        <f t="shared" si="478"/>
        <v>0</v>
      </c>
      <c r="P1322" s="123">
        <f>+_xlfn.XLOOKUP(A1322,PPTO_GENERADOR!Q:Q,PPTO_GENERADOR!E:E,"-",0)</f>
        <v>23</v>
      </c>
      <c r="Q1322" s="123">
        <f t="shared" si="479"/>
        <v>0</v>
      </c>
      <c r="R1322" s="125">
        <f>+_xlfn.XLOOKUP(A1322,PPTO_GENERADOR!$Q:$Q,PPTO_GENERADOR!A:A,"-",0)</f>
        <v>18.03</v>
      </c>
    </row>
    <row r="1323" spans="1:18" ht="14.25" customHeight="1" x14ac:dyDescent="0.35">
      <c r="A1323" s="105" t="s">
        <v>285</v>
      </c>
      <c r="B1323" s="105" t="s">
        <v>1981</v>
      </c>
      <c r="C1323" s="105" t="s">
        <v>1982</v>
      </c>
      <c r="D1323" s="105" t="s">
        <v>1068</v>
      </c>
      <c r="E1323" s="95" t="str">
        <f>IFERROR(VLOOKUP(D1323,MATERIALES!A:B,2,FALSE()),"?")</f>
        <v>Cable unipolar 1 x 1,50</v>
      </c>
      <c r="F1323" s="129" t="str">
        <f>IFERROR(VLOOKUP(D1323,MATERIALES!A:C,3,FALSE()),"?")</f>
        <v>ml</v>
      </c>
      <c r="G1323" s="119">
        <v>7.5</v>
      </c>
      <c r="H1323" s="120">
        <v>0.1</v>
      </c>
      <c r="I1323" s="96">
        <f>IFERROR(VLOOKUP(D1323,MATERIALES!A:D,4,FALSE()),0)</f>
        <v>339.47162557191899</v>
      </c>
      <c r="J1323" s="31">
        <f t="shared" si="486"/>
        <v>2800.6409109683323</v>
      </c>
      <c r="K1323" s="32" t="str">
        <f t="shared" si="487"/>
        <v>PTO-1803|MAT</v>
      </c>
      <c r="L1323" s="32">
        <f>COUNTIFS($K$2:K1323,K1323)</f>
        <v>4</v>
      </c>
      <c r="M1323" s="32" t="str">
        <f t="shared" si="475"/>
        <v>PTO-1803|MAT|4</v>
      </c>
      <c r="N1323" s="121">
        <f>IFERROR(VLOOKUP(A1323,PARTIDAS!A:F,6,FALSE()),0)</f>
        <v>3.25</v>
      </c>
      <c r="O1323" s="123">
        <f t="shared" si="478"/>
        <v>0</v>
      </c>
      <c r="P1323" s="123">
        <f>+_xlfn.XLOOKUP(A1323,PPTO_GENERADOR!Q:Q,PPTO_GENERADOR!E:E,"-",0)</f>
        <v>23</v>
      </c>
      <c r="Q1323" s="123">
        <f t="shared" si="479"/>
        <v>0</v>
      </c>
      <c r="R1323" s="125">
        <f>+_xlfn.XLOOKUP(A1323,PPTO_GENERADOR!$Q:$Q,PPTO_GENERADOR!A:A,"-",0)</f>
        <v>18.03</v>
      </c>
    </row>
    <row r="1324" spans="1:18" ht="14.25" customHeight="1" x14ac:dyDescent="0.35">
      <c r="A1324" s="105" t="s">
        <v>285</v>
      </c>
      <c r="B1324" s="105" t="s">
        <v>1981</v>
      </c>
      <c r="C1324" s="105" t="s">
        <v>1982</v>
      </c>
      <c r="D1324" s="105" t="s">
        <v>974</v>
      </c>
      <c r="E1324" s="95" t="str">
        <f>IFERROR(VLOOKUP(D1324,MATERIALES!A:B,2,FALSE()),"?")</f>
        <v>Cable unipolar 1 x 2,50 VA</v>
      </c>
      <c r="F1324" s="129" t="str">
        <f>IFERROR(VLOOKUP(D1324,MATERIALES!A:C,3,FALSE()),"?")</f>
        <v>m</v>
      </c>
      <c r="G1324" s="119">
        <v>5</v>
      </c>
      <c r="H1324" s="120">
        <v>0.1</v>
      </c>
      <c r="I1324" s="96">
        <f>IFERROR(VLOOKUP(D1324,MATERIALES!A:D,4,FALSE()),0)</f>
        <v>546.37687500000004</v>
      </c>
      <c r="J1324" s="31">
        <f t="shared" si="486"/>
        <v>3005.0728125000005</v>
      </c>
      <c r="K1324" s="32" t="str">
        <f t="shared" si="487"/>
        <v>PTO-1803|MAT</v>
      </c>
      <c r="L1324" s="32">
        <f>COUNTIFS($K$2:K1324,K1324)</f>
        <v>5</v>
      </c>
      <c r="M1324" s="32" t="str">
        <f t="shared" si="475"/>
        <v>PTO-1803|MAT|5</v>
      </c>
      <c r="N1324" s="121">
        <f>IFERROR(VLOOKUP(A1324,PARTIDAS!A:F,6,FALSE()),0)</f>
        <v>3.25</v>
      </c>
      <c r="O1324" s="123">
        <f t="shared" si="478"/>
        <v>0</v>
      </c>
      <c r="P1324" s="123">
        <f>+_xlfn.XLOOKUP(A1324,PPTO_GENERADOR!Q:Q,PPTO_GENERADOR!E:E,"-",0)</f>
        <v>23</v>
      </c>
      <c r="Q1324" s="123">
        <f t="shared" si="479"/>
        <v>0</v>
      </c>
      <c r="R1324" s="125">
        <f>+_xlfn.XLOOKUP(A1324,PPTO_GENERADOR!$Q:$Q,PPTO_GENERADOR!A:A,"-",0)</f>
        <v>18.03</v>
      </c>
    </row>
    <row r="1325" spans="1:18" ht="14.25" customHeight="1" x14ac:dyDescent="0.35">
      <c r="A1325" s="105" t="s">
        <v>285</v>
      </c>
      <c r="B1325" s="105" t="s">
        <v>1981</v>
      </c>
      <c r="C1325" s="105" t="s">
        <v>1982</v>
      </c>
      <c r="D1325" s="105" t="s">
        <v>974</v>
      </c>
      <c r="E1325" s="95" t="str">
        <f>IFERROR(VLOOKUP(D1325,MATERIALES!A:B,2,FALSE()),"?")</f>
        <v>Cable unipolar 1 x 2,50 VA</v>
      </c>
      <c r="F1325" s="129" t="str">
        <f>IFERROR(VLOOKUP(D1325,MATERIALES!A:C,3,FALSE()),"?")</f>
        <v>m</v>
      </c>
      <c r="G1325" s="119">
        <v>7.5</v>
      </c>
      <c r="H1325" s="120">
        <v>0.1</v>
      </c>
      <c r="I1325" s="96">
        <f>IFERROR(VLOOKUP(D1325,MATERIALES!A:D,4,FALSE()),0)</f>
        <v>546.37687500000004</v>
      </c>
      <c r="J1325" s="31">
        <f t="shared" si="486"/>
        <v>4507.6092187500008</v>
      </c>
      <c r="K1325" s="32" t="str">
        <f t="shared" si="487"/>
        <v>PTO-1803|MAT</v>
      </c>
      <c r="L1325" s="32">
        <f>COUNTIFS($K$2:K1325,K1325)</f>
        <v>6</v>
      </c>
      <c r="M1325" s="32" t="str">
        <f t="shared" si="475"/>
        <v>PTO-1803|MAT|6</v>
      </c>
      <c r="N1325" s="121">
        <f>IFERROR(VLOOKUP(A1325,PARTIDAS!A:F,6,FALSE()),0)</f>
        <v>3.25</v>
      </c>
      <c r="O1325" s="123">
        <f t="shared" si="478"/>
        <v>0</v>
      </c>
      <c r="P1325" s="123">
        <f>+_xlfn.XLOOKUP(A1325,PPTO_GENERADOR!Q:Q,PPTO_GENERADOR!E:E,"-",0)</f>
        <v>23</v>
      </c>
      <c r="Q1325" s="123">
        <f t="shared" si="479"/>
        <v>0</v>
      </c>
      <c r="R1325" s="125">
        <f>+_xlfn.XLOOKUP(A1325,PPTO_GENERADOR!$Q:$Q,PPTO_GENERADOR!A:A,"-",0)</f>
        <v>18.03</v>
      </c>
    </row>
    <row r="1326" spans="1:18" ht="14.25" customHeight="1" x14ac:dyDescent="0.35">
      <c r="A1326" s="105" t="s">
        <v>285</v>
      </c>
      <c r="B1326" s="105" t="s">
        <v>1981</v>
      </c>
      <c r="C1326" s="105" t="s">
        <v>1982</v>
      </c>
      <c r="D1326" s="105" t="s">
        <v>977</v>
      </c>
      <c r="E1326" s="95" t="str">
        <f>IFERROR(VLOOKUP(D1326,MATERIALES!A:B,2,FALSE()),"?")</f>
        <v>Caja rectangular chica</v>
      </c>
      <c r="F1326" s="129" t="str">
        <f>IFERROR(VLOOKUP(D1326,MATERIALES!A:C,3,FALSE()),"?")</f>
        <v>u</v>
      </c>
      <c r="G1326" s="119">
        <v>0.5</v>
      </c>
      <c r="H1326" s="120">
        <v>0.05</v>
      </c>
      <c r="I1326" s="96">
        <f>IFERROR(VLOOKUP(D1326,MATERIALES!A:D,4,FALSE()),0)</f>
        <v>217.14975799999999</v>
      </c>
      <c r="J1326" s="31">
        <f t="shared" si="486"/>
        <v>114.00362294999999</v>
      </c>
      <c r="K1326" s="32" t="str">
        <f t="shared" si="487"/>
        <v>PTO-1803|MAT</v>
      </c>
      <c r="L1326" s="32">
        <f>COUNTIFS($K$2:K1326,K1326)</f>
        <v>7</v>
      </c>
      <c r="M1326" s="32" t="str">
        <f t="shared" si="475"/>
        <v>PTO-1803|MAT|7</v>
      </c>
      <c r="N1326" s="121">
        <f>IFERROR(VLOOKUP(A1326,PARTIDAS!A:F,6,FALSE()),0)</f>
        <v>3.25</v>
      </c>
      <c r="O1326" s="123">
        <f t="shared" si="478"/>
        <v>0</v>
      </c>
      <c r="P1326" s="123">
        <f>+_xlfn.XLOOKUP(A1326,PPTO_GENERADOR!Q:Q,PPTO_GENERADOR!E:E,"-",0)</f>
        <v>23</v>
      </c>
      <c r="Q1326" s="123">
        <f t="shared" si="479"/>
        <v>0</v>
      </c>
      <c r="R1326" s="125">
        <f>+_xlfn.XLOOKUP(A1326,PPTO_GENERADOR!$Q:$Q,PPTO_GENERADOR!A:A,"-",0)</f>
        <v>18.03</v>
      </c>
    </row>
    <row r="1327" spans="1:18" ht="14.25" customHeight="1" x14ac:dyDescent="0.35">
      <c r="A1327" s="105" t="s">
        <v>285</v>
      </c>
      <c r="B1327" s="105" t="s">
        <v>1981</v>
      </c>
      <c r="C1327" s="105" t="s">
        <v>1982</v>
      </c>
      <c r="D1327" s="105" t="s">
        <v>977</v>
      </c>
      <c r="E1327" s="95" t="str">
        <f>IFERROR(VLOOKUP(D1327,MATERIALES!A:B,2,FALSE()),"?")</f>
        <v>Caja rectangular chica</v>
      </c>
      <c r="F1327" s="129" t="str">
        <f>IFERROR(VLOOKUP(D1327,MATERIALES!A:C,3,FALSE()),"?")</f>
        <v>u</v>
      </c>
      <c r="G1327" s="119">
        <v>1</v>
      </c>
      <c r="H1327" s="120">
        <v>0.05</v>
      </c>
      <c r="I1327" s="96">
        <f>IFERROR(VLOOKUP(D1327,MATERIALES!A:D,4,FALSE()),0)</f>
        <v>217.14975799999999</v>
      </c>
      <c r="J1327" s="31">
        <f t="shared" si="486"/>
        <v>228.00724589999999</v>
      </c>
      <c r="K1327" s="32" t="str">
        <f t="shared" si="487"/>
        <v>PTO-1803|MAT</v>
      </c>
      <c r="L1327" s="32">
        <f>COUNTIFS($K$2:K1327,K1327)</f>
        <v>8</v>
      </c>
      <c r="M1327" s="32" t="str">
        <f t="shared" si="475"/>
        <v>PTO-1803|MAT|8</v>
      </c>
      <c r="N1327" s="121">
        <f>IFERROR(VLOOKUP(A1327,PARTIDAS!A:F,6,FALSE()),0)</f>
        <v>3.25</v>
      </c>
      <c r="O1327" s="123">
        <f t="shared" si="478"/>
        <v>0</v>
      </c>
      <c r="P1327" s="123">
        <f>+_xlfn.XLOOKUP(A1327,PPTO_GENERADOR!Q:Q,PPTO_GENERADOR!E:E,"-",0)</f>
        <v>23</v>
      </c>
      <c r="Q1327" s="123">
        <f t="shared" si="479"/>
        <v>0</v>
      </c>
      <c r="R1327" s="125">
        <f>+_xlfn.XLOOKUP(A1327,PPTO_GENERADOR!$Q:$Q,PPTO_GENERADOR!A:A,"-",0)</f>
        <v>18.03</v>
      </c>
    </row>
    <row r="1328" spans="1:18" ht="14.25" customHeight="1" x14ac:dyDescent="0.35">
      <c r="A1328" s="105" t="s">
        <v>285</v>
      </c>
      <c r="B1328" s="105" t="s">
        <v>1981</v>
      </c>
      <c r="C1328" s="105" t="s">
        <v>1982</v>
      </c>
      <c r="D1328" s="105" t="s">
        <v>559</v>
      </c>
      <c r="E1328" s="95" t="str">
        <f>IFERROR(VLOOKUP(D1328,MATERIALES!A:B,2,FALSE()),"?")</f>
        <v>CONSUMIBLES (varios)</v>
      </c>
      <c r="F1328" s="129" t="str">
        <f>IFERROR(VLOOKUP(D1328,MATERIALES!A:C,3,FALSE()),"?")</f>
        <v>gl</v>
      </c>
      <c r="G1328" s="119">
        <v>3056.31659426235</v>
      </c>
      <c r="H1328" s="120">
        <v>0</v>
      </c>
      <c r="I1328" s="96">
        <f>IFERROR(VLOOKUP(D1328,MATERIALES!A:D,4,FALSE()),0)</f>
        <v>1</v>
      </c>
      <c r="J1328" s="31">
        <f t="shared" si="486"/>
        <v>3056.31659426235</v>
      </c>
      <c r="K1328" s="32" t="str">
        <f t="shared" si="487"/>
        <v>PTO-1803|MAT</v>
      </c>
      <c r="L1328" s="32">
        <f>COUNTIFS($K$2:K1328,K1328)</f>
        <v>9</v>
      </c>
      <c r="M1328" s="32" t="str">
        <f t="shared" si="475"/>
        <v>PTO-1803|MAT|9</v>
      </c>
      <c r="N1328" s="121">
        <f>IFERROR(VLOOKUP(A1328,PARTIDAS!A:F,6,FALSE()),0)</f>
        <v>3.25</v>
      </c>
      <c r="O1328" s="123">
        <f t="shared" si="478"/>
        <v>0</v>
      </c>
      <c r="P1328" s="123">
        <f>+_xlfn.XLOOKUP(A1328,PPTO_GENERADOR!Q:Q,PPTO_GENERADOR!E:E,"-",0)</f>
        <v>23</v>
      </c>
      <c r="Q1328" s="123">
        <f t="shared" si="479"/>
        <v>0</v>
      </c>
      <c r="R1328" s="125">
        <f>+_xlfn.XLOOKUP(A1328,PPTO_GENERADOR!$Q:$Q,PPTO_GENERADOR!A:A,"-",0)</f>
        <v>18.03</v>
      </c>
    </row>
    <row r="1329" spans="1:18" ht="14.25" customHeight="1" x14ac:dyDescent="0.35">
      <c r="A1329" s="105" t="s">
        <v>285</v>
      </c>
      <c r="B1329" s="105" t="s">
        <v>1983</v>
      </c>
      <c r="C1329" s="105"/>
      <c r="D1329" s="105" t="s">
        <v>1325</v>
      </c>
      <c r="E1329" s="95" t="str">
        <f>IFERROR(VLOOKUP(D1329,EQUIPOS!A:B,2,FALSE()),"?")</f>
        <v>EQUIPO PARA INSTALACION ELECTRICA</v>
      </c>
      <c r="F1329" s="129"/>
      <c r="G1329" s="119">
        <v>1</v>
      </c>
      <c r="H1329" s="120">
        <v>0</v>
      </c>
      <c r="I1329" s="96">
        <f>IFERROR(VLOOKUP(D1329,EQUIPOS!A:F,6,FALSE()),0)</f>
        <v>5503.040438867889</v>
      </c>
      <c r="J1329" s="31">
        <f t="shared" ref="J1329:J1331" si="488">G1329*I1329</f>
        <v>5503.040438867889</v>
      </c>
      <c r="K1329" s="32" t="str">
        <f t="shared" ref="K1329:K1385" si="489">A1329&amp;"|"&amp;B1329</f>
        <v>PTO-1803|EQ</v>
      </c>
      <c r="L1329" s="32">
        <f>COUNTIFS($K$2:K1329,K1329)</f>
        <v>1</v>
      </c>
      <c r="M1329" s="32" t="str">
        <f t="shared" si="475"/>
        <v>PTO-1803|EQ|1</v>
      </c>
      <c r="N1329" s="121">
        <f>IFERROR(VLOOKUP(A1329,PARTIDAS!A:F,6,FALSE()),0)</f>
        <v>3.25</v>
      </c>
      <c r="O1329" s="123">
        <f t="shared" si="478"/>
        <v>0</v>
      </c>
      <c r="P1329" s="123">
        <f>+_xlfn.XLOOKUP(A1329,PPTO_GENERADOR!Q:Q,PPTO_GENERADOR!E:E,"-",0)</f>
        <v>23</v>
      </c>
      <c r="Q1329" s="123">
        <f t="shared" si="479"/>
        <v>0</v>
      </c>
      <c r="R1329" s="125">
        <f>+_xlfn.XLOOKUP(A1329,PPTO_GENERADOR!$Q:$Q,PPTO_GENERADOR!A:A,"-",0)</f>
        <v>18.03</v>
      </c>
    </row>
    <row r="1330" spans="1:18" ht="14.25" customHeight="1" x14ac:dyDescent="0.35">
      <c r="A1330" s="105" t="s">
        <v>285</v>
      </c>
      <c r="B1330" s="105" t="s">
        <v>1983</v>
      </c>
      <c r="C1330" s="105"/>
      <c r="D1330" s="105" t="s">
        <v>1313</v>
      </c>
      <c r="E1330" s="95" t="str">
        <f>IFERROR(VLOOKUP(D1330,EQUIPOS!A:B,2,FALSE()),"?")</f>
        <v>ANDAMIO TUBULAR DE UNO A TRES CUERPOS</v>
      </c>
      <c r="F1330" s="129"/>
      <c r="G1330" s="119">
        <v>0.5</v>
      </c>
      <c r="H1330" s="120">
        <v>0</v>
      </c>
      <c r="I1330" s="96">
        <f>IFERROR(VLOOKUP(D1330,EQUIPOS!A:F,6,FALSE()),0)</f>
        <v>620.81078197718341</v>
      </c>
      <c r="J1330" s="31">
        <f t="shared" si="488"/>
        <v>310.40539098859171</v>
      </c>
      <c r="K1330" s="32" t="str">
        <f t="shared" si="489"/>
        <v>PTO-1803|EQ</v>
      </c>
      <c r="L1330" s="32">
        <f>COUNTIFS($K$2:K1330,K1330)</f>
        <v>2</v>
      </c>
      <c r="M1330" s="32" t="str">
        <f t="shared" si="475"/>
        <v>PTO-1803|EQ|2</v>
      </c>
      <c r="N1330" s="121">
        <f>IFERROR(VLOOKUP(A1330,PARTIDAS!A:F,6,FALSE()),0)</f>
        <v>3.25</v>
      </c>
      <c r="O1330" s="123">
        <f t="shared" si="478"/>
        <v>0</v>
      </c>
      <c r="P1330" s="123">
        <f>+_xlfn.XLOOKUP(A1330,PPTO_GENERADOR!Q:Q,PPTO_GENERADOR!E:E,"-",0)</f>
        <v>23</v>
      </c>
      <c r="Q1330" s="123">
        <f t="shared" si="479"/>
        <v>0</v>
      </c>
      <c r="R1330" s="125">
        <f>+_xlfn.XLOOKUP(A1330,PPTO_GENERADOR!$Q:$Q,PPTO_GENERADOR!A:A,"-",0)</f>
        <v>18.03</v>
      </c>
    </row>
    <row r="1331" spans="1:18" ht="14.25" customHeight="1" x14ac:dyDescent="0.35">
      <c r="A1331" s="105" t="s">
        <v>285</v>
      </c>
      <c r="B1331" s="105" t="s">
        <v>1983</v>
      </c>
      <c r="C1331" s="105"/>
      <c r="D1331" s="105" t="s">
        <v>1311</v>
      </c>
      <c r="E1331" s="95" t="str">
        <f>IFERROR(VLOOKUP(D1331,EQUIPOS!A:B,2,FALSE()),"?")</f>
        <v>ESCALERA GLOSS ALUMINIO ARTICULADA 4 X 4 ESCALONES HASTA 150KG</v>
      </c>
      <c r="F1331" s="129"/>
      <c r="G1331" s="119">
        <v>0.5</v>
      </c>
      <c r="H1331" s="120">
        <v>0</v>
      </c>
      <c r="I1331" s="96">
        <f>IFERROR(VLOOKUP(D1331,EQUIPOS!A:F,6,FALSE()),0)</f>
        <v>152.38027427373819</v>
      </c>
      <c r="J1331" s="31">
        <f t="shared" si="488"/>
        <v>76.190137136869097</v>
      </c>
      <c r="K1331" s="32" t="str">
        <f t="shared" si="489"/>
        <v>PTO-1803|EQ</v>
      </c>
      <c r="L1331" s="32">
        <f>COUNTIFS($K$2:K1331,K1331)</f>
        <v>3</v>
      </c>
      <c r="M1331" s="32" t="str">
        <f t="shared" si="475"/>
        <v>PTO-1803|EQ|3</v>
      </c>
      <c r="N1331" s="121">
        <f>IFERROR(VLOOKUP(A1331,PARTIDAS!A:F,6,FALSE()),0)</f>
        <v>3.25</v>
      </c>
      <c r="O1331" s="123">
        <f t="shared" si="478"/>
        <v>0</v>
      </c>
      <c r="P1331" s="123">
        <f>+_xlfn.XLOOKUP(A1331,PPTO_GENERADOR!Q:Q,PPTO_GENERADOR!E:E,"-",0)</f>
        <v>23</v>
      </c>
      <c r="Q1331" s="123">
        <f t="shared" si="479"/>
        <v>0</v>
      </c>
      <c r="R1331" s="125">
        <f>+_xlfn.XLOOKUP(A1331,PPTO_GENERADOR!$Q:$Q,PPTO_GENERADOR!A:A,"-",0)</f>
        <v>18.03</v>
      </c>
    </row>
    <row r="1332" spans="1:18" ht="14.25" customHeight="1" x14ac:dyDescent="0.35">
      <c r="A1332" s="105" t="s">
        <v>287</v>
      </c>
      <c r="B1332" s="105" t="s">
        <v>1981</v>
      </c>
      <c r="C1332" s="105" t="s">
        <v>1982</v>
      </c>
      <c r="D1332" s="105" t="s">
        <v>1066</v>
      </c>
      <c r="E1332" s="95" t="str">
        <f>IFERROR(VLOOKUP(D1332,MATERIALES!A:B,2,FALSE()),"?")</f>
        <v>Caño rígido 7/8" x 3m</v>
      </c>
      <c r="F1332" s="129" t="str">
        <f>IFERROR(VLOOKUP(D1332,MATERIALES!A:C,3,FALSE()),"?")</f>
        <v>u</v>
      </c>
      <c r="G1332" s="119">
        <v>5</v>
      </c>
      <c r="H1332" s="120">
        <v>0.1</v>
      </c>
      <c r="I1332" s="96">
        <f>IFERROR(VLOOKUP(D1332,MATERIALES!A:D,4,FALSE()),0)</f>
        <v>514.58833333333303</v>
      </c>
      <c r="J1332" s="31">
        <f t="shared" ref="J1332:J1340" si="490">G1332*I1332*(1+H1332)</f>
        <v>2830.2358333333318</v>
      </c>
      <c r="K1332" s="32" t="str">
        <f t="shared" si="489"/>
        <v>PTO-1804|MAT</v>
      </c>
      <c r="L1332" s="32">
        <f>COUNTIFS($K$2:K1332,K1332)</f>
        <v>1</v>
      </c>
      <c r="M1332" s="32" t="str">
        <f t="shared" si="475"/>
        <v>PTO-1804|MAT|1</v>
      </c>
      <c r="N1332" s="121">
        <f>IFERROR(VLOOKUP(A1332,PARTIDAS!A:F,6,FALSE()),0)</f>
        <v>3.25</v>
      </c>
      <c r="O1332" s="123">
        <f t="shared" si="478"/>
        <v>0</v>
      </c>
      <c r="P1332" s="123">
        <f>+_xlfn.XLOOKUP(A1332,PPTO_GENERADOR!Q:Q,PPTO_GENERADOR!E:E,"-",0)</f>
        <v>11</v>
      </c>
      <c r="Q1332" s="123">
        <f t="shared" si="479"/>
        <v>0</v>
      </c>
      <c r="R1332" s="125">
        <f>+_xlfn.XLOOKUP(A1332,PPTO_GENERADOR!$Q:$Q,PPTO_GENERADOR!A:A,"-",0)</f>
        <v>18.04</v>
      </c>
    </row>
    <row r="1333" spans="1:18" ht="14.25" customHeight="1" x14ac:dyDescent="0.35">
      <c r="A1333" s="105" t="s">
        <v>287</v>
      </c>
      <c r="B1333" s="105" t="s">
        <v>1981</v>
      </c>
      <c r="C1333" s="105" t="s">
        <v>1982</v>
      </c>
      <c r="D1333" s="105" t="s">
        <v>970</v>
      </c>
      <c r="E1333" s="95" t="str">
        <f>IFERROR(VLOOKUP(D1333,MATERIALES!A:B,2,FALSE()),"?")</f>
        <v>Conector hierro 3/4"</v>
      </c>
      <c r="F1333" s="129" t="str">
        <f>IFERROR(VLOOKUP(D1333,MATERIALES!A:C,3,FALSE()),"?")</f>
        <v>u</v>
      </c>
      <c r="G1333" s="119">
        <v>3</v>
      </c>
      <c r="H1333" s="120">
        <v>0.1</v>
      </c>
      <c r="I1333" s="96">
        <f>IFERROR(VLOOKUP(D1333,MATERIALES!A:D,4,FALSE()),0)</f>
        <v>250.31899999999999</v>
      </c>
      <c r="J1333" s="31">
        <f t="shared" si="490"/>
        <v>826.05270000000007</v>
      </c>
      <c r="K1333" s="32" t="str">
        <f t="shared" si="489"/>
        <v>PTO-1804|MAT</v>
      </c>
      <c r="L1333" s="32">
        <f>COUNTIFS($K$2:K1333,K1333)</f>
        <v>2</v>
      </c>
      <c r="M1333" s="32" t="str">
        <f t="shared" si="475"/>
        <v>PTO-1804|MAT|2</v>
      </c>
      <c r="N1333" s="121">
        <f>IFERROR(VLOOKUP(A1333,PARTIDAS!A:F,6,FALSE()),0)</f>
        <v>3.25</v>
      </c>
      <c r="O1333" s="123">
        <f t="shared" si="478"/>
        <v>0</v>
      </c>
      <c r="P1333" s="123">
        <f>+_xlfn.XLOOKUP(A1333,PPTO_GENERADOR!Q:Q,PPTO_GENERADOR!E:E,"-",0)</f>
        <v>11</v>
      </c>
      <c r="Q1333" s="123">
        <f t="shared" si="479"/>
        <v>0</v>
      </c>
      <c r="R1333" s="125">
        <f>+_xlfn.XLOOKUP(A1333,PPTO_GENERADOR!$Q:$Q,PPTO_GENERADOR!A:A,"-",0)</f>
        <v>18.04</v>
      </c>
    </row>
    <row r="1334" spans="1:18" ht="14.25" customHeight="1" x14ac:dyDescent="0.35">
      <c r="A1334" s="105" t="s">
        <v>287</v>
      </c>
      <c r="B1334" s="105" t="s">
        <v>1981</v>
      </c>
      <c r="C1334" s="105" t="s">
        <v>1982</v>
      </c>
      <c r="D1334" s="105" t="s">
        <v>972</v>
      </c>
      <c r="E1334" s="95" t="str">
        <f>IFERROR(VLOOKUP(D1334,MATERIALES!A:B,2,FALSE()),"?")</f>
        <v>Cupla PVC 3/4"</v>
      </c>
      <c r="F1334" s="129" t="str">
        <f>IFERROR(VLOOKUP(D1334,MATERIALES!A:C,3,FALSE()),"?")</f>
        <v>u</v>
      </c>
      <c r="G1334" s="119">
        <v>2</v>
      </c>
      <c r="H1334" s="120">
        <v>0.1</v>
      </c>
      <c r="I1334" s="96">
        <f>IFERROR(VLOOKUP(D1334,MATERIALES!A:D,4,FALSE()),0)</f>
        <v>110.121</v>
      </c>
      <c r="J1334" s="31">
        <f t="shared" si="490"/>
        <v>242.2662</v>
      </c>
      <c r="K1334" s="32" t="str">
        <f t="shared" si="489"/>
        <v>PTO-1804|MAT</v>
      </c>
      <c r="L1334" s="32">
        <f>COUNTIFS($K$2:K1334,K1334)</f>
        <v>3</v>
      </c>
      <c r="M1334" s="32" t="str">
        <f t="shared" si="475"/>
        <v>PTO-1804|MAT|3</v>
      </c>
      <c r="N1334" s="121">
        <f>IFERROR(VLOOKUP(A1334,PARTIDAS!A:F,6,FALSE()),0)</f>
        <v>3.25</v>
      </c>
      <c r="O1334" s="123">
        <f t="shared" si="478"/>
        <v>0</v>
      </c>
      <c r="P1334" s="123">
        <f>+_xlfn.XLOOKUP(A1334,PPTO_GENERADOR!Q:Q,PPTO_GENERADOR!E:E,"-",0)</f>
        <v>11</v>
      </c>
      <c r="Q1334" s="123">
        <f t="shared" si="479"/>
        <v>0</v>
      </c>
      <c r="R1334" s="125">
        <f>+_xlfn.XLOOKUP(A1334,PPTO_GENERADOR!$Q:$Q,PPTO_GENERADOR!A:A,"-",0)</f>
        <v>18.04</v>
      </c>
    </row>
    <row r="1335" spans="1:18" ht="14.25" customHeight="1" x14ac:dyDescent="0.35">
      <c r="A1335" s="105" t="s">
        <v>287</v>
      </c>
      <c r="B1335" s="105" t="s">
        <v>1981</v>
      </c>
      <c r="C1335" s="105" t="s">
        <v>1982</v>
      </c>
      <c r="D1335" s="105" t="s">
        <v>1068</v>
      </c>
      <c r="E1335" s="95" t="str">
        <f>IFERROR(VLOOKUP(D1335,MATERIALES!A:B,2,FALSE()),"?")</f>
        <v>Cable unipolar 1 x 1,50</v>
      </c>
      <c r="F1335" s="129" t="str">
        <f>IFERROR(VLOOKUP(D1335,MATERIALES!A:C,3,FALSE()),"?")</f>
        <v>ml</v>
      </c>
      <c r="G1335" s="119">
        <v>7.5</v>
      </c>
      <c r="H1335" s="120">
        <v>0.1</v>
      </c>
      <c r="I1335" s="96">
        <f>IFERROR(VLOOKUP(D1335,MATERIALES!A:D,4,FALSE()),0)</f>
        <v>339.47162557191899</v>
      </c>
      <c r="J1335" s="31">
        <f t="shared" si="490"/>
        <v>2800.6409109683323</v>
      </c>
      <c r="K1335" s="32" t="str">
        <f t="shared" si="489"/>
        <v>PTO-1804|MAT</v>
      </c>
      <c r="L1335" s="32">
        <f>COUNTIFS($K$2:K1335,K1335)</f>
        <v>4</v>
      </c>
      <c r="M1335" s="32" t="str">
        <f t="shared" si="475"/>
        <v>PTO-1804|MAT|4</v>
      </c>
      <c r="N1335" s="121">
        <f>IFERROR(VLOOKUP(A1335,PARTIDAS!A:F,6,FALSE()),0)</f>
        <v>3.25</v>
      </c>
      <c r="O1335" s="123">
        <f t="shared" si="478"/>
        <v>0</v>
      </c>
      <c r="P1335" s="123">
        <f>+_xlfn.XLOOKUP(A1335,PPTO_GENERADOR!Q:Q,PPTO_GENERADOR!E:E,"-",0)</f>
        <v>11</v>
      </c>
      <c r="Q1335" s="123">
        <f t="shared" si="479"/>
        <v>0</v>
      </c>
      <c r="R1335" s="125">
        <f>+_xlfn.XLOOKUP(A1335,PPTO_GENERADOR!$Q:$Q,PPTO_GENERADOR!A:A,"-",0)</f>
        <v>18.04</v>
      </c>
    </row>
    <row r="1336" spans="1:18" ht="14.25" customHeight="1" x14ac:dyDescent="0.35">
      <c r="A1336" s="105" t="s">
        <v>287</v>
      </c>
      <c r="B1336" s="105" t="s">
        <v>1981</v>
      </c>
      <c r="C1336" s="105" t="s">
        <v>1982</v>
      </c>
      <c r="D1336" s="105" t="s">
        <v>974</v>
      </c>
      <c r="E1336" s="95" t="str">
        <f>IFERROR(VLOOKUP(D1336,MATERIALES!A:B,2,FALSE()),"?")</f>
        <v>Cable unipolar 1 x 2,50 VA</v>
      </c>
      <c r="F1336" s="129" t="str">
        <f>IFERROR(VLOOKUP(D1336,MATERIALES!A:C,3,FALSE()),"?")</f>
        <v>m</v>
      </c>
      <c r="G1336" s="119">
        <v>5</v>
      </c>
      <c r="H1336" s="120">
        <v>0.1</v>
      </c>
      <c r="I1336" s="96">
        <f>IFERROR(VLOOKUP(D1336,MATERIALES!A:D,4,FALSE()),0)</f>
        <v>546.37687500000004</v>
      </c>
      <c r="J1336" s="31">
        <f t="shared" si="490"/>
        <v>3005.0728125000005</v>
      </c>
      <c r="K1336" s="32" t="str">
        <f t="shared" si="489"/>
        <v>PTO-1804|MAT</v>
      </c>
      <c r="L1336" s="32">
        <f>COUNTIFS($K$2:K1336,K1336)</f>
        <v>5</v>
      </c>
      <c r="M1336" s="32" t="str">
        <f t="shared" si="475"/>
        <v>PTO-1804|MAT|5</v>
      </c>
      <c r="N1336" s="121">
        <f>IFERROR(VLOOKUP(A1336,PARTIDAS!A:F,6,FALSE()),0)</f>
        <v>3.25</v>
      </c>
      <c r="O1336" s="123">
        <f t="shared" si="478"/>
        <v>0</v>
      </c>
      <c r="P1336" s="123">
        <f>+_xlfn.XLOOKUP(A1336,PPTO_GENERADOR!Q:Q,PPTO_GENERADOR!E:E,"-",0)</f>
        <v>11</v>
      </c>
      <c r="Q1336" s="123">
        <f t="shared" si="479"/>
        <v>0</v>
      </c>
      <c r="R1336" s="125">
        <f>+_xlfn.XLOOKUP(A1336,PPTO_GENERADOR!$Q:$Q,PPTO_GENERADOR!A:A,"-",0)</f>
        <v>18.04</v>
      </c>
    </row>
    <row r="1337" spans="1:18" ht="14.25" customHeight="1" x14ac:dyDescent="0.35">
      <c r="A1337" s="105" t="s">
        <v>287</v>
      </c>
      <c r="B1337" s="105" t="s">
        <v>1981</v>
      </c>
      <c r="C1337" s="105" t="s">
        <v>1982</v>
      </c>
      <c r="D1337" s="105" t="s">
        <v>974</v>
      </c>
      <c r="E1337" s="95" t="str">
        <f>IFERROR(VLOOKUP(D1337,MATERIALES!A:B,2,FALSE()),"?")</f>
        <v>Cable unipolar 1 x 2,50 VA</v>
      </c>
      <c r="F1337" s="129" t="str">
        <f>IFERROR(VLOOKUP(D1337,MATERIALES!A:C,3,FALSE()),"?")</f>
        <v>m</v>
      </c>
      <c r="G1337" s="119">
        <v>7.5</v>
      </c>
      <c r="H1337" s="120">
        <v>0.1</v>
      </c>
      <c r="I1337" s="96">
        <f>IFERROR(VLOOKUP(D1337,MATERIALES!A:D,4,FALSE()),0)</f>
        <v>546.37687500000004</v>
      </c>
      <c r="J1337" s="31">
        <f t="shared" si="490"/>
        <v>4507.6092187500008</v>
      </c>
      <c r="K1337" s="32" t="str">
        <f t="shared" si="489"/>
        <v>PTO-1804|MAT</v>
      </c>
      <c r="L1337" s="32">
        <f>COUNTIFS($K$2:K1337,K1337)</f>
        <v>6</v>
      </c>
      <c r="M1337" s="32" t="str">
        <f t="shared" si="475"/>
        <v>PTO-1804|MAT|6</v>
      </c>
      <c r="N1337" s="121">
        <f>IFERROR(VLOOKUP(A1337,PARTIDAS!A:F,6,FALSE()),0)</f>
        <v>3.25</v>
      </c>
      <c r="O1337" s="123">
        <f t="shared" si="478"/>
        <v>0</v>
      </c>
      <c r="P1337" s="123">
        <f>+_xlfn.XLOOKUP(A1337,PPTO_GENERADOR!Q:Q,PPTO_GENERADOR!E:E,"-",0)</f>
        <v>11</v>
      </c>
      <c r="Q1337" s="123">
        <f t="shared" si="479"/>
        <v>0</v>
      </c>
      <c r="R1337" s="125">
        <f>+_xlfn.XLOOKUP(A1337,PPTO_GENERADOR!$Q:$Q,PPTO_GENERADOR!A:A,"-",0)</f>
        <v>18.04</v>
      </c>
    </row>
    <row r="1338" spans="1:18" ht="14.25" customHeight="1" x14ac:dyDescent="0.35">
      <c r="A1338" s="105" t="s">
        <v>287</v>
      </c>
      <c r="B1338" s="105" t="s">
        <v>1981</v>
      </c>
      <c r="C1338" s="105" t="s">
        <v>1982</v>
      </c>
      <c r="D1338" s="105" t="s">
        <v>977</v>
      </c>
      <c r="E1338" s="95" t="str">
        <f>IFERROR(VLOOKUP(D1338,MATERIALES!A:B,2,FALSE()),"?")</f>
        <v>Caja rectangular chica</v>
      </c>
      <c r="F1338" s="129" t="str">
        <f>IFERROR(VLOOKUP(D1338,MATERIALES!A:C,3,FALSE()),"?")</f>
        <v>u</v>
      </c>
      <c r="G1338" s="119">
        <v>0.5</v>
      </c>
      <c r="H1338" s="120">
        <v>0.05</v>
      </c>
      <c r="I1338" s="96">
        <f>IFERROR(VLOOKUP(D1338,MATERIALES!A:D,4,FALSE()),0)</f>
        <v>217.14975799999999</v>
      </c>
      <c r="J1338" s="31">
        <f t="shared" si="490"/>
        <v>114.00362294999999</v>
      </c>
      <c r="K1338" s="32" t="str">
        <f t="shared" si="489"/>
        <v>PTO-1804|MAT</v>
      </c>
      <c r="L1338" s="32">
        <f>COUNTIFS($K$2:K1338,K1338)</f>
        <v>7</v>
      </c>
      <c r="M1338" s="32" t="str">
        <f t="shared" ref="M1338:M1340" si="491">K1338&amp;"|"&amp;L1338</f>
        <v>PTO-1804|MAT|7</v>
      </c>
      <c r="N1338" s="121">
        <f>IFERROR(VLOOKUP(A1338,PARTIDAS!A:F,6,FALSE()),0)</f>
        <v>3.25</v>
      </c>
      <c r="O1338" s="123">
        <f t="shared" si="478"/>
        <v>0</v>
      </c>
      <c r="P1338" s="123">
        <f>+_xlfn.XLOOKUP(A1338,PPTO_GENERADOR!Q:Q,PPTO_GENERADOR!E:E,"-",0)</f>
        <v>11</v>
      </c>
      <c r="Q1338" s="123">
        <f t="shared" si="479"/>
        <v>0</v>
      </c>
      <c r="R1338" s="125">
        <f>+_xlfn.XLOOKUP(A1338,PPTO_GENERADOR!$Q:$Q,PPTO_GENERADOR!A:A,"-",0)</f>
        <v>18.04</v>
      </c>
    </row>
    <row r="1339" spans="1:18" ht="14.25" customHeight="1" x14ac:dyDescent="0.35">
      <c r="A1339" s="105" t="s">
        <v>287</v>
      </c>
      <c r="B1339" s="105" t="s">
        <v>1981</v>
      </c>
      <c r="C1339" s="105" t="s">
        <v>1982</v>
      </c>
      <c r="D1339" s="105" t="s">
        <v>977</v>
      </c>
      <c r="E1339" s="95" t="str">
        <f>IFERROR(VLOOKUP(D1339,MATERIALES!A:B,2,FALSE()),"?")</f>
        <v>Caja rectangular chica</v>
      </c>
      <c r="F1339" s="129" t="str">
        <f>IFERROR(VLOOKUP(D1339,MATERIALES!A:C,3,FALSE()),"?")</f>
        <v>u</v>
      </c>
      <c r="G1339" s="119">
        <v>1</v>
      </c>
      <c r="H1339" s="120">
        <v>0.05</v>
      </c>
      <c r="I1339" s="96">
        <f>IFERROR(VLOOKUP(D1339,MATERIALES!A:D,4,FALSE()),0)</f>
        <v>217.14975799999999</v>
      </c>
      <c r="J1339" s="31">
        <f t="shared" si="490"/>
        <v>228.00724589999999</v>
      </c>
      <c r="K1339" s="32" t="str">
        <f t="shared" si="489"/>
        <v>PTO-1804|MAT</v>
      </c>
      <c r="L1339" s="32">
        <f>COUNTIFS($K$2:K1339,K1339)</f>
        <v>8</v>
      </c>
      <c r="M1339" s="32" t="str">
        <f t="shared" si="491"/>
        <v>PTO-1804|MAT|8</v>
      </c>
      <c r="N1339" s="121">
        <f>IFERROR(VLOOKUP(A1339,PARTIDAS!A:F,6,FALSE()),0)</f>
        <v>3.25</v>
      </c>
      <c r="O1339" s="123">
        <f t="shared" si="478"/>
        <v>0</v>
      </c>
      <c r="P1339" s="123">
        <f>+_xlfn.XLOOKUP(A1339,PPTO_GENERADOR!Q:Q,PPTO_GENERADOR!E:E,"-",0)</f>
        <v>11</v>
      </c>
      <c r="Q1339" s="123">
        <f t="shared" si="479"/>
        <v>0</v>
      </c>
      <c r="R1339" s="125">
        <f>+_xlfn.XLOOKUP(A1339,PPTO_GENERADOR!$Q:$Q,PPTO_GENERADOR!A:A,"-",0)</f>
        <v>18.04</v>
      </c>
    </row>
    <row r="1340" spans="1:18" ht="14.25" customHeight="1" x14ac:dyDescent="0.35">
      <c r="A1340" s="105" t="s">
        <v>287</v>
      </c>
      <c r="B1340" s="105" t="s">
        <v>1981</v>
      </c>
      <c r="C1340" s="105" t="s">
        <v>1982</v>
      </c>
      <c r="D1340" s="105" t="s">
        <v>559</v>
      </c>
      <c r="E1340" s="95" t="str">
        <f>IFERROR(VLOOKUP(D1340,MATERIALES!A:B,2,FALSE()),"?")</f>
        <v>CONSUMIBLES (varios)</v>
      </c>
      <c r="F1340" s="129" t="str">
        <f>IFERROR(VLOOKUP(D1340,MATERIALES!A:C,3,FALSE()),"?")</f>
        <v>gl</v>
      </c>
      <c r="G1340" s="119">
        <v>3056.31659426235</v>
      </c>
      <c r="H1340" s="120">
        <v>0</v>
      </c>
      <c r="I1340" s="96">
        <f>IFERROR(VLOOKUP(D1340,MATERIALES!A:D,4,FALSE()),0)</f>
        <v>1</v>
      </c>
      <c r="J1340" s="31">
        <f t="shared" si="490"/>
        <v>3056.31659426235</v>
      </c>
      <c r="K1340" s="32" t="str">
        <f t="shared" si="489"/>
        <v>PTO-1804|MAT</v>
      </c>
      <c r="L1340" s="32">
        <f>COUNTIFS($K$2:K1340,K1340)</f>
        <v>9</v>
      </c>
      <c r="M1340" s="32" t="str">
        <f t="shared" si="491"/>
        <v>PTO-1804|MAT|9</v>
      </c>
      <c r="N1340" s="121">
        <f>IFERROR(VLOOKUP(A1340,PARTIDAS!A:F,6,FALSE()),0)</f>
        <v>3.25</v>
      </c>
      <c r="O1340" s="123">
        <f t="shared" si="478"/>
        <v>0</v>
      </c>
      <c r="P1340" s="123">
        <f>+_xlfn.XLOOKUP(A1340,PPTO_GENERADOR!Q:Q,PPTO_GENERADOR!E:E,"-",0)</f>
        <v>11</v>
      </c>
      <c r="Q1340" s="123">
        <f t="shared" si="479"/>
        <v>0</v>
      </c>
      <c r="R1340" s="125">
        <f>+_xlfn.XLOOKUP(A1340,PPTO_GENERADOR!$Q:$Q,PPTO_GENERADOR!A:A,"-",0)</f>
        <v>18.04</v>
      </c>
    </row>
    <row r="1341" spans="1:18" ht="14.25" customHeight="1" x14ac:dyDescent="0.35">
      <c r="A1341" s="105" t="s">
        <v>287</v>
      </c>
      <c r="B1341" s="105" t="s">
        <v>1983</v>
      </c>
      <c r="C1341" s="105"/>
      <c r="D1341" s="105" t="s">
        <v>1325</v>
      </c>
      <c r="E1341" s="95" t="str">
        <f>IFERROR(VLOOKUP(D1341,EQUIPOS!A:B,2,FALSE()),"?")</f>
        <v>EQUIPO PARA INSTALACION ELECTRICA</v>
      </c>
      <c r="F1341" s="129"/>
      <c r="G1341" s="119">
        <v>1</v>
      </c>
      <c r="H1341" s="120">
        <v>0</v>
      </c>
      <c r="I1341" s="96">
        <f>IFERROR(VLOOKUP(D1341,EQUIPOS!A:F,6,FALSE()),0)</f>
        <v>5503.040438867889</v>
      </c>
      <c r="J1341" s="31">
        <f t="shared" ref="J1341:J1343" si="492">G1341*I1341</f>
        <v>5503.040438867889</v>
      </c>
      <c r="K1341" s="32" t="str">
        <f t="shared" si="489"/>
        <v>PTO-1804|EQ</v>
      </c>
      <c r="L1341" s="32">
        <f>COUNTIFS($K$2:K1341,K1341)</f>
        <v>1</v>
      </c>
      <c r="M1341" s="32" t="str">
        <f t="shared" ref="M1341:M1401" si="493">K1341&amp;"|"&amp;L1341</f>
        <v>PTO-1804|EQ|1</v>
      </c>
      <c r="N1341" s="121">
        <f>IFERROR(VLOOKUP(A1341,PARTIDAS!A:F,6,FALSE()),0)</f>
        <v>3.25</v>
      </c>
      <c r="O1341" s="123">
        <f t="shared" si="478"/>
        <v>0</v>
      </c>
      <c r="P1341" s="123">
        <f>+_xlfn.XLOOKUP(A1341,PPTO_GENERADOR!Q:Q,PPTO_GENERADOR!E:E,"-",0)</f>
        <v>11</v>
      </c>
      <c r="Q1341" s="123">
        <f t="shared" si="479"/>
        <v>0</v>
      </c>
      <c r="R1341" s="125">
        <f>+_xlfn.XLOOKUP(A1341,PPTO_GENERADOR!$Q:$Q,PPTO_GENERADOR!A:A,"-",0)</f>
        <v>18.04</v>
      </c>
    </row>
    <row r="1342" spans="1:18" ht="14.25" customHeight="1" x14ac:dyDescent="0.35">
      <c r="A1342" s="105" t="s">
        <v>287</v>
      </c>
      <c r="B1342" s="105" t="s">
        <v>1983</v>
      </c>
      <c r="C1342" s="105"/>
      <c r="D1342" s="105" t="s">
        <v>1313</v>
      </c>
      <c r="E1342" s="95" t="str">
        <f>IFERROR(VLOOKUP(D1342,EQUIPOS!A:B,2,FALSE()),"?")</f>
        <v>ANDAMIO TUBULAR DE UNO A TRES CUERPOS</v>
      </c>
      <c r="F1342" s="129"/>
      <c r="G1342" s="119">
        <v>0.5</v>
      </c>
      <c r="H1342" s="120">
        <v>0</v>
      </c>
      <c r="I1342" s="96">
        <f>IFERROR(VLOOKUP(D1342,EQUIPOS!A:F,6,FALSE()),0)</f>
        <v>620.81078197718341</v>
      </c>
      <c r="J1342" s="31">
        <f t="shared" si="492"/>
        <v>310.40539098859171</v>
      </c>
      <c r="K1342" s="32" t="str">
        <f t="shared" si="489"/>
        <v>PTO-1804|EQ</v>
      </c>
      <c r="L1342" s="32">
        <f>COUNTIFS($K$2:K1342,K1342)</f>
        <v>2</v>
      </c>
      <c r="M1342" s="32" t="str">
        <f t="shared" si="493"/>
        <v>PTO-1804|EQ|2</v>
      </c>
      <c r="N1342" s="121">
        <f>IFERROR(VLOOKUP(A1342,PARTIDAS!A:F,6,FALSE()),0)</f>
        <v>3.25</v>
      </c>
      <c r="O1342" s="123">
        <f t="shared" si="478"/>
        <v>0</v>
      </c>
      <c r="P1342" s="123">
        <f>+_xlfn.XLOOKUP(A1342,PPTO_GENERADOR!Q:Q,PPTO_GENERADOR!E:E,"-",0)</f>
        <v>11</v>
      </c>
      <c r="Q1342" s="123">
        <f t="shared" si="479"/>
        <v>0</v>
      </c>
      <c r="R1342" s="125">
        <f>+_xlfn.XLOOKUP(A1342,PPTO_GENERADOR!$Q:$Q,PPTO_GENERADOR!A:A,"-",0)</f>
        <v>18.04</v>
      </c>
    </row>
    <row r="1343" spans="1:18" ht="14.25" customHeight="1" x14ac:dyDescent="0.35">
      <c r="A1343" s="105" t="s">
        <v>287</v>
      </c>
      <c r="B1343" s="105" t="s">
        <v>1983</v>
      </c>
      <c r="C1343" s="105"/>
      <c r="D1343" s="105" t="s">
        <v>1311</v>
      </c>
      <c r="E1343" s="95" t="str">
        <f>IFERROR(VLOOKUP(D1343,EQUIPOS!A:B,2,FALSE()),"?")</f>
        <v>ESCALERA GLOSS ALUMINIO ARTICULADA 4 X 4 ESCALONES HASTA 150KG</v>
      </c>
      <c r="F1343" s="129"/>
      <c r="G1343" s="119">
        <v>0.5</v>
      </c>
      <c r="H1343" s="120">
        <v>0</v>
      </c>
      <c r="I1343" s="96">
        <f>IFERROR(VLOOKUP(D1343,EQUIPOS!A:F,6,FALSE()),0)</f>
        <v>152.38027427373819</v>
      </c>
      <c r="J1343" s="31">
        <f t="shared" si="492"/>
        <v>76.190137136869097</v>
      </c>
      <c r="K1343" s="32" t="str">
        <f t="shared" si="489"/>
        <v>PTO-1804|EQ</v>
      </c>
      <c r="L1343" s="32">
        <f>COUNTIFS($K$2:K1343,K1343)</f>
        <v>3</v>
      </c>
      <c r="M1343" s="32" t="str">
        <f t="shared" si="493"/>
        <v>PTO-1804|EQ|3</v>
      </c>
      <c r="N1343" s="121">
        <f>IFERROR(VLOOKUP(A1343,PARTIDAS!A:F,6,FALSE()),0)</f>
        <v>3.25</v>
      </c>
      <c r="O1343" s="123">
        <f t="shared" si="478"/>
        <v>0</v>
      </c>
      <c r="P1343" s="123">
        <f>+_xlfn.XLOOKUP(A1343,PPTO_GENERADOR!Q:Q,PPTO_GENERADOR!E:E,"-",0)</f>
        <v>11</v>
      </c>
      <c r="Q1343" s="123">
        <f t="shared" si="479"/>
        <v>0</v>
      </c>
      <c r="R1343" s="125">
        <f>+_xlfn.XLOOKUP(A1343,PPTO_GENERADOR!$Q:$Q,PPTO_GENERADOR!A:A,"-",0)</f>
        <v>18.04</v>
      </c>
    </row>
    <row r="1344" spans="1:18" ht="14.25" customHeight="1" x14ac:dyDescent="0.35">
      <c r="A1344" s="105" t="s">
        <v>289</v>
      </c>
      <c r="B1344" s="105" t="s">
        <v>1981</v>
      </c>
      <c r="C1344" s="105" t="s">
        <v>1982</v>
      </c>
      <c r="D1344" s="105" t="s">
        <v>968</v>
      </c>
      <c r="E1344" s="95" t="str">
        <f>IFERROR(VLOOKUP(D1344,MATERIALES!A:B,2,FALSE()),"?")</f>
        <v>Caño rigido 3/4"</v>
      </c>
      <c r="F1344" s="129" t="str">
        <f>IFERROR(VLOOKUP(D1344,MATERIALES!A:C,3,FALSE()),"?")</f>
        <v>u</v>
      </c>
      <c r="G1344" s="119">
        <v>5</v>
      </c>
      <c r="H1344" s="120">
        <v>0.05</v>
      </c>
      <c r="I1344" s="96">
        <f>IFERROR(VLOOKUP(D1344,MATERIALES!A:D,4,FALSE()),0)</f>
        <v>504.29656699999998</v>
      </c>
      <c r="J1344" s="31">
        <f t="shared" ref="J1344:J1350" si="494">G1344*I1344*(1+H1344)</f>
        <v>2647.5569767500001</v>
      </c>
      <c r="K1344" s="32" t="str">
        <f t="shared" si="489"/>
        <v>PTO-1805|MAT</v>
      </c>
      <c r="L1344" s="32">
        <f>COUNTIFS($K$2:K1344,K1344)</f>
        <v>1</v>
      </c>
      <c r="M1344" s="32" t="str">
        <f t="shared" si="493"/>
        <v>PTO-1805|MAT|1</v>
      </c>
      <c r="N1344" s="121">
        <f>IFERROR(VLOOKUP(A1344,PARTIDAS!A:F,6,FALSE()),0)</f>
        <v>3.25</v>
      </c>
      <c r="O1344" s="123">
        <f t="shared" si="478"/>
        <v>0</v>
      </c>
      <c r="P1344" s="123">
        <f>+_xlfn.XLOOKUP(A1344,PPTO_GENERADOR!Q:Q,PPTO_GENERADOR!E:E,"-",0)</f>
        <v>313</v>
      </c>
      <c r="Q1344" s="123">
        <f t="shared" si="479"/>
        <v>0</v>
      </c>
      <c r="R1344" s="125">
        <f>+_xlfn.XLOOKUP(A1344,PPTO_GENERADOR!$Q:$Q,PPTO_GENERADOR!A:A,"-",0)</f>
        <v>18.05</v>
      </c>
    </row>
    <row r="1345" spans="1:18" ht="14.25" customHeight="1" x14ac:dyDescent="0.35">
      <c r="A1345" s="105" t="s">
        <v>289</v>
      </c>
      <c r="B1345" s="105" t="s">
        <v>1981</v>
      </c>
      <c r="C1345" s="105" t="s">
        <v>1982</v>
      </c>
      <c r="D1345" s="105" t="s">
        <v>970</v>
      </c>
      <c r="E1345" s="95" t="str">
        <f>IFERROR(VLOOKUP(D1345,MATERIALES!A:B,2,FALSE()),"?")</f>
        <v>Conector hierro 3/4"</v>
      </c>
      <c r="F1345" s="129" t="str">
        <f>IFERROR(VLOOKUP(D1345,MATERIALES!A:C,3,FALSE()),"?")</f>
        <v>u</v>
      </c>
      <c r="G1345" s="119">
        <v>4</v>
      </c>
      <c r="H1345" s="120">
        <v>0.1</v>
      </c>
      <c r="I1345" s="96">
        <f>IFERROR(VLOOKUP(D1345,MATERIALES!A:D,4,FALSE()),0)</f>
        <v>250.31899999999999</v>
      </c>
      <c r="J1345" s="31">
        <f t="shared" si="494"/>
        <v>1101.4036000000001</v>
      </c>
      <c r="K1345" s="32" t="str">
        <f t="shared" si="489"/>
        <v>PTO-1805|MAT</v>
      </c>
      <c r="L1345" s="32">
        <f>COUNTIFS($K$2:K1345,K1345)</f>
        <v>2</v>
      </c>
      <c r="M1345" s="32" t="str">
        <f t="shared" si="493"/>
        <v>PTO-1805|MAT|2</v>
      </c>
      <c r="N1345" s="121">
        <f>IFERROR(VLOOKUP(A1345,PARTIDAS!A:F,6,FALSE()),0)</f>
        <v>3.25</v>
      </c>
      <c r="O1345" s="123">
        <f t="shared" si="478"/>
        <v>0</v>
      </c>
      <c r="P1345" s="123">
        <f>+_xlfn.XLOOKUP(A1345,PPTO_GENERADOR!Q:Q,PPTO_GENERADOR!E:E,"-",0)</f>
        <v>313</v>
      </c>
      <c r="Q1345" s="123">
        <f t="shared" si="479"/>
        <v>0</v>
      </c>
      <c r="R1345" s="125">
        <f>+_xlfn.XLOOKUP(A1345,PPTO_GENERADOR!$Q:$Q,PPTO_GENERADOR!A:A,"-",0)</f>
        <v>18.05</v>
      </c>
    </row>
    <row r="1346" spans="1:18" ht="14.25" customHeight="1" x14ac:dyDescent="0.35">
      <c r="A1346" s="105" t="s">
        <v>289</v>
      </c>
      <c r="B1346" s="105" t="s">
        <v>1981</v>
      </c>
      <c r="C1346" s="105" t="s">
        <v>1982</v>
      </c>
      <c r="D1346" s="105" t="s">
        <v>972</v>
      </c>
      <c r="E1346" s="95" t="str">
        <f>IFERROR(VLOOKUP(D1346,MATERIALES!A:B,2,FALSE()),"?")</f>
        <v>Cupla PVC 3/4"</v>
      </c>
      <c r="F1346" s="129" t="str">
        <f>IFERROR(VLOOKUP(D1346,MATERIALES!A:C,3,FALSE()),"?")</f>
        <v>u</v>
      </c>
      <c r="G1346" s="119">
        <v>1.2</v>
      </c>
      <c r="H1346" s="120">
        <v>0.1</v>
      </c>
      <c r="I1346" s="96">
        <f>IFERROR(VLOOKUP(D1346,MATERIALES!A:D,4,FALSE()),0)</f>
        <v>110.121</v>
      </c>
      <c r="J1346" s="31">
        <f t="shared" si="494"/>
        <v>145.35972000000001</v>
      </c>
      <c r="K1346" s="32" t="str">
        <f t="shared" si="489"/>
        <v>PTO-1805|MAT</v>
      </c>
      <c r="L1346" s="32">
        <f>COUNTIFS($K$2:K1346,K1346)</f>
        <v>3</v>
      </c>
      <c r="M1346" s="32" t="str">
        <f t="shared" si="493"/>
        <v>PTO-1805|MAT|3</v>
      </c>
      <c r="N1346" s="121">
        <f>IFERROR(VLOOKUP(A1346,PARTIDAS!A:F,6,FALSE()),0)</f>
        <v>3.25</v>
      </c>
      <c r="O1346" s="123">
        <f t="shared" si="478"/>
        <v>0</v>
      </c>
      <c r="P1346" s="123">
        <f>+_xlfn.XLOOKUP(A1346,PPTO_GENERADOR!Q:Q,PPTO_GENERADOR!E:E,"-",0)</f>
        <v>313</v>
      </c>
      <c r="Q1346" s="123">
        <f t="shared" si="479"/>
        <v>0</v>
      </c>
      <c r="R1346" s="125">
        <f>+_xlfn.XLOOKUP(A1346,PPTO_GENERADOR!$Q:$Q,PPTO_GENERADOR!A:A,"-",0)</f>
        <v>18.05</v>
      </c>
    </row>
    <row r="1347" spans="1:18" ht="14.25" customHeight="1" x14ac:dyDescent="0.35">
      <c r="A1347" s="105" t="s">
        <v>289</v>
      </c>
      <c r="B1347" s="105" t="s">
        <v>1981</v>
      </c>
      <c r="C1347" s="105" t="s">
        <v>1982</v>
      </c>
      <c r="D1347" s="105" t="s">
        <v>974</v>
      </c>
      <c r="E1347" s="95" t="str">
        <f>IFERROR(VLOOKUP(D1347,MATERIALES!A:B,2,FALSE()),"?")</f>
        <v>Cable unipolar 1 x 2,50 VA</v>
      </c>
      <c r="F1347" s="129" t="str">
        <f>IFERROR(VLOOKUP(D1347,MATERIALES!A:C,3,FALSE()),"?")</f>
        <v>m</v>
      </c>
      <c r="G1347" s="119">
        <v>5</v>
      </c>
      <c r="H1347" s="120">
        <v>0.1</v>
      </c>
      <c r="I1347" s="96">
        <f>IFERROR(VLOOKUP(D1347,MATERIALES!A:D,4,FALSE()),0)</f>
        <v>546.37687500000004</v>
      </c>
      <c r="J1347" s="31">
        <f t="shared" si="494"/>
        <v>3005.0728125000005</v>
      </c>
      <c r="K1347" s="32" t="str">
        <f t="shared" si="489"/>
        <v>PTO-1805|MAT</v>
      </c>
      <c r="L1347" s="32">
        <f>COUNTIFS($K$2:K1347,K1347)</f>
        <v>4</v>
      </c>
      <c r="M1347" s="32" t="str">
        <f t="shared" si="493"/>
        <v>PTO-1805|MAT|4</v>
      </c>
      <c r="N1347" s="121">
        <f>IFERROR(VLOOKUP(A1347,PARTIDAS!A:F,6,FALSE()),0)</f>
        <v>3.25</v>
      </c>
      <c r="O1347" s="123">
        <f t="shared" ref="O1347:O1410" si="495">+IF(C1347="ALB",G1347/N1347,0)</f>
        <v>0</v>
      </c>
      <c r="P1347" s="123">
        <f>+_xlfn.XLOOKUP(A1347,PPTO_GENERADOR!Q:Q,PPTO_GENERADOR!E:E,"-",0)</f>
        <v>313</v>
      </c>
      <c r="Q1347" s="123">
        <f t="shared" ref="Q1347:Q1410" si="496">IFERROR(P1347*O1347,0)</f>
        <v>0</v>
      </c>
      <c r="R1347" s="125">
        <f>+_xlfn.XLOOKUP(A1347,PPTO_GENERADOR!$Q:$Q,PPTO_GENERADOR!A:A,"-",0)</f>
        <v>18.05</v>
      </c>
    </row>
    <row r="1348" spans="1:18" ht="14.25" customHeight="1" x14ac:dyDescent="0.35">
      <c r="A1348" s="105" t="s">
        <v>289</v>
      </c>
      <c r="B1348" s="105" t="s">
        <v>1981</v>
      </c>
      <c r="C1348" s="105" t="s">
        <v>1982</v>
      </c>
      <c r="D1348" s="105" t="s">
        <v>974</v>
      </c>
      <c r="E1348" s="95" t="str">
        <f>IFERROR(VLOOKUP(D1348,MATERIALES!A:B,2,FALSE()),"?")</f>
        <v>Cable unipolar 1 x 2,50 VA</v>
      </c>
      <c r="F1348" s="129" t="str">
        <f>IFERROR(VLOOKUP(D1348,MATERIALES!A:C,3,FALSE()),"?")</f>
        <v>m</v>
      </c>
      <c r="G1348" s="119">
        <v>10</v>
      </c>
      <c r="H1348" s="120">
        <v>0.1</v>
      </c>
      <c r="I1348" s="96">
        <f>IFERROR(VLOOKUP(D1348,MATERIALES!A:D,4,FALSE()),0)</f>
        <v>546.37687500000004</v>
      </c>
      <c r="J1348" s="31">
        <f t="shared" si="494"/>
        <v>6010.145625000001</v>
      </c>
      <c r="K1348" s="32" t="str">
        <f t="shared" si="489"/>
        <v>PTO-1805|MAT</v>
      </c>
      <c r="L1348" s="32">
        <f>COUNTIFS($K$2:K1348,K1348)</f>
        <v>5</v>
      </c>
      <c r="M1348" s="32" t="str">
        <f t="shared" si="493"/>
        <v>PTO-1805|MAT|5</v>
      </c>
      <c r="N1348" s="121">
        <f>IFERROR(VLOOKUP(A1348,PARTIDAS!A:F,6,FALSE()),0)</f>
        <v>3.25</v>
      </c>
      <c r="O1348" s="123">
        <f t="shared" si="495"/>
        <v>0</v>
      </c>
      <c r="P1348" s="123">
        <f>+_xlfn.XLOOKUP(A1348,PPTO_GENERADOR!Q:Q,PPTO_GENERADOR!E:E,"-",0)</f>
        <v>313</v>
      </c>
      <c r="Q1348" s="123">
        <f t="shared" si="496"/>
        <v>0</v>
      </c>
      <c r="R1348" s="125">
        <f>+_xlfn.XLOOKUP(A1348,PPTO_GENERADOR!$Q:$Q,PPTO_GENERADOR!A:A,"-",0)</f>
        <v>18.05</v>
      </c>
    </row>
    <row r="1349" spans="1:18" ht="14.25" customHeight="1" x14ac:dyDescent="0.35">
      <c r="A1349" s="105" t="s">
        <v>289</v>
      </c>
      <c r="B1349" s="105" t="s">
        <v>1981</v>
      </c>
      <c r="C1349" s="105" t="s">
        <v>1982</v>
      </c>
      <c r="D1349" s="105" t="s">
        <v>977</v>
      </c>
      <c r="E1349" s="95" t="str">
        <f>IFERROR(VLOOKUP(D1349,MATERIALES!A:B,2,FALSE()),"?")</f>
        <v>Caja rectangular chica</v>
      </c>
      <c r="F1349" s="129" t="str">
        <f>IFERROR(VLOOKUP(D1349,MATERIALES!A:C,3,FALSE()),"?")</f>
        <v>u</v>
      </c>
      <c r="G1349" s="119">
        <v>1</v>
      </c>
      <c r="H1349" s="120">
        <v>0.05</v>
      </c>
      <c r="I1349" s="96">
        <f>IFERROR(VLOOKUP(D1349,MATERIALES!A:D,4,FALSE()),0)</f>
        <v>217.14975799999999</v>
      </c>
      <c r="J1349" s="31">
        <f t="shared" si="494"/>
        <v>228.00724589999999</v>
      </c>
      <c r="K1349" s="32" t="str">
        <f t="shared" si="489"/>
        <v>PTO-1805|MAT</v>
      </c>
      <c r="L1349" s="32">
        <f>COUNTIFS($K$2:K1349,K1349)</f>
        <v>6</v>
      </c>
      <c r="M1349" s="32" t="str">
        <f t="shared" si="493"/>
        <v>PTO-1805|MAT|6</v>
      </c>
      <c r="N1349" s="121">
        <f>IFERROR(VLOOKUP(A1349,PARTIDAS!A:F,6,FALSE()),0)</f>
        <v>3.25</v>
      </c>
      <c r="O1349" s="123">
        <f t="shared" si="495"/>
        <v>0</v>
      </c>
      <c r="P1349" s="123">
        <f>+_xlfn.XLOOKUP(A1349,PPTO_GENERADOR!Q:Q,PPTO_GENERADOR!E:E,"-",0)</f>
        <v>313</v>
      </c>
      <c r="Q1349" s="123">
        <f t="shared" si="496"/>
        <v>0</v>
      </c>
      <c r="R1349" s="125">
        <f>+_xlfn.XLOOKUP(A1349,PPTO_GENERADOR!$Q:$Q,PPTO_GENERADOR!A:A,"-",0)</f>
        <v>18.05</v>
      </c>
    </row>
    <row r="1350" spans="1:18" ht="14.25" customHeight="1" x14ac:dyDescent="0.35">
      <c r="A1350" s="105" t="s">
        <v>289</v>
      </c>
      <c r="B1350" s="105" t="s">
        <v>1981</v>
      </c>
      <c r="C1350" s="105" t="s">
        <v>1982</v>
      </c>
      <c r="D1350" s="105" t="s">
        <v>559</v>
      </c>
      <c r="E1350" s="95" t="str">
        <f>IFERROR(VLOOKUP(D1350,MATERIALES!A:B,2,FALSE()),"?")</f>
        <v>CONSUMIBLES (varios)</v>
      </c>
      <c r="F1350" s="129" t="str">
        <f>IFERROR(VLOOKUP(D1350,MATERIALES!A:C,3,FALSE()),"?")</f>
        <v>gl</v>
      </c>
      <c r="G1350" s="119">
        <v>2758.8846554716301</v>
      </c>
      <c r="H1350" s="120">
        <v>0</v>
      </c>
      <c r="I1350" s="96">
        <f>IFERROR(VLOOKUP(D1350,MATERIALES!A:D,4,FALSE()),0)</f>
        <v>1</v>
      </c>
      <c r="J1350" s="31">
        <f t="shared" si="494"/>
        <v>2758.8846554716301</v>
      </c>
      <c r="K1350" s="32" t="str">
        <f t="shared" si="489"/>
        <v>PTO-1805|MAT</v>
      </c>
      <c r="L1350" s="32">
        <f>COUNTIFS($K$2:K1350,K1350)</f>
        <v>7</v>
      </c>
      <c r="M1350" s="32" t="str">
        <f t="shared" si="493"/>
        <v>PTO-1805|MAT|7</v>
      </c>
      <c r="N1350" s="121">
        <f>IFERROR(VLOOKUP(A1350,PARTIDAS!A:F,6,FALSE()),0)</f>
        <v>3.25</v>
      </c>
      <c r="O1350" s="123">
        <f t="shared" si="495"/>
        <v>0</v>
      </c>
      <c r="P1350" s="123">
        <f>+_xlfn.XLOOKUP(A1350,PPTO_GENERADOR!Q:Q,PPTO_GENERADOR!E:E,"-",0)</f>
        <v>313</v>
      </c>
      <c r="Q1350" s="123">
        <f t="shared" si="496"/>
        <v>0</v>
      </c>
      <c r="R1350" s="125">
        <f>+_xlfn.XLOOKUP(A1350,PPTO_GENERADOR!$Q:$Q,PPTO_GENERADOR!A:A,"-",0)</f>
        <v>18.05</v>
      </c>
    </row>
    <row r="1351" spans="1:18" ht="14.25" customHeight="1" x14ac:dyDescent="0.35">
      <c r="A1351" s="105" t="s">
        <v>289</v>
      </c>
      <c r="B1351" s="105" t="s">
        <v>1983</v>
      </c>
      <c r="C1351" s="105"/>
      <c r="D1351" s="105" t="s">
        <v>1325</v>
      </c>
      <c r="E1351" s="95" t="str">
        <f>IFERROR(VLOOKUP(D1351,EQUIPOS!A:B,2,FALSE()),"?")</f>
        <v>EQUIPO PARA INSTALACION ELECTRICA</v>
      </c>
      <c r="F1351" s="129"/>
      <c r="G1351" s="119">
        <v>1</v>
      </c>
      <c r="H1351" s="120">
        <v>0</v>
      </c>
      <c r="I1351" s="96">
        <f>IFERROR(VLOOKUP(D1351,EQUIPOS!A:F,6,FALSE()),0)</f>
        <v>5503.040438867889</v>
      </c>
      <c r="J1351" s="31">
        <f t="shared" ref="J1351:J1353" si="497">G1351*I1351</f>
        <v>5503.040438867889</v>
      </c>
      <c r="K1351" s="32" t="str">
        <f t="shared" si="489"/>
        <v>PTO-1805|EQ</v>
      </c>
      <c r="L1351" s="32">
        <f>COUNTIFS($K$2:K1351,K1351)</f>
        <v>1</v>
      </c>
      <c r="M1351" s="32" t="str">
        <f t="shared" si="493"/>
        <v>PTO-1805|EQ|1</v>
      </c>
      <c r="N1351" s="121">
        <f>IFERROR(VLOOKUP(A1351,PARTIDAS!A:F,6,FALSE()),0)</f>
        <v>3.25</v>
      </c>
      <c r="O1351" s="123">
        <f t="shared" si="495"/>
        <v>0</v>
      </c>
      <c r="P1351" s="123">
        <f>+_xlfn.XLOOKUP(A1351,PPTO_GENERADOR!Q:Q,PPTO_GENERADOR!E:E,"-",0)</f>
        <v>313</v>
      </c>
      <c r="Q1351" s="123">
        <f t="shared" si="496"/>
        <v>0</v>
      </c>
      <c r="R1351" s="125">
        <f>+_xlfn.XLOOKUP(A1351,PPTO_GENERADOR!$Q:$Q,PPTO_GENERADOR!A:A,"-",0)</f>
        <v>18.05</v>
      </c>
    </row>
    <row r="1352" spans="1:18" ht="14.25" customHeight="1" x14ac:dyDescent="0.35">
      <c r="A1352" s="105" t="s">
        <v>289</v>
      </c>
      <c r="B1352" s="105" t="s">
        <v>1983</v>
      </c>
      <c r="C1352" s="105"/>
      <c r="D1352" s="105" t="s">
        <v>1313</v>
      </c>
      <c r="E1352" s="95" t="str">
        <f>IFERROR(VLOOKUP(D1352,EQUIPOS!A:B,2,FALSE()),"?")</f>
        <v>ANDAMIO TUBULAR DE UNO A TRES CUERPOS</v>
      </c>
      <c r="F1352" s="129"/>
      <c r="G1352" s="119">
        <v>0.5</v>
      </c>
      <c r="H1352" s="120">
        <v>0</v>
      </c>
      <c r="I1352" s="96">
        <f>IFERROR(VLOOKUP(D1352,EQUIPOS!A:F,6,FALSE()),0)</f>
        <v>620.81078197718341</v>
      </c>
      <c r="J1352" s="31">
        <f t="shared" si="497"/>
        <v>310.40539098859171</v>
      </c>
      <c r="K1352" s="32" t="str">
        <f t="shared" si="489"/>
        <v>PTO-1805|EQ</v>
      </c>
      <c r="L1352" s="32">
        <f>COUNTIFS($K$2:K1352,K1352)</f>
        <v>2</v>
      </c>
      <c r="M1352" s="32" t="str">
        <f t="shared" si="493"/>
        <v>PTO-1805|EQ|2</v>
      </c>
      <c r="N1352" s="121">
        <f>IFERROR(VLOOKUP(A1352,PARTIDAS!A:F,6,FALSE()),0)</f>
        <v>3.25</v>
      </c>
      <c r="O1352" s="123">
        <f t="shared" si="495"/>
        <v>0</v>
      </c>
      <c r="P1352" s="123">
        <f>+_xlfn.XLOOKUP(A1352,PPTO_GENERADOR!Q:Q,PPTO_GENERADOR!E:E,"-",0)</f>
        <v>313</v>
      </c>
      <c r="Q1352" s="123">
        <f t="shared" si="496"/>
        <v>0</v>
      </c>
      <c r="R1352" s="125">
        <f>+_xlfn.XLOOKUP(A1352,PPTO_GENERADOR!$Q:$Q,PPTO_GENERADOR!A:A,"-",0)</f>
        <v>18.05</v>
      </c>
    </row>
    <row r="1353" spans="1:18" ht="14.25" customHeight="1" x14ac:dyDescent="0.35">
      <c r="A1353" s="105" t="s">
        <v>289</v>
      </c>
      <c r="B1353" s="105" t="s">
        <v>1983</v>
      </c>
      <c r="C1353" s="105"/>
      <c r="D1353" s="105" t="s">
        <v>1311</v>
      </c>
      <c r="E1353" s="95" t="str">
        <f>IFERROR(VLOOKUP(D1353,EQUIPOS!A:B,2,FALSE()),"?")</f>
        <v>ESCALERA GLOSS ALUMINIO ARTICULADA 4 X 4 ESCALONES HASTA 150KG</v>
      </c>
      <c r="F1353" s="129"/>
      <c r="G1353" s="119">
        <v>0.5</v>
      </c>
      <c r="H1353" s="120">
        <v>0</v>
      </c>
      <c r="I1353" s="96">
        <f>IFERROR(VLOOKUP(D1353,EQUIPOS!A:F,6,FALSE()),0)</f>
        <v>152.38027427373819</v>
      </c>
      <c r="J1353" s="31">
        <f t="shared" si="497"/>
        <v>76.190137136869097</v>
      </c>
      <c r="K1353" s="32" t="str">
        <f t="shared" si="489"/>
        <v>PTO-1805|EQ</v>
      </c>
      <c r="L1353" s="32">
        <f>COUNTIFS($K$2:K1353,K1353)</f>
        <v>3</v>
      </c>
      <c r="M1353" s="32" t="str">
        <f t="shared" si="493"/>
        <v>PTO-1805|EQ|3</v>
      </c>
      <c r="N1353" s="121">
        <f>IFERROR(VLOOKUP(A1353,PARTIDAS!A:F,6,FALSE()),0)</f>
        <v>3.25</v>
      </c>
      <c r="O1353" s="123">
        <f t="shared" si="495"/>
        <v>0</v>
      </c>
      <c r="P1353" s="123">
        <f>+_xlfn.XLOOKUP(A1353,PPTO_GENERADOR!Q:Q,PPTO_GENERADOR!E:E,"-",0)</f>
        <v>313</v>
      </c>
      <c r="Q1353" s="123">
        <f t="shared" si="496"/>
        <v>0</v>
      </c>
      <c r="R1353" s="125">
        <f>+_xlfn.XLOOKUP(A1353,PPTO_GENERADOR!$Q:$Q,PPTO_GENERADOR!A:A,"-",0)</f>
        <v>18.05</v>
      </c>
    </row>
    <row r="1354" spans="1:18" ht="14.25" customHeight="1" x14ac:dyDescent="0.35">
      <c r="A1354" s="105" t="s">
        <v>292</v>
      </c>
      <c r="B1354" s="105" t="s">
        <v>1981</v>
      </c>
      <c r="C1354" s="105" t="s">
        <v>1982</v>
      </c>
      <c r="D1354" s="105" t="s">
        <v>1039</v>
      </c>
      <c r="E1354" s="95" t="str">
        <f>IFERROR(VLOOKUP(D1354,MATERIALES!A:B,2,FALSE()),"?")</f>
        <v>Caño rígido 1"</v>
      </c>
      <c r="F1354" s="129" t="str">
        <f>IFERROR(VLOOKUP(D1354,MATERIALES!A:C,3,FALSE()),"?")</f>
        <v>u</v>
      </c>
      <c r="G1354" s="119">
        <v>7.5</v>
      </c>
      <c r="H1354" s="120">
        <v>0.1</v>
      </c>
      <c r="I1354" s="96">
        <f>IFERROR(VLOOKUP(D1354,MATERIALES!A:D,4,FALSE()),0)</f>
        <v>529.85400000000004</v>
      </c>
      <c r="J1354" s="31">
        <f t="shared" ref="J1354:J1360" si="498">G1354*I1354*(1+H1354)</f>
        <v>4371.2955000000002</v>
      </c>
      <c r="K1354" s="32" t="str">
        <f t="shared" si="489"/>
        <v>PTO-1806|MAT</v>
      </c>
      <c r="L1354" s="32">
        <f>COUNTIFS($K$2:K1354,K1354)</f>
        <v>1</v>
      </c>
      <c r="M1354" s="32" t="str">
        <f t="shared" si="493"/>
        <v>PTO-1806|MAT|1</v>
      </c>
      <c r="N1354" s="121">
        <f>IFERROR(VLOOKUP(A1354,PARTIDAS!A:F,6,FALSE()),0)</f>
        <v>3.25</v>
      </c>
      <c r="O1354" s="123">
        <f t="shared" si="495"/>
        <v>0</v>
      </c>
      <c r="P1354" s="123">
        <f>+_xlfn.XLOOKUP(A1354,PPTO_GENERADOR!Q:Q,PPTO_GENERADOR!E:E,"-",0)</f>
        <v>40</v>
      </c>
      <c r="Q1354" s="123">
        <f t="shared" si="496"/>
        <v>0</v>
      </c>
      <c r="R1354" s="125">
        <f>+_xlfn.XLOOKUP(A1354,PPTO_GENERADOR!$Q:$Q,PPTO_GENERADOR!A:A,"-",0)</f>
        <v>18.059999999999999</v>
      </c>
    </row>
    <row r="1355" spans="1:18" ht="14.25" customHeight="1" x14ac:dyDescent="0.35">
      <c r="A1355" s="105" t="s">
        <v>292</v>
      </c>
      <c r="B1355" s="105" t="s">
        <v>1981</v>
      </c>
      <c r="C1355" s="105" t="s">
        <v>1982</v>
      </c>
      <c r="D1355" s="105" t="s">
        <v>1041</v>
      </c>
      <c r="E1355" s="95" t="str">
        <f>IFERROR(VLOOKUP(D1355,MATERIALES!A:B,2,FALSE()),"?")</f>
        <v>Conector hierro 1"</v>
      </c>
      <c r="F1355" s="129" t="str">
        <f>IFERROR(VLOOKUP(D1355,MATERIALES!A:C,3,FALSE()),"?")</f>
        <v>u</v>
      </c>
      <c r="G1355" s="119">
        <v>3</v>
      </c>
      <c r="H1355" s="120">
        <v>0.1</v>
      </c>
      <c r="I1355" s="96">
        <f>IFERROR(VLOOKUP(D1355,MATERIALES!A:D,4,FALSE()),0)</f>
        <v>310.65199999999999</v>
      </c>
      <c r="J1355" s="31">
        <f t="shared" si="498"/>
        <v>1025.1515999999999</v>
      </c>
      <c r="K1355" s="32" t="str">
        <f t="shared" si="489"/>
        <v>PTO-1806|MAT</v>
      </c>
      <c r="L1355" s="32">
        <f>COUNTIFS($K$2:K1355,K1355)</f>
        <v>2</v>
      </c>
      <c r="M1355" s="32" t="str">
        <f t="shared" si="493"/>
        <v>PTO-1806|MAT|2</v>
      </c>
      <c r="N1355" s="121">
        <f>IFERROR(VLOOKUP(A1355,PARTIDAS!A:F,6,FALSE()),0)</f>
        <v>3.25</v>
      </c>
      <c r="O1355" s="123">
        <f t="shared" si="495"/>
        <v>0</v>
      </c>
      <c r="P1355" s="123">
        <f>+_xlfn.XLOOKUP(A1355,PPTO_GENERADOR!Q:Q,PPTO_GENERADOR!E:E,"-",0)</f>
        <v>40</v>
      </c>
      <c r="Q1355" s="123">
        <f t="shared" si="496"/>
        <v>0</v>
      </c>
      <c r="R1355" s="125">
        <f>+_xlfn.XLOOKUP(A1355,PPTO_GENERADOR!$Q:$Q,PPTO_GENERADOR!A:A,"-",0)</f>
        <v>18.059999999999999</v>
      </c>
    </row>
    <row r="1356" spans="1:18" ht="14.25" customHeight="1" x14ac:dyDescent="0.35">
      <c r="A1356" s="105" t="s">
        <v>292</v>
      </c>
      <c r="B1356" s="105" t="s">
        <v>1981</v>
      </c>
      <c r="C1356" s="105" t="s">
        <v>1982</v>
      </c>
      <c r="D1356" s="105" t="s">
        <v>1043</v>
      </c>
      <c r="E1356" s="95" t="str">
        <f>IFERROR(VLOOKUP(D1356,MATERIALES!A:B,2,FALSE()),"?")</f>
        <v>Cupla PVC 1"</v>
      </c>
      <c r="F1356" s="129" t="str">
        <f>IFERROR(VLOOKUP(D1356,MATERIALES!A:C,3,FALSE()),"?")</f>
        <v>u</v>
      </c>
      <c r="G1356" s="119">
        <v>3</v>
      </c>
      <c r="H1356" s="120">
        <v>0.1</v>
      </c>
      <c r="I1356" s="96">
        <f>IFERROR(VLOOKUP(D1356,MATERIALES!A:D,4,FALSE()),0)</f>
        <v>119.32</v>
      </c>
      <c r="J1356" s="31">
        <f t="shared" si="498"/>
        <v>393.75600000000003</v>
      </c>
      <c r="K1356" s="32" t="str">
        <f t="shared" si="489"/>
        <v>PTO-1806|MAT</v>
      </c>
      <c r="L1356" s="32">
        <f>COUNTIFS($K$2:K1356,K1356)</f>
        <v>3</v>
      </c>
      <c r="M1356" s="32" t="str">
        <f t="shared" si="493"/>
        <v>PTO-1806|MAT|3</v>
      </c>
      <c r="N1356" s="121">
        <f>IFERROR(VLOOKUP(A1356,PARTIDAS!A:F,6,FALSE()),0)</f>
        <v>3.25</v>
      </c>
      <c r="O1356" s="123">
        <f t="shared" si="495"/>
        <v>0</v>
      </c>
      <c r="P1356" s="123">
        <f>+_xlfn.XLOOKUP(A1356,PPTO_GENERADOR!Q:Q,PPTO_GENERADOR!E:E,"-",0)</f>
        <v>40</v>
      </c>
      <c r="Q1356" s="123">
        <f t="shared" si="496"/>
        <v>0</v>
      </c>
      <c r="R1356" s="125">
        <f>+_xlfn.XLOOKUP(A1356,PPTO_GENERADOR!$Q:$Q,PPTO_GENERADOR!A:A,"-",0)</f>
        <v>18.059999999999999</v>
      </c>
    </row>
    <row r="1357" spans="1:18" ht="14.25" customHeight="1" x14ac:dyDescent="0.35">
      <c r="A1357" s="105" t="s">
        <v>292</v>
      </c>
      <c r="B1357" s="105" t="s">
        <v>1981</v>
      </c>
      <c r="C1357" s="105" t="s">
        <v>1982</v>
      </c>
      <c r="D1357" s="105" t="s">
        <v>912</v>
      </c>
      <c r="E1357" s="95" t="str">
        <f>IFERROR(VLOOKUP(D1357,MATERIALES!A:B,2,FALSE()),"?")</f>
        <v>Cable unipolar 1 x 4,00</v>
      </c>
      <c r="F1357" s="129">
        <f>IFERROR(VLOOKUP(D1357,MATERIALES!A:C,3,FALSE()),"?")</f>
        <v>0</v>
      </c>
      <c r="G1357" s="119">
        <v>7.5</v>
      </c>
      <c r="H1357" s="120">
        <v>0.1</v>
      </c>
      <c r="I1357" s="96">
        <f>IFERROR(VLOOKUP(D1357,MATERIALES!A:D,4,FALSE()),0)</f>
        <v>895.33241596022003</v>
      </c>
      <c r="J1357" s="31">
        <f t="shared" si="498"/>
        <v>7386.4924316718161</v>
      </c>
      <c r="K1357" s="32" t="str">
        <f t="shared" si="489"/>
        <v>PTO-1806|MAT</v>
      </c>
      <c r="L1357" s="32">
        <f>COUNTIFS($K$2:K1357,K1357)</f>
        <v>4</v>
      </c>
      <c r="M1357" s="32" t="str">
        <f t="shared" si="493"/>
        <v>PTO-1806|MAT|4</v>
      </c>
      <c r="N1357" s="121">
        <f>IFERROR(VLOOKUP(A1357,PARTIDAS!A:F,6,FALSE()),0)</f>
        <v>3.25</v>
      </c>
      <c r="O1357" s="123">
        <f t="shared" si="495"/>
        <v>0</v>
      </c>
      <c r="P1357" s="123">
        <f>+_xlfn.XLOOKUP(A1357,PPTO_GENERADOR!Q:Q,PPTO_GENERADOR!E:E,"-",0)</f>
        <v>40</v>
      </c>
      <c r="Q1357" s="123">
        <f t="shared" si="496"/>
        <v>0</v>
      </c>
      <c r="R1357" s="125">
        <f>+_xlfn.XLOOKUP(A1357,PPTO_GENERADOR!$Q:$Q,PPTO_GENERADOR!A:A,"-",0)</f>
        <v>18.059999999999999</v>
      </c>
    </row>
    <row r="1358" spans="1:18" ht="14.25" customHeight="1" x14ac:dyDescent="0.35">
      <c r="A1358" s="105" t="s">
        <v>292</v>
      </c>
      <c r="B1358" s="105" t="s">
        <v>1981</v>
      </c>
      <c r="C1358" s="105" t="s">
        <v>1982</v>
      </c>
      <c r="D1358" s="105" t="s">
        <v>912</v>
      </c>
      <c r="E1358" s="95" t="str">
        <f>IFERROR(VLOOKUP(D1358,MATERIALES!A:B,2,FALSE()),"?")</f>
        <v>Cable unipolar 1 x 4,00</v>
      </c>
      <c r="F1358" s="129">
        <f>IFERROR(VLOOKUP(D1358,MATERIALES!A:C,3,FALSE()),"?")</f>
        <v>0</v>
      </c>
      <c r="G1358" s="119">
        <v>15</v>
      </c>
      <c r="H1358" s="120">
        <v>0.1</v>
      </c>
      <c r="I1358" s="96">
        <f>IFERROR(VLOOKUP(D1358,MATERIALES!A:D,4,FALSE()),0)</f>
        <v>895.33241596022003</v>
      </c>
      <c r="J1358" s="31">
        <f t="shared" si="498"/>
        <v>14772.984863343632</v>
      </c>
      <c r="K1358" s="32" t="str">
        <f t="shared" si="489"/>
        <v>PTO-1806|MAT</v>
      </c>
      <c r="L1358" s="32">
        <f>COUNTIFS($K$2:K1358,K1358)</f>
        <v>5</v>
      </c>
      <c r="M1358" s="32" t="str">
        <f t="shared" si="493"/>
        <v>PTO-1806|MAT|5</v>
      </c>
      <c r="N1358" s="121">
        <f>IFERROR(VLOOKUP(A1358,PARTIDAS!A:F,6,FALSE()),0)</f>
        <v>3.25</v>
      </c>
      <c r="O1358" s="123">
        <f t="shared" si="495"/>
        <v>0</v>
      </c>
      <c r="P1358" s="123">
        <f>+_xlfn.XLOOKUP(A1358,PPTO_GENERADOR!Q:Q,PPTO_GENERADOR!E:E,"-",0)</f>
        <v>40</v>
      </c>
      <c r="Q1358" s="123">
        <f t="shared" si="496"/>
        <v>0</v>
      </c>
      <c r="R1358" s="125">
        <f>+_xlfn.XLOOKUP(A1358,PPTO_GENERADOR!$Q:$Q,PPTO_GENERADOR!A:A,"-",0)</f>
        <v>18.059999999999999</v>
      </c>
    </row>
    <row r="1359" spans="1:18" ht="14.25" customHeight="1" x14ac:dyDescent="0.35">
      <c r="A1359" s="105" t="s">
        <v>292</v>
      </c>
      <c r="B1359" s="105" t="s">
        <v>1981</v>
      </c>
      <c r="C1359" s="105" t="s">
        <v>1982</v>
      </c>
      <c r="D1359" s="105" t="s">
        <v>977</v>
      </c>
      <c r="E1359" s="95" t="str">
        <f>IFERROR(VLOOKUP(D1359,MATERIALES!A:B,2,FALSE()),"?")</f>
        <v>Caja rectangular chica</v>
      </c>
      <c r="F1359" s="129" t="str">
        <f>IFERROR(VLOOKUP(D1359,MATERIALES!A:C,3,FALSE()),"?")</f>
        <v>u</v>
      </c>
      <c r="G1359" s="119">
        <v>1</v>
      </c>
      <c r="H1359" s="120">
        <v>0.05</v>
      </c>
      <c r="I1359" s="96">
        <f>IFERROR(VLOOKUP(D1359,MATERIALES!A:D,4,FALSE()),0)</f>
        <v>217.14975799999999</v>
      </c>
      <c r="J1359" s="31">
        <f t="shared" si="498"/>
        <v>228.00724589999999</v>
      </c>
      <c r="K1359" s="32" t="str">
        <f t="shared" si="489"/>
        <v>PTO-1806|MAT</v>
      </c>
      <c r="L1359" s="32">
        <f>COUNTIFS($K$2:K1359,K1359)</f>
        <v>6</v>
      </c>
      <c r="M1359" s="32" t="str">
        <f t="shared" si="493"/>
        <v>PTO-1806|MAT|6</v>
      </c>
      <c r="N1359" s="121">
        <f>IFERROR(VLOOKUP(A1359,PARTIDAS!A:F,6,FALSE()),0)</f>
        <v>3.25</v>
      </c>
      <c r="O1359" s="123">
        <f t="shared" si="495"/>
        <v>0</v>
      </c>
      <c r="P1359" s="123">
        <f>+_xlfn.XLOOKUP(A1359,PPTO_GENERADOR!Q:Q,PPTO_GENERADOR!E:E,"-",0)</f>
        <v>40</v>
      </c>
      <c r="Q1359" s="123">
        <f t="shared" si="496"/>
        <v>0</v>
      </c>
      <c r="R1359" s="125">
        <f>+_xlfn.XLOOKUP(A1359,PPTO_GENERADOR!$Q:$Q,PPTO_GENERADOR!A:A,"-",0)</f>
        <v>18.059999999999999</v>
      </c>
    </row>
    <row r="1360" spans="1:18" ht="14.25" customHeight="1" x14ac:dyDescent="0.35">
      <c r="A1360" s="105" t="s">
        <v>292</v>
      </c>
      <c r="B1360" s="105" t="s">
        <v>1981</v>
      </c>
      <c r="C1360" s="105" t="s">
        <v>1982</v>
      </c>
      <c r="D1360" s="105" t="s">
        <v>559</v>
      </c>
      <c r="E1360" s="95" t="str">
        <f>IFERROR(VLOOKUP(D1360,MATERIALES!A:B,2,FALSE()),"?")</f>
        <v>CONSUMIBLES (varios)</v>
      </c>
      <c r="F1360" s="129" t="str">
        <f>IFERROR(VLOOKUP(D1360,MATERIALES!A:C,3,FALSE()),"?")</f>
        <v>gl</v>
      </c>
      <c r="G1360" s="119">
        <v>5917.3144044896999</v>
      </c>
      <c r="H1360" s="120">
        <v>0</v>
      </c>
      <c r="I1360" s="96">
        <f>IFERROR(VLOOKUP(D1360,MATERIALES!A:D,4,FALSE()),0)</f>
        <v>1</v>
      </c>
      <c r="J1360" s="31">
        <f t="shared" si="498"/>
        <v>5917.3144044896999</v>
      </c>
      <c r="K1360" s="32" t="str">
        <f t="shared" si="489"/>
        <v>PTO-1806|MAT</v>
      </c>
      <c r="L1360" s="32">
        <f>COUNTIFS($K$2:K1360,K1360)</f>
        <v>7</v>
      </c>
      <c r="M1360" s="32" t="str">
        <f t="shared" si="493"/>
        <v>PTO-1806|MAT|7</v>
      </c>
      <c r="N1360" s="121">
        <f>IFERROR(VLOOKUP(A1360,PARTIDAS!A:F,6,FALSE()),0)</f>
        <v>3.25</v>
      </c>
      <c r="O1360" s="123">
        <f t="shared" si="495"/>
        <v>0</v>
      </c>
      <c r="P1360" s="123">
        <f>+_xlfn.XLOOKUP(A1360,PPTO_GENERADOR!Q:Q,PPTO_GENERADOR!E:E,"-",0)</f>
        <v>40</v>
      </c>
      <c r="Q1360" s="123">
        <f t="shared" si="496"/>
        <v>0</v>
      </c>
      <c r="R1360" s="125">
        <f>+_xlfn.XLOOKUP(A1360,PPTO_GENERADOR!$Q:$Q,PPTO_GENERADOR!A:A,"-",0)</f>
        <v>18.059999999999999</v>
      </c>
    </row>
    <row r="1361" spans="1:18" ht="14.25" customHeight="1" x14ac:dyDescent="0.35">
      <c r="A1361" s="105" t="s">
        <v>292</v>
      </c>
      <c r="B1361" s="105" t="s">
        <v>1983</v>
      </c>
      <c r="C1361" s="105"/>
      <c r="D1361" s="105" t="s">
        <v>1325</v>
      </c>
      <c r="E1361" s="95" t="str">
        <f>IFERROR(VLOOKUP(D1361,EQUIPOS!A:B,2,FALSE()),"?")</f>
        <v>EQUIPO PARA INSTALACION ELECTRICA</v>
      </c>
      <c r="F1361" s="129"/>
      <c r="G1361" s="119">
        <v>1</v>
      </c>
      <c r="H1361" s="120">
        <v>0</v>
      </c>
      <c r="I1361" s="96">
        <f>IFERROR(VLOOKUP(D1361,EQUIPOS!A:F,6,FALSE()),0)</f>
        <v>5503.040438867889</v>
      </c>
      <c r="J1361" s="31">
        <f t="shared" ref="J1361:J1363" si="499">G1361*I1361</f>
        <v>5503.040438867889</v>
      </c>
      <c r="K1361" s="32" t="str">
        <f t="shared" si="489"/>
        <v>PTO-1806|EQ</v>
      </c>
      <c r="L1361" s="32">
        <f>COUNTIFS($K$2:K1361,K1361)</f>
        <v>1</v>
      </c>
      <c r="M1361" s="32" t="str">
        <f t="shared" si="493"/>
        <v>PTO-1806|EQ|1</v>
      </c>
      <c r="N1361" s="121">
        <f>IFERROR(VLOOKUP(A1361,PARTIDAS!A:F,6,FALSE()),0)</f>
        <v>3.25</v>
      </c>
      <c r="O1361" s="123">
        <f t="shared" si="495"/>
        <v>0</v>
      </c>
      <c r="P1361" s="123">
        <f>+_xlfn.XLOOKUP(A1361,PPTO_GENERADOR!Q:Q,PPTO_GENERADOR!E:E,"-",0)</f>
        <v>40</v>
      </c>
      <c r="Q1361" s="123">
        <f t="shared" si="496"/>
        <v>0</v>
      </c>
      <c r="R1361" s="125">
        <f>+_xlfn.XLOOKUP(A1361,PPTO_GENERADOR!$Q:$Q,PPTO_GENERADOR!A:A,"-",0)</f>
        <v>18.059999999999999</v>
      </c>
    </row>
    <row r="1362" spans="1:18" ht="14.25" customHeight="1" x14ac:dyDescent="0.35">
      <c r="A1362" s="105" t="s">
        <v>292</v>
      </c>
      <c r="B1362" s="105" t="s">
        <v>1983</v>
      </c>
      <c r="C1362" s="105"/>
      <c r="D1362" s="105" t="s">
        <v>1313</v>
      </c>
      <c r="E1362" s="95" t="str">
        <f>IFERROR(VLOOKUP(D1362,EQUIPOS!A:B,2,FALSE()),"?")</f>
        <v>ANDAMIO TUBULAR DE UNO A TRES CUERPOS</v>
      </c>
      <c r="F1362" s="129"/>
      <c r="G1362" s="119">
        <v>0.5</v>
      </c>
      <c r="H1362" s="120">
        <v>0</v>
      </c>
      <c r="I1362" s="96">
        <f>IFERROR(VLOOKUP(D1362,EQUIPOS!A:F,6,FALSE()),0)</f>
        <v>620.81078197718341</v>
      </c>
      <c r="J1362" s="31">
        <f t="shared" si="499"/>
        <v>310.40539098859171</v>
      </c>
      <c r="K1362" s="32" t="str">
        <f t="shared" si="489"/>
        <v>PTO-1806|EQ</v>
      </c>
      <c r="L1362" s="32">
        <f>COUNTIFS($K$2:K1362,K1362)</f>
        <v>2</v>
      </c>
      <c r="M1362" s="32" t="str">
        <f t="shared" si="493"/>
        <v>PTO-1806|EQ|2</v>
      </c>
      <c r="N1362" s="121">
        <f>IFERROR(VLOOKUP(A1362,PARTIDAS!A:F,6,FALSE()),0)</f>
        <v>3.25</v>
      </c>
      <c r="O1362" s="123">
        <f t="shared" si="495"/>
        <v>0</v>
      </c>
      <c r="P1362" s="123">
        <f>+_xlfn.XLOOKUP(A1362,PPTO_GENERADOR!Q:Q,PPTO_GENERADOR!E:E,"-",0)</f>
        <v>40</v>
      </c>
      <c r="Q1362" s="123">
        <f t="shared" si="496"/>
        <v>0</v>
      </c>
      <c r="R1362" s="125">
        <f>+_xlfn.XLOOKUP(A1362,PPTO_GENERADOR!$Q:$Q,PPTO_GENERADOR!A:A,"-",0)</f>
        <v>18.059999999999999</v>
      </c>
    </row>
    <row r="1363" spans="1:18" ht="14.25" customHeight="1" x14ac:dyDescent="0.35">
      <c r="A1363" s="105" t="s">
        <v>292</v>
      </c>
      <c r="B1363" s="105" t="s">
        <v>1983</v>
      </c>
      <c r="C1363" s="105"/>
      <c r="D1363" s="105" t="s">
        <v>1311</v>
      </c>
      <c r="E1363" s="95" t="str">
        <f>IFERROR(VLOOKUP(D1363,EQUIPOS!A:B,2,FALSE()),"?")</f>
        <v>ESCALERA GLOSS ALUMINIO ARTICULADA 4 X 4 ESCALONES HASTA 150KG</v>
      </c>
      <c r="F1363" s="129"/>
      <c r="G1363" s="119">
        <v>0.5</v>
      </c>
      <c r="H1363" s="120">
        <v>0</v>
      </c>
      <c r="I1363" s="96">
        <f>IFERROR(VLOOKUP(D1363,EQUIPOS!A:F,6,FALSE()),0)</f>
        <v>152.38027427373819</v>
      </c>
      <c r="J1363" s="31">
        <f t="shared" si="499"/>
        <v>76.190137136869097</v>
      </c>
      <c r="K1363" s="32" t="str">
        <f t="shared" si="489"/>
        <v>PTO-1806|EQ</v>
      </c>
      <c r="L1363" s="32">
        <f>COUNTIFS($K$2:K1363,K1363)</f>
        <v>3</v>
      </c>
      <c r="M1363" s="32" t="str">
        <f t="shared" si="493"/>
        <v>PTO-1806|EQ|3</v>
      </c>
      <c r="N1363" s="121">
        <f>IFERROR(VLOOKUP(A1363,PARTIDAS!A:F,6,FALSE()),0)</f>
        <v>3.25</v>
      </c>
      <c r="O1363" s="123">
        <f t="shared" si="495"/>
        <v>0</v>
      </c>
      <c r="P1363" s="123">
        <f>+_xlfn.XLOOKUP(A1363,PPTO_GENERADOR!Q:Q,PPTO_GENERADOR!E:E,"-",0)</f>
        <v>40</v>
      </c>
      <c r="Q1363" s="123">
        <f t="shared" si="496"/>
        <v>0</v>
      </c>
      <c r="R1363" s="125">
        <f>+_xlfn.XLOOKUP(A1363,PPTO_GENERADOR!$Q:$Q,PPTO_GENERADOR!A:A,"-",0)</f>
        <v>18.059999999999999</v>
      </c>
    </row>
    <row r="1364" spans="1:18" ht="14.25" customHeight="1" x14ac:dyDescent="0.35">
      <c r="A1364" s="105" t="s">
        <v>295</v>
      </c>
      <c r="B1364" s="105" t="s">
        <v>1981</v>
      </c>
      <c r="C1364" s="105" t="s">
        <v>1982</v>
      </c>
      <c r="D1364" s="105" t="s">
        <v>1039</v>
      </c>
      <c r="E1364" s="95" t="str">
        <f>IFERROR(VLOOKUP(D1364,MATERIALES!A:B,2,FALSE()),"?")</f>
        <v>Caño rígido 1"</v>
      </c>
      <c r="F1364" s="129" t="str">
        <f>IFERROR(VLOOKUP(D1364,MATERIALES!A:C,3,FALSE()),"?")</f>
        <v>u</v>
      </c>
      <c r="G1364" s="119">
        <v>7.5</v>
      </c>
      <c r="H1364" s="120">
        <v>0.1</v>
      </c>
      <c r="I1364" s="96">
        <f>IFERROR(VLOOKUP(D1364,MATERIALES!A:D,4,FALSE()),0)</f>
        <v>529.85400000000004</v>
      </c>
      <c r="J1364" s="31">
        <f t="shared" ref="J1364:J1370" si="500">G1364*I1364*(1+H1364)</f>
        <v>4371.2955000000002</v>
      </c>
      <c r="K1364" s="32" t="str">
        <f t="shared" si="489"/>
        <v>PTO-1807|MAT</v>
      </c>
      <c r="L1364" s="32">
        <f>COUNTIFS($K$2:K1364,K1364)</f>
        <v>1</v>
      </c>
      <c r="M1364" s="32" t="str">
        <f t="shared" si="493"/>
        <v>PTO-1807|MAT|1</v>
      </c>
      <c r="N1364" s="121">
        <f>IFERROR(VLOOKUP(A1364,PARTIDAS!A:F,6,FALSE()),0)</f>
        <v>3.25</v>
      </c>
      <c r="O1364" s="123">
        <f t="shared" si="495"/>
        <v>0</v>
      </c>
      <c r="P1364" s="123">
        <f>+_xlfn.XLOOKUP(A1364,PPTO_GENERADOR!Q:Q,PPTO_GENERADOR!E:E,"-",0)</f>
        <v>50</v>
      </c>
      <c r="Q1364" s="123">
        <f t="shared" si="496"/>
        <v>0</v>
      </c>
      <c r="R1364" s="125">
        <f>+_xlfn.XLOOKUP(A1364,PPTO_GENERADOR!$Q:$Q,PPTO_GENERADOR!A:A,"-",0)</f>
        <v>18.07</v>
      </c>
    </row>
    <row r="1365" spans="1:18" ht="14.25" customHeight="1" x14ac:dyDescent="0.35">
      <c r="A1365" s="105" t="s">
        <v>295</v>
      </c>
      <c r="B1365" s="105" t="s">
        <v>1981</v>
      </c>
      <c r="C1365" s="105" t="s">
        <v>1982</v>
      </c>
      <c r="D1365" s="105" t="s">
        <v>1041</v>
      </c>
      <c r="E1365" s="95" t="str">
        <f>IFERROR(VLOOKUP(D1365,MATERIALES!A:B,2,FALSE()),"?")</f>
        <v>Conector hierro 1"</v>
      </c>
      <c r="F1365" s="129" t="str">
        <f>IFERROR(VLOOKUP(D1365,MATERIALES!A:C,3,FALSE()),"?")</f>
        <v>u</v>
      </c>
      <c r="G1365" s="119">
        <v>3</v>
      </c>
      <c r="H1365" s="120">
        <v>0.1</v>
      </c>
      <c r="I1365" s="96">
        <f>IFERROR(VLOOKUP(D1365,MATERIALES!A:D,4,FALSE()),0)</f>
        <v>310.65199999999999</v>
      </c>
      <c r="J1365" s="31">
        <f t="shared" si="500"/>
        <v>1025.1515999999999</v>
      </c>
      <c r="K1365" s="32" t="str">
        <f t="shared" si="489"/>
        <v>PTO-1807|MAT</v>
      </c>
      <c r="L1365" s="32">
        <f>COUNTIFS($K$2:K1365,K1365)</f>
        <v>2</v>
      </c>
      <c r="M1365" s="32" t="str">
        <f t="shared" si="493"/>
        <v>PTO-1807|MAT|2</v>
      </c>
      <c r="N1365" s="121">
        <f>IFERROR(VLOOKUP(A1365,PARTIDAS!A:F,6,FALSE()),0)</f>
        <v>3.25</v>
      </c>
      <c r="O1365" s="123">
        <f t="shared" si="495"/>
        <v>0</v>
      </c>
      <c r="P1365" s="123">
        <f>+_xlfn.XLOOKUP(A1365,PPTO_GENERADOR!Q:Q,PPTO_GENERADOR!E:E,"-",0)</f>
        <v>50</v>
      </c>
      <c r="Q1365" s="123">
        <f t="shared" si="496"/>
        <v>0</v>
      </c>
      <c r="R1365" s="125">
        <f>+_xlfn.XLOOKUP(A1365,PPTO_GENERADOR!$Q:$Q,PPTO_GENERADOR!A:A,"-",0)</f>
        <v>18.07</v>
      </c>
    </row>
    <row r="1366" spans="1:18" ht="14.25" customHeight="1" x14ac:dyDescent="0.35">
      <c r="A1366" s="105" t="s">
        <v>295</v>
      </c>
      <c r="B1366" s="105" t="s">
        <v>1981</v>
      </c>
      <c r="C1366" s="105" t="s">
        <v>1982</v>
      </c>
      <c r="D1366" s="105" t="s">
        <v>1043</v>
      </c>
      <c r="E1366" s="95" t="str">
        <f>IFERROR(VLOOKUP(D1366,MATERIALES!A:B,2,FALSE()),"?")</f>
        <v>Cupla PVC 1"</v>
      </c>
      <c r="F1366" s="129" t="str">
        <f>IFERROR(VLOOKUP(D1366,MATERIALES!A:C,3,FALSE()),"?")</f>
        <v>u</v>
      </c>
      <c r="G1366" s="119">
        <v>3</v>
      </c>
      <c r="H1366" s="120">
        <v>0.1</v>
      </c>
      <c r="I1366" s="96">
        <f>IFERROR(VLOOKUP(D1366,MATERIALES!A:D,4,FALSE()),0)</f>
        <v>119.32</v>
      </c>
      <c r="J1366" s="31">
        <f t="shared" si="500"/>
        <v>393.75600000000003</v>
      </c>
      <c r="K1366" s="32" t="str">
        <f t="shared" si="489"/>
        <v>PTO-1807|MAT</v>
      </c>
      <c r="L1366" s="32">
        <f>COUNTIFS($K$2:K1366,K1366)</f>
        <v>3</v>
      </c>
      <c r="M1366" s="32" t="str">
        <f t="shared" si="493"/>
        <v>PTO-1807|MAT|3</v>
      </c>
      <c r="N1366" s="121">
        <f>IFERROR(VLOOKUP(A1366,PARTIDAS!A:F,6,FALSE()),0)</f>
        <v>3.25</v>
      </c>
      <c r="O1366" s="123">
        <f t="shared" si="495"/>
        <v>0</v>
      </c>
      <c r="P1366" s="123">
        <f>+_xlfn.XLOOKUP(A1366,PPTO_GENERADOR!Q:Q,PPTO_GENERADOR!E:E,"-",0)</f>
        <v>50</v>
      </c>
      <c r="Q1366" s="123">
        <f t="shared" si="496"/>
        <v>0</v>
      </c>
      <c r="R1366" s="125">
        <f>+_xlfn.XLOOKUP(A1366,PPTO_GENERADOR!$Q:$Q,PPTO_GENERADOR!A:A,"-",0)</f>
        <v>18.07</v>
      </c>
    </row>
    <row r="1367" spans="1:18" ht="14.25" customHeight="1" x14ac:dyDescent="0.35">
      <c r="A1367" s="105" t="s">
        <v>295</v>
      </c>
      <c r="B1367" s="105" t="s">
        <v>1981</v>
      </c>
      <c r="C1367" s="105" t="s">
        <v>1982</v>
      </c>
      <c r="D1367" s="105" t="s">
        <v>912</v>
      </c>
      <c r="E1367" s="95" t="str">
        <f>IFERROR(VLOOKUP(D1367,MATERIALES!A:B,2,FALSE()),"?")</f>
        <v>Cable unipolar 1 x 4,00</v>
      </c>
      <c r="F1367" s="129">
        <f>IFERROR(VLOOKUP(D1367,MATERIALES!A:C,3,FALSE()),"?")</f>
        <v>0</v>
      </c>
      <c r="G1367" s="119">
        <v>7.5</v>
      </c>
      <c r="H1367" s="120">
        <v>0.1</v>
      </c>
      <c r="I1367" s="96">
        <f>IFERROR(VLOOKUP(D1367,MATERIALES!A:D,4,FALSE()),0)</f>
        <v>895.33241596022003</v>
      </c>
      <c r="J1367" s="31">
        <f t="shared" si="500"/>
        <v>7386.4924316718161</v>
      </c>
      <c r="K1367" s="32" t="str">
        <f t="shared" si="489"/>
        <v>PTO-1807|MAT</v>
      </c>
      <c r="L1367" s="32">
        <f>COUNTIFS($K$2:K1367,K1367)</f>
        <v>4</v>
      </c>
      <c r="M1367" s="32" t="str">
        <f t="shared" si="493"/>
        <v>PTO-1807|MAT|4</v>
      </c>
      <c r="N1367" s="121">
        <f>IFERROR(VLOOKUP(A1367,PARTIDAS!A:F,6,FALSE()),0)</f>
        <v>3.25</v>
      </c>
      <c r="O1367" s="123">
        <f t="shared" si="495"/>
        <v>0</v>
      </c>
      <c r="P1367" s="123">
        <f>+_xlfn.XLOOKUP(A1367,PPTO_GENERADOR!Q:Q,PPTO_GENERADOR!E:E,"-",0)</f>
        <v>50</v>
      </c>
      <c r="Q1367" s="123">
        <f t="shared" si="496"/>
        <v>0</v>
      </c>
      <c r="R1367" s="125">
        <f>+_xlfn.XLOOKUP(A1367,PPTO_GENERADOR!$Q:$Q,PPTO_GENERADOR!A:A,"-",0)</f>
        <v>18.07</v>
      </c>
    </row>
    <row r="1368" spans="1:18" ht="14.25" customHeight="1" x14ac:dyDescent="0.35">
      <c r="A1368" s="105" t="s">
        <v>295</v>
      </c>
      <c r="B1368" s="105" t="s">
        <v>1981</v>
      </c>
      <c r="C1368" s="105" t="s">
        <v>1982</v>
      </c>
      <c r="D1368" s="105" t="s">
        <v>912</v>
      </c>
      <c r="E1368" s="95" t="str">
        <f>IFERROR(VLOOKUP(D1368,MATERIALES!A:B,2,FALSE()),"?")</f>
        <v>Cable unipolar 1 x 4,00</v>
      </c>
      <c r="F1368" s="129">
        <f>IFERROR(VLOOKUP(D1368,MATERIALES!A:C,3,FALSE()),"?")</f>
        <v>0</v>
      </c>
      <c r="G1368" s="119">
        <v>15</v>
      </c>
      <c r="H1368" s="120">
        <v>0.1</v>
      </c>
      <c r="I1368" s="96">
        <f>IFERROR(VLOOKUP(D1368,MATERIALES!A:D,4,FALSE()),0)</f>
        <v>895.33241596022003</v>
      </c>
      <c r="J1368" s="31">
        <f t="shared" si="500"/>
        <v>14772.984863343632</v>
      </c>
      <c r="K1368" s="32" t="str">
        <f t="shared" si="489"/>
        <v>PTO-1807|MAT</v>
      </c>
      <c r="L1368" s="32">
        <f>COUNTIFS($K$2:K1368,K1368)</f>
        <v>5</v>
      </c>
      <c r="M1368" s="32" t="str">
        <f t="shared" si="493"/>
        <v>PTO-1807|MAT|5</v>
      </c>
      <c r="N1368" s="121">
        <f>IFERROR(VLOOKUP(A1368,PARTIDAS!A:F,6,FALSE()),0)</f>
        <v>3.25</v>
      </c>
      <c r="O1368" s="123">
        <f t="shared" si="495"/>
        <v>0</v>
      </c>
      <c r="P1368" s="123">
        <f>+_xlfn.XLOOKUP(A1368,PPTO_GENERADOR!Q:Q,PPTO_GENERADOR!E:E,"-",0)</f>
        <v>50</v>
      </c>
      <c r="Q1368" s="123">
        <f t="shared" si="496"/>
        <v>0</v>
      </c>
      <c r="R1368" s="125">
        <f>+_xlfn.XLOOKUP(A1368,PPTO_GENERADOR!$Q:$Q,PPTO_GENERADOR!A:A,"-",0)</f>
        <v>18.07</v>
      </c>
    </row>
    <row r="1369" spans="1:18" ht="14.25" customHeight="1" x14ac:dyDescent="0.35">
      <c r="A1369" s="105" t="s">
        <v>295</v>
      </c>
      <c r="B1369" s="105" t="s">
        <v>1981</v>
      </c>
      <c r="C1369" s="105" t="s">
        <v>1982</v>
      </c>
      <c r="D1369" s="105" t="s">
        <v>977</v>
      </c>
      <c r="E1369" s="95" t="str">
        <f>IFERROR(VLOOKUP(D1369,MATERIALES!A:B,2,FALSE()),"?")</f>
        <v>Caja rectangular chica</v>
      </c>
      <c r="F1369" s="129" t="str">
        <f>IFERROR(VLOOKUP(D1369,MATERIALES!A:C,3,FALSE()),"?")</f>
        <v>u</v>
      </c>
      <c r="G1369" s="119">
        <v>1</v>
      </c>
      <c r="H1369" s="120">
        <v>0.05</v>
      </c>
      <c r="I1369" s="96">
        <f>IFERROR(VLOOKUP(D1369,MATERIALES!A:D,4,FALSE()),0)</f>
        <v>217.14975799999999</v>
      </c>
      <c r="J1369" s="31">
        <f t="shared" si="500"/>
        <v>228.00724589999999</v>
      </c>
      <c r="K1369" s="32" t="str">
        <f t="shared" si="489"/>
        <v>PTO-1807|MAT</v>
      </c>
      <c r="L1369" s="32">
        <f>COUNTIFS($K$2:K1369,K1369)</f>
        <v>6</v>
      </c>
      <c r="M1369" s="32" t="str">
        <f t="shared" si="493"/>
        <v>PTO-1807|MAT|6</v>
      </c>
      <c r="N1369" s="121">
        <f>IFERROR(VLOOKUP(A1369,PARTIDAS!A:F,6,FALSE()),0)</f>
        <v>3.25</v>
      </c>
      <c r="O1369" s="123">
        <f t="shared" si="495"/>
        <v>0</v>
      </c>
      <c r="P1369" s="123">
        <f>+_xlfn.XLOOKUP(A1369,PPTO_GENERADOR!Q:Q,PPTO_GENERADOR!E:E,"-",0)</f>
        <v>50</v>
      </c>
      <c r="Q1369" s="123">
        <f t="shared" si="496"/>
        <v>0</v>
      </c>
      <c r="R1369" s="125">
        <f>+_xlfn.XLOOKUP(A1369,PPTO_GENERADOR!$Q:$Q,PPTO_GENERADOR!A:A,"-",0)</f>
        <v>18.07</v>
      </c>
    </row>
    <row r="1370" spans="1:18" ht="14.25" customHeight="1" x14ac:dyDescent="0.35">
      <c r="A1370" s="105" t="s">
        <v>295</v>
      </c>
      <c r="B1370" s="105" t="s">
        <v>1981</v>
      </c>
      <c r="C1370" s="105" t="s">
        <v>1982</v>
      </c>
      <c r="D1370" s="105" t="s">
        <v>559</v>
      </c>
      <c r="E1370" s="95" t="str">
        <f>IFERROR(VLOOKUP(D1370,MATERIALES!A:B,2,FALSE()),"?")</f>
        <v>CONSUMIBLES (varios)</v>
      </c>
      <c r="F1370" s="129" t="str">
        <f>IFERROR(VLOOKUP(D1370,MATERIALES!A:C,3,FALSE()),"?")</f>
        <v>gl</v>
      </c>
      <c r="G1370" s="119">
        <v>5917.3144044896999</v>
      </c>
      <c r="H1370" s="120">
        <v>0</v>
      </c>
      <c r="I1370" s="96">
        <f>IFERROR(VLOOKUP(D1370,MATERIALES!A:D,4,FALSE()),0)</f>
        <v>1</v>
      </c>
      <c r="J1370" s="31">
        <f t="shared" si="500"/>
        <v>5917.3144044896999</v>
      </c>
      <c r="K1370" s="32" t="str">
        <f t="shared" si="489"/>
        <v>PTO-1807|MAT</v>
      </c>
      <c r="L1370" s="32">
        <f>COUNTIFS($K$2:K1370,K1370)</f>
        <v>7</v>
      </c>
      <c r="M1370" s="32" t="str">
        <f t="shared" si="493"/>
        <v>PTO-1807|MAT|7</v>
      </c>
      <c r="N1370" s="121">
        <f>IFERROR(VLOOKUP(A1370,PARTIDAS!A:F,6,FALSE()),0)</f>
        <v>3.25</v>
      </c>
      <c r="O1370" s="123">
        <f t="shared" si="495"/>
        <v>0</v>
      </c>
      <c r="P1370" s="123">
        <f>+_xlfn.XLOOKUP(A1370,PPTO_GENERADOR!Q:Q,PPTO_GENERADOR!E:E,"-",0)</f>
        <v>50</v>
      </c>
      <c r="Q1370" s="123">
        <f t="shared" si="496"/>
        <v>0</v>
      </c>
      <c r="R1370" s="125">
        <f>+_xlfn.XLOOKUP(A1370,PPTO_GENERADOR!$Q:$Q,PPTO_GENERADOR!A:A,"-",0)</f>
        <v>18.07</v>
      </c>
    </row>
    <row r="1371" spans="1:18" ht="14.25" customHeight="1" x14ac:dyDescent="0.35">
      <c r="A1371" s="105" t="s">
        <v>295</v>
      </c>
      <c r="B1371" s="105" t="s">
        <v>1983</v>
      </c>
      <c r="C1371" s="105"/>
      <c r="D1371" s="105" t="s">
        <v>1325</v>
      </c>
      <c r="E1371" s="95" t="str">
        <f>IFERROR(VLOOKUP(D1371,EQUIPOS!A:B,2,FALSE()),"?")</f>
        <v>EQUIPO PARA INSTALACION ELECTRICA</v>
      </c>
      <c r="F1371" s="129"/>
      <c r="G1371" s="119">
        <v>1</v>
      </c>
      <c r="H1371" s="120">
        <v>0</v>
      </c>
      <c r="I1371" s="96">
        <f>IFERROR(VLOOKUP(D1371,EQUIPOS!A:F,6,FALSE()),0)</f>
        <v>5503.040438867889</v>
      </c>
      <c r="J1371" s="31">
        <f t="shared" ref="J1371:J1373" si="501">G1371*I1371</f>
        <v>5503.040438867889</v>
      </c>
      <c r="K1371" s="32" t="str">
        <f t="shared" si="489"/>
        <v>PTO-1807|EQ</v>
      </c>
      <c r="L1371" s="32">
        <f>COUNTIFS($K$2:K1371,K1371)</f>
        <v>1</v>
      </c>
      <c r="M1371" s="32" t="str">
        <f t="shared" si="493"/>
        <v>PTO-1807|EQ|1</v>
      </c>
      <c r="N1371" s="121">
        <f>IFERROR(VLOOKUP(A1371,PARTIDAS!A:F,6,FALSE()),0)</f>
        <v>3.25</v>
      </c>
      <c r="O1371" s="123">
        <f t="shared" si="495"/>
        <v>0</v>
      </c>
      <c r="P1371" s="123">
        <f>+_xlfn.XLOOKUP(A1371,PPTO_GENERADOR!Q:Q,PPTO_GENERADOR!E:E,"-",0)</f>
        <v>50</v>
      </c>
      <c r="Q1371" s="123">
        <f t="shared" si="496"/>
        <v>0</v>
      </c>
      <c r="R1371" s="125">
        <f>+_xlfn.XLOOKUP(A1371,PPTO_GENERADOR!$Q:$Q,PPTO_GENERADOR!A:A,"-",0)</f>
        <v>18.07</v>
      </c>
    </row>
    <row r="1372" spans="1:18" ht="14.25" customHeight="1" x14ac:dyDescent="0.35">
      <c r="A1372" s="105" t="s">
        <v>295</v>
      </c>
      <c r="B1372" s="105" t="s">
        <v>1983</v>
      </c>
      <c r="C1372" s="105"/>
      <c r="D1372" s="105" t="s">
        <v>1313</v>
      </c>
      <c r="E1372" s="95" t="str">
        <f>IFERROR(VLOOKUP(D1372,EQUIPOS!A:B,2,FALSE()),"?")</f>
        <v>ANDAMIO TUBULAR DE UNO A TRES CUERPOS</v>
      </c>
      <c r="F1372" s="129"/>
      <c r="G1372" s="119">
        <v>0.5</v>
      </c>
      <c r="H1372" s="120">
        <v>0</v>
      </c>
      <c r="I1372" s="96">
        <f>IFERROR(VLOOKUP(D1372,EQUIPOS!A:F,6,FALSE()),0)</f>
        <v>620.81078197718341</v>
      </c>
      <c r="J1372" s="31">
        <f t="shared" si="501"/>
        <v>310.40539098859171</v>
      </c>
      <c r="K1372" s="32" t="str">
        <f t="shared" si="489"/>
        <v>PTO-1807|EQ</v>
      </c>
      <c r="L1372" s="32">
        <f>COUNTIFS($K$2:K1372,K1372)</f>
        <v>2</v>
      </c>
      <c r="M1372" s="32" t="str">
        <f t="shared" si="493"/>
        <v>PTO-1807|EQ|2</v>
      </c>
      <c r="N1372" s="121">
        <f>IFERROR(VLOOKUP(A1372,PARTIDAS!A:F,6,FALSE()),0)</f>
        <v>3.25</v>
      </c>
      <c r="O1372" s="123">
        <f t="shared" si="495"/>
        <v>0</v>
      </c>
      <c r="P1372" s="123">
        <f>+_xlfn.XLOOKUP(A1372,PPTO_GENERADOR!Q:Q,PPTO_GENERADOR!E:E,"-",0)</f>
        <v>50</v>
      </c>
      <c r="Q1372" s="123">
        <f t="shared" si="496"/>
        <v>0</v>
      </c>
      <c r="R1372" s="125">
        <f>+_xlfn.XLOOKUP(A1372,PPTO_GENERADOR!$Q:$Q,PPTO_GENERADOR!A:A,"-",0)</f>
        <v>18.07</v>
      </c>
    </row>
    <row r="1373" spans="1:18" ht="14.25" customHeight="1" x14ac:dyDescent="0.35">
      <c r="A1373" s="105" t="s">
        <v>295</v>
      </c>
      <c r="B1373" s="105" t="s">
        <v>1983</v>
      </c>
      <c r="C1373" s="105"/>
      <c r="D1373" s="105" t="s">
        <v>1311</v>
      </c>
      <c r="E1373" s="95" t="str">
        <f>IFERROR(VLOOKUP(D1373,EQUIPOS!A:B,2,FALSE()),"?")</f>
        <v>ESCALERA GLOSS ALUMINIO ARTICULADA 4 X 4 ESCALONES HASTA 150KG</v>
      </c>
      <c r="F1373" s="129"/>
      <c r="G1373" s="119">
        <v>0.5</v>
      </c>
      <c r="H1373" s="120">
        <v>0</v>
      </c>
      <c r="I1373" s="96">
        <f>IFERROR(VLOOKUP(D1373,EQUIPOS!A:F,6,FALSE()),0)</f>
        <v>152.38027427373819</v>
      </c>
      <c r="J1373" s="31">
        <f t="shared" si="501"/>
        <v>76.190137136869097</v>
      </c>
      <c r="K1373" s="32" t="str">
        <f t="shared" si="489"/>
        <v>PTO-1807|EQ</v>
      </c>
      <c r="L1373" s="32">
        <f>COUNTIFS($K$2:K1373,K1373)</f>
        <v>3</v>
      </c>
      <c r="M1373" s="32" t="str">
        <f t="shared" si="493"/>
        <v>PTO-1807|EQ|3</v>
      </c>
      <c r="N1373" s="121">
        <f>IFERROR(VLOOKUP(A1373,PARTIDAS!A:F,6,FALSE()),0)</f>
        <v>3.25</v>
      </c>
      <c r="O1373" s="123">
        <f t="shared" si="495"/>
        <v>0</v>
      </c>
      <c r="P1373" s="123">
        <f>+_xlfn.XLOOKUP(A1373,PPTO_GENERADOR!Q:Q,PPTO_GENERADOR!E:E,"-",0)</f>
        <v>50</v>
      </c>
      <c r="Q1373" s="123">
        <f t="shared" si="496"/>
        <v>0</v>
      </c>
      <c r="R1373" s="125">
        <f>+_xlfn.XLOOKUP(A1373,PPTO_GENERADOR!$Q:$Q,PPTO_GENERADOR!A:A,"-",0)</f>
        <v>18.07</v>
      </c>
    </row>
    <row r="1374" spans="1:18" ht="14.25" customHeight="1" x14ac:dyDescent="0.35">
      <c r="A1374" s="105" t="s">
        <v>297</v>
      </c>
      <c r="B1374" s="105" t="s">
        <v>1981</v>
      </c>
      <c r="C1374" s="105" t="s">
        <v>1982</v>
      </c>
      <c r="D1374" s="105" t="s">
        <v>968</v>
      </c>
      <c r="E1374" s="95" t="str">
        <f>IFERROR(VLOOKUP(D1374,MATERIALES!A:B,2,FALSE()),"?")</f>
        <v>Caño rigido 3/4"</v>
      </c>
      <c r="F1374" s="129" t="str">
        <f>IFERROR(VLOOKUP(D1374,MATERIALES!A:C,3,FALSE()),"?")</f>
        <v>u</v>
      </c>
      <c r="G1374" s="119">
        <v>5</v>
      </c>
      <c r="H1374" s="120">
        <v>0.05</v>
      </c>
      <c r="I1374" s="96">
        <f>IFERROR(VLOOKUP(D1374,MATERIALES!A:D,4,FALSE()),0)</f>
        <v>504.29656699999998</v>
      </c>
      <c r="J1374" s="31">
        <f t="shared" ref="J1374:J1380" si="502">G1374*I1374*(1+H1374)</f>
        <v>2647.5569767500001</v>
      </c>
      <c r="K1374" s="32" t="str">
        <f t="shared" si="489"/>
        <v>PTO-1808|MAT</v>
      </c>
      <c r="L1374" s="32">
        <f>COUNTIFS($K$2:K1374,K1374)</f>
        <v>1</v>
      </c>
      <c r="M1374" s="32" t="str">
        <f t="shared" si="493"/>
        <v>PTO-1808|MAT|1</v>
      </c>
      <c r="N1374" s="121">
        <f>IFERROR(VLOOKUP(A1374,PARTIDAS!A:F,6,FALSE()),0)</f>
        <v>3.25</v>
      </c>
      <c r="O1374" s="123">
        <f t="shared" si="495"/>
        <v>0</v>
      </c>
      <c r="P1374" s="123">
        <f>+_xlfn.XLOOKUP(A1374,PPTO_GENERADOR!Q:Q,PPTO_GENERADOR!E:E,"-",0)</f>
        <v>0</v>
      </c>
      <c r="Q1374" s="123">
        <f t="shared" si="496"/>
        <v>0</v>
      </c>
      <c r="R1374" s="125">
        <f>+_xlfn.XLOOKUP(A1374,PPTO_GENERADOR!$Q:$Q,PPTO_GENERADOR!A:A,"-",0)</f>
        <v>18.079999999999998</v>
      </c>
    </row>
    <row r="1375" spans="1:18" ht="14.25" customHeight="1" x14ac:dyDescent="0.35">
      <c r="A1375" s="105" t="s">
        <v>297</v>
      </c>
      <c r="B1375" s="105" t="s">
        <v>1981</v>
      </c>
      <c r="C1375" s="105" t="s">
        <v>1982</v>
      </c>
      <c r="D1375" s="105" t="s">
        <v>970</v>
      </c>
      <c r="E1375" s="95" t="str">
        <f>IFERROR(VLOOKUP(D1375,MATERIALES!A:B,2,FALSE()),"?")</f>
        <v>Conector hierro 3/4"</v>
      </c>
      <c r="F1375" s="129" t="str">
        <f>IFERROR(VLOOKUP(D1375,MATERIALES!A:C,3,FALSE()),"?")</f>
        <v>u</v>
      </c>
      <c r="G1375" s="119">
        <v>4</v>
      </c>
      <c r="H1375" s="120">
        <v>0.1</v>
      </c>
      <c r="I1375" s="96">
        <f>IFERROR(VLOOKUP(D1375,MATERIALES!A:D,4,FALSE()),0)</f>
        <v>250.31899999999999</v>
      </c>
      <c r="J1375" s="31">
        <f t="shared" si="502"/>
        <v>1101.4036000000001</v>
      </c>
      <c r="K1375" s="32" t="str">
        <f t="shared" si="489"/>
        <v>PTO-1808|MAT</v>
      </c>
      <c r="L1375" s="32">
        <f>COUNTIFS($K$2:K1375,K1375)</f>
        <v>2</v>
      </c>
      <c r="M1375" s="32" t="str">
        <f t="shared" si="493"/>
        <v>PTO-1808|MAT|2</v>
      </c>
      <c r="N1375" s="121">
        <f>IFERROR(VLOOKUP(A1375,PARTIDAS!A:F,6,FALSE()),0)</f>
        <v>3.25</v>
      </c>
      <c r="O1375" s="123">
        <f t="shared" si="495"/>
        <v>0</v>
      </c>
      <c r="P1375" s="123">
        <f>+_xlfn.XLOOKUP(A1375,PPTO_GENERADOR!Q:Q,PPTO_GENERADOR!E:E,"-",0)</f>
        <v>0</v>
      </c>
      <c r="Q1375" s="123">
        <f t="shared" si="496"/>
        <v>0</v>
      </c>
      <c r="R1375" s="125">
        <f>+_xlfn.XLOOKUP(A1375,PPTO_GENERADOR!$Q:$Q,PPTO_GENERADOR!A:A,"-",0)</f>
        <v>18.079999999999998</v>
      </c>
    </row>
    <row r="1376" spans="1:18" ht="14.25" customHeight="1" x14ac:dyDescent="0.35">
      <c r="A1376" s="105" t="s">
        <v>297</v>
      </c>
      <c r="B1376" s="105" t="s">
        <v>1981</v>
      </c>
      <c r="C1376" s="105" t="s">
        <v>1982</v>
      </c>
      <c r="D1376" s="105" t="s">
        <v>972</v>
      </c>
      <c r="E1376" s="95" t="str">
        <f>IFERROR(VLOOKUP(D1376,MATERIALES!A:B,2,FALSE()),"?")</f>
        <v>Cupla PVC 3/4"</v>
      </c>
      <c r="F1376" s="129" t="str">
        <f>IFERROR(VLOOKUP(D1376,MATERIALES!A:C,3,FALSE()),"?")</f>
        <v>u</v>
      </c>
      <c r="G1376" s="119">
        <v>1.2</v>
      </c>
      <c r="H1376" s="120">
        <v>0.1</v>
      </c>
      <c r="I1376" s="96">
        <f>IFERROR(VLOOKUP(D1376,MATERIALES!A:D,4,FALSE()),0)</f>
        <v>110.121</v>
      </c>
      <c r="J1376" s="31">
        <f t="shared" si="502"/>
        <v>145.35972000000001</v>
      </c>
      <c r="K1376" s="32" t="str">
        <f t="shared" si="489"/>
        <v>PTO-1808|MAT</v>
      </c>
      <c r="L1376" s="32">
        <f>COUNTIFS($K$2:K1376,K1376)</f>
        <v>3</v>
      </c>
      <c r="M1376" s="32" t="str">
        <f t="shared" si="493"/>
        <v>PTO-1808|MAT|3</v>
      </c>
      <c r="N1376" s="121">
        <f>IFERROR(VLOOKUP(A1376,PARTIDAS!A:F,6,FALSE()),0)</f>
        <v>3.25</v>
      </c>
      <c r="O1376" s="123">
        <f t="shared" si="495"/>
        <v>0</v>
      </c>
      <c r="P1376" s="123">
        <f>+_xlfn.XLOOKUP(A1376,PPTO_GENERADOR!Q:Q,PPTO_GENERADOR!E:E,"-",0)</f>
        <v>0</v>
      </c>
      <c r="Q1376" s="123">
        <f t="shared" si="496"/>
        <v>0</v>
      </c>
      <c r="R1376" s="125">
        <f>+_xlfn.XLOOKUP(A1376,PPTO_GENERADOR!$Q:$Q,PPTO_GENERADOR!A:A,"-",0)</f>
        <v>18.079999999999998</v>
      </c>
    </row>
    <row r="1377" spans="1:18" ht="14.25" customHeight="1" x14ac:dyDescent="0.35">
      <c r="A1377" s="105" t="s">
        <v>297</v>
      </c>
      <c r="B1377" s="105" t="s">
        <v>1981</v>
      </c>
      <c r="C1377" s="105" t="s">
        <v>1982</v>
      </c>
      <c r="D1377" s="105" t="s">
        <v>974</v>
      </c>
      <c r="E1377" s="95" t="str">
        <f>IFERROR(VLOOKUP(D1377,MATERIALES!A:B,2,FALSE()),"?")</f>
        <v>Cable unipolar 1 x 2,50 VA</v>
      </c>
      <c r="F1377" s="129" t="str">
        <f>IFERROR(VLOOKUP(D1377,MATERIALES!A:C,3,FALSE()),"?")</f>
        <v>m</v>
      </c>
      <c r="G1377" s="119">
        <v>5</v>
      </c>
      <c r="H1377" s="120">
        <v>0.1</v>
      </c>
      <c r="I1377" s="96">
        <f>IFERROR(VLOOKUP(D1377,MATERIALES!A:D,4,FALSE()),0)</f>
        <v>546.37687500000004</v>
      </c>
      <c r="J1377" s="31">
        <f t="shared" si="502"/>
        <v>3005.0728125000005</v>
      </c>
      <c r="K1377" s="32" t="str">
        <f t="shared" si="489"/>
        <v>PTO-1808|MAT</v>
      </c>
      <c r="L1377" s="32">
        <f>COUNTIFS($K$2:K1377,K1377)</f>
        <v>4</v>
      </c>
      <c r="M1377" s="32" t="str">
        <f t="shared" si="493"/>
        <v>PTO-1808|MAT|4</v>
      </c>
      <c r="N1377" s="121">
        <f>IFERROR(VLOOKUP(A1377,PARTIDAS!A:F,6,FALSE()),0)</f>
        <v>3.25</v>
      </c>
      <c r="O1377" s="123">
        <f t="shared" si="495"/>
        <v>0</v>
      </c>
      <c r="P1377" s="123">
        <f>+_xlfn.XLOOKUP(A1377,PPTO_GENERADOR!Q:Q,PPTO_GENERADOR!E:E,"-",0)</f>
        <v>0</v>
      </c>
      <c r="Q1377" s="123">
        <f t="shared" si="496"/>
        <v>0</v>
      </c>
      <c r="R1377" s="125">
        <f>+_xlfn.XLOOKUP(A1377,PPTO_GENERADOR!$Q:$Q,PPTO_GENERADOR!A:A,"-",0)</f>
        <v>18.079999999999998</v>
      </c>
    </row>
    <row r="1378" spans="1:18" ht="14.25" customHeight="1" x14ac:dyDescent="0.35">
      <c r="A1378" s="105" t="s">
        <v>297</v>
      </c>
      <c r="B1378" s="105" t="s">
        <v>1981</v>
      </c>
      <c r="C1378" s="105" t="s">
        <v>1982</v>
      </c>
      <c r="D1378" s="105" t="s">
        <v>974</v>
      </c>
      <c r="E1378" s="95" t="str">
        <f>IFERROR(VLOOKUP(D1378,MATERIALES!A:B,2,FALSE()),"?")</f>
        <v>Cable unipolar 1 x 2,50 VA</v>
      </c>
      <c r="F1378" s="129" t="str">
        <f>IFERROR(VLOOKUP(D1378,MATERIALES!A:C,3,FALSE()),"?")</f>
        <v>m</v>
      </c>
      <c r="G1378" s="119">
        <v>10</v>
      </c>
      <c r="H1378" s="120">
        <v>0.1</v>
      </c>
      <c r="I1378" s="96">
        <f>IFERROR(VLOOKUP(D1378,MATERIALES!A:D,4,FALSE()),0)</f>
        <v>546.37687500000004</v>
      </c>
      <c r="J1378" s="31">
        <f t="shared" si="502"/>
        <v>6010.145625000001</v>
      </c>
      <c r="K1378" s="32" t="str">
        <f t="shared" si="489"/>
        <v>PTO-1808|MAT</v>
      </c>
      <c r="L1378" s="32">
        <f>COUNTIFS($K$2:K1378,K1378)</f>
        <v>5</v>
      </c>
      <c r="M1378" s="32" t="str">
        <f t="shared" si="493"/>
        <v>PTO-1808|MAT|5</v>
      </c>
      <c r="N1378" s="121">
        <f>IFERROR(VLOOKUP(A1378,PARTIDAS!A:F,6,FALSE()),0)</f>
        <v>3.25</v>
      </c>
      <c r="O1378" s="123">
        <f t="shared" si="495"/>
        <v>0</v>
      </c>
      <c r="P1378" s="123">
        <f>+_xlfn.XLOOKUP(A1378,PPTO_GENERADOR!Q:Q,PPTO_GENERADOR!E:E,"-",0)</f>
        <v>0</v>
      </c>
      <c r="Q1378" s="123">
        <f t="shared" si="496"/>
        <v>0</v>
      </c>
      <c r="R1378" s="125">
        <f>+_xlfn.XLOOKUP(A1378,PPTO_GENERADOR!$Q:$Q,PPTO_GENERADOR!A:A,"-",0)</f>
        <v>18.079999999999998</v>
      </c>
    </row>
    <row r="1379" spans="1:18" ht="14.25" customHeight="1" x14ac:dyDescent="0.35">
      <c r="A1379" s="105" t="s">
        <v>297</v>
      </c>
      <c r="B1379" s="105" t="s">
        <v>1981</v>
      </c>
      <c r="C1379" s="105" t="s">
        <v>1982</v>
      </c>
      <c r="D1379" s="105" t="s">
        <v>977</v>
      </c>
      <c r="E1379" s="95" t="str">
        <f>IFERROR(VLOOKUP(D1379,MATERIALES!A:B,2,FALSE()),"?")</f>
        <v>Caja rectangular chica</v>
      </c>
      <c r="F1379" s="129" t="str">
        <f>IFERROR(VLOOKUP(D1379,MATERIALES!A:C,3,FALSE()),"?")</f>
        <v>u</v>
      </c>
      <c r="G1379" s="119">
        <v>1</v>
      </c>
      <c r="H1379" s="120">
        <v>0.05</v>
      </c>
      <c r="I1379" s="96">
        <f>IFERROR(VLOOKUP(D1379,MATERIALES!A:D,4,FALSE()),0)</f>
        <v>217.14975799999999</v>
      </c>
      <c r="J1379" s="31">
        <f t="shared" si="502"/>
        <v>228.00724589999999</v>
      </c>
      <c r="K1379" s="32" t="str">
        <f t="shared" si="489"/>
        <v>PTO-1808|MAT</v>
      </c>
      <c r="L1379" s="32">
        <f>COUNTIFS($K$2:K1379,K1379)</f>
        <v>6</v>
      </c>
      <c r="M1379" s="32" t="str">
        <f t="shared" si="493"/>
        <v>PTO-1808|MAT|6</v>
      </c>
      <c r="N1379" s="121">
        <f>IFERROR(VLOOKUP(A1379,PARTIDAS!A:F,6,FALSE()),0)</f>
        <v>3.25</v>
      </c>
      <c r="O1379" s="123">
        <f t="shared" si="495"/>
        <v>0</v>
      </c>
      <c r="P1379" s="123">
        <f>+_xlfn.XLOOKUP(A1379,PPTO_GENERADOR!Q:Q,PPTO_GENERADOR!E:E,"-",0)</f>
        <v>0</v>
      </c>
      <c r="Q1379" s="123">
        <f t="shared" si="496"/>
        <v>0</v>
      </c>
      <c r="R1379" s="125">
        <f>+_xlfn.XLOOKUP(A1379,PPTO_GENERADOR!$Q:$Q,PPTO_GENERADOR!A:A,"-",0)</f>
        <v>18.079999999999998</v>
      </c>
    </row>
    <row r="1380" spans="1:18" ht="14.25" customHeight="1" x14ac:dyDescent="0.35">
      <c r="A1380" s="105" t="s">
        <v>297</v>
      </c>
      <c r="B1380" s="105" t="s">
        <v>1981</v>
      </c>
      <c r="C1380" s="105" t="s">
        <v>1982</v>
      </c>
      <c r="D1380" s="105" t="s">
        <v>559</v>
      </c>
      <c r="E1380" s="95" t="str">
        <f>IFERROR(VLOOKUP(D1380,MATERIALES!A:B,2,FALSE()),"?")</f>
        <v>CONSUMIBLES (varios)</v>
      </c>
      <c r="F1380" s="129" t="str">
        <f>IFERROR(VLOOKUP(D1380,MATERIALES!A:C,3,FALSE()),"?")</f>
        <v>gl</v>
      </c>
      <c r="G1380" s="119">
        <v>2758.8846554716301</v>
      </c>
      <c r="H1380" s="120">
        <v>0</v>
      </c>
      <c r="I1380" s="96">
        <f>IFERROR(VLOOKUP(D1380,MATERIALES!A:D,4,FALSE()),0)</f>
        <v>1</v>
      </c>
      <c r="J1380" s="31">
        <f t="shared" si="502"/>
        <v>2758.8846554716301</v>
      </c>
      <c r="K1380" s="32" t="str">
        <f t="shared" si="489"/>
        <v>PTO-1808|MAT</v>
      </c>
      <c r="L1380" s="32">
        <f>COUNTIFS($K$2:K1380,K1380)</f>
        <v>7</v>
      </c>
      <c r="M1380" s="32" t="str">
        <f t="shared" si="493"/>
        <v>PTO-1808|MAT|7</v>
      </c>
      <c r="N1380" s="121">
        <f>IFERROR(VLOOKUP(A1380,PARTIDAS!A:F,6,FALSE()),0)</f>
        <v>3.25</v>
      </c>
      <c r="O1380" s="123">
        <f t="shared" si="495"/>
        <v>0</v>
      </c>
      <c r="P1380" s="123">
        <f>+_xlfn.XLOOKUP(A1380,PPTO_GENERADOR!Q:Q,PPTO_GENERADOR!E:E,"-",0)</f>
        <v>0</v>
      </c>
      <c r="Q1380" s="123">
        <f t="shared" si="496"/>
        <v>0</v>
      </c>
      <c r="R1380" s="125">
        <f>+_xlfn.XLOOKUP(A1380,PPTO_GENERADOR!$Q:$Q,PPTO_GENERADOR!A:A,"-",0)</f>
        <v>18.079999999999998</v>
      </c>
    </row>
    <row r="1381" spans="1:18" ht="14.25" customHeight="1" x14ac:dyDescent="0.35">
      <c r="A1381" s="105" t="s">
        <v>297</v>
      </c>
      <c r="B1381" s="105" t="s">
        <v>1983</v>
      </c>
      <c r="C1381" s="105"/>
      <c r="D1381" s="105" t="s">
        <v>1325</v>
      </c>
      <c r="E1381" s="95" t="str">
        <f>IFERROR(VLOOKUP(D1381,EQUIPOS!A:B,2,FALSE()),"?")</f>
        <v>EQUIPO PARA INSTALACION ELECTRICA</v>
      </c>
      <c r="F1381" s="129"/>
      <c r="G1381" s="119">
        <v>1</v>
      </c>
      <c r="H1381" s="120">
        <v>0</v>
      </c>
      <c r="I1381" s="96">
        <f>IFERROR(VLOOKUP(D1381,EQUIPOS!A:F,6,FALSE()),0)</f>
        <v>5503.040438867889</v>
      </c>
      <c r="J1381" s="31">
        <f t="shared" ref="J1381:J1383" si="503">G1381*I1381</f>
        <v>5503.040438867889</v>
      </c>
      <c r="K1381" s="32" t="str">
        <f t="shared" si="489"/>
        <v>PTO-1808|EQ</v>
      </c>
      <c r="L1381" s="32">
        <f>COUNTIFS($K$2:K1381,K1381)</f>
        <v>1</v>
      </c>
      <c r="M1381" s="32" t="str">
        <f t="shared" si="493"/>
        <v>PTO-1808|EQ|1</v>
      </c>
      <c r="N1381" s="121">
        <f>IFERROR(VLOOKUP(A1381,PARTIDAS!A:F,6,FALSE()),0)</f>
        <v>3.25</v>
      </c>
      <c r="O1381" s="123">
        <f t="shared" si="495"/>
        <v>0</v>
      </c>
      <c r="P1381" s="123">
        <f>+_xlfn.XLOOKUP(A1381,PPTO_GENERADOR!Q:Q,PPTO_GENERADOR!E:E,"-",0)</f>
        <v>0</v>
      </c>
      <c r="Q1381" s="123">
        <f t="shared" si="496"/>
        <v>0</v>
      </c>
      <c r="R1381" s="125">
        <f>+_xlfn.XLOOKUP(A1381,PPTO_GENERADOR!$Q:$Q,PPTO_GENERADOR!A:A,"-",0)</f>
        <v>18.079999999999998</v>
      </c>
    </row>
    <row r="1382" spans="1:18" ht="14.25" customHeight="1" x14ac:dyDescent="0.35">
      <c r="A1382" s="105" t="s">
        <v>297</v>
      </c>
      <c r="B1382" s="105" t="s">
        <v>1983</v>
      </c>
      <c r="C1382" s="105"/>
      <c r="D1382" s="105" t="s">
        <v>1313</v>
      </c>
      <c r="E1382" s="95" t="str">
        <f>IFERROR(VLOOKUP(D1382,EQUIPOS!A:B,2,FALSE()),"?")</f>
        <v>ANDAMIO TUBULAR DE UNO A TRES CUERPOS</v>
      </c>
      <c r="F1382" s="129"/>
      <c r="G1382" s="119">
        <v>0.5</v>
      </c>
      <c r="H1382" s="120">
        <v>0</v>
      </c>
      <c r="I1382" s="96">
        <f>IFERROR(VLOOKUP(D1382,EQUIPOS!A:F,6,FALSE()),0)</f>
        <v>620.81078197718341</v>
      </c>
      <c r="J1382" s="31">
        <f t="shared" si="503"/>
        <v>310.40539098859171</v>
      </c>
      <c r="K1382" s="32" t="str">
        <f t="shared" si="489"/>
        <v>PTO-1808|EQ</v>
      </c>
      <c r="L1382" s="32">
        <f>COUNTIFS($K$2:K1382,K1382)</f>
        <v>2</v>
      </c>
      <c r="M1382" s="32" t="str">
        <f t="shared" si="493"/>
        <v>PTO-1808|EQ|2</v>
      </c>
      <c r="N1382" s="121">
        <f>IFERROR(VLOOKUP(A1382,PARTIDAS!A:F,6,FALSE()),0)</f>
        <v>3.25</v>
      </c>
      <c r="O1382" s="123">
        <f t="shared" si="495"/>
        <v>0</v>
      </c>
      <c r="P1382" s="123">
        <f>+_xlfn.XLOOKUP(A1382,PPTO_GENERADOR!Q:Q,PPTO_GENERADOR!E:E,"-",0)</f>
        <v>0</v>
      </c>
      <c r="Q1382" s="123">
        <f t="shared" si="496"/>
        <v>0</v>
      </c>
      <c r="R1382" s="125">
        <f>+_xlfn.XLOOKUP(A1382,PPTO_GENERADOR!$Q:$Q,PPTO_GENERADOR!A:A,"-",0)</f>
        <v>18.079999999999998</v>
      </c>
    </row>
    <row r="1383" spans="1:18" ht="14.25" customHeight="1" x14ac:dyDescent="0.35">
      <c r="A1383" s="105" t="s">
        <v>297</v>
      </c>
      <c r="B1383" s="105" t="s">
        <v>1983</v>
      </c>
      <c r="C1383" s="105"/>
      <c r="D1383" s="105" t="s">
        <v>1311</v>
      </c>
      <c r="E1383" s="95" t="str">
        <f>IFERROR(VLOOKUP(D1383,EQUIPOS!A:B,2,FALSE()),"?")</f>
        <v>ESCALERA GLOSS ALUMINIO ARTICULADA 4 X 4 ESCALONES HASTA 150KG</v>
      </c>
      <c r="F1383" s="129"/>
      <c r="G1383" s="119">
        <v>0.5</v>
      </c>
      <c r="H1383" s="120">
        <v>0</v>
      </c>
      <c r="I1383" s="96">
        <f>IFERROR(VLOOKUP(D1383,EQUIPOS!A:F,6,FALSE()),0)</f>
        <v>152.38027427373819</v>
      </c>
      <c r="J1383" s="31">
        <f t="shared" si="503"/>
        <v>76.190137136869097</v>
      </c>
      <c r="K1383" s="32" t="str">
        <f t="shared" si="489"/>
        <v>PTO-1808|EQ</v>
      </c>
      <c r="L1383" s="32">
        <f>COUNTIFS($K$2:K1383,K1383)</f>
        <v>3</v>
      </c>
      <c r="M1383" s="32" t="str">
        <f t="shared" si="493"/>
        <v>PTO-1808|EQ|3</v>
      </c>
      <c r="N1383" s="121">
        <f>IFERROR(VLOOKUP(A1383,PARTIDAS!A:F,6,FALSE()),0)</f>
        <v>3.25</v>
      </c>
      <c r="O1383" s="123">
        <f t="shared" si="495"/>
        <v>0</v>
      </c>
      <c r="P1383" s="123">
        <f>+_xlfn.XLOOKUP(A1383,PPTO_GENERADOR!Q:Q,PPTO_GENERADOR!E:E,"-",0)</f>
        <v>0</v>
      </c>
      <c r="Q1383" s="123">
        <f t="shared" si="496"/>
        <v>0</v>
      </c>
      <c r="R1383" s="125">
        <f>+_xlfn.XLOOKUP(A1383,PPTO_GENERADOR!$Q:$Q,PPTO_GENERADOR!A:A,"-",0)</f>
        <v>18.079999999999998</v>
      </c>
    </row>
    <row r="1384" spans="1:18" ht="14.25" customHeight="1" x14ac:dyDescent="0.35">
      <c r="A1384" s="105" t="s">
        <v>299</v>
      </c>
      <c r="B1384" s="105" t="s">
        <v>1981</v>
      </c>
      <c r="C1384" s="105" t="s">
        <v>1982</v>
      </c>
      <c r="D1384" s="105" t="s">
        <v>1039</v>
      </c>
      <c r="E1384" s="95" t="str">
        <f>IFERROR(VLOOKUP(D1384,MATERIALES!A:B,2,FALSE()),"?")</f>
        <v>Caño rígido 1"</v>
      </c>
      <c r="F1384" s="129" t="str">
        <f>IFERROR(VLOOKUP(D1384,MATERIALES!A:C,3,FALSE()),"?")</f>
        <v>u</v>
      </c>
      <c r="G1384" s="119">
        <v>7.5</v>
      </c>
      <c r="H1384" s="120">
        <v>0.05</v>
      </c>
      <c r="I1384" s="96">
        <f>IFERROR(VLOOKUP(D1384,MATERIALES!A:D,4,FALSE()),0)</f>
        <v>529.85400000000004</v>
      </c>
      <c r="J1384" s="31">
        <f t="shared" ref="J1384:J1389" si="504">G1384*I1384*(1+H1384)</f>
        <v>4172.6002500000004</v>
      </c>
      <c r="K1384" s="32" t="str">
        <f t="shared" si="489"/>
        <v>PTO-1809|MAT</v>
      </c>
      <c r="L1384" s="32">
        <f>COUNTIFS($K$2:K1384,K1384)</f>
        <v>1</v>
      </c>
      <c r="M1384" s="32" t="str">
        <f t="shared" si="493"/>
        <v>PTO-1809|MAT|1</v>
      </c>
      <c r="N1384" s="121">
        <f>IFERROR(VLOOKUP(A1384,PARTIDAS!A:F,6,FALSE()),0)</f>
        <v>5</v>
      </c>
      <c r="O1384" s="123">
        <f t="shared" si="495"/>
        <v>0</v>
      </c>
      <c r="P1384" s="123">
        <f>+_xlfn.XLOOKUP(A1384,PPTO_GENERADOR!Q:Q,PPTO_GENERADOR!E:E,"-",0)</f>
        <v>40</v>
      </c>
      <c r="Q1384" s="123">
        <f t="shared" si="496"/>
        <v>0</v>
      </c>
      <c r="R1384" s="125">
        <f>+_xlfn.XLOOKUP(A1384,PPTO_GENERADOR!$Q:$Q,PPTO_GENERADOR!A:A,"-",0)</f>
        <v>18.09</v>
      </c>
    </row>
    <row r="1385" spans="1:18" ht="14.25" customHeight="1" x14ac:dyDescent="0.35">
      <c r="A1385" s="105" t="s">
        <v>299</v>
      </c>
      <c r="B1385" s="105" t="s">
        <v>1981</v>
      </c>
      <c r="C1385" s="105" t="s">
        <v>1982</v>
      </c>
      <c r="D1385" s="105" t="s">
        <v>1041</v>
      </c>
      <c r="E1385" s="95" t="str">
        <f>IFERROR(VLOOKUP(D1385,MATERIALES!A:B,2,FALSE()),"?")</f>
        <v>Conector hierro 1"</v>
      </c>
      <c r="F1385" s="129" t="str">
        <f>IFERROR(VLOOKUP(D1385,MATERIALES!A:C,3,FALSE()),"?")</f>
        <v>u</v>
      </c>
      <c r="G1385" s="119">
        <v>4</v>
      </c>
      <c r="H1385" s="120">
        <v>0.1</v>
      </c>
      <c r="I1385" s="96">
        <f>IFERROR(VLOOKUP(D1385,MATERIALES!A:D,4,FALSE()),0)</f>
        <v>310.65199999999999</v>
      </c>
      <c r="J1385" s="31">
        <f t="shared" si="504"/>
        <v>1366.8688</v>
      </c>
      <c r="K1385" s="32" t="str">
        <f t="shared" si="489"/>
        <v>PTO-1809|MAT</v>
      </c>
      <c r="L1385" s="32">
        <f>COUNTIFS($K$2:K1385,K1385)</f>
        <v>2</v>
      </c>
      <c r="M1385" s="32" t="str">
        <f t="shared" si="493"/>
        <v>PTO-1809|MAT|2</v>
      </c>
      <c r="N1385" s="121">
        <f>IFERROR(VLOOKUP(A1385,PARTIDAS!A:F,6,FALSE()),0)</f>
        <v>5</v>
      </c>
      <c r="O1385" s="123">
        <f t="shared" si="495"/>
        <v>0</v>
      </c>
      <c r="P1385" s="123">
        <f>+_xlfn.XLOOKUP(A1385,PPTO_GENERADOR!Q:Q,PPTO_GENERADOR!E:E,"-",0)</f>
        <v>40</v>
      </c>
      <c r="Q1385" s="123">
        <f t="shared" si="496"/>
        <v>0</v>
      </c>
      <c r="R1385" s="125">
        <f>+_xlfn.XLOOKUP(A1385,PPTO_GENERADOR!$Q:$Q,PPTO_GENERADOR!A:A,"-",0)</f>
        <v>18.09</v>
      </c>
    </row>
    <row r="1386" spans="1:18" ht="14.25" customHeight="1" x14ac:dyDescent="0.35">
      <c r="A1386" s="105" t="s">
        <v>299</v>
      </c>
      <c r="B1386" s="105" t="s">
        <v>1981</v>
      </c>
      <c r="C1386" s="105" t="s">
        <v>1982</v>
      </c>
      <c r="D1386" s="105" t="s">
        <v>1043</v>
      </c>
      <c r="E1386" s="95" t="str">
        <f>IFERROR(VLOOKUP(D1386,MATERIALES!A:B,2,FALSE()),"?")</f>
        <v>Cupla PVC 1"</v>
      </c>
      <c r="F1386" s="129" t="str">
        <f>IFERROR(VLOOKUP(D1386,MATERIALES!A:C,3,FALSE()),"?")</f>
        <v>u</v>
      </c>
      <c r="G1386" s="119">
        <v>1.2</v>
      </c>
      <c r="H1386" s="120">
        <v>0.1</v>
      </c>
      <c r="I1386" s="96">
        <f>IFERROR(VLOOKUP(D1386,MATERIALES!A:D,4,FALSE()),0)</f>
        <v>119.32</v>
      </c>
      <c r="J1386" s="31">
        <f t="shared" si="504"/>
        <v>157.50240000000002</v>
      </c>
      <c r="K1386" s="32" t="str">
        <f t="shared" ref="K1386:K1389" si="505">A1386&amp;"|"&amp;B1386</f>
        <v>PTO-1809|MAT</v>
      </c>
      <c r="L1386" s="32">
        <f>COUNTIFS($K$2:K1386,K1386)</f>
        <v>3</v>
      </c>
      <c r="M1386" s="32" t="str">
        <f t="shared" si="493"/>
        <v>PTO-1809|MAT|3</v>
      </c>
      <c r="N1386" s="121">
        <f>IFERROR(VLOOKUP(A1386,PARTIDAS!A:F,6,FALSE()),0)</f>
        <v>5</v>
      </c>
      <c r="O1386" s="123">
        <f t="shared" si="495"/>
        <v>0</v>
      </c>
      <c r="P1386" s="123">
        <f>+_xlfn.XLOOKUP(A1386,PPTO_GENERADOR!Q:Q,PPTO_GENERADOR!E:E,"-",0)</f>
        <v>40</v>
      </c>
      <c r="Q1386" s="123">
        <f t="shared" si="496"/>
        <v>0</v>
      </c>
      <c r="R1386" s="125">
        <f>+_xlfn.XLOOKUP(A1386,PPTO_GENERADOR!$Q:$Q,PPTO_GENERADOR!A:A,"-",0)</f>
        <v>18.09</v>
      </c>
    </row>
    <row r="1387" spans="1:18" ht="14.25" customHeight="1" x14ac:dyDescent="0.35">
      <c r="A1387" s="105" t="s">
        <v>299</v>
      </c>
      <c r="B1387" s="105" t="s">
        <v>1981</v>
      </c>
      <c r="C1387" s="105" t="s">
        <v>1982</v>
      </c>
      <c r="D1387" s="105" t="s">
        <v>1068</v>
      </c>
      <c r="E1387" s="95" t="str">
        <f>IFERROR(VLOOKUP(D1387,MATERIALES!A:B,2,FALSE()),"?")</f>
        <v>Cable unipolar 1 x 1,50</v>
      </c>
      <c r="F1387" s="129" t="str">
        <f>IFERROR(VLOOKUP(D1387,MATERIALES!A:C,3,FALSE()),"?")</f>
        <v>ml</v>
      </c>
      <c r="G1387" s="119">
        <v>7.5</v>
      </c>
      <c r="H1387" s="120">
        <v>0.1</v>
      </c>
      <c r="I1387" s="96">
        <f>IFERROR(VLOOKUP(D1387,MATERIALES!A:D,4,FALSE()),0)</f>
        <v>339.47162557191899</v>
      </c>
      <c r="J1387" s="31">
        <f t="shared" si="504"/>
        <v>2800.6409109683323</v>
      </c>
      <c r="K1387" s="32" t="str">
        <f t="shared" si="505"/>
        <v>PTO-1809|MAT</v>
      </c>
      <c r="L1387" s="32">
        <f>COUNTIFS($K$2:K1387,K1387)</f>
        <v>4</v>
      </c>
      <c r="M1387" s="32" t="str">
        <f t="shared" si="493"/>
        <v>PTO-1809|MAT|4</v>
      </c>
      <c r="N1387" s="121">
        <f>IFERROR(VLOOKUP(A1387,PARTIDAS!A:F,6,FALSE()),0)</f>
        <v>5</v>
      </c>
      <c r="O1387" s="123">
        <f t="shared" si="495"/>
        <v>0</v>
      </c>
      <c r="P1387" s="123">
        <f>+_xlfn.XLOOKUP(A1387,PPTO_GENERADOR!Q:Q,PPTO_GENERADOR!E:E,"-",0)</f>
        <v>40</v>
      </c>
      <c r="Q1387" s="123">
        <f t="shared" si="496"/>
        <v>0</v>
      </c>
      <c r="R1387" s="125">
        <f>+_xlfn.XLOOKUP(A1387,PPTO_GENERADOR!$Q:$Q,PPTO_GENERADOR!A:A,"-",0)</f>
        <v>18.09</v>
      </c>
    </row>
    <row r="1388" spans="1:18" ht="14.25" customHeight="1" x14ac:dyDescent="0.35">
      <c r="A1388" s="105" t="s">
        <v>299</v>
      </c>
      <c r="B1388" s="105" t="s">
        <v>1981</v>
      </c>
      <c r="C1388" s="105" t="s">
        <v>1982</v>
      </c>
      <c r="D1388" s="105" t="s">
        <v>977</v>
      </c>
      <c r="E1388" s="95" t="str">
        <f>IFERROR(VLOOKUP(D1388,MATERIALES!A:B,2,FALSE()),"?")</f>
        <v>Caja rectangular chica</v>
      </c>
      <c r="F1388" s="129" t="str">
        <f>IFERROR(VLOOKUP(D1388,MATERIALES!A:C,3,FALSE()),"?")</f>
        <v>u</v>
      </c>
      <c r="G1388" s="119">
        <v>1</v>
      </c>
      <c r="H1388" s="120">
        <v>0.05</v>
      </c>
      <c r="I1388" s="96">
        <f>IFERROR(VLOOKUP(D1388,MATERIALES!A:D,4,FALSE()),0)</f>
        <v>217.14975799999999</v>
      </c>
      <c r="J1388" s="31">
        <f t="shared" si="504"/>
        <v>228.00724589999999</v>
      </c>
      <c r="K1388" s="32" t="str">
        <f t="shared" si="505"/>
        <v>PTO-1809|MAT</v>
      </c>
      <c r="L1388" s="32">
        <f>COUNTIFS($K$2:K1388,K1388)</f>
        <v>5</v>
      </c>
      <c r="M1388" s="32" t="str">
        <f t="shared" si="493"/>
        <v>PTO-1809|MAT|5</v>
      </c>
      <c r="N1388" s="121">
        <f>IFERROR(VLOOKUP(A1388,PARTIDAS!A:F,6,FALSE()),0)</f>
        <v>5</v>
      </c>
      <c r="O1388" s="123">
        <f t="shared" si="495"/>
        <v>0</v>
      </c>
      <c r="P1388" s="123">
        <f>+_xlfn.XLOOKUP(A1388,PPTO_GENERADOR!Q:Q,PPTO_GENERADOR!E:E,"-",0)</f>
        <v>40</v>
      </c>
      <c r="Q1388" s="123">
        <f t="shared" si="496"/>
        <v>0</v>
      </c>
      <c r="R1388" s="125">
        <f>+_xlfn.XLOOKUP(A1388,PPTO_GENERADOR!$Q:$Q,PPTO_GENERADOR!A:A,"-",0)</f>
        <v>18.09</v>
      </c>
    </row>
    <row r="1389" spans="1:18" ht="14.25" customHeight="1" x14ac:dyDescent="0.35">
      <c r="A1389" s="105" t="s">
        <v>299</v>
      </c>
      <c r="B1389" s="105" t="s">
        <v>1981</v>
      </c>
      <c r="C1389" s="105" t="s">
        <v>1982</v>
      </c>
      <c r="D1389" s="105" t="s">
        <v>559</v>
      </c>
      <c r="E1389" s="95" t="str">
        <f>IFERROR(VLOOKUP(D1389,MATERIALES!A:B,2,FALSE()),"?")</f>
        <v>CONSUMIBLES (varios)</v>
      </c>
      <c r="F1389" s="129" t="str">
        <f>IFERROR(VLOOKUP(D1389,MATERIALES!A:C,3,FALSE()),"?")</f>
        <v>gl</v>
      </c>
      <c r="G1389" s="119">
        <v>1832.3801173398101</v>
      </c>
      <c r="H1389" s="120">
        <v>0</v>
      </c>
      <c r="I1389" s="96">
        <f>IFERROR(VLOOKUP(D1389,MATERIALES!A:D,4,FALSE()),0)</f>
        <v>1</v>
      </c>
      <c r="J1389" s="31">
        <f t="shared" si="504"/>
        <v>1832.3801173398101</v>
      </c>
      <c r="K1389" s="32" t="str">
        <f t="shared" si="505"/>
        <v>PTO-1809|MAT</v>
      </c>
      <c r="L1389" s="32">
        <f>COUNTIFS($K$2:K1389,K1389)</f>
        <v>6</v>
      </c>
      <c r="M1389" s="32" t="str">
        <f t="shared" si="493"/>
        <v>PTO-1809|MAT|6</v>
      </c>
      <c r="N1389" s="121">
        <f>IFERROR(VLOOKUP(A1389,PARTIDAS!A:F,6,FALSE()),0)</f>
        <v>5</v>
      </c>
      <c r="O1389" s="123">
        <f t="shared" si="495"/>
        <v>0</v>
      </c>
      <c r="P1389" s="123">
        <f>+_xlfn.XLOOKUP(A1389,PPTO_GENERADOR!Q:Q,PPTO_GENERADOR!E:E,"-",0)</f>
        <v>40</v>
      </c>
      <c r="Q1389" s="123">
        <f t="shared" si="496"/>
        <v>0</v>
      </c>
      <c r="R1389" s="125">
        <f>+_xlfn.XLOOKUP(A1389,PPTO_GENERADOR!$Q:$Q,PPTO_GENERADOR!A:A,"-",0)</f>
        <v>18.09</v>
      </c>
    </row>
    <row r="1390" spans="1:18" ht="14.25" customHeight="1" x14ac:dyDescent="0.35">
      <c r="A1390" s="105" t="s">
        <v>299</v>
      </c>
      <c r="B1390" s="105" t="s">
        <v>1983</v>
      </c>
      <c r="C1390" s="105"/>
      <c r="D1390" s="105" t="s">
        <v>1325</v>
      </c>
      <c r="E1390" s="95" t="str">
        <f>IFERROR(VLOOKUP(D1390,EQUIPOS!A:B,2,FALSE()),"?")</f>
        <v>EQUIPO PARA INSTALACION ELECTRICA</v>
      </c>
      <c r="F1390" s="129"/>
      <c r="G1390" s="119">
        <v>1</v>
      </c>
      <c r="H1390" s="120">
        <v>0</v>
      </c>
      <c r="I1390" s="96">
        <f>IFERROR(VLOOKUP(D1390,EQUIPOS!A:F,6,FALSE()),0)</f>
        <v>5503.040438867889</v>
      </c>
      <c r="J1390" s="31">
        <f t="shared" ref="J1390:J1392" si="506">G1390*I1390</f>
        <v>5503.040438867889</v>
      </c>
      <c r="K1390" s="32" t="str">
        <f t="shared" ref="K1390:K1449" si="507">A1390&amp;"|"&amp;B1390</f>
        <v>PTO-1809|EQ</v>
      </c>
      <c r="L1390" s="32">
        <f>COUNTIFS($K$2:K1390,K1390)</f>
        <v>1</v>
      </c>
      <c r="M1390" s="32" t="str">
        <f t="shared" si="493"/>
        <v>PTO-1809|EQ|1</v>
      </c>
      <c r="N1390" s="121">
        <f>IFERROR(VLOOKUP(A1390,PARTIDAS!A:F,6,FALSE()),0)</f>
        <v>5</v>
      </c>
      <c r="O1390" s="123">
        <f t="shared" si="495"/>
        <v>0</v>
      </c>
      <c r="P1390" s="123">
        <f>+_xlfn.XLOOKUP(A1390,PPTO_GENERADOR!Q:Q,PPTO_GENERADOR!E:E,"-",0)</f>
        <v>40</v>
      </c>
      <c r="Q1390" s="123">
        <f t="shared" si="496"/>
        <v>0</v>
      </c>
      <c r="R1390" s="125">
        <f>+_xlfn.XLOOKUP(A1390,PPTO_GENERADOR!$Q:$Q,PPTO_GENERADOR!A:A,"-",0)</f>
        <v>18.09</v>
      </c>
    </row>
    <row r="1391" spans="1:18" ht="14.25" customHeight="1" x14ac:dyDescent="0.35">
      <c r="A1391" s="105" t="s">
        <v>299</v>
      </c>
      <c r="B1391" s="105" t="s">
        <v>1983</v>
      </c>
      <c r="C1391" s="105"/>
      <c r="D1391" s="105" t="s">
        <v>1313</v>
      </c>
      <c r="E1391" s="95" t="str">
        <f>IFERROR(VLOOKUP(D1391,EQUIPOS!A:B,2,FALSE()),"?")</f>
        <v>ANDAMIO TUBULAR DE UNO A TRES CUERPOS</v>
      </c>
      <c r="F1391" s="129"/>
      <c r="G1391" s="119">
        <v>0.5</v>
      </c>
      <c r="H1391" s="120">
        <v>0</v>
      </c>
      <c r="I1391" s="96">
        <f>IFERROR(VLOOKUP(D1391,EQUIPOS!A:F,6,FALSE()),0)</f>
        <v>620.81078197718341</v>
      </c>
      <c r="J1391" s="31">
        <f t="shared" si="506"/>
        <v>310.40539098859171</v>
      </c>
      <c r="K1391" s="32" t="str">
        <f t="shared" si="507"/>
        <v>PTO-1809|EQ</v>
      </c>
      <c r="L1391" s="32">
        <f>COUNTIFS($K$2:K1391,K1391)</f>
        <v>2</v>
      </c>
      <c r="M1391" s="32" t="str">
        <f t="shared" si="493"/>
        <v>PTO-1809|EQ|2</v>
      </c>
      <c r="N1391" s="121">
        <f>IFERROR(VLOOKUP(A1391,PARTIDAS!A:F,6,FALSE()),0)</f>
        <v>5</v>
      </c>
      <c r="O1391" s="123">
        <f t="shared" si="495"/>
        <v>0</v>
      </c>
      <c r="P1391" s="123">
        <f>+_xlfn.XLOOKUP(A1391,PPTO_GENERADOR!Q:Q,PPTO_GENERADOR!E:E,"-",0)</f>
        <v>40</v>
      </c>
      <c r="Q1391" s="123">
        <f t="shared" si="496"/>
        <v>0</v>
      </c>
      <c r="R1391" s="125">
        <f>+_xlfn.XLOOKUP(A1391,PPTO_GENERADOR!$Q:$Q,PPTO_GENERADOR!A:A,"-",0)</f>
        <v>18.09</v>
      </c>
    </row>
    <row r="1392" spans="1:18" ht="14.25" customHeight="1" x14ac:dyDescent="0.35">
      <c r="A1392" s="105" t="s">
        <v>299</v>
      </c>
      <c r="B1392" s="105" t="s">
        <v>1983</v>
      </c>
      <c r="C1392" s="105"/>
      <c r="D1392" s="105" t="s">
        <v>1311</v>
      </c>
      <c r="E1392" s="95" t="str">
        <f>IFERROR(VLOOKUP(D1392,EQUIPOS!A:B,2,FALSE()),"?")</f>
        <v>ESCALERA GLOSS ALUMINIO ARTICULADA 4 X 4 ESCALONES HASTA 150KG</v>
      </c>
      <c r="F1392" s="129"/>
      <c r="G1392" s="119">
        <v>0.5</v>
      </c>
      <c r="H1392" s="120">
        <v>0</v>
      </c>
      <c r="I1392" s="96">
        <f>IFERROR(VLOOKUP(D1392,EQUIPOS!A:F,6,FALSE()),0)</f>
        <v>152.38027427373819</v>
      </c>
      <c r="J1392" s="31">
        <f t="shared" si="506"/>
        <v>76.190137136869097</v>
      </c>
      <c r="K1392" s="32" t="str">
        <f t="shared" si="507"/>
        <v>PTO-1809|EQ</v>
      </c>
      <c r="L1392" s="32">
        <f>COUNTIFS($K$2:K1392,K1392)</f>
        <v>3</v>
      </c>
      <c r="M1392" s="32" t="str">
        <f t="shared" si="493"/>
        <v>PTO-1809|EQ|3</v>
      </c>
      <c r="N1392" s="121">
        <f>IFERROR(VLOOKUP(A1392,PARTIDAS!A:F,6,FALSE()),0)</f>
        <v>5</v>
      </c>
      <c r="O1392" s="123">
        <f t="shared" si="495"/>
        <v>0</v>
      </c>
      <c r="P1392" s="123">
        <f>+_xlfn.XLOOKUP(A1392,PPTO_GENERADOR!Q:Q,PPTO_GENERADOR!E:E,"-",0)</f>
        <v>40</v>
      </c>
      <c r="Q1392" s="123">
        <f t="shared" si="496"/>
        <v>0</v>
      </c>
      <c r="R1392" s="125">
        <f>+_xlfn.XLOOKUP(A1392,PPTO_GENERADOR!$Q:$Q,PPTO_GENERADOR!A:A,"-",0)</f>
        <v>18.09</v>
      </c>
    </row>
    <row r="1393" spans="1:18" ht="14.25" customHeight="1" x14ac:dyDescent="0.35">
      <c r="A1393" s="105" t="s">
        <v>301</v>
      </c>
      <c r="B1393" s="105" t="s">
        <v>1981</v>
      </c>
      <c r="C1393" s="105" t="s">
        <v>1982</v>
      </c>
      <c r="D1393" s="105" t="s">
        <v>1058</v>
      </c>
      <c r="E1393" s="95" t="str">
        <f>IFERROR(VLOOKUP(D1393,MATERIALES!A:B,2,FALSE()),"?")</f>
        <v>Caño rígido 1" x 3m</v>
      </c>
      <c r="F1393" s="129" t="str">
        <f>IFERROR(VLOOKUP(D1393,MATERIALES!A:C,3,FALSE()),"?")</f>
        <v>u</v>
      </c>
      <c r="G1393" s="119">
        <v>7.5</v>
      </c>
      <c r="H1393" s="120">
        <v>0.1</v>
      </c>
      <c r="I1393" s="96">
        <f>IFERROR(VLOOKUP(D1393,MATERIALES!A:D,4,FALSE()),0)</f>
        <v>529.85400000000004</v>
      </c>
      <c r="J1393" s="31">
        <f t="shared" ref="J1393:J1399" si="508">G1393*I1393*(1+H1393)</f>
        <v>4371.2955000000002</v>
      </c>
      <c r="K1393" s="32" t="str">
        <f t="shared" si="507"/>
        <v>PTO-0181|MAT</v>
      </c>
      <c r="L1393" s="32">
        <f>COUNTIFS($K$2:K1393,K1393)</f>
        <v>1</v>
      </c>
      <c r="M1393" s="32" t="str">
        <f t="shared" si="493"/>
        <v>PTO-0181|MAT|1</v>
      </c>
      <c r="N1393" s="121">
        <f>IFERROR(VLOOKUP(A1393,PARTIDAS!A:F,6,FALSE()),0)</f>
        <v>3.25</v>
      </c>
      <c r="O1393" s="123">
        <f t="shared" si="495"/>
        <v>0</v>
      </c>
      <c r="P1393" s="123">
        <f>+_xlfn.XLOOKUP(A1393,PPTO_GENERADOR!Q:Q,PPTO_GENERADOR!E:E,"-",0)</f>
        <v>0</v>
      </c>
      <c r="Q1393" s="123">
        <f t="shared" si="496"/>
        <v>0</v>
      </c>
      <c r="R1393" s="125">
        <f>+_xlfn.XLOOKUP(A1393,PPTO_GENERADOR!$Q:$Q,PPTO_GENERADOR!A:A,"-",0)</f>
        <v>18.100000000000001</v>
      </c>
    </row>
    <row r="1394" spans="1:18" ht="14.25" customHeight="1" x14ac:dyDescent="0.35">
      <c r="A1394" s="105" t="s">
        <v>301</v>
      </c>
      <c r="B1394" s="105" t="s">
        <v>1981</v>
      </c>
      <c r="C1394" s="105" t="s">
        <v>1982</v>
      </c>
      <c r="D1394" s="105" t="s">
        <v>1041</v>
      </c>
      <c r="E1394" s="95" t="str">
        <f>IFERROR(VLOOKUP(D1394,MATERIALES!A:B,2,FALSE()),"?")</f>
        <v>Conector hierro 1"</v>
      </c>
      <c r="F1394" s="129" t="str">
        <f>IFERROR(VLOOKUP(D1394,MATERIALES!A:C,3,FALSE()),"?")</f>
        <v>u</v>
      </c>
      <c r="G1394" s="119">
        <v>3</v>
      </c>
      <c r="H1394" s="120">
        <v>0.1</v>
      </c>
      <c r="I1394" s="96">
        <f>IFERROR(VLOOKUP(D1394,MATERIALES!A:D,4,FALSE()),0)</f>
        <v>310.65199999999999</v>
      </c>
      <c r="J1394" s="31">
        <f t="shared" si="508"/>
        <v>1025.1515999999999</v>
      </c>
      <c r="K1394" s="32" t="str">
        <f t="shared" si="507"/>
        <v>PTO-0181|MAT</v>
      </c>
      <c r="L1394" s="32">
        <f>COUNTIFS($K$2:K1394,K1394)</f>
        <v>2</v>
      </c>
      <c r="M1394" s="32" t="str">
        <f t="shared" si="493"/>
        <v>PTO-0181|MAT|2</v>
      </c>
      <c r="N1394" s="121">
        <f>IFERROR(VLOOKUP(A1394,PARTIDAS!A:F,6,FALSE()),0)</f>
        <v>3.25</v>
      </c>
      <c r="O1394" s="123">
        <f t="shared" si="495"/>
        <v>0</v>
      </c>
      <c r="P1394" s="123">
        <f>+_xlfn.XLOOKUP(A1394,PPTO_GENERADOR!Q:Q,PPTO_GENERADOR!E:E,"-",0)</f>
        <v>0</v>
      </c>
      <c r="Q1394" s="123">
        <f t="shared" si="496"/>
        <v>0</v>
      </c>
      <c r="R1394" s="125">
        <f>+_xlfn.XLOOKUP(A1394,PPTO_GENERADOR!$Q:$Q,PPTO_GENERADOR!A:A,"-",0)</f>
        <v>18.100000000000001</v>
      </c>
    </row>
    <row r="1395" spans="1:18" ht="14.25" customHeight="1" x14ac:dyDescent="0.35">
      <c r="A1395" s="105" t="s">
        <v>301</v>
      </c>
      <c r="B1395" s="105" t="s">
        <v>1981</v>
      </c>
      <c r="C1395" s="105" t="s">
        <v>1982</v>
      </c>
      <c r="D1395" s="105" t="s">
        <v>1043</v>
      </c>
      <c r="E1395" s="95" t="str">
        <f>IFERROR(VLOOKUP(D1395,MATERIALES!A:B,2,FALSE()),"?")</f>
        <v>Cupla PVC 1"</v>
      </c>
      <c r="F1395" s="129" t="str">
        <f>IFERROR(VLOOKUP(D1395,MATERIALES!A:C,3,FALSE()),"?")</f>
        <v>u</v>
      </c>
      <c r="G1395" s="119">
        <v>3</v>
      </c>
      <c r="H1395" s="120">
        <v>0.1</v>
      </c>
      <c r="I1395" s="96">
        <f>IFERROR(VLOOKUP(D1395,MATERIALES!A:D,4,FALSE()),0)</f>
        <v>119.32</v>
      </c>
      <c r="J1395" s="31">
        <f t="shared" si="508"/>
        <v>393.75600000000003</v>
      </c>
      <c r="K1395" s="32" t="str">
        <f t="shared" si="507"/>
        <v>PTO-0181|MAT</v>
      </c>
      <c r="L1395" s="32">
        <f>COUNTIFS($K$2:K1395,K1395)</f>
        <v>3</v>
      </c>
      <c r="M1395" s="32" t="str">
        <f t="shared" si="493"/>
        <v>PTO-0181|MAT|3</v>
      </c>
      <c r="N1395" s="121">
        <f>IFERROR(VLOOKUP(A1395,PARTIDAS!A:F,6,FALSE()),0)</f>
        <v>3.25</v>
      </c>
      <c r="O1395" s="123">
        <f t="shared" si="495"/>
        <v>0</v>
      </c>
      <c r="P1395" s="123">
        <f>+_xlfn.XLOOKUP(A1395,PPTO_GENERADOR!Q:Q,PPTO_GENERADOR!E:E,"-",0)</f>
        <v>0</v>
      </c>
      <c r="Q1395" s="123">
        <f t="shared" si="496"/>
        <v>0</v>
      </c>
      <c r="R1395" s="125">
        <f>+_xlfn.XLOOKUP(A1395,PPTO_GENERADOR!$Q:$Q,PPTO_GENERADOR!A:A,"-",0)</f>
        <v>18.100000000000001</v>
      </c>
    </row>
    <row r="1396" spans="1:18" ht="14.25" customHeight="1" x14ac:dyDescent="0.35">
      <c r="A1396" s="105" t="s">
        <v>301</v>
      </c>
      <c r="B1396" s="105" t="s">
        <v>1981</v>
      </c>
      <c r="C1396" s="105" t="s">
        <v>1982</v>
      </c>
      <c r="D1396" s="105" t="s">
        <v>912</v>
      </c>
      <c r="E1396" s="95" t="str">
        <f>IFERROR(VLOOKUP(D1396,MATERIALES!A:B,2,FALSE()),"?")</f>
        <v>Cable unipolar 1 x 4,00</v>
      </c>
      <c r="F1396" s="129">
        <f>IFERROR(VLOOKUP(D1396,MATERIALES!A:C,3,FALSE()),"?")</f>
        <v>0</v>
      </c>
      <c r="G1396" s="119">
        <v>7.5</v>
      </c>
      <c r="H1396" s="120">
        <v>0.1</v>
      </c>
      <c r="I1396" s="96">
        <f>IFERROR(VLOOKUP(D1396,MATERIALES!A:D,4,FALSE()),0)</f>
        <v>895.33241596022003</v>
      </c>
      <c r="J1396" s="31">
        <f t="shared" si="508"/>
        <v>7386.4924316718161</v>
      </c>
      <c r="K1396" s="32" t="str">
        <f t="shared" si="507"/>
        <v>PTO-0181|MAT</v>
      </c>
      <c r="L1396" s="32">
        <f>COUNTIFS($K$2:K1396,K1396)</f>
        <v>4</v>
      </c>
      <c r="M1396" s="32" t="str">
        <f t="shared" si="493"/>
        <v>PTO-0181|MAT|4</v>
      </c>
      <c r="N1396" s="121">
        <f>IFERROR(VLOOKUP(A1396,PARTIDAS!A:F,6,FALSE()),0)</f>
        <v>3.25</v>
      </c>
      <c r="O1396" s="123">
        <f t="shared" si="495"/>
        <v>0</v>
      </c>
      <c r="P1396" s="123">
        <f>+_xlfn.XLOOKUP(A1396,PPTO_GENERADOR!Q:Q,PPTO_GENERADOR!E:E,"-",0)</f>
        <v>0</v>
      </c>
      <c r="Q1396" s="123">
        <f t="shared" si="496"/>
        <v>0</v>
      </c>
      <c r="R1396" s="125">
        <f>+_xlfn.XLOOKUP(A1396,PPTO_GENERADOR!$Q:$Q,PPTO_GENERADOR!A:A,"-",0)</f>
        <v>18.100000000000001</v>
      </c>
    </row>
    <row r="1397" spans="1:18" ht="14.25" customHeight="1" x14ac:dyDescent="0.35">
      <c r="A1397" s="105" t="s">
        <v>301</v>
      </c>
      <c r="B1397" s="105" t="s">
        <v>1981</v>
      </c>
      <c r="C1397" s="105" t="s">
        <v>1982</v>
      </c>
      <c r="D1397" s="105" t="s">
        <v>912</v>
      </c>
      <c r="E1397" s="95" t="str">
        <f>IFERROR(VLOOKUP(D1397,MATERIALES!A:B,2,FALSE()),"?")</f>
        <v>Cable unipolar 1 x 4,00</v>
      </c>
      <c r="F1397" s="129">
        <f>IFERROR(VLOOKUP(D1397,MATERIALES!A:C,3,FALSE()),"?")</f>
        <v>0</v>
      </c>
      <c r="G1397" s="119">
        <v>15</v>
      </c>
      <c r="H1397" s="120">
        <v>0.1</v>
      </c>
      <c r="I1397" s="96">
        <f>IFERROR(VLOOKUP(D1397,MATERIALES!A:D,4,FALSE()),0)</f>
        <v>895.33241596022003</v>
      </c>
      <c r="J1397" s="31">
        <f t="shared" si="508"/>
        <v>14772.984863343632</v>
      </c>
      <c r="K1397" s="32" t="str">
        <f t="shared" si="507"/>
        <v>PTO-0181|MAT</v>
      </c>
      <c r="L1397" s="32">
        <f>COUNTIFS($K$2:K1397,K1397)</f>
        <v>5</v>
      </c>
      <c r="M1397" s="32" t="str">
        <f t="shared" si="493"/>
        <v>PTO-0181|MAT|5</v>
      </c>
      <c r="N1397" s="121">
        <f>IFERROR(VLOOKUP(A1397,PARTIDAS!A:F,6,FALSE()),0)</f>
        <v>3.25</v>
      </c>
      <c r="O1397" s="123">
        <f t="shared" si="495"/>
        <v>0</v>
      </c>
      <c r="P1397" s="123">
        <f>+_xlfn.XLOOKUP(A1397,PPTO_GENERADOR!Q:Q,PPTO_GENERADOR!E:E,"-",0)</f>
        <v>0</v>
      </c>
      <c r="Q1397" s="123">
        <f t="shared" si="496"/>
        <v>0</v>
      </c>
      <c r="R1397" s="125">
        <f>+_xlfn.XLOOKUP(A1397,PPTO_GENERADOR!$Q:$Q,PPTO_GENERADOR!A:A,"-",0)</f>
        <v>18.100000000000001</v>
      </c>
    </row>
    <row r="1398" spans="1:18" ht="14.25" customHeight="1" x14ac:dyDescent="0.35">
      <c r="A1398" s="105" t="s">
        <v>301</v>
      </c>
      <c r="B1398" s="105" t="s">
        <v>1981</v>
      </c>
      <c r="C1398" s="105" t="s">
        <v>1982</v>
      </c>
      <c r="D1398" s="105" t="s">
        <v>977</v>
      </c>
      <c r="E1398" s="95" t="str">
        <f>IFERROR(VLOOKUP(D1398,MATERIALES!A:B,2,FALSE()),"?")</f>
        <v>Caja rectangular chica</v>
      </c>
      <c r="F1398" s="129" t="str">
        <f>IFERROR(VLOOKUP(D1398,MATERIALES!A:C,3,FALSE()),"?")</f>
        <v>u</v>
      </c>
      <c r="G1398" s="119">
        <v>1</v>
      </c>
      <c r="H1398" s="120">
        <v>0.05</v>
      </c>
      <c r="I1398" s="96">
        <f>IFERROR(VLOOKUP(D1398,MATERIALES!A:D,4,FALSE()),0)</f>
        <v>217.14975799999999</v>
      </c>
      <c r="J1398" s="31">
        <f t="shared" si="508"/>
        <v>228.00724589999999</v>
      </c>
      <c r="K1398" s="32" t="str">
        <f t="shared" si="507"/>
        <v>PTO-0181|MAT</v>
      </c>
      <c r="L1398" s="32">
        <f>COUNTIFS($K$2:K1398,K1398)</f>
        <v>6</v>
      </c>
      <c r="M1398" s="32" t="str">
        <f t="shared" si="493"/>
        <v>PTO-0181|MAT|6</v>
      </c>
      <c r="N1398" s="121">
        <f>IFERROR(VLOOKUP(A1398,PARTIDAS!A:F,6,FALSE()),0)</f>
        <v>3.25</v>
      </c>
      <c r="O1398" s="123">
        <f t="shared" si="495"/>
        <v>0</v>
      </c>
      <c r="P1398" s="123">
        <f>+_xlfn.XLOOKUP(A1398,PPTO_GENERADOR!Q:Q,PPTO_GENERADOR!E:E,"-",0)</f>
        <v>0</v>
      </c>
      <c r="Q1398" s="123">
        <f t="shared" si="496"/>
        <v>0</v>
      </c>
      <c r="R1398" s="125">
        <f>+_xlfn.XLOOKUP(A1398,PPTO_GENERADOR!$Q:$Q,PPTO_GENERADOR!A:A,"-",0)</f>
        <v>18.100000000000001</v>
      </c>
    </row>
    <row r="1399" spans="1:18" ht="14.25" customHeight="1" x14ac:dyDescent="0.35">
      <c r="A1399" s="105" t="s">
        <v>301</v>
      </c>
      <c r="B1399" s="105" t="s">
        <v>1981</v>
      </c>
      <c r="C1399" s="105" t="s">
        <v>1982</v>
      </c>
      <c r="D1399" s="105" t="s">
        <v>559</v>
      </c>
      <c r="E1399" s="95" t="str">
        <f>IFERROR(VLOOKUP(D1399,MATERIALES!A:B,2,FALSE()),"?")</f>
        <v>CONSUMIBLES (varios)</v>
      </c>
      <c r="F1399" s="129" t="str">
        <f>IFERROR(VLOOKUP(D1399,MATERIALES!A:C,3,FALSE()),"?")</f>
        <v>gl</v>
      </c>
      <c r="G1399" s="119">
        <v>5917.3144044896999</v>
      </c>
      <c r="H1399" s="120">
        <v>0</v>
      </c>
      <c r="I1399" s="96">
        <f>IFERROR(VLOOKUP(D1399,MATERIALES!A:D,4,FALSE()),0)</f>
        <v>1</v>
      </c>
      <c r="J1399" s="31">
        <f t="shared" si="508"/>
        <v>5917.3144044896999</v>
      </c>
      <c r="K1399" s="32" t="str">
        <f t="shared" si="507"/>
        <v>PTO-0181|MAT</v>
      </c>
      <c r="L1399" s="32">
        <f>COUNTIFS($K$2:K1399,K1399)</f>
        <v>7</v>
      </c>
      <c r="M1399" s="32" t="str">
        <f t="shared" si="493"/>
        <v>PTO-0181|MAT|7</v>
      </c>
      <c r="N1399" s="121">
        <f>IFERROR(VLOOKUP(A1399,PARTIDAS!A:F,6,FALSE()),0)</f>
        <v>3.25</v>
      </c>
      <c r="O1399" s="123">
        <f t="shared" si="495"/>
        <v>0</v>
      </c>
      <c r="P1399" s="123">
        <f>+_xlfn.XLOOKUP(A1399,PPTO_GENERADOR!Q:Q,PPTO_GENERADOR!E:E,"-",0)</f>
        <v>0</v>
      </c>
      <c r="Q1399" s="123">
        <f t="shared" si="496"/>
        <v>0</v>
      </c>
      <c r="R1399" s="125">
        <f>+_xlfn.XLOOKUP(A1399,PPTO_GENERADOR!$Q:$Q,PPTO_GENERADOR!A:A,"-",0)</f>
        <v>18.100000000000001</v>
      </c>
    </row>
    <row r="1400" spans="1:18" ht="14.25" customHeight="1" x14ac:dyDescent="0.35">
      <c r="A1400" s="105" t="s">
        <v>301</v>
      </c>
      <c r="B1400" s="105" t="s">
        <v>1983</v>
      </c>
      <c r="C1400" s="105"/>
      <c r="D1400" s="105" t="s">
        <v>1325</v>
      </c>
      <c r="E1400" s="95" t="str">
        <f>IFERROR(VLOOKUP(D1400,EQUIPOS!A:B,2,FALSE()),"?")</f>
        <v>EQUIPO PARA INSTALACION ELECTRICA</v>
      </c>
      <c r="F1400" s="129"/>
      <c r="G1400" s="119">
        <v>1</v>
      </c>
      <c r="H1400" s="120">
        <v>0</v>
      </c>
      <c r="I1400" s="96">
        <f>IFERROR(VLOOKUP(D1400,EQUIPOS!A:F,6,FALSE()),0)</f>
        <v>5503.040438867889</v>
      </c>
      <c r="J1400" s="31">
        <f t="shared" ref="J1400:J1402" si="509">G1400*I1400</f>
        <v>5503.040438867889</v>
      </c>
      <c r="K1400" s="32" t="str">
        <f t="shared" si="507"/>
        <v>PTO-0181|EQ</v>
      </c>
      <c r="L1400" s="32">
        <f>COUNTIFS($K$2:K1400,K1400)</f>
        <v>1</v>
      </c>
      <c r="M1400" s="32" t="str">
        <f t="shared" si="493"/>
        <v>PTO-0181|EQ|1</v>
      </c>
      <c r="N1400" s="121">
        <f>IFERROR(VLOOKUP(A1400,PARTIDAS!A:F,6,FALSE()),0)</f>
        <v>3.25</v>
      </c>
      <c r="O1400" s="123">
        <f t="shared" si="495"/>
        <v>0</v>
      </c>
      <c r="P1400" s="123">
        <f>+_xlfn.XLOOKUP(A1400,PPTO_GENERADOR!Q:Q,PPTO_GENERADOR!E:E,"-",0)</f>
        <v>0</v>
      </c>
      <c r="Q1400" s="123">
        <f t="shared" si="496"/>
        <v>0</v>
      </c>
      <c r="R1400" s="125">
        <f>+_xlfn.XLOOKUP(A1400,PPTO_GENERADOR!$Q:$Q,PPTO_GENERADOR!A:A,"-",0)</f>
        <v>18.100000000000001</v>
      </c>
    </row>
    <row r="1401" spans="1:18" ht="14.25" customHeight="1" x14ac:dyDescent="0.35">
      <c r="A1401" s="105" t="s">
        <v>301</v>
      </c>
      <c r="B1401" s="105" t="s">
        <v>1983</v>
      </c>
      <c r="C1401" s="105"/>
      <c r="D1401" s="105" t="s">
        <v>1313</v>
      </c>
      <c r="E1401" s="95" t="str">
        <f>IFERROR(VLOOKUP(D1401,EQUIPOS!A:B,2,FALSE()),"?")</f>
        <v>ANDAMIO TUBULAR DE UNO A TRES CUERPOS</v>
      </c>
      <c r="F1401" s="129"/>
      <c r="G1401" s="119">
        <v>0.5</v>
      </c>
      <c r="H1401" s="120">
        <v>0</v>
      </c>
      <c r="I1401" s="96">
        <f>IFERROR(VLOOKUP(D1401,EQUIPOS!A:F,6,FALSE()),0)</f>
        <v>620.81078197718341</v>
      </c>
      <c r="J1401" s="31">
        <f t="shared" si="509"/>
        <v>310.40539098859171</v>
      </c>
      <c r="K1401" s="32" t="str">
        <f t="shared" si="507"/>
        <v>PTO-0181|EQ</v>
      </c>
      <c r="L1401" s="32">
        <f>COUNTIFS($K$2:K1401,K1401)</f>
        <v>2</v>
      </c>
      <c r="M1401" s="32" t="str">
        <f t="shared" si="493"/>
        <v>PTO-0181|EQ|2</v>
      </c>
      <c r="N1401" s="121">
        <f>IFERROR(VLOOKUP(A1401,PARTIDAS!A:F,6,FALSE()),0)</f>
        <v>3.25</v>
      </c>
      <c r="O1401" s="123">
        <f t="shared" si="495"/>
        <v>0</v>
      </c>
      <c r="P1401" s="123">
        <f>+_xlfn.XLOOKUP(A1401,PPTO_GENERADOR!Q:Q,PPTO_GENERADOR!E:E,"-",0)</f>
        <v>0</v>
      </c>
      <c r="Q1401" s="123">
        <f t="shared" si="496"/>
        <v>0</v>
      </c>
      <c r="R1401" s="125">
        <f>+_xlfn.XLOOKUP(A1401,PPTO_GENERADOR!$Q:$Q,PPTO_GENERADOR!A:A,"-",0)</f>
        <v>18.100000000000001</v>
      </c>
    </row>
    <row r="1402" spans="1:18" ht="14.25" customHeight="1" x14ac:dyDescent="0.35">
      <c r="A1402" s="105" t="s">
        <v>301</v>
      </c>
      <c r="B1402" s="105" t="s">
        <v>1983</v>
      </c>
      <c r="C1402" s="105"/>
      <c r="D1402" s="105" t="s">
        <v>1311</v>
      </c>
      <c r="E1402" s="95" t="str">
        <f>IFERROR(VLOOKUP(D1402,EQUIPOS!A:B,2,FALSE()),"?")</f>
        <v>ESCALERA GLOSS ALUMINIO ARTICULADA 4 X 4 ESCALONES HASTA 150KG</v>
      </c>
      <c r="F1402" s="129"/>
      <c r="G1402" s="119">
        <v>0.5</v>
      </c>
      <c r="H1402" s="120">
        <v>0</v>
      </c>
      <c r="I1402" s="96">
        <f>IFERROR(VLOOKUP(D1402,EQUIPOS!A:F,6,FALSE()),0)</f>
        <v>152.38027427373819</v>
      </c>
      <c r="J1402" s="31">
        <f t="shared" si="509"/>
        <v>76.190137136869097</v>
      </c>
      <c r="K1402" s="32" t="str">
        <f t="shared" si="507"/>
        <v>PTO-0181|EQ</v>
      </c>
      <c r="L1402" s="32">
        <f>COUNTIFS($K$2:K1402,K1402)</f>
        <v>3</v>
      </c>
      <c r="M1402" s="32" t="str">
        <f t="shared" ref="M1402" si="510">K1402&amp;"|"&amp;L1402</f>
        <v>PTO-0181|EQ|3</v>
      </c>
      <c r="N1402" s="121">
        <f>IFERROR(VLOOKUP(A1402,PARTIDAS!A:F,6,FALSE()),0)</f>
        <v>3.25</v>
      </c>
      <c r="O1402" s="123">
        <f t="shared" si="495"/>
        <v>0</v>
      </c>
      <c r="P1402" s="123">
        <f>+_xlfn.XLOOKUP(A1402,PPTO_GENERADOR!Q:Q,PPTO_GENERADOR!E:E,"-",0)</f>
        <v>0</v>
      </c>
      <c r="Q1402" s="123">
        <f t="shared" si="496"/>
        <v>0</v>
      </c>
      <c r="R1402" s="125">
        <f>+_xlfn.XLOOKUP(A1402,PPTO_GENERADOR!$Q:$Q,PPTO_GENERADOR!A:A,"-",0)</f>
        <v>18.100000000000001</v>
      </c>
    </row>
    <row r="1403" spans="1:18" ht="14.25" customHeight="1" x14ac:dyDescent="0.35">
      <c r="A1403" s="105" t="s">
        <v>303</v>
      </c>
      <c r="B1403" s="105" t="s">
        <v>1979</v>
      </c>
      <c r="C1403" s="105" t="s">
        <v>1982</v>
      </c>
      <c r="D1403" s="105" t="s">
        <v>1604</v>
      </c>
      <c r="E1403" s="95" t="str">
        <f>IFERROR(VLOOKUP(D1403,SUBCONTRATOS_PRY!A:B,2,FALSE()),"?")</f>
        <v>Tablero seccional de 36 a 54 polos</v>
      </c>
      <c r="F1403" s="129" t="s">
        <v>2042</v>
      </c>
      <c r="G1403" s="119">
        <v>1</v>
      </c>
      <c r="H1403" s="120">
        <v>0</v>
      </c>
      <c r="I1403" s="96">
        <f>IFERROR(VLOOKUP(D1403,SUBCONTRATOS_PRY!A:D,4,FALSE()),0)</f>
        <v>434240.1</v>
      </c>
      <c r="J1403" s="31">
        <f>G1403*I1403</f>
        <v>434240.1</v>
      </c>
      <c r="K1403" s="32" t="str">
        <f t="shared" si="507"/>
        <v>PTO-1811|MO</v>
      </c>
      <c r="L1403" s="32">
        <f>COUNTIFS($K$2:K1403,K1403)</f>
        <v>1</v>
      </c>
      <c r="M1403" s="32" t="str">
        <f t="shared" ref="M1403:M1465" si="511">K1403&amp;"|"&amp;L1403</f>
        <v>PTO-1811|MO|1</v>
      </c>
      <c r="N1403" s="121">
        <f>IFERROR(VLOOKUP(A1403,PARTIDAS!A:F,6,FALSE()),0)</f>
        <v>1</v>
      </c>
      <c r="O1403" s="123">
        <f t="shared" si="495"/>
        <v>0</v>
      </c>
      <c r="P1403" s="123">
        <f>+_xlfn.XLOOKUP(A1403,PPTO_GENERADOR!Q:Q,PPTO_GENERADOR!E:E,"-",0)</f>
        <v>1</v>
      </c>
      <c r="Q1403" s="123">
        <f t="shared" si="496"/>
        <v>0</v>
      </c>
      <c r="R1403" s="125">
        <f>+_xlfn.XLOOKUP(A1403,PPTO_GENERADOR!$Q:$Q,PPTO_GENERADOR!A:A,"-",0)</f>
        <v>18.11</v>
      </c>
    </row>
    <row r="1404" spans="1:18" ht="14.25" customHeight="1" x14ac:dyDescent="0.35">
      <c r="A1404" s="105" t="s">
        <v>303</v>
      </c>
      <c r="B1404" s="105" t="s">
        <v>1981</v>
      </c>
      <c r="C1404" s="105" t="s">
        <v>1982</v>
      </c>
      <c r="D1404" s="105" t="s">
        <v>1095</v>
      </c>
      <c r="E1404" s="95" t="str">
        <f>IFERROR(VLOOKUP(D1404,MATERIALES!A:B,2,FALSE()),"?")</f>
        <v>STECK DIFERENCIAL 2X25A 30MA</v>
      </c>
      <c r="F1404" s="129" t="str">
        <f>IFERROR(VLOOKUP(D1404,MATERIALES!A:C,3,FALSE()),"?")</f>
        <v>u</v>
      </c>
      <c r="G1404" s="119">
        <v>2</v>
      </c>
      <c r="H1404" s="120">
        <v>0</v>
      </c>
      <c r="I1404" s="96">
        <f>IFERROR(VLOOKUP(D1404,MATERIALES!A:D,4,FALSE()),0)</f>
        <v>20196.092406751999</v>
      </c>
      <c r="J1404" s="31">
        <f>G1404*I1404*(1+H1404)</f>
        <v>40392.184813503998</v>
      </c>
      <c r="K1404" s="32" t="str">
        <f t="shared" si="507"/>
        <v>PTO-1811|MAT</v>
      </c>
      <c r="L1404" s="32">
        <f>COUNTIFS($K$2:K1404,K1404)</f>
        <v>1</v>
      </c>
      <c r="M1404" s="32" t="str">
        <f t="shared" si="511"/>
        <v>PTO-1811|MAT|1</v>
      </c>
      <c r="N1404" s="121">
        <f>IFERROR(VLOOKUP(A1404,PARTIDAS!A:F,6,FALSE()),0)</f>
        <v>1</v>
      </c>
      <c r="O1404" s="123">
        <f t="shared" si="495"/>
        <v>0</v>
      </c>
      <c r="P1404" s="123">
        <f>+_xlfn.XLOOKUP(A1404,PPTO_GENERADOR!Q:Q,PPTO_GENERADOR!E:E,"-",0)</f>
        <v>1</v>
      </c>
      <c r="Q1404" s="123">
        <f t="shared" si="496"/>
        <v>0</v>
      </c>
      <c r="R1404" s="125">
        <f>+_xlfn.XLOOKUP(A1404,PPTO_GENERADOR!$Q:$Q,PPTO_GENERADOR!A:A,"-",0)</f>
        <v>18.11</v>
      </c>
    </row>
    <row r="1405" spans="1:18" ht="14.25" customHeight="1" x14ac:dyDescent="0.35">
      <c r="A1405" s="105" t="s">
        <v>303</v>
      </c>
      <c r="B1405" s="105" t="s">
        <v>1983</v>
      </c>
      <c r="C1405" s="105"/>
      <c r="D1405" s="105" t="s">
        <v>1425</v>
      </c>
      <c r="E1405" s="95" t="str">
        <f>IFERROR(VLOOKUP(D1405,EQUIPOS!A:B,2,FALSE()),"?")</f>
        <v>Herramientas — Tablero Servicios Generales - TSG</v>
      </c>
      <c r="F1405" s="129"/>
      <c r="G1405" s="119">
        <v>1</v>
      </c>
      <c r="H1405" s="120">
        <v>0</v>
      </c>
      <c r="I1405" s="96">
        <f>IFERROR(VLOOKUP(D1405,EQUIPOS!A:F,6,FALSE()),0)</f>
        <v>27650.867628874701</v>
      </c>
      <c r="J1405" s="31">
        <f>G1405*I1405</f>
        <v>27650.867628874701</v>
      </c>
      <c r="K1405" s="32" t="str">
        <f t="shared" si="507"/>
        <v>PTO-1811|EQ</v>
      </c>
      <c r="L1405" s="32">
        <f>COUNTIFS($K$2:K1405,K1405)</f>
        <v>1</v>
      </c>
      <c r="M1405" s="32" t="str">
        <f t="shared" si="511"/>
        <v>PTO-1811|EQ|1</v>
      </c>
      <c r="N1405" s="121">
        <f>IFERROR(VLOOKUP(A1405,PARTIDAS!A:F,6,FALSE()),0)</f>
        <v>1</v>
      </c>
      <c r="O1405" s="123">
        <f t="shared" si="495"/>
        <v>0</v>
      </c>
      <c r="P1405" s="123">
        <f>+_xlfn.XLOOKUP(A1405,PPTO_GENERADOR!Q:Q,PPTO_GENERADOR!E:E,"-",0)</f>
        <v>1</v>
      </c>
      <c r="Q1405" s="123">
        <f t="shared" si="496"/>
        <v>0</v>
      </c>
      <c r="R1405" s="125">
        <f>+_xlfn.XLOOKUP(A1405,PPTO_GENERADOR!$Q:$Q,PPTO_GENERADOR!A:A,"-",0)</f>
        <v>18.11</v>
      </c>
    </row>
    <row r="1406" spans="1:18" ht="14.25" customHeight="1" x14ac:dyDescent="0.35">
      <c r="A1406" s="105" t="s">
        <v>306</v>
      </c>
      <c r="B1406" s="105" t="s">
        <v>1979</v>
      </c>
      <c r="C1406" s="105" t="s">
        <v>1982</v>
      </c>
      <c r="D1406" s="105" t="s">
        <v>1606</v>
      </c>
      <c r="E1406" s="95" t="str">
        <f>IFERROR(VLOOKUP(D1406,SUBCONTRATOS_PRY!A:B,2,FALSE()),"?")</f>
        <v>Tablero seccional de 8 a 36 polos</v>
      </c>
      <c r="F1406" s="129" t="s">
        <v>2042</v>
      </c>
      <c r="G1406" s="119">
        <v>1</v>
      </c>
      <c r="H1406" s="120">
        <v>0</v>
      </c>
      <c r="I1406" s="96">
        <f>IFERROR(VLOOKUP(D1406,SUBCONTRATOS_PRY!A:D,4,FALSE()),0)</f>
        <v>289506.59999999998</v>
      </c>
      <c r="J1406" s="31">
        <f>G1406*I1406</f>
        <v>289506.59999999998</v>
      </c>
      <c r="K1406" s="32" t="str">
        <f t="shared" si="507"/>
        <v>PTO-1812|MO</v>
      </c>
      <c r="L1406" s="32">
        <f>COUNTIFS($K$2:K1406,K1406)</f>
        <v>1</v>
      </c>
      <c r="M1406" s="32" t="str">
        <f t="shared" si="511"/>
        <v>PTO-1812|MO|1</v>
      </c>
      <c r="N1406" s="121">
        <f>IFERROR(VLOOKUP(A1406,PARTIDAS!A:F,6,FALSE()),0)</f>
        <v>1</v>
      </c>
      <c r="O1406" s="123">
        <f t="shared" si="495"/>
        <v>0</v>
      </c>
      <c r="P1406" s="123">
        <f>+_xlfn.XLOOKUP(A1406,PPTO_GENERADOR!Q:Q,PPTO_GENERADOR!E:E,"-",0)</f>
        <v>1</v>
      </c>
      <c r="Q1406" s="123">
        <f t="shared" si="496"/>
        <v>0</v>
      </c>
      <c r="R1406" s="125">
        <f>+_xlfn.XLOOKUP(A1406,PPTO_GENERADOR!$Q:$Q,PPTO_GENERADOR!A:A,"-",0)</f>
        <v>18.12</v>
      </c>
    </row>
    <row r="1407" spans="1:18" ht="14.25" customHeight="1" x14ac:dyDescent="0.35">
      <c r="A1407" s="105" t="s">
        <v>306</v>
      </c>
      <c r="B1407" s="105" t="s">
        <v>1981</v>
      </c>
      <c r="C1407" s="105" t="s">
        <v>1982</v>
      </c>
      <c r="D1407" s="105" t="s">
        <v>1095</v>
      </c>
      <c r="E1407" s="95" t="str">
        <f>IFERROR(VLOOKUP(D1407,MATERIALES!A:B,2,FALSE()),"?")</f>
        <v>STECK DIFERENCIAL 2X25A 30MA</v>
      </c>
      <c r="F1407" s="129" t="str">
        <f>IFERROR(VLOOKUP(D1407,MATERIALES!A:C,3,FALSE()),"?")</f>
        <v>u</v>
      </c>
      <c r="G1407" s="119">
        <v>1</v>
      </c>
      <c r="H1407" s="120">
        <v>0</v>
      </c>
      <c r="I1407" s="96">
        <f>IFERROR(VLOOKUP(D1407,MATERIALES!A:D,4,FALSE()),0)</f>
        <v>20196.092406751999</v>
      </c>
      <c r="J1407" s="31">
        <f>G1407*I1407*(1+H1407)</f>
        <v>20196.092406751999</v>
      </c>
      <c r="K1407" s="32" t="str">
        <f t="shared" si="507"/>
        <v>PTO-1812|MAT</v>
      </c>
      <c r="L1407" s="32">
        <f>COUNTIFS($K$2:K1407,K1407)</f>
        <v>1</v>
      </c>
      <c r="M1407" s="32" t="str">
        <f t="shared" si="511"/>
        <v>PTO-1812|MAT|1</v>
      </c>
      <c r="N1407" s="121">
        <f>IFERROR(VLOOKUP(A1407,PARTIDAS!A:F,6,FALSE()),0)</f>
        <v>1</v>
      </c>
      <c r="O1407" s="123">
        <f t="shared" si="495"/>
        <v>0</v>
      </c>
      <c r="P1407" s="123">
        <f>+_xlfn.XLOOKUP(A1407,PPTO_GENERADOR!Q:Q,PPTO_GENERADOR!E:E,"-",0)</f>
        <v>1</v>
      </c>
      <c r="Q1407" s="123">
        <f t="shared" si="496"/>
        <v>0</v>
      </c>
      <c r="R1407" s="125">
        <f>+_xlfn.XLOOKUP(A1407,PPTO_GENERADOR!$Q:$Q,PPTO_GENERADOR!A:A,"-",0)</f>
        <v>18.12</v>
      </c>
    </row>
    <row r="1408" spans="1:18" ht="14.25" customHeight="1" x14ac:dyDescent="0.35">
      <c r="A1408" s="105" t="s">
        <v>306</v>
      </c>
      <c r="B1408" s="105" t="s">
        <v>1983</v>
      </c>
      <c r="C1408" s="105"/>
      <c r="D1408" s="105" t="s">
        <v>1427</v>
      </c>
      <c r="E1408" s="95" t="str">
        <f>IFERROR(VLOOKUP(D1408,EQUIPOS!A:B,2,FALSE()),"?")</f>
        <v>Herramientas — Tablero Bombas impulsión - TS BA</v>
      </c>
      <c r="F1408" s="129"/>
      <c r="G1408" s="119">
        <v>1</v>
      </c>
      <c r="H1408" s="120">
        <v>0</v>
      </c>
      <c r="I1408" s="96">
        <f>IFERROR(VLOOKUP(D1408,EQUIPOS!A:F,6,FALSE()),0)</f>
        <v>13500.7040955099</v>
      </c>
      <c r="J1408" s="31">
        <f>G1408*I1408</f>
        <v>13500.7040955099</v>
      </c>
      <c r="K1408" s="32" t="str">
        <f t="shared" si="507"/>
        <v>PTO-1812|EQ</v>
      </c>
      <c r="L1408" s="32">
        <f>COUNTIFS($K$2:K1408,K1408)</f>
        <v>1</v>
      </c>
      <c r="M1408" s="32" t="str">
        <f t="shared" si="511"/>
        <v>PTO-1812|EQ|1</v>
      </c>
      <c r="N1408" s="121">
        <f>IFERROR(VLOOKUP(A1408,PARTIDAS!A:F,6,FALSE()),0)</f>
        <v>1</v>
      </c>
      <c r="O1408" s="123">
        <f t="shared" si="495"/>
        <v>0</v>
      </c>
      <c r="P1408" s="123">
        <f>+_xlfn.XLOOKUP(A1408,PPTO_GENERADOR!Q:Q,PPTO_GENERADOR!E:E,"-",0)</f>
        <v>1</v>
      </c>
      <c r="Q1408" s="123">
        <f t="shared" si="496"/>
        <v>0</v>
      </c>
      <c r="R1408" s="125">
        <f>+_xlfn.XLOOKUP(A1408,PPTO_GENERADOR!$Q:$Q,PPTO_GENERADOR!A:A,"-",0)</f>
        <v>18.12</v>
      </c>
    </row>
    <row r="1409" spans="1:18" ht="14.25" customHeight="1" x14ac:dyDescent="0.35">
      <c r="A1409" s="105" t="s">
        <v>308</v>
      </c>
      <c r="B1409" s="105" t="s">
        <v>1979</v>
      </c>
      <c r="C1409" s="105" t="s">
        <v>1982</v>
      </c>
      <c r="D1409" s="105" t="s">
        <v>1606</v>
      </c>
      <c r="E1409" s="95" t="str">
        <f>IFERROR(VLOOKUP(D1409,SUBCONTRATOS_PRY!A:B,2,FALSE()),"?")</f>
        <v>Tablero seccional de 8 a 36 polos</v>
      </c>
      <c r="F1409" s="129" t="s">
        <v>2042</v>
      </c>
      <c r="G1409" s="119">
        <v>1</v>
      </c>
      <c r="H1409" s="120">
        <v>0</v>
      </c>
      <c r="I1409" s="96">
        <f>IFERROR(VLOOKUP(D1409,SUBCONTRATOS_PRY!A:D,4,FALSE()),0)</f>
        <v>289506.59999999998</v>
      </c>
      <c r="J1409" s="31">
        <f>G1409*I1409</f>
        <v>289506.59999999998</v>
      </c>
      <c r="K1409" s="32" t="str">
        <f t="shared" si="507"/>
        <v>PTO-1813|MO</v>
      </c>
      <c r="L1409" s="32">
        <f>COUNTIFS($K$2:K1409,K1409)</f>
        <v>1</v>
      </c>
      <c r="M1409" s="32" t="str">
        <f t="shared" si="511"/>
        <v>PTO-1813|MO|1</v>
      </c>
      <c r="N1409" s="121">
        <f>IFERROR(VLOOKUP(A1409,PARTIDAS!A:F,6,FALSE()),0)</f>
        <v>1</v>
      </c>
      <c r="O1409" s="123">
        <f t="shared" si="495"/>
        <v>0</v>
      </c>
      <c r="P1409" s="123">
        <f>+_xlfn.XLOOKUP(A1409,PPTO_GENERADOR!Q:Q,PPTO_GENERADOR!E:E,"-",0)</f>
        <v>1</v>
      </c>
      <c r="Q1409" s="123">
        <f t="shared" si="496"/>
        <v>0</v>
      </c>
      <c r="R1409" s="125">
        <f>+_xlfn.XLOOKUP(A1409,PPTO_GENERADOR!$Q:$Q,PPTO_GENERADOR!A:A,"-",0)</f>
        <v>18.13</v>
      </c>
    </row>
    <row r="1410" spans="1:18" ht="14.25" customHeight="1" x14ac:dyDescent="0.35">
      <c r="A1410" s="105" t="s">
        <v>308</v>
      </c>
      <c r="B1410" s="105" t="s">
        <v>1981</v>
      </c>
      <c r="C1410" s="105" t="s">
        <v>1982</v>
      </c>
      <c r="D1410" s="105" t="s">
        <v>1105</v>
      </c>
      <c r="E1410" s="95" t="str">
        <f>IFERROR(VLOOKUP(D1410,MATERIALES!A:B,2,FALSE()),"?")</f>
        <v>STECK TM TETRAPOLAR 32A 6KA</v>
      </c>
      <c r="F1410" s="129" t="str">
        <f>IFERROR(VLOOKUP(D1410,MATERIALES!A:C,3,FALSE()),"?")</f>
        <v>u</v>
      </c>
      <c r="G1410" s="119">
        <v>2</v>
      </c>
      <c r="H1410" s="120">
        <v>0</v>
      </c>
      <c r="I1410" s="96">
        <f>IFERROR(VLOOKUP(D1410,MATERIALES!A:D,4,FALSE()),0)</f>
        <v>12011.3461770173</v>
      </c>
      <c r="J1410" s="31">
        <f>G1410*I1410*(1+H1410)</f>
        <v>24022.6923540346</v>
      </c>
      <c r="K1410" s="32" t="str">
        <f t="shared" si="507"/>
        <v>PTO-1813|MAT</v>
      </c>
      <c r="L1410" s="32">
        <f>COUNTIFS($K$2:K1410,K1410)</f>
        <v>1</v>
      </c>
      <c r="M1410" s="32" t="str">
        <f t="shared" si="511"/>
        <v>PTO-1813|MAT|1</v>
      </c>
      <c r="N1410" s="121">
        <f>IFERROR(VLOOKUP(A1410,PARTIDAS!A:F,6,FALSE()),0)</f>
        <v>1</v>
      </c>
      <c r="O1410" s="123">
        <f t="shared" si="495"/>
        <v>0</v>
      </c>
      <c r="P1410" s="123">
        <f>+_xlfn.XLOOKUP(A1410,PPTO_GENERADOR!Q:Q,PPTO_GENERADOR!E:E,"-",0)</f>
        <v>1</v>
      </c>
      <c r="Q1410" s="123">
        <f t="shared" si="496"/>
        <v>0</v>
      </c>
      <c r="R1410" s="125">
        <f>+_xlfn.XLOOKUP(A1410,PPTO_GENERADOR!$Q:$Q,PPTO_GENERADOR!A:A,"-",0)</f>
        <v>18.13</v>
      </c>
    </row>
    <row r="1411" spans="1:18" ht="14.25" customHeight="1" x14ac:dyDescent="0.35">
      <c r="A1411" s="105" t="s">
        <v>308</v>
      </c>
      <c r="B1411" s="105" t="s">
        <v>1983</v>
      </c>
      <c r="C1411" s="105"/>
      <c r="D1411" s="105" t="s">
        <v>1429</v>
      </c>
      <c r="E1411" s="95" t="str">
        <f>IFERROR(VLOOKUP(D1411,EQUIPOS!A:B,2,FALSE()),"?")</f>
        <v>Herramientas — Tablero Seccional Ascensor - TS ASC</v>
      </c>
      <c r="F1411" s="129"/>
      <c r="G1411" s="119">
        <v>1</v>
      </c>
      <c r="H1411" s="120">
        <v>0</v>
      </c>
      <c r="I1411" s="96">
        <f>IFERROR(VLOOKUP(D1411,EQUIPOS!A:F,6,FALSE()),0)</f>
        <v>8705.7989624149104</v>
      </c>
      <c r="J1411" s="31">
        <f>G1411*I1411</f>
        <v>8705.7989624149104</v>
      </c>
      <c r="K1411" s="32" t="str">
        <f t="shared" si="507"/>
        <v>PTO-1813|EQ</v>
      </c>
      <c r="L1411" s="32">
        <f>COUNTIFS($K$2:K1411,K1411)</f>
        <v>1</v>
      </c>
      <c r="M1411" s="32" t="str">
        <f t="shared" si="511"/>
        <v>PTO-1813|EQ|1</v>
      </c>
      <c r="N1411" s="121">
        <f>IFERROR(VLOOKUP(A1411,PARTIDAS!A:F,6,FALSE()),0)</f>
        <v>1</v>
      </c>
      <c r="O1411" s="123">
        <f t="shared" ref="O1411:O1474" si="512">+IF(C1411="ALB",G1411/N1411,0)</f>
        <v>0</v>
      </c>
      <c r="P1411" s="123">
        <f>+_xlfn.XLOOKUP(A1411,PPTO_GENERADOR!Q:Q,PPTO_GENERADOR!E:E,"-",0)</f>
        <v>1</v>
      </c>
      <c r="Q1411" s="123">
        <f t="shared" ref="Q1411:Q1474" si="513">IFERROR(P1411*O1411,0)</f>
        <v>0</v>
      </c>
      <c r="R1411" s="125">
        <f>+_xlfn.XLOOKUP(A1411,PPTO_GENERADOR!$Q:$Q,PPTO_GENERADOR!A:A,"-",0)</f>
        <v>18.13</v>
      </c>
    </row>
    <row r="1412" spans="1:18" ht="14.25" customHeight="1" x14ac:dyDescent="0.35">
      <c r="A1412" s="105" t="s">
        <v>310</v>
      </c>
      <c r="B1412" s="105" t="s">
        <v>1979</v>
      </c>
      <c r="C1412" s="105" t="s">
        <v>1982</v>
      </c>
      <c r="D1412" s="105" t="s">
        <v>1606</v>
      </c>
      <c r="E1412" s="95" t="str">
        <f>IFERROR(VLOOKUP(D1412,SUBCONTRATOS_PRY!A:B,2,FALSE()),"?")</f>
        <v>Tablero seccional de 8 a 36 polos</v>
      </c>
      <c r="F1412" s="129" t="s">
        <v>2042</v>
      </c>
      <c r="G1412" s="119">
        <v>1</v>
      </c>
      <c r="H1412" s="120">
        <v>0</v>
      </c>
      <c r="I1412" s="96">
        <f>IFERROR(VLOOKUP(D1412,SUBCONTRATOS_PRY!A:D,4,FALSE()),0)</f>
        <v>289506.59999999998</v>
      </c>
      <c r="J1412" s="31">
        <f>G1412*I1412</f>
        <v>289506.59999999998</v>
      </c>
      <c r="K1412" s="32" t="str">
        <f t="shared" si="507"/>
        <v>PTO-1814|MO</v>
      </c>
      <c r="L1412" s="32">
        <f>COUNTIFS($K$2:K1412,K1412)</f>
        <v>1</v>
      </c>
      <c r="M1412" s="32" t="str">
        <f t="shared" si="511"/>
        <v>PTO-1814|MO|1</v>
      </c>
      <c r="N1412" s="121">
        <f>IFERROR(VLOOKUP(A1412,PARTIDAS!A:F,6,FALSE()),0)</f>
        <v>1</v>
      </c>
      <c r="O1412" s="123">
        <f t="shared" si="512"/>
        <v>0</v>
      </c>
      <c r="P1412" s="123">
        <f>+_xlfn.XLOOKUP(A1412,PPTO_GENERADOR!Q:Q,PPTO_GENERADOR!E:E,"-",0)</f>
        <v>1</v>
      </c>
      <c r="Q1412" s="123">
        <f t="shared" si="513"/>
        <v>0</v>
      </c>
      <c r="R1412" s="125">
        <f>+_xlfn.XLOOKUP(A1412,PPTO_GENERADOR!$Q:$Q,PPTO_GENERADOR!A:A,"-",0)</f>
        <v>18.14</v>
      </c>
    </row>
    <row r="1413" spans="1:18" ht="14.25" customHeight="1" x14ac:dyDescent="0.35">
      <c r="A1413" s="105" t="s">
        <v>310</v>
      </c>
      <c r="B1413" s="105" t="s">
        <v>1981</v>
      </c>
      <c r="C1413" s="105" t="s">
        <v>1982</v>
      </c>
      <c r="D1413" s="105" t="s">
        <v>1103</v>
      </c>
      <c r="E1413" s="95" t="str">
        <f>IFERROR(VLOOKUP(D1413,MATERIALES!A:B,2,FALSE()),"?")</f>
        <v>STECK TM BIPOLAR 16A 6KA</v>
      </c>
      <c r="F1413" s="129" t="str">
        <f>IFERROR(VLOOKUP(D1413,MATERIALES!A:C,3,FALSE()),"?")</f>
        <v>u</v>
      </c>
      <c r="G1413" s="119">
        <v>2</v>
      </c>
      <c r="H1413" s="120">
        <v>0</v>
      </c>
      <c r="I1413" s="96">
        <f>IFERROR(VLOOKUP(D1413,MATERIALES!A:D,4,FALSE()),0)</f>
        <v>5688.7390030904999</v>
      </c>
      <c r="J1413" s="31">
        <f>G1413*I1413*(1+H1413)</f>
        <v>11377.478006181</v>
      </c>
      <c r="K1413" s="32" t="str">
        <f t="shared" si="507"/>
        <v>PTO-1814|MAT</v>
      </c>
      <c r="L1413" s="32">
        <f>COUNTIFS($K$2:K1413,K1413)</f>
        <v>1</v>
      </c>
      <c r="M1413" s="32" t="str">
        <f t="shared" si="511"/>
        <v>PTO-1814|MAT|1</v>
      </c>
      <c r="N1413" s="121">
        <f>IFERROR(VLOOKUP(A1413,PARTIDAS!A:F,6,FALSE()),0)</f>
        <v>1</v>
      </c>
      <c r="O1413" s="123">
        <f t="shared" si="512"/>
        <v>0</v>
      </c>
      <c r="P1413" s="123">
        <f>+_xlfn.XLOOKUP(A1413,PPTO_GENERADOR!Q:Q,PPTO_GENERADOR!E:E,"-",0)</f>
        <v>1</v>
      </c>
      <c r="Q1413" s="123">
        <f t="shared" si="513"/>
        <v>0</v>
      </c>
      <c r="R1413" s="125">
        <f>+_xlfn.XLOOKUP(A1413,PPTO_GENERADOR!$Q:$Q,PPTO_GENERADOR!A:A,"-",0)</f>
        <v>18.14</v>
      </c>
    </row>
    <row r="1414" spans="1:18" ht="14.25" customHeight="1" x14ac:dyDescent="0.35">
      <c r="A1414" s="105" t="s">
        <v>310</v>
      </c>
      <c r="B1414" s="105" t="s">
        <v>1983</v>
      </c>
      <c r="C1414" s="105"/>
      <c r="D1414" s="105" t="s">
        <v>1431</v>
      </c>
      <c r="E1414" s="95" t="str">
        <f>IFERROR(VLOOKUP(D1414,EQUIPOS!A:B,2,FALSE()),"?")</f>
        <v>Herramientas — Tablero de Bomba presurizadora - TS BOMB</v>
      </c>
      <c r="F1414" s="129"/>
      <c r="G1414" s="119">
        <v>1</v>
      </c>
      <c r="H1414" s="120">
        <v>0</v>
      </c>
      <c r="I1414" s="96">
        <f>IFERROR(VLOOKUP(D1414,EQUIPOS!A:F,6,FALSE()),0)</f>
        <v>11886.9640402859</v>
      </c>
      <c r="J1414" s="31">
        <f>G1414*I1414</f>
        <v>11886.9640402859</v>
      </c>
      <c r="K1414" s="32" t="str">
        <f t="shared" si="507"/>
        <v>PTO-1814|EQ</v>
      </c>
      <c r="L1414" s="32">
        <f>COUNTIFS($K$2:K1414,K1414)</f>
        <v>1</v>
      </c>
      <c r="M1414" s="32" t="str">
        <f t="shared" si="511"/>
        <v>PTO-1814|EQ|1</v>
      </c>
      <c r="N1414" s="121">
        <f>IFERROR(VLOOKUP(A1414,PARTIDAS!A:F,6,FALSE()),0)</f>
        <v>1</v>
      </c>
      <c r="O1414" s="123">
        <f t="shared" si="512"/>
        <v>0</v>
      </c>
      <c r="P1414" s="123">
        <f>+_xlfn.XLOOKUP(A1414,PPTO_GENERADOR!Q:Q,PPTO_GENERADOR!E:E,"-",0)</f>
        <v>1</v>
      </c>
      <c r="Q1414" s="123">
        <f t="shared" si="513"/>
        <v>0</v>
      </c>
      <c r="R1414" s="125">
        <f>+_xlfn.XLOOKUP(A1414,PPTO_GENERADOR!$Q:$Q,PPTO_GENERADOR!A:A,"-",0)</f>
        <v>18.14</v>
      </c>
    </row>
    <row r="1415" spans="1:18" ht="14.25" customHeight="1" x14ac:dyDescent="0.35">
      <c r="A1415" s="105" t="s">
        <v>312</v>
      </c>
      <c r="B1415" s="105" t="s">
        <v>1979</v>
      </c>
      <c r="C1415" s="105" t="s">
        <v>1982</v>
      </c>
      <c r="D1415" s="105" t="s">
        <v>1606</v>
      </c>
      <c r="E1415" s="95" t="str">
        <f>IFERROR(VLOOKUP(D1415,SUBCONTRATOS_PRY!A:B,2,FALSE()),"?")</f>
        <v>Tablero seccional de 8 a 36 polos</v>
      </c>
      <c r="F1415" s="129" t="s">
        <v>2042</v>
      </c>
      <c r="G1415" s="119">
        <v>1</v>
      </c>
      <c r="H1415" s="120">
        <v>0</v>
      </c>
      <c r="I1415" s="96">
        <f>IFERROR(VLOOKUP(D1415,SUBCONTRATOS_PRY!A:D,4,FALSE()),0)</f>
        <v>289506.59999999998</v>
      </c>
      <c r="J1415" s="31">
        <f>G1415*I1415</f>
        <v>289506.59999999998</v>
      </c>
      <c r="K1415" s="32" t="str">
        <f t="shared" si="507"/>
        <v>PTO-1815|MO</v>
      </c>
      <c r="L1415" s="32">
        <f>COUNTIFS($K$2:K1415,K1415)</f>
        <v>1</v>
      </c>
      <c r="M1415" s="32" t="str">
        <f t="shared" si="511"/>
        <v>PTO-1815|MO|1</v>
      </c>
      <c r="N1415" s="121">
        <f>IFERROR(VLOOKUP(A1415,PARTIDAS!A:F,6,FALSE()),0)</f>
        <v>1</v>
      </c>
      <c r="O1415" s="123">
        <f t="shared" si="512"/>
        <v>0</v>
      </c>
      <c r="P1415" s="123">
        <f>+_xlfn.XLOOKUP(A1415,PPTO_GENERADOR!Q:Q,PPTO_GENERADOR!E:E,"-",0)</f>
        <v>11</v>
      </c>
      <c r="Q1415" s="123">
        <f t="shared" si="513"/>
        <v>0</v>
      </c>
      <c r="R1415" s="125">
        <f>+_xlfn.XLOOKUP(A1415,PPTO_GENERADOR!$Q:$Q,PPTO_GENERADOR!A:A,"-",0)</f>
        <v>18.149999999999999</v>
      </c>
    </row>
    <row r="1416" spans="1:18" ht="14.25" customHeight="1" x14ac:dyDescent="0.35">
      <c r="A1416" s="105" t="s">
        <v>312</v>
      </c>
      <c r="B1416" s="105" t="s">
        <v>1981</v>
      </c>
      <c r="C1416" s="105" t="s">
        <v>1982</v>
      </c>
      <c r="D1416" s="105" t="s">
        <v>1101</v>
      </c>
      <c r="E1416" s="95" t="str">
        <f>IFERROR(VLOOKUP(D1416,MATERIALES!A:B,2,FALSE()),"?")</f>
        <v>STECK TM BIPOLAR 10A 6KA</v>
      </c>
      <c r="F1416" s="129" t="str">
        <f>IFERROR(VLOOKUP(D1416,MATERIALES!A:C,3,FALSE()),"?")</f>
        <v>u</v>
      </c>
      <c r="G1416" s="119">
        <v>1</v>
      </c>
      <c r="H1416" s="120">
        <v>0</v>
      </c>
      <c r="I1416" s="96">
        <f>IFERROR(VLOOKUP(D1416,MATERIALES!A:D,4,FALSE()),0)</f>
        <v>5688.7390030904999</v>
      </c>
      <c r="J1416" s="31">
        <f>G1416*I1416*(1+H1416)</f>
        <v>5688.7390030904999</v>
      </c>
      <c r="K1416" s="32" t="str">
        <f t="shared" si="507"/>
        <v>PTO-1815|MAT</v>
      </c>
      <c r="L1416" s="32">
        <f>COUNTIFS($K$2:K1416,K1416)</f>
        <v>1</v>
      </c>
      <c r="M1416" s="32" t="str">
        <f t="shared" si="511"/>
        <v>PTO-1815|MAT|1</v>
      </c>
      <c r="N1416" s="121">
        <f>IFERROR(VLOOKUP(A1416,PARTIDAS!A:F,6,FALSE()),0)</f>
        <v>1</v>
      </c>
      <c r="O1416" s="123">
        <f t="shared" si="512"/>
        <v>0</v>
      </c>
      <c r="P1416" s="123">
        <f>+_xlfn.XLOOKUP(A1416,PPTO_GENERADOR!Q:Q,PPTO_GENERADOR!E:E,"-",0)</f>
        <v>11</v>
      </c>
      <c r="Q1416" s="123">
        <f t="shared" si="513"/>
        <v>0</v>
      </c>
      <c r="R1416" s="125">
        <f>+_xlfn.XLOOKUP(A1416,PPTO_GENERADOR!$Q:$Q,PPTO_GENERADOR!A:A,"-",0)</f>
        <v>18.149999999999999</v>
      </c>
    </row>
    <row r="1417" spans="1:18" ht="14.25" customHeight="1" x14ac:dyDescent="0.35">
      <c r="A1417" s="105" t="s">
        <v>312</v>
      </c>
      <c r="B1417" s="105" t="s">
        <v>1983</v>
      </c>
      <c r="C1417" s="105"/>
      <c r="D1417" s="105" t="s">
        <v>1433</v>
      </c>
      <c r="E1417" s="95" t="str">
        <f>IFERROR(VLOOKUP(D1417,EQUIPOS!A:B,2,FALSE()),"?")</f>
        <v>Herramientas — Tablero de UF - Monofasico</v>
      </c>
      <c r="F1417" s="129"/>
      <c r="G1417" s="119">
        <v>1</v>
      </c>
      <c r="H1417" s="120">
        <v>0</v>
      </c>
      <c r="I1417" s="96">
        <f>IFERROR(VLOOKUP(D1417,EQUIPOS!A:F,6,FALSE()),0)</f>
        <v>6390.5096158082797</v>
      </c>
      <c r="J1417" s="31">
        <f>G1417*I1417</f>
        <v>6390.5096158082797</v>
      </c>
      <c r="K1417" s="32" t="str">
        <f t="shared" si="507"/>
        <v>PTO-1815|EQ</v>
      </c>
      <c r="L1417" s="32">
        <f>COUNTIFS($K$2:K1417,K1417)</f>
        <v>1</v>
      </c>
      <c r="M1417" s="32" t="str">
        <f t="shared" si="511"/>
        <v>PTO-1815|EQ|1</v>
      </c>
      <c r="N1417" s="121">
        <f>IFERROR(VLOOKUP(A1417,PARTIDAS!A:F,6,FALSE()),0)</f>
        <v>1</v>
      </c>
      <c r="O1417" s="123">
        <f t="shared" si="512"/>
        <v>0</v>
      </c>
      <c r="P1417" s="123">
        <f>+_xlfn.XLOOKUP(A1417,PPTO_GENERADOR!Q:Q,PPTO_GENERADOR!E:E,"-",0)</f>
        <v>11</v>
      </c>
      <c r="Q1417" s="123">
        <f t="shared" si="513"/>
        <v>0</v>
      </c>
      <c r="R1417" s="125">
        <f>+_xlfn.XLOOKUP(A1417,PPTO_GENERADOR!$Q:$Q,PPTO_GENERADOR!A:A,"-",0)</f>
        <v>18.149999999999999</v>
      </c>
    </row>
    <row r="1418" spans="1:18" ht="14.25" customHeight="1" x14ac:dyDescent="0.35">
      <c r="A1418" s="105" t="s">
        <v>314</v>
      </c>
      <c r="B1418" s="105" t="s">
        <v>1979</v>
      </c>
      <c r="C1418" s="105" t="s">
        <v>1982</v>
      </c>
      <c r="D1418" s="105" t="s">
        <v>1606</v>
      </c>
      <c r="E1418" s="95" t="str">
        <f>IFERROR(VLOOKUP(D1418,SUBCONTRATOS_PRY!A:B,2,FALSE()),"?")</f>
        <v>Tablero seccional de 8 a 36 polos</v>
      </c>
      <c r="F1418" s="129" t="s">
        <v>2042</v>
      </c>
      <c r="G1418" s="119">
        <v>1</v>
      </c>
      <c r="H1418" s="120">
        <v>0</v>
      </c>
      <c r="I1418" s="96">
        <f>IFERROR(VLOOKUP(D1418,SUBCONTRATOS_PRY!A:D,4,FALSE()),0)</f>
        <v>289506.59999999998</v>
      </c>
      <c r="J1418" s="31">
        <f>G1418*I1418</f>
        <v>289506.59999999998</v>
      </c>
      <c r="K1418" s="32" t="str">
        <f t="shared" si="507"/>
        <v>PTO-1816|MO</v>
      </c>
      <c r="L1418" s="32">
        <f>COUNTIFS($K$2:K1418,K1418)</f>
        <v>1</v>
      </c>
      <c r="M1418" s="32" t="str">
        <f t="shared" si="511"/>
        <v>PTO-1816|MO|1</v>
      </c>
      <c r="N1418" s="121">
        <f>IFERROR(VLOOKUP(A1418,PARTIDAS!A:F,6,FALSE()),0)</f>
        <v>1</v>
      </c>
      <c r="O1418" s="123">
        <f t="shared" si="512"/>
        <v>0</v>
      </c>
      <c r="P1418" s="123">
        <f>+_xlfn.XLOOKUP(A1418,PPTO_GENERADOR!Q:Q,PPTO_GENERADOR!E:E,"-",0)</f>
        <v>14</v>
      </c>
      <c r="Q1418" s="123">
        <f t="shared" si="513"/>
        <v>0</v>
      </c>
      <c r="R1418" s="125">
        <f>+_xlfn.XLOOKUP(A1418,PPTO_GENERADOR!$Q:$Q,PPTO_GENERADOR!A:A,"-",0)</f>
        <v>18.16</v>
      </c>
    </row>
    <row r="1419" spans="1:18" ht="14.25" customHeight="1" x14ac:dyDescent="0.35">
      <c r="A1419" s="105" t="s">
        <v>314</v>
      </c>
      <c r="B1419" s="105" t="s">
        <v>1981</v>
      </c>
      <c r="C1419" s="105" t="s">
        <v>1982</v>
      </c>
      <c r="D1419" s="105" t="s">
        <v>1097</v>
      </c>
      <c r="E1419" s="95" t="str">
        <f>IFERROR(VLOOKUP(D1419,MATERIALES!A:B,2,FALSE()),"?")</f>
        <v>STECK DIFERENCIAL 4X40A 30MA</v>
      </c>
      <c r="F1419" s="129" t="str">
        <f>IFERROR(VLOOKUP(D1419,MATERIALES!A:C,3,FALSE()),"?")</f>
        <v>u</v>
      </c>
      <c r="G1419" s="119">
        <v>1</v>
      </c>
      <c r="H1419" s="120">
        <v>0</v>
      </c>
      <c r="I1419" s="96">
        <f>IFERROR(VLOOKUP(D1419,MATERIALES!A:D,4,FALSE()),0)</f>
        <v>38605.985559603403</v>
      </c>
      <c r="J1419" s="31">
        <f>G1419*I1419*(1+H1419)</f>
        <v>38605.985559603403</v>
      </c>
      <c r="K1419" s="32" t="str">
        <f t="shared" si="507"/>
        <v>PTO-1816|MAT</v>
      </c>
      <c r="L1419" s="32">
        <f>COUNTIFS($K$2:K1419,K1419)</f>
        <v>1</v>
      </c>
      <c r="M1419" s="32" t="str">
        <f t="shared" si="511"/>
        <v>PTO-1816|MAT|1</v>
      </c>
      <c r="N1419" s="121">
        <f>IFERROR(VLOOKUP(A1419,PARTIDAS!A:F,6,FALSE()),0)</f>
        <v>1</v>
      </c>
      <c r="O1419" s="123">
        <f t="shared" si="512"/>
        <v>0</v>
      </c>
      <c r="P1419" s="123">
        <f>+_xlfn.XLOOKUP(A1419,PPTO_GENERADOR!Q:Q,PPTO_GENERADOR!E:E,"-",0)</f>
        <v>14</v>
      </c>
      <c r="Q1419" s="123">
        <f t="shared" si="513"/>
        <v>0</v>
      </c>
      <c r="R1419" s="125">
        <f>+_xlfn.XLOOKUP(A1419,PPTO_GENERADOR!$Q:$Q,PPTO_GENERADOR!A:A,"-",0)</f>
        <v>18.16</v>
      </c>
    </row>
    <row r="1420" spans="1:18" ht="14.25" customHeight="1" x14ac:dyDescent="0.35">
      <c r="A1420" s="105" t="s">
        <v>314</v>
      </c>
      <c r="B1420" s="105" t="s">
        <v>1983</v>
      </c>
      <c r="C1420" s="105"/>
      <c r="D1420" s="105" t="s">
        <v>1435</v>
      </c>
      <c r="E1420" s="95" t="str">
        <f>IFERROR(VLOOKUP(D1420,EQUIPOS!A:B,2,FALSE()),"?")</f>
        <v>Herramientas — Tablero de UF - Trifasico</v>
      </c>
      <c r="F1420" s="129"/>
      <c r="G1420" s="119">
        <v>1</v>
      </c>
      <c r="H1420" s="120">
        <v>0</v>
      </c>
      <c r="I1420" s="96">
        <f>IFERROR(VLOOKUP(D1420,EQUIPOS!A:F,6,FALSE()),0)</f>
        <v>7507.2881701155102</v>
      </c>
      <c r="J1420" s="31">
        <f>G1420*I1420</f>
        <v>7507.2881701155102</v>
      </c>
      <c r="K1420" s="32" t="str">
        <f t="shared" si="507"/>
        <v>PTO-1816|EQ</v>
      </c>
      <c r="L1420" s="32">
        <f>COUNTIFS($K$2:K1420,K1420)</f>
        <v>1</v>
      </c>
      <c r="M1420" s="32" t="str">
        <f t="shared" si="511"/>
        <v>PTO-1816|EQ|1</v>
      </c>
      <c r="N1420" s="121">
        <f>IFERROR(VLOOKUP(A1420,PARTIDAS!A:F,6,FALSE()),0)</f>
        <v>1</v>
      </c>
      <c r="O1420" s="123">
        <f t="shared" si="512"/>
        <v>0</v>
      </c>
      <c r="P1420" s="123">
        <f>+_xlfn.XLOOKUP(A1420,PPTO_GENERADOR!Q:Q,PPTO_GENERADOR!E:E,"-",0)</f>
        <v>14</v>
      </c>
      <c r="Q1420" s="123">
        <f t="shared" si="513"/>
        <v>0</v>
      </c>
      <c r="R1420" s="125">
        <f>+_xlfn.XLOOKUP(A1420,PPTO_GENERADOR!$Q:$Q,PPTO_GENERADOR!A:A,"-",0)</f>
        <v>18.16</v>
      </c>
    </row>
    <row r="1421" spans="1:18" ht="14.25" customHeight="1" x14ac:dyDescent="0.35">
      <c r="A1421" s="105" t="s">
        <v>316</v>
      </c>
      <c r="B1421" s="105" t="s">
        <v>1981</v>
      </c>
      <c r="C1421" s="105" t="s">
        <v>1982</v>
      </c>
      <c r="D1421" s="105" t="s">
        <v>798</v>
      </c>
      <c r="E1421" s="95" t="str">
        <f>IFERROR(VLOOKUP(D1421,MATERIALES!A:B,2,FALSE()),"?")</f>
        <v>Materiales</v>
      </c>
      <c r="F1421" s="129" t="str">
        <f>IFERROR(VLOOKUP(D1421,MATERIALES!A:C,3,FALSE()),"?")</f>
        <v>u</v>
      </c>
      <c r="G1421" s="119">
        <v>1</v>
      </c>
      <c r="H1421" s="120">
        <v>0</v>
      </c>
      <c r="I1421" s="96">
        <f>IFERROR(VLOOKUP(D1421,MATERIALES!A:D,4,FALSE()),0)</f>
        <v>6941648.2775357002</v>
      </c>
      <c r="J1421" s="31">
        <f>G1421*I1421*(1+H1421)</f>
        <v>6941648.2775357002</v>
      </c>
      <c r="K1421" s="32" t="str">
        <f t="shared" si="507"/>
        <v>PTO-1817|MAT</v>
      </c>
      <c r="L1421" s="32">
        <f>COUNTIFS($K$2:K1421,K1421)</f>
        <v>1</v>
      </c>
      <c r="M1421" s="32" t="str">
        <f t="shared" si="511"/>
        <v>PTO-1817|MAT|1</v>
      </c>
      <c r="N1421" s="121">
        <f>IFERROR(VLOOKUP(A1421,PARTIDAS!A:F,6,FALSE()),0)</f>
        <v>1</v>
      </c>
      <c r="O1421" s="123">
        <f t="shared" si="512"/>
        <v>0</v>
      </c>
      <c r="P1421" s="123">
        <f>+_xlfn.XLOOKUP(A1421,PPTO_GENERADOR!Q:Q,PPTO_GENERADOR!E:E,"-",0)</f>
        <v>1</v>
      </c>
      <c r="Q1421" s="123">
        <f t="shared" si="513"/>
        <v>0</v>
      </c>
      <c r="R1421" s="125">
        <f>+_xlfn.XLOOKUP(A1421,PPTO_GENERADOR!$Q:$Q,PPTO_GENERADOR!A:A,"-",0)</f>
        <v>18.170000000000002</v>
      </c>
    </row>
    <row r="1422" spans="1:18" ht="14.25" customHeight="1" x14ac:dyDescent="0.35">
      <c r="A1422" s="105" t="s">
        <v>316</v>
      </c>
      <c r="B1422" s="105" t="s">
        <v>1979</v>
      </c>
      <c r="C1422" s="105" t="s">
        <v>1980</v>
      </c>
      <c r="D1422" s="105" t="s">
        <v>1292</v>
      </c>
      <c r="E1422" s="95" t="str">
        <f>IFERROR(VLOOKUP(D1422,MANO_DE_OBRA!A:B,2,FALSE()),"?")</f>
        <v>ESPECIALIZADO</v>
      </c>
      <c r="F1422" s="129" t="s">
        <v>2042</v>
      </c>
      <c r="G1422" s="119">
        <v>14</v>
      </c>
      <c r="H1422" s="120">
        <v>0</v>
      </c>
      <c r="I1422" s="96">
        <f>IFERROR(VLOOKUP(D1422,MANO_DE_OBRA!A:C,3,FALSE()),0)</f>
        <v>94177.137883538904</v>
      </c>
      <c r="J1422" s="31">
        <f t="shared" ref="J1422:J1424" si="514">G1422*I1422</f>
        <v>1318479.9303695448</v>
      </c>
      <c r="K1422" s="32" t="str">
        <f t="shared" si="507"/>
        <v>PTO-1817|MO</v>
      </c>
      <c r="L1422" s="32">
        <f>COUNTIFS($K$2:K1422,K1422)</f>
        <v>1</v>
      </c>
      <c r="M1422" s="32" t="str">
        <f t="shared" si="511"/>
        <v>PTO-1817|MO|1</v>
      </c>
      <c r="N1422" s="121">
        <f>IFERROR(VLOOKUP(A1422,PARTIDAS!A:F,6,FALSE()),0)</f>
        <v>1</v>
      </c>
      <c r="O1422" s="123">
        <f t="shared" si="512"/>
        <v>14</v>
      </c>
      <c r="P1422" s="123">
        <f>+_xlfn.XLOOKUP(A1422,PPTO_GENERADOR!Q:Q,PPTO_GENERADOR!E:E,"-",0)</f>
        <v>1</v>
      </c>
      <c r="Q1422" s="123">
        <f t="shared" si="513"/>
        <v>14</v>
      </c>
      <c r="R1422" s="125">
        <f>+_xlfn.XLOOKUP(A1422,PPTO_GENERADOR!$Q:$Q,PPTO_GENERADOR!A:A,"-",0)</f>
        <v>18.170000000000002</v>
      </c>
    </row>
    <row r="1423" spans="1:18" ht="14.25" customHeight="1" x14ac:dyDescent="0.35">
      <c r="A1423" s="105" t="s">
        <v>316</v>
      </c>
      <c r="B1423" s="105" t="s">
        <v>1979</v>
      </c>
      <c r="C1423" s="105" t="s">
        <v>1980</v>
      </c>
      <c r="D1423" s="105" t="s">
        <v>1288</v>
      </c>
      <c r="E1423" s="95" t="str">
        <f>IFERROR(VLOOKUP(D1423,MANO_DE_OBRA!A:B,2,FALSE()),"?")</f>
        <v>MEDIO OFICIAL</v>
      </c>
      <c r="F1423" s="129" t="s">
        <v>2042</v>
      </c>
      <c r="G1423" s="119">
        <v>14</v>
      </c>
      <c r="H1423" s="120">
        <v>0</v>
      </c>
      <c r="I1423" s="96">
        <f>IFERROR(VLOOKUP(D1423,MANO_DE_OBRA!A:C,3,FALSE()),0)</f>
        <v>72132.138365590101</v>
      </c>
      <c r="J1423" s="31">
        <f t="shared" si="514"/>
        <v>1009849.9371182614</v>
      </c>
      <c r="K1423" s="32" t="str">
        <f t="shared" si="507"/>
        <v>PTO-1817|MO</v>
      </c>
      <c r="L1423" s="32">
        <f>COUNTIFS($K$2:K1423,K1423)</f>
        <v>2</v>
      </c>
      <c r="M1423" s="32" t="str">
        <f t="shared" si="511"/>
        <v>PTO-1817|MO|2</v>
      </c>
      <c r="N1423" s="121">
        <f>IFERROR(VLOOKUP(A1423,PARTIDAS!A:F,6,FALSE()),0)</f>
        <v>1</v>
      </c>
      <c r="O1423" s="123">
        <f t="shared" si="512"/>
        <v>14</v>
      </c>
      <c r="P1423" s="123">
        <f>+_xlfn.XLOOKUP(A1423,PPTO_GENERADOR!Q:Q,PPTO_GENERADOR!E:E,"-",0)</f>
        <v>1</v>
      </c>
      <c r="Q1423" s="123">
        <f t="shared" si="513"/>
        <v>14</v>
      </c>
      <c r="R1423" s="125">
        <f>+_xlfn.XLOOKUP(A1423,PPTO_GENERADOR!$Q:$Q,PPTO_GENERADOR!A:A,"-",0)</f>
        <v>18.170000000000002</v>
      </c>
    </row>
    <row r="1424" spans="1:18" ht="14.25" customHeight="1" x14ac:dyDescent="0.35">
      <c r="A1424" s="105" t="s">
        <v>316</v>
      </c>
      <c r="B1424" s="105" t="s">
        <v>1979</v>
      </c>
      <c r="C1424" s="105" t="s">
        <v>1980</v>
      </c>
      <c r="D1424" s="105" t="s">
        <v>2038</v>
      </c>
      <c r="E1424" s="95" t="str">
        <f>IFERROR(VLOOKUP(D1424,MANO_DE_OBRA!A:B,2,FALSE()),"?")</f>
        <v>AYUDANTE</v>
      </c>
      <c r="F1424" s="129" t="s">
        <v>2042</v>
      </c>
      <c r="G1424" s="119">
        <v>14</v>
      </c>
      <c r="H1424" s="120">
        <v>0</v>
      </c>
      <c r="I1424" s="96">
        <f>IFERROR(VLOOKUP(D1424,MANO_DE_OBRA!A:C,3,FALSE()),0)</f>
        <v>67240.498860267602</v>
      </c>
      <c r="J1424" s="31">
        <f t="shared" si="514"/>
        <v>941366.98404374649</v>
      </c>
      <c r="K1424" s="32" t="str">
        <f t="shared" si="507"/>
        <v>PTO-1817|MO</v>
      </c>
      <c r="L1424" s="32">
        <f>COUNTIFS($K$2:K1424,K1424)</f>
        <v>3</v>
      </c>
      <c r="M1424" s="32" t="str">
        <f t="shared" si="511"/>
        <v>PTO-1817|MO|3</v>
      </c>
      <c r="N1424" s="121">
        <f>IFERROR(VLOOKUP(A1424,PARTIDAS!A:F,6,FALSE()),0)</f>
        <v>1</v>
      </c>
      <c r="O1424" s="123">
        <f t="shared" si="512"/>
        <v>14</v>
      </c>
      <c r="P1424" s="123">
        <f>+_xlfn.XLOOKUP(A1424,PPTO_GENERADOR!Q:Q,PPTO_GENERADOR!E:E,"-",0)</f>
        <v>1</v>
      </c>
      <c r="Q1424" s="123">
        <f t="shared" si="513"/>
        <v>14</v>
      </c>
      <c r="R1424" s="125">
        <f>+_xlfn.XLOOKUP(A1424,PPTO_GENERADOR!$Q:$Q,PPTO_GENERADOR!A:A,"-",0)</f>
        <v>18.170000000000002</v>
      </c>
    </row>
    <row r="1425" spans="1:18" ht="14.25" customHeight="1" x14ac:dyDescent="0.35">
      <c r="A1425" s="105" t="s">
        <v>316</v>
      </c>
      <c r="B1425" s="105" t="s">
        <v>1983</v>
      </c>
      <c r="C1425" s="105"/>
      <c r="D1425" s="105" t="s">
        <v>1437</v>
      </c>
      <c r="E1425" s="95" t="str">
        <f>IFERROR(VLOOKUP(D1425,EQUIPOS!A:B,2,FALSE()),"?")</f>
        <v>Herramientas — Montante eléctrica</v>
      </c>
      <c r="F1425" s="129"/>
      <c r="G1425" s="119">
        <v>1</v>
      </c>
      <c r="H1425" s="120">
        <v>0</v>
      </c>
      <c r="I1425" s="96">
        <f>IFERROR(VLOOKUP(D1425,EQUIPOS!A:F,6,FALSE()),0)</f>
        <v>153170.176936009</v>
      </c>
      <c r="J1425" s="31">
        <f>G1425*I1425</f>
        <v>153170.176936009</v>
      </c>
      <c r="K1425" s="32" t="str">
        <f t="shared" si="507"/>
        <v>PTO-1817|EQ</v>
      </c>
      <c r="L1425" s="32">
        <f>COUNTIFS($K$2:K1425,K1425)</f>
        <v>1</v>
      </c>
      <c r="M1425" s="32" t="str">
        <f t="shared" si="511"/>
        <v>PTO-1817|EQ|1</v>
      </c>
      <c r="N1425" s="121">
        <f>IFERROR(VLOOKUP(A1425,PARTIDAS!A:F,6,FALSE()),0)</f>
        <v>1</v>
      </c>
      <c r="O1425" s="123">
        <f t="shared" si="512"/>
        <v>0</v>
      </c>
      <c r="P1425" s="123">
        <f>+_xlfn.XLOOKUP(A1425,PPTO_GENERADOR!Q:Q,PPTO_GENERADOR!E:E,"-",0)</f>
        <v>1</v>
      </c>
      <c r="Q1425" s="123">
        <f t="shared" si="513"/>
        <v>0</v>
      </c>
      <c r="R1425" s="125">
        <f>+_xlfn.XLOOKUP(A1425,PPTO_GENERADOR!$Q:$Q,PPTO_GENERADOR!A:A,"-",0)</f>
        <v>18.170000000000002</v>
      </c>
    </row>
    <row r="1426" spans="1:18" ht="14.25" customHeight="1" x14ac:dyDescent="0.35">
      <c r="A1426" s="105" t="s">
        <v>318</v>
      </c>
      <c r="B1426" s="105" t="s">
        <v>1981</v>
      </c>
      <c r="C1426" s="105" t="s">
        <v>1982</v>
      </c>
      <c r="D1426" s="105" t="s">
        <v>1081</v>
      </c>
      <c r="E1426" s="95" t="str">
        <f>IFERROR(VLOOKUP(D1426,MATERIALES!A:B,2,FALSE()),"?")</f>
        <v>Montante TV + Tablero TV — Materiales</v>
      </c>
      <c r="F1426" s="129" t="str">
        <f>IFERROR(VLOOKUP(D1426,MATERIALES!A:C,3,FALSE()),"?")</f>
        <v>gl</v>
      </c>
      <c r="G1426" s="119">
        <v>1</v>
      </c>
      <c r="H1426" s="120">
        <v>0</v>
      </c>
      <c r="I1426" s="96">
        <f>IFERROR(VLOOKUP(D1426,MATERIALES!A:D,4,FALSE()),0)</f>
        <v>896755.59</v>
      </c>
      <c r="J1426" s="31">
        <f>G1426*I1426*(1+H1426)</f>
        <v>896755.59</v>
      </c>
      <c r="K1426" s="32" t="str">
        <f t="shared" si="507"/>
        <v>PTO-1818|MAT</v>
      </c>
      <c r="L1426" s="32">
        <f>COUNTIFS($K$2:K1426,K1426)</f>
        <v>1</v>
      </c>
      <c r="M1426" s="32" t="str">
        <f t="shared" si="511"/>
        <v>PTO-1818|MAT|1</v>
      </c>
      <c r="N1426" s="121">
        <f>IFERROR(VLOOKUP(A1426,PARTIDAS!A:F,6,FALSE()),0)</f>
        <v>1</v>
      </c>
      <c r="O1426" s="123">
        <f t="shared" si="512"/>
        <v>0</v>
      </c>
      <c r="P1426" s="123">
        <f>+_xlfn.XLOOKUP(A1426,PPTO_GENERADOR!Q:Q,PPTO_GENERADOR!E:E,"-",0)</f>
        <v>1</v>
      </c>
      <c r="Q1426" s="123">
        <f t="shared" si="513"/>
        <v>0</v>
      </c>
      <c r="R1426" s="125">
        <f>+_xlfn.XLOOKUP(A1426,PPTO_GENERADOR!$Q:$Q,PPTO_GENERADOR!A:A,"-",0)</f>
        <v>18.18</v>
      </c>
    </row>
    <row r="1427" spans="1:18" ht="14.25" customHeight="1" x14ac:dyDescent="0.35">
      <c r="A1427" s="105" t="s">
        <v>318</v>
      </c>
      <c r="B1427" s="105" t="s">
        <v>1979</v>
      </c>
      <c r="C1427" s="105" t="s">
        <v>1980</v>
      </c>
      <c r="D1427" s="105" t="s">
        <v>1292</v>
      </c>
      <c r="E1427" s="95" t="str">
        <f>IFERROR(VLOOKUP(D1427,MANO_DE_OBRA!A:B,2,FALSE()),"?")</f>
        <v>ESPECIALIZADO</v>
      </c>
      <c r="F1427" s="129" t="s">
        <v>2042</v>
      </c>
      <c r="G1427" s="119">
        <v>7</v>
      </c>
      <c r="H1427" s="120">
        <v>0</v>
      </c>
      <c r="I1427" s="96">
        <f>IFERROR(VLOOKUP(D1427,MANO_DE_OBRA!A:C,3,FALSE()),0)</f>
        <v>94177.137883538904</v>
      </c>
      <c r="J1427" s="31">
        <f t="shared" ref="J1427:J1429" si="515">G1427*I1427</f>
        <v>659239.96518477239</v>
      </c>
      <c r="K1427" s="32" t="str">
        <f t="shared" si="507"/>
        <v>PTO-1818|MO</v>
      </c>
      <c r="L1427" s="32">
        <f>COUNTIFS($K$2:K1427,K1427)</f>
        <v>1</v>
      </c>
      <c r="M1427" s="32" t="str">
        <f t="shared" si="511"/>
        <v>PTO-1818|MO|1</v>
      </c>
      <c r="N1427" s="121">
        <f>IFERROR(VLOOKUP(A1427,PARTIDAS!A:F,6,FALSE()),0)</f>
        <v>1</v>
      </c>
      <c r="O1427" s="123">
        <f t="shared" si="512"/>
        <v>7</v>
      </c>
      <c r="P1427" s="123">
        <f>+_xlfn.XLOOKUP(A1427,PPTO_GENERADOR!Q:Q,PPTO_GENERADOR!E:E,"-",0)</f>
        <v>1</v>
      </c>
      <c r="Q1427" s="123">
        <f t="shared" si="513"/>
        <v>7</v>
      </c>
      <c r="R1427" s="125">
        <f>+_xlfn.XLOOKUP(A1427,PPTO_GENERADOR!$Q:$Q,PPTO_GENERADOR!A:A,"-",0)</f>
        <v>18.18</v>
      </c>
    </row>
    <row r="1428" spans="1:18" ht="14.25" customHeight="1" x14ac:dyDescent="0.35">
      <c r="A1428" s="105" t="s">
        <v>318</v>
      </c>
      <c r="B1428" s="105" t="s">
        <v>1979</v>
      </c>
      <c r="C1428" s="105" t="s">
        <v>1980</v>
      </c>
      <c r="D1428" s="105" t="s">
        <v>1288</v>
      </c>
      <c r="E1428" s="95" t="str">
        <f>IFERROR(VLOOKUP(D1428,MANO_DE_OBRA!A:B,2,FALSE()),"?")</f>
        <v>MEDIO OFICIAL</v>
      </c>
      <c r="F1428" s="129" t="s">
        <v>2042</v>
      </c>
      <c r="G1428" s="119">
        <v>7</v>
      </c>
      <c r="H1428" s="120">
        <v>0</v>
      </c>
      <c r="I1428" s="96">
        <f>IFERROR(VLOOKUP(D1428,MANO_DE_OBRA!A:C,3,FALSE()),0)</f>
        <v>72132.138365590101</v>
      </c>
      <c r="J1428" s="31">
        <f t="shared" si="515"/>
        <v>504924.96855913068</v>
      </c>
      <c r="K1428" s="32" t="str">
        <f t="shared" si="507"/>
        <v>PTO-1818|MO</v>
      </c>
      <c r="L1428" s="32">
        <f>COUNTIFS($K$2:K1428,K1428)</f>
        <v>2</v>
      </c>
      <c r="M1428" s="32" t="str">
        <f t="shared" si="511"/>
        <v>PTO-1818|MO|2</v>
      </c>
      <c r="N1428" s="121">
        <f>IFERROR(VLOOKUP(A1428,PARTIDAS!A:F,6,FALSE()),0)</f>
        <v>1</v>
      </c>
      <c r="O1428" s="123">
        <f t="shared" si="512"/>
        <v>7</v>
      </c>
      <c r="P1428" s="123">
        <f>+_xlfn.XLOOKUP(A1428,PPTO_GENERADOR!Q:Q,PPTO_GENERADOR!E:E,"-",0)</f>
        <v>1</v>
      </c>
      <c r="Q1428" s="123">
        <f t="shared" si="513"/>
        <v>7</v>
      </c>
      <c r="R1428" s="125">
        <f>+_xlfn.XLOOKUP(A1428,PPTO_GENERADOR!$Q:$Q,PPTO_GENERADOR!A:A,"-",0)</f>
        <v>18.18</v>
      </c>
    </row>
    <row r="1429" spans="1:18" ht="14.25" customHeight="1" x14ac:dyDescent="0.35">
      <c r="A1429" s="105" t="s">
        <v>318</v>
      </c>
      <c r="B1429" s="105" t="s">
        <v>1979</v>
      </c>
      <c r="C1429" s="105" t="s">
        <v>1980</v>
      </c>
      <c r="D1429" s="105" t="s">
        <v>2038</v>
      </c>
      <c r="E1429" s="95" t="str">
        <f>IFERROR(VLOOKUP(D1429,MANO_DE_OBRA!A:B,2,FALSE()),"?")</f>
        <v>AYUDANTE</v>
      </c>
      <c r="F1429" s="129" t="s">
        <v>2042</v>
      </c>
      <c r="G1429" s="119">
        <v>7</v>
      </c>
      <c r="H1429" s="120">
        <v>0</v>
      </c>
      <c r="I1429" s="96">
        <f>IFERROR(VLOOKUP(D1429,MANO_DE_OBRA!A:C,3,FALSE()),0)</f>
        <v>67240.498860267602</v>
      </c>
      <c r="J1429" s="31">
        <f t="shared" si="515"/>
        <v>470683.49202187324</v>
      </c>
      <c r="K1429" s="32" t="str">
        <f t="shared" si="507"/>
        <v>PTO-1818|MO</v>
      </c>
      <c r="L1429" s="32">
        <f>COUNTIFS($K$2:K1429,K1429)</f>
        <v>3</v>
      </c>
      <c r="M1429" s="32" t="str">
        <f t="shared" si="511"/>
        <v>PTO-1818|MO|3</v>
      </c>
      <c r="N1429" s="121">
        <f>IFERROR(VLOOKUP(A1429,PARTIDAS!A:F,6,FALSE()),0)</f>
        <v>1</v>
      </c>
      <c r="O1429" s="123">
        <f t="shared" si="512"/>
        <v>7</v>
      </c>
      <c r="P1429" s="123">
        <f>+_xlfn.XLOOKUP(A1429,PPTO_GENERADOR!Q:Q,PPTO_GENERADOR!E:E,"-",0)</f>
        <v>1</v>
      </c>
      <c r="Q1429" s="123">
        <f t="shared" si="513"/>
        <v>7</v>
      </c>
      <c r="R1429" s="125">
        <f>+_xlfn.XLOOKUP(A1429,PPTO_GENERADOR!$Q:$Q,PPTO_GENERADOR!A:A,"-",0)</f>
        <v>18.18</v>
      </c>
    </row>
    <row r="1430" spans="1:18" ht="14.25" customHeight="1" x14ac:dyDescent="0.35">
      <c r="A1430" s="105" t="s">
        <v>318</v>
      </c>
      <c r="B1430" s="105" t="s">
        <v>1983</v>
      </c>
      <c r="C1430" s="105"/>
      <c r="D1430" s="105" t="s">
        <v>1439</v>
      </c>
      <c r="E1430" s="95" t="str">
        <f>IFERROR(VLOOKUP(D1430,EQUIPOS!A:B,2,FALSE()),"?")</f>
        <v>Herramientas — Montante TV + Tablero TV - Cañería c/cab</v>
      </c>
      <c r="F1430" s="129"/>
      <c r="G1430" s="119">
        <v>1</v>
      </c>
      <c r="H1430" s="120">
        <v>0</v>
      </c>
      <c r="I1430" s="96">
        <f>IFERROR(VLOOKUP(D1430,EQUIPOS!A:F,6,FALSE()),0)</f>
        <v>37974.0602915403</v>
      </c>
      <c r="J1430" s="31">
        <f t="shared" ref="J1430:J1440" si="516">G1430*I1430</f>
        <v>37974.0602915403</v>
      </c>
      <c r="K1430" s="32" t="str">
        <f t="shared" si="507"/>
        <v>PTO-1818|EQ</v>
      </c>
      <c r="L1430" s="32">
        <f>COUNTIFS($K$2:K1430,K1430)</f>
        <v>1</v>
      </c>
      <c r="M1430" s="32" t="str">
        <f t="shared" si="511"/>
        <v>PTO-1818|EQ|1</v>
      </c>
      <c r="N1430" s="121">
        <f>IFERROR(VLOOKUP(A1430,PARTIDAS!A:F,6,FALSE()),0)</f>
        <v>1</v>
      </c>
      <c r="O1430" s="123">
        <f t="shared" si="512"/>
        <v>0</v>
      </c>
      <c r="P1430" s="123">
        <f>+_xlfn.XLOOKUP(A1430,PPTO_GENERADOR!Q:Q,PPTO_GENERADOR!E:E,"-",0)</f>
        <v>1</v>
      </c>
      <c r="Q1430" s="123">
        <f t="shared" si="513"/>
        <v>0</v>
      </c>
      <c r="R1430" s="125">
        <f>+_xlfn.XLOOKUP(A1430,PPTO_GENERADOR!$Q:$Q,PPTO_GENERADOR!A:A,"-",0)</f>
        <v>18.18</v>
      </c>
    </row>
    <row r="1431" spans="1:18" ht="14.25" customHeight="1" x14ac:dyDescent="0.35">
      <c r="A1431" s="105" t="s">
        <v>322</v>
      </c>
      <c r="B1431" s="105" t="s">
        <v>1979</v>
      </c>
      <c r="C1431" s="105" t="s">
        <v>1982</v>
      </c>
      <c r="D1431" s="105" t="s">
        <v>1608</v>
      </c>
      <c r="E1431" s="95" t="str">
        <f>IFERROR(VLOOKUP(D1431,SUBCONTRATOS_PRY!A:B,2,FALSE()),"?")</f>
        <v>Conexión de punto y toma</v>
      </c>
      <c r="F1431" s="129" t="s">
        <v>2042</v>
      </c>
      <c r="G1431" s="119">
        <v>1</v>
      </c>
      <c r="H1431" s="120">
        <v>0</v>
      </c>
      <c r="I1431" s="96">
        <f>IFERROR(VLOOKUP(D1431,SUBCONTRATOS_PRY!A:D,4,FALSE()),0)</f>
        <v>9575.2999999999993</v>
      </c>
      <c r="J1431" s="31">
        <f t="shared" si="516"/>
        <v>9575.2999999999993</v>
      </c>
      <c r="K1431" s="32" t="str">
        <f t="shared" si="507"/>
        <v>PTO-0182|MO</v>
      </c>
      <c r="L1431" s="32">
        <f>COUNTIFS($K$2:K1431,K1431)</f>
        <v>1</v>
      </c>
      <c r="M1431" s="32" t="str">
        <f t="shared" si="511"/>
        <v>PTO-0182|MO|1</v>
      </c>
      <c r="N1431" s="121">
        <f>IFERROR(VLOOKUP(A1431,PARTIDAS!A:F,6,FALSE()),0)</f>
        <v>1</v>
      </c>
      <c r="O1431" s="123">
        <f t="shared" si="512"/>
        <v>0</v>
      </c>
      <c r="P1431" s="123">
        <f>+_xlfn.XLOOKUP(A1431,PPTO_GENERADOR!Q:Q,PPTO_GENERADOR!E:E,"-",0)</f>
        <v>119</v>
      </c>
      <c r="Q1431" s="123">
        <f t="shared" si="513"/>
        <v>0</v>
      </c>
      <c r="R1431" s="125">
        <f>+_xlfn.XLOOKUP(A1431,PPTO_GENERADOR!$Q:$Q,PPTO_GENERADOR!A:A,"-",0)</f>
        <v>18.2</v>
      </c>
    </row>
    <row r="1432" spans="1:18" ht="14.25" customHeight="1" x14ac:dyDescent="0.35">
      <c r="A1432" s="105" t="s">
        <v>322</v>
      </c>
      <c r="B1432" s="105" t="s">
        <v>1983</v>
      </c>
      <c r="C1432" s="105"/>
      <c r="D1432" s="105" t="s">
        <v>1441</v>
      </c>
      <c r="E1432" s="95" t="str">
        <f>IFERROR(VLOOKUP(D1432,EQUIPOS!A:B,2,FALSE()),"?")</f>
        <v>Herramientas — Colocación de teclas simples y/o combina</v>
      </c>
      <c r="F1432" s="129"/>
      <c r="G1432" s="119">
        <v>1</v>
      </c>
      <c r="H1432" s="120">
        <v>0</v>
      </c>
      <c r="I1432" s="96">
        <f>IFERROR(VLOOKUP(D1432,EQUIPOS!A:F,6,FALSE()),0)</f>
        <v>143.62950000000001</v>
      </c>
      <c r="J1432" s="31">
        <f t="shared" si="516"/>
        <v>143.62950000000001</v>
      </c>
      <c r="K1432" s="32" t="str">
        <f t="shared" si="507"/>
        <v>PTO-0182|EQ</v>
      </c>
      <c r="L1432" s="32">
        <f>COUNTIFS($K$2:K1432,K1432)</f>
        <v>1</v>
      </c>
      <c r="M1432" s="32" t="str">
        <f t="shared" si="511"/>
        <v>PTO-0182|EQ|1</v>
      </c>
      <c r="N1432" s="121">
        <f>IFERROR(VLOOKUP(A1432,PARTIDAS!A:F,6,FALSE()),0)</f>
        <v>1</v>
      </c>
      <c r="O1432" s="123">
        <f t="shared" si="512"/>
        <v>0</v>
      </c>
      <c r="P1432" s="123">
        <f>+_xlfn.XLOOKUP(A1432,PPTO_GENERADOR!Q:Q,PPTO_GENERADOR!E:E,"-",0)</f>
        <v>119</v>
      </c>
      <c r="Q1432" s="123">
        <f t="shared" si="513"/>
        <v>0</v>
      </c>
      <c r="R1432" s="125">
        <f>+_xlfn.XLOOKUP(A1432,PPTO_GENERADOR!$Q:$Q,PPTO_GENERADOR!A:A,"-",0)</f>
        <v>18.2</v>
      </c>
    </row>
    <row r="1433" spans="1:18" ht="14.25" customHeight="1" x14ac:dyDescent="0.35">
      <c r="A1433" s="105" t="s">
        <v>324</v>
      </c>
      <c r="B1433" s="105" t="s">
        <v>1979</v>
      </c>
      <c r="C1433" s="105" t="s">
        <v>1982</v>
      </c>
      <c r="D1433" s="105" t="s">
        <v>1608</v>
      </c>
      <c r="E1433" s="95" t="str">
        <f>IFERROR(VLOOKUP(D1433,SUBCONTRATOS_PRY!A:B,2,FALSE()),"?")</f>
        <v>Conexión de punto y toma</v>
      </c>
      <c r="F1433" s="129" t="s">
        <v>2042</v>
      </c>
      <c r="G1433" s="119">
        <v>1</v>
      </c>
      <c r="H1433" s="120">
        <v>0</v>
      </c>
      <c r="I1433" s="96">
        <f>IFERROR(VLOOKUP(D1433,SUBCONTRATOS_PRY!A:D,4,FALSE()),0)</f>
        <v>9575.2999999999993</v>
      </c>
      <c r="J1433" s="31">
        <f t="shared" si="516"/>
        <v>9575.2999999999993</v>
      </c>
      <c r="K1433" s="32" t="str">
        <f t="shared" si="507"/>
        <v>PTO-1821|MO</v>
      </c>
      <c r="L1433" s="32">
        <f>COUNTIFS($K$2:K1433,K1433)</f>
        <v>1</v>
      </c>
      <c r="M1433" s="32" t="str">
        <f t="shared" si="511"/>
        <v>PTO-1821|MO|1</v>
      </c>
      <c r="N1433" s="121">
        <f>IFERROR(VLOOKUP(A1433,PARTIDAS!A:F,6,FALSE()),0)</f>
        <v>1</v>
      </c>
      <c r="O1433" s="123">
        <f t="shared" si="512"/>
        <v>0</v>
      </c>
      <c r="P1433" s="123">
        <f>+_xlfn.XLOOKUP(A1433,PPTO_GENERADOR!Q:Q,PPTO_GENERADOR!E:E,"-",0)</f>
        <v>16</v>
      </c>
      <c r="Q1433" s="123">
        <f t="shared" si="513"/>
        <v>0</v>
      </c>
      <c r="R1433" s="125">
        <f>+_xlfn.XLOOKUP(A1433,PPTO_GENERADOR!$Q:$Q,PPTO_GENERADOR!A:A,"-",0)</f>
        <v>18.21</v>
      </c>
    </row>
    <row r="1434" spans="1:18" ht="14.25" customHeight="1" x14ac:dyDescent="0.35">
      <c r="A1434" s="105" t="s">
        <v>324</v>
      </c>
      <c r="B1434" s="105" t="s">
        <v>1983</v>
      </c>
      <c r="C1434" s="105"/>
      <c r="D1434" s="105" t="s">
        <v>1443</v>
      </c>
      <c r="E1434" s="95" t="str">
        <f>IFERROR(VLOOKUP(D1434,EQUIPOS!A:B,2,FALSE()),"?")</f>
        <v xml:space="preserve">Herramientas — Colocación de pulsadores, circulación + </v>
      </c>
      <c r="F1434" s="129"/>
      <c r="G1434" s="119">
        <v>1</v>
      </c>
      <c r="H1434" s="120">
        <v>0</v>
      </c>
      <c r="I1434" s="96">
        <f>IFERROR(VLOOKUP(D1434,EQUIPOS!A:F,6,FALSE()),0)</f>
        <v>143.62950000000001</v>
      </c>
      <c r="J1434" s="31">
        <f t="shared" si="516"/>
        <v>143.62950000000001</v>
      </c>
      <c r="K1434" s="32" t="str">
        <f t="shared" si="507"/>
        <v>PTO-1821|EQ</v>
      </c>
      <c r="L1434" s="32">
        <f>COUNTIFS($K$2:K1434,K1434)</f>
        <v>1</v>
      </c>
      <c r="M1434" s="32" t="str">
        <f t="shared" si="511"/>
        <v>PTO-1821|EQ|1</v>
      </c>
      <c r="N1434" s="121">
        <f>IFERROR(VLOOKUP(A1434,PARTIDAS!A:F,6,FALSE()),0)</f>
        <v>1</v>
      </c>
      <c r="O1434" s="123">
        <f t="shared" si="512"/>
        <v>0</v>
      </c>
      <c r="P1434" s="123">
        <f>+_xlfn.XLOOKUP(A1434,PPTO_GENERADOR!Q:Q,PPTO_GENERADOR!E:E,"-",0)</f>
        <v>16</v>
      </c>
      <c r="Q1434" s="123">
        <f t="shared" si="513"/>
        <v>0</v>
      </c>
      <c r="R1434" s="125">
        <f>+_xlfn.XLOOKUP(A1434,PPTO_GENERADOR!$Q:$Q,PPTO_GENERADOR!A:A,"-",0)</f>
        <v>18.21</v>
      </c>
    </row>
    <row r="1435" spans="1:18" ht="14.25" customHeight="1" x14ac:dyDescent="0.35">
      <c r="A1435" s="105" t="s">
        <v>326</v>
      </c>
      <c r="B1435" s="105" t="s">
        <v>1979</v>
      </c>
      <c r="C1435" s="105" t="s">
        <v>1982</v>
      </c>
      <c r="D1435" s="105" t="s">
        <v>1608</v>
      </c>
      <c r="E1435" s="95" t="str">
        <f>IFERROR(VLOOKUP(D1435,SUBCONTRATOS_PRY!A:B,2,FALSE()),"?")</f>
        <v>Conexión de punto y toma</v>
      </c>
      <c r="F1435" s="129" t="s">
        <v>2042</v>
      </c>
      <c r="G1435" s="119">
        <v>1</v>
      </c>
      <c r="H1435" s="120">
        <v>0</v>
      </c>
      <c r="I1435" s="96">
        <f>IFERROR(VLOOKUP(D1435,SUBCONTRATOS_PRY!A:D,4,FALSE()),0)</f>
        <v>9575.2999999999993</v>
      </c>
      <c r="J1435" s="31">
        <f t="shared" si="516"/>
        <v>9575.2999999999993</v>
      </c>
      <c r="K1435" s="32" t="str">
        <f t="shared" si="507"/>
        <v>PTO-1822|MO</v>
      </c>
      <c r="L1435" s="32">
        <f>COUNTIFS($K$2:K1435,K1435)</f>
        <v>1</v>
      </c>
      <c r="M1435" s="32" t="str">
        <f t="shared" si="511"/>
        <v>PTO-1822|MO|1</v>
      </c>
      <c r="N1435" s="121">
        <f>IFERROR(VLOOKUP(A1435,PARTIDAS!A:F,6,FALSE()),0)</f>
        <v>1</v>
      </c>
      <c r="O1435" s="123">
        <f t="shared" si="512"/>
        <v>0</v>
      </c>
      <c r="P1435" s="123">
        <f>+_xlfn.XLOOKUP(A1435,PPTO_GENERADOR!Q:Q,PPTO_GENERADOR!E:E,"-",0)</f>
        <v>363</v>
      </c>
      <c r="Q1435" s="123">
        <f t="shared" si="513"/>
        <v>0</v>
      </c>
      <c r="R1435" s="125">
        <f>+_xlfn.XLOOKUP(A1435,PPTO_GENERADOR!$Q:$Q,PPTO_GENERADOR!A:A,"-",0)</f>
        <v>18.22</v>
      </c>
    </row>
    <row r="1436" spans="1:18" ht="14.25" customHeight="1" x14ac:dyDescent="0.35">
      <c r="A1436" s="105" t="s">
        <v>326</v>
      </c>
      <c r="B1436" s="105" t="s">
        <v>1983</v>
      </c>
      <c r="C1436" s="105"/>
      <c r="D1436" s="105" t="s">
        <v>1445</v>
      </c>
      <c r="E1436" s="95" t="str">
        <f>IFERROR(VLOOKUP(D1436,EQUIPOS!A:B,2,FALSE()),"?")</f>
        <v>Herramientas — Colocación de tomacorriente simple y dob</v>
      </c>
      <c r="F1436" s="129"/>
      <c r="G1436" s="119">
        <v>1</v>
      </c>
      <c r="H1436" s="120">
        <v>0</v>
      </c>
      <c r="I1436" s="96">
        <f>IFERROR(VLOOKUP(D1436,EQUIPOS!A:F,6,FALSE()),0)</f>
        <v>143.62950000000001</v>
      </c>
      <c r="J1436" s="31">
        <f t="shared" si="516"/>
        <v>143.62950000000001</v>
      </c>
      <c r="K1436" s="32" t="str">
        <f t="shared" si="507"/>
        <v>PTO-1822|EQ</v>
      </c>
      <c r="L1436" s="32">
        <f>COUNTIFS($K$2:K1436,K1436)</f>
        <v>1</v>
      </c>
      <c r="M1436" s="32" t="str">
        <f t="shared" si="511"/>
        <v>PTO-1822|EQ|1</v>
      </c>
      <c r="N1436" s="121">
        <f>IFERROR(VLOOKUP(A1436,PARTIDAS!A:F,6,FALSE()),0)</f>
        <v>1</v>
      </c>
      <c r="O1436" s="123">
        <f t="shared" si="512"/>
        <v>0</v>
      </c>
      <c r="P1436" s="123">
        <f>+_xlfn.XLOOKUP(A1436,PPTO_GENERADOR!Q:Q,PPTO_GENERADOR!E:E,"-",0)</f>
        <v>363</v>
      </c>
      <c r="Q1436" s="123">
        <f t="shared" si="513"/>
        <v>0</v>
      </c>
      <c r="R1436" s="125">
        <f>+_xlfn.XLOOKUP(A1436,PPTO_GENERADOR!$Q:$Q,PPTO_GENERADOR!A:A,"-",0)</f>
        <v>18.22</v>
      </c>
    </row>
    <row r="1437" spans="1:18" ht="14.25" customHeight="1" x14ac:dyDescent="0.35">
      <c r="A1437" s="105" t="s">
        <v>328</v>
      </c>
      <c r="B1437" s="105" t="s">
        <v>1979</v>
      </c>
      <c r="C1437" s="105" t="s">
        <v>1982</v>
      </c>
      <c r="D1437" s="105" t="s">
        <v>1610</v>
      </c>
      <c r="E1437" s="95" t="str">
        <f>IFERROR(VLOOKUP(D1437,SUBCONTRATOS_PRY!A:B,2,FALSE()),"?")</f>
        <v>Colocación artefacto</v>
      </c>
      <c r="F1437" s="129" t="s">
        <v>2042</v>
      </c>
      <c r="G1437" s="119">
        <v>1</v>
      </c>
      <c r="H1437" s="120">
        <v>0</v>
      </c>
      <c r="I1437" s="96">
        <f>IFERROR(VLOOKUP(D1437,SUBCONTRATOS_PRY!A:D,4,FALSE()),0)</f>
        <v>14693.7</v>
      </c>
      <c r="J1437" s="31">
        <f t="shared" si="516"/>
        <v>14693.7</v>
      </c>
      <c r="K1437" s="32" t="str">
        <f t="shared" si="507"/>
        <v>PTO-1823|MO</v>
      </c>
      <c r="L1437" s="32">
        <f>COUNTIFS($K$2:K1437,K1437)</f>
        <v>1</v>
      </c>
      <c r="M1437" s="32" t="str">
        <f t="shared" si="511"/>
        <v>PTO-1823|MO|1</v>
      </c>
      <c r="N1437" s="121">
        <f>IFERROR(VLOOKUP(A1437,PARTIDAS!A:F,6,FALSE()),0)</f>
        <v>1</v>
      </c>
      <c r="O1437" s="123">
        <f t="shared" si="512"/>
        <v>0</v>
      </c>
      <c r="P1437" s="123">
        <f>+_xlfn.XLOOKUP(A1437,PPTO_GENERADOR!Q:Q,PPTO_GENERADOR!E:E,"-",0)</f>
        <v>119</v>
      </c>
      <c r="Q1437" s="123">
        <f t="shared" si="513"/>
        <v>0</v>
      </c>
      <c r="R1437" s="125">
        <f>+_xlfn.XLOOKUP(A1437,PPTO_GENERADOR!$Q:$Q,PPTO_GENERADOR!A:A,"-",0)</f>
        <v>18.23</v>
      </c>
    </row>
    <row r="1438" spans="1:18" ht="14.25" customHeight="1" x14ac:dyDescent="0.35">
      <c r="A1438" s="105" t="s">
        <v>328</v>
      </c>
      <c r="B1438" s="105" t="s">
        <v>1983</v>
      </c>
      <c r="C1438" s="105"/>
      <c r="D1438" s="105" t="s">
        <v>1447</v>
      </c>
      <c r="E1438" s="95" t="str">
        <f>IFERROR(VLOOKUP(D1438,EQUIPOS!A:B,2,FALSE()),"?")</f>
        <v>Herramientas — Colocación artefactos en espacios comune</v>
      </c>
      <c r="F1438" s="129"/>
      <c r="G1438" s="119">
        <v>1</v>
      </c>
      <c r="H1438" s="120">
        <v>0</v>
      </c>
      <c r="I1438" s="96">
        <f>IFERROR(VLOOKUP(D1438,EQUIPOS!A:F,6,FALSE()),0)</f>
        <v>220.40549999999999</v>
      </c>
      <c r="J1438" s="31">
        <f t="shared" si="516"/>
        <v>220.40549999999999</v>
      </c>
      <c r="K1438" s="32" t="str">
        <f t="shared" si="507"/>
        <v>PTO-1823|EQ</v>
      </c>
      <c r="L1438" s="32">
        <f>COUNTIFS($K$2:K1438,K1438)</f>
        <v>1</v>
      </c>
      <c r="M1438" s="32" t="str">
        <f t="shared" si="511"/>
        <v>PTO-1823|EQ|1</v>
      </c>
      <c r="N1438" s="121">
        <f>IFERROR(VLOOKUP(A1438,PARTIDAS!A:F,6,FALSE()),0)</f>
        <v>1</v>
      </c>
      <c r="O1438" s="123">
        <f t="shared" si="512"/>
        <v>0</v>
      </c>
      <c r="P1438" s="123">
        <f>+_xlfn.XLOOKUP(A1438,PPTO_GENERADOR!Q:Q,PPTO_GENERADOR!E:E,"-",0)</f>
        <v>119</v>
      </c>
      <c r="Q1438" s="123">
        <f t="shared" si="513"/>
        <v>0</v>
      </c>
      <c r="R1438" s="125">
        <f>+_xlfn.XLOOKUP(A1438,PPTO_GENERADOR!$Q:$Q,PPTO_GENERADOR!A:A,"-",0)</f>
        <v>18.23</v>
      </c>
    </row>
    <row r="1439" spans="1:18" ht="14.25" customHeight="1" x14ac:dyDescent="0.35">
      <c r="A1439" s="105" t="s">
        <v>330</v>
      </c>
      <c r="B1439" s="105" t="s">
        <v>1979</v>
      </c>
      <c r="C1439" s="105" t="s">
        <v>1982</v>
      </c>
      <c r="D1439" s="105" t="s">
        <v>1610</v>
      </c>
      <c r="E1439" s="95" t="str">
        <f>IFERROR(VLOOKUP(D1439,SUBCONTRATOS_PRY!A:B,2,FALSE()),"?")</f>
        <v>Colocación artefacto</v>
      </c>
      <c r="F1439" s="129" t="s">
        <v>2042</v>
      </c>
      <c r="G1439" s="119">
        <v>1</v>
      </c>
      <c r="H1439" s="120">
        <v>0</v>
      </c>
      <c r="I1439" s="96">
        <f>IFERROR(VLOOKUP(D1439,SUBCONTRATOS_PRY!A:D,4,FALSE()),0)</f>
        <v>14693.7</v>
      </c>
      <c r="J1439" s="31">
        <f t="shared" si="516"/>
        <v>14693.7</v>
      </c>
      <c r="K1439" s="32" t="str">
        <f t="shared" si="507"/>
        <v>PTO-1824|MO</v>
      </c>
      <c r="L1439" s="32">
        <f>COUNTIFS($K$2:K1439,K1439)</f>
        <v>1</v>
      </c>
      <c r="M1439" s="32" t="str">
        <f t="shared" si="511"/>
        <v>PTO-1824|MO|1</v>
      </c>
      <c r="N1439" s="121">
        <f>IFERROR(VLOOKUP(A1439,PARTIDAS!A:F,6,FALSE()),0)</f>
        <v>1</v>
      </c>
      <c r="O1439" s="123">
        <f t="shared" si="512"/>
        <v>0</v>
      </c>
      <c r="P1439" s="123">
        <f>+_xlfn.XLOOKUP(A1439,PPTO_GENERADOR!Q:Q,PPTO_GENERADOR!E:E,"-",0)</f>
        <v>25</v>
      </c>
      <c r="Q1439" s="123">
        <f t="shared" si="513"/>
        <v>0</v>
      </c>
      <c r="R1439" s="125">
        <f>+_xlfn.XLOOKUP(A1439,PPTO_GENERADOR!$Q:$Q,PPTO_GENERADOR!A:A,"-",0)</f>
        <v>18.239999999999998</v>
      </c>
    </row>
    <row r="1440" spans="1:18" ht="14.25" customHeight="1" x14ac:dyDescent="0.35">
      <c r="A1440" s="105" t="s">
        <v>330</v>
      </c>
      <c r="B1440" s="105" t="s">
        <v>1983</v>
      </c>
      <c r="C1440" s="105"/>
      <c r="D1440" s="105" t="s">
        <v>1449</v>
      </c>
      <c r="E1440" s="95" t="str">
        <f>IFERROR(VLOOKUP(D1440,EQUIPOS!A:B,2,FALSE()),"?")</f>
        <v>Herramientas — Colocación de luz de emergencia - Provis</v>
      </c>
      <c r="F1440" s="129"/>
      <c r="G1440" s="119">
        <v>1</v>
      </c>
      <c r="H1440" s="120">
        <v>0</v>
      </c>
      <c r="I1440" s="96">
        <f>IFERROR(VLOOKUP(D1440,EQUIPOS!A:F,6,FALSE()),0)</f>
        <v>220.40549999999999</v>
      </c>
      <c r="J1440" s="31">
        <f t="shared" si="516"/>
        <v>220.40549999999999</v>
      </c>
      <c r="K1440" s="32" t="str">
        <f t="shared" si="507"/>
        <v>PTO-1824|EQ</v>
      </c>
      <c r="L1440" s="32">
        <f>COUNTIFS($K$2:K1440,K1440)</f>
        <v>1</v>
      </c>
      <c r="M1440" s="32" t="str">
        <f t="shared" si="511"/>
        <v>PTO-1824|EQ|1</v>
      </c>
      <c r="N1440" s="121">
        <f>IFERROR(VLOOKUP(A1440,PARTIDAS!A:F,6,FALSE()),0)</f>
        <v>1</v>
      </c>
      <c r="O1440" s="123">
        <f t="shared" si="512"/>
        <v>0</v>
      </c>
      <c r="P1440" s="123">
        <f>+_xlfn.XLOOKUP(A1440,PPTO_GENERADOR!Q:Q,PPTO_GENERADOR!E:E,"-",0)</f>
        <v>25</v>
      </c>
      <c r="Q1440" s="123">
        <f t="shared" si="513"/>
        <v>0</v>
      </c>
      <c r="R1440" s="125">
        <f>+_xlfn.XLOOKUP(A1440,PPTO_GENERADOR!$Q:$Q,PPTO_GENERADOR!A:A,"-",0)</f>
        <v>18.239999999999998</v>
      </c>
    </row>
    <row r="1441" spans="1:18" ht="14.25" customHeight="1" x14ac:dyDescent="0.35">
      <c r="A1441" s="105" t="s">
        <v>332</v>
      </c>
      <c r="B1441" s="105" t="s">
        <v>1981</v>
      </c>
      <c r="C1441" s="105" t="s">
        <v>1982</v>
      </c>
      <c r="D1441" s="105" t="s">
        <v>800</v>
      </c>
      <c r="E1441" s="95" t="str">
        <f>IFERROR(VLOOKUP(D1441,MATERIALES!A:B,2,FALSE()),"?")</f>
        <v>Mat</v>
      </c>
      <c r="F1441" s="129" t="str">
        <f>IFERROR(VLOOKUP(D1441,MATERIALES!A:C,3,FALSE()),"?")</f>
        <v>u</v>
      </c>
      <c r="G1441" s="119">
        <v>1</v>
      </c>
      <c r="H1441" s="120">
        <v>0</v>
      </c>
      <c r="I1441" s="96">
        <f>IFERROR(VLOOKUP(D1441,MATERIALES!A:D,4,FALSE()),0)</f>
        <v>6991302.4321481204</v>
      </c>
      <c r="J1441" s="31">
        <f>G1441*I1441*(1+H1441)</f>
        <v>6991302.4321481204</v>
      </c>
      <c r="K1441" s="32" t="str">
        <f t="shared" si="507"/>
        <v>PTO-1825|MAT</v>
      </c>
      <c r="L1441" s="32">
        <f>COUNTIFS($K$2:K1441,K1441)</f>
        <v>1</v>
      </c>
      <c r="M1441" s="32" t="str">
        <f t="shared" si="511"/>
        <v>PTO-1825|MAT|1</v>
      </c>
      <c r="N1441" s="121">
        <f>IFERROR(VLOOKUP(A1441,PARTIDAS!A:F,6,FALSE()),0)</f>
        <v>1</v>
      </c>
      <c r="O1441" s="123">
        <f t="shared" si="512"/>
        <v>0</v>
      </c>
      <c r="P1441" s="123">
        <f>+_xlfn.XLOOKUP(A1441,PPTO_GENERADOR!Q:Q,PPTO_GENERADOR!E:E,"-",0)</f>
        <v>1</v>
      </c>
      <c r="Q1441" s="123">
        <f t="shared" si="513"/>
        <v>0</v>
      </c>
      <c r="R1441" s="125">
        <f>+_xlfn.XLOOKUP(A1441,PPTO_GENERADOR!$Q:$Q,PPTO_GENERADOR!A:A,"-",0)</f>
        <v>18.25</v>
      </c>
    </row>
    <row r="1442" spans="1:18" ht="14.25" customHeight="1" x14ac:dyDescent="0.35">
      <c r="A1442" s="105" t="s">
        <v>332</v>
      </c>
      <c r="B1442" s="105" t="s">
        <v>1979</v>
      </c>
      <c r="C1442" s="105" t="s">
        <v>1982</v>
      </c>
      <c r="D1442" s="105" t="s">
        <v>1612</v>
      </c>
      <c r="E1442" s="95" t="str">
        <f>IFERROR(VLOOKUP(D1442,SUBCONTRATOS_PRY!A:B,2,FALSE()),"?")</f>
        <v>Gabinete 4 medidores</v>
      </c>
      <c r="F1442" s="129" t="s">
        <v>2042</v>
      </c>
      <c r="G1442" s="119">
        <v>4</v>
      </c>
      <c r="H1442" s="120">
        <v>0</v>
      </c>
      <c r="I1442" s="96">
        <f>IFERROR(VLOOKUP(D1442,SUBCONTRATOS_PRY!A:D,4,FALSE()),0)</f>
        <v>428925</v>
      </c>
      <c r="J1442" s="31">
        <f t="shared" ref="J1442:J1446" si="517">G1442*I1442</f>
        <v>1715700</v>
      </c>
      <c r="K1442" s="32" t="str">
        <f t="shared" si="507"/>
        <v>PTO-1825|MO</v>
      </c>
      <c r="L1442" s="32">
        <f>COUNTIFS($K$2:K1442,K1442)</f>
        <v>1</v>
      </c>
      <c r="M1442" s="32" t="str">
        <f t="shared" si="511"/>
        <v>PTO-1825|MO|1</v>
      </c>
      <c r="N1442" s="121">
        <f>IFERROR(VLOOKUP(A1442,PARTIDAS!A:F,6,FALSE()),0)</f>
        <v>1</v>
      </c>
      <c r="O1442" s="123">
        <f t="shared" si="512"/>
        <v>0</v>
      </c>
      <c r="P1442" s="123">
        <f>+_xlfn.XLOOKUP(A1442,PPTO_GENERADOR!Q:Q,PPTO_GENERADOR!E:E,"-",0)</f>
        <v>1</v>
      </c>
      <c r="Q1442" s="123">
        <f t="shared" si="513"/>
        <v>0</v>
      </c>
      <c r="R1442" s="125">
        <f>+_xlfn.XLOOKUP(A1442,PPTO_GENERADOR!$Q:$Q,PPTO_GENERADOR!A:A,"-",0)</f>
        <v>18.25</v>
      </c>
    </row>
    <row r="1443" spans="1:18" ht="14.25" customHeight="1" x14ac:dyDescent="0.35">
      <c r="A1443" s="105" t="s">
        <v>332</v>
      </c>
      <c r="B1443" s="105" t="s">
        <v>1979</v>
      </c>
      <c r="C1443" s="105" t="s">
        <v>1982</v>
      </c>
      <c r="D1443" s="105" t="s">
        <v>1614</v>
      </c>
      <c r="E1443" s="95" t="str">
        <f>IFERROR(VLOOKUP(D1443,SUBCONTRATOS_PRY!A:B,2,FALSE()),"?")</f>
        <v>Gabinete 1 medidor trif</v>
      </c>
      <c r="F1443" s="129" t="s">
        <v>2042</v>
      </c>
      <c r="G1443" s="119">
        <v>0</v>
      </c>
      <c r="H1443" s="120">
        <v>0</v>
      </c>
      <c r="I1443" s="96">
        <f>IFERROR(VLOOKUP(D1443,SUBCONTRATOS_PRY!A:D,4,FALSE()),0)</f>
        <v>112571.9</v>
      </c>
      <c r="J1443" s="31">
        <f t="shared" si="517"/>
        <v>0</v>
      </c>
      <c r="K1443" s="32" t="str">
        <f t="shared" si="507"/>
        <v>PTO-1825|MO</v>
      </c>
      <c r="L1443" s="32">
        <f>COUNTIFS($K$2:K1443,K1443)</f>
        <v>2</v>
      </c>
      <c r="M1443" s="32" t="str">
        <f t="shared" si="511"/>
        <v>PTO-1825|MO|2</v>
      </c>
      <c r="N1443" s="121">
        <f>IFERROR(VLOOKUP(A1443,PARTIDAS!A:F,6,FALSE()),0)</f>
        <v>1</v>
      </c>
      <c r="O1443" s="123">
        <f t="shared" si="512"/>
        <v>0</v>
      </c>
      <c r="P1443" s="123">
        <f>+_xlfn.XLOOKUP(A1443,PPTO_GENERADOR!Q:Q,PPTO_GENERADOR!E:E,"-",0)</f>
        <v>1</v>
      </c>
      <c r="Q1443" s="123">
        <f t="shared" si="513"/>
        <v>0</v>
      </c>
      <c r="R1443" s="125">
        <f>+_xlfn.XLOOKUP(A1443,PPTO_GENERADOR!$Q:$Q,PPTO_GENERADOR!A:A,"-",0)</f>
        <v>18.25</v>
      </c>
    </row>
    <row r="1444" spans="1:18" ht="14.25" customHeight="1" x14ac:dyDescent="0.35">
      <c r="A1444" s="105" t="s">
        <v>332</v>
      </c>
      <c r="B1444" s="105" t="s">
        <v>1979</v>
      </c>
      <c r="C1444" s="105" t="s">
        <v>1982</v>
      </c>
      <c r="D1444" s="105" t="s">
        <v>1616</v>
      </c>
      <c r="E1444" s="95" t="str">
        <f>IFERROR(VLOOKUP(D1444,SUBCONTRATOS_PRY!A:B,2,FALSE()),"?")</f>
        <v>[66030400] GAB 4 MED MONO C/TM + DIF (EDENOR)</v>
      </c>
      <c r="F1444" s="129" t="s">
        <v>2042</v>
      </c>
      <c r="G1444" s="119">
        <v>3</v>
      </c>
      <c r="H1444" s="120">
        <v>0</v>
      </c>
      <c r="I1444" s="96">
        <f>IFERROR(VLOOKUP(D1444,SUBCONTRATOS_PRY!A:D,4,FALSE()),0)</f>
        <v>428925</v>
      </c>
      <c r="J1444" s="31">
        <f t="shared" si="517"/>
        <v>1286775</v>
      </c>
      <c r="K1444" s="32" t="str">
        <f t="shared" si="507"/>
        <v>PTO-1825|MO</v>
      </c>
      <c r="L1444" s="32">
        <f>COUNTIFS($K$2:K1444,K1444)</f>
        <v>3</v>
      </c>
      <c r="M1444" s="32" t="str">
        <f t="shared" si="511"/>
        <v>PTO-1825|MO|3</v>
      </c>
      <c r="N1444" s="121">
        <f>IFERROR(VLOOKUP(A1444,PARTIDAS!A:F,6,FALSE()),0)</f>
        <v>1</v>
      </c>
      <c r="O1444" s="123">
        <f t="shared" si="512"/>
        <v>0</v>
      </c>
      <c r="P1444" s="123">
        <f>+_xlfn.XLOOKUP(A1444,PPTO_GENERADOR!Q:Q,PPTO_GENERADOR!E:E,"-",0)</f>
        <v>1</v>
      </c>
      <c r="Q1444" s="123">
        <f t="shared" si="513"/>
        <v>0</v>
      </c>
      <c r="R1444" s="125">
        <f>+_xlfn.XLOOKUP(A1444,PPTO_GENERADOR!$Q:$Q,PPTO_GENERADOR!A:A,"-",0)</f>
        <v>18.25</v>
      </c>
    </row>
    <row r="1445" spans="1:18" ht="14.25" customHeight="1" x14ac:dyDescent="0.35">
      <c r="A1445" s="105" t="s">
        <v>332</v>
      </c>
      <c r="B1445" s="105" t="s">
        <v>1979</v>
      </c>
      <c r="C1445" s="105" t="s">
        <v>1982</v>
      </c>
      <c r="D1445" s="105" t="s">
        <v>1618</v>
      </c>
      <c r="E1445" s="95" t="str">
        <f>IFERROR(VLOOKUP(D1445,SUBCONTRATOS_PRY!A:B,2,FALSE()),"?")</f>
        <v>Bandeja portacable 300 mm</v>
      </c>
      <c r="F1445" s="129" t="s">
        <v>2042</v>
      </c>
      <c r="G1445" s="119">
        <v>3</v>
      </c>
      <c r="H1445" s="120">
        <v>0</v>
      </c>
      <c r="I1445" s="96">
        <f>IFERROR(VLOOKUP(D1445,SUBCONTRATOS_PRY!A:D,4,FALSE()),0)</f>
        <v>26460</v>
      </c>
      <c r="J1445" s="31">
        <f t="shared" si="517"/>
        <v>79380</v>
      </c>
      <c r="K1445" s="32" t="str">
        <f t="shared" si="507"/>
        <v>PTO-1825|MO</v>
      </c>
      <c r="L1445" s="32">
        <f>COUNTIFS($K$2:K1445,K1445)</f>
        <v>4</v>
      </c>
      <c r="M1445" s="32" t="str">
        <f t="shared" si="511"/>
        <v>PTO-1825|MO|4</v>
      </c>
      <c r="N1445" s="121">
        <f>IFERROR(VLOOKUP(A1445,PARTIDAS!A:F,6,FALSE()),0)</f>
        <v>1</v>
      </c>
      <c r="O1445" s="123">
        <f t="shared" si="512"/>
        <v>0</v>
      </c>
      <c r="P1445" s="123">
        <f>+_xlfn.XLOOKUP(A1445,PPTO_GENERADOR!Q:Q,PPTO_GENERADOR!E:E,"-",0)</f>
        <v>1</v>
      </c>
      <c r="Q1445" s="123">
        <f t="shared" si="513"/>
        <v>0</v>
      </c>
      <c r="R1445" s="125">
        <f>+_xlfn.XLOOKUP(A1445,PPTO_GENERADOR!$Q:$Q,PPTO_GENERADOR!A:A,"-",0)</f>
        <v>18.25</v>
      </c>
    </row>
    <row r="1446" spans="1:18" ht="14.25" customHeight="1" x14ac:dyDescent="0.35">
      <c r="A1446" s="105" t="s">
        <v>332</v>
      </c>
      <c r="B1446" s="105" t="s">
        <v>1979</v>
      </c>
      <c r="C1446" s="105" t="s">
        <v>1982</v>
      </c>
      <c r="D1446" s="105" t="s">
        <v>1620</v>
      </c>
      <c r="E1446" s="95" t="str">
        <f>IFERROR(VLOOKUP(D1446,SUBCONTRATOS_PRY!A:B,2,FALSE()),"?")</f>
        <v>Caja de toma</v>
      </c>
      <c r="F1446" s="129" t="s">
        <v>2042</v>
      </c>
      <c r="G1446" s="119">
        <v>1</v>
      </c>
      <c r="H1446" s="120">
        <v>0</v>
      </c>
      <c r="I1446" s="96">
        <f>IFERROR(VLOOKUP(D1446,SUBCONTRATOS_PRY!A:D,4,FALSE()),0)</f>
        <v>160878.20000000001</v>
      </c>
      <c r="J1446" s="31">
        <f t="shared" si="517"/>
        <v>160878.20000000001</v>
      </c>
      <c r="K1446" s="32" t="str">
        <f t="shared" si="507"/>
        <v>PTO-1825|MO</v>
      </c>
      <c r="L1446" s="32">
        <f>COUNTIFS($K$2:K1446,K1446)</f>
        <v>5</v>
      </c>
      <c r="M1446" s="32" t="str">
        <f t="shared" si="511"/>
        <v>PTO-1825|MO|5</v>
      </c>
      <c r="N1446" s="121">
        <f>IFERROR(VLOOKUP(A1446,PARTIDAS!A:F,6,FALSE()),0)</f>
        <v>1</v>
      </c>
      <c r="O1446" s="123">
        <f t="shared" si="512"/>
        <v>0</v>
      </c>
      <c r="P1446" s="123">
        <f>+_xlfn.XLOOKUP(A1446,PPTO_GENERADOR!Q:Q,PPTO_GENERADOR!E:E,"-",0)</f>
        <v>1</v>
      </c>
      <c r="Q1446" s="123">
        <f t="shared" si="513"/>
        <v>0</v>
      </c>
      <c r="R1446" s="125">
        <f>+_xlfn.XLOOKUP(A1446,PPTO_GENERADOR!$Q:$Q,PPTO_GENERADOR!A:A,"-",0)</f>
        <v>18.25</v>
      </c>
    </row>
    <row r="1447" spans="1:18" ht="14.25" customHeight="1" x14ac:dyDescent="0.35">
      <c r="A1447" s="105" t="s">
        <v>332</v>
      </c>
      <c r="B1447" s="105" t="s">
        <v>1983</v>
      </c>
      <c r="C1447" s="105"/>
      <c r="D1447" s="105" t="s">
        <v>1451</v>
      </c>
      <c r="E1447" s="95" t="str">
        <f>IFERROR(VLOOKUP(D1447,EQUIPOS!A:B,2,FALSE()),"?")</f>
        <v>Herramientas — Provisión y armado de medidores. Provisi</v>
      </c>
      <c r="F1447" s="129"/>
      <c r="G1447" s="119">
        <v>1</v>
      </c>
      <c r="H1447" s="120">
        <v>0</v>
      </c>
      <c r="I1447" s="96">
        <f>IFERROR(VLOOKUP(D1447,EQUIPOS!A:F,6,FALSE()),0)</f>
        <v>153510.53448222199</v>
      </c>
      <c r="J1447" s="31">
        <f>G1447*I1447</f>
        <v>153510.53448222199</v>
      </c>
      <c r="K1447" s="32" t="str">
        <f t="shared" si="507"/>
        <v>PTO-1825|EQ</v>
      </c>
      <c r="L1447" s="32">
        <f>COUNTIFS($K$2:K1447,K1447)</f>
        <v>1</v>
      </c>
      <c r="M1447" s="32" t="str">
        <f t="shared" si="511"/>
        <v>PTO-1825|EQ|1</v>
      </c>
      <c r="N1447" s="121">
        <f>IFERROR(VLOOKUP(A1447,PARTIDAS!A:F,6,FALSE()),0)</f>
        <v>1</v>
      </c>
      <c r="O1447" s="123">
        <f t="shared" si="512"/>
        <v>0</v>
      </c>
      <c r="P1447" s="123">
        <f>+_xlfn.XLOOKUP(A1447,PPTO_GENERADOR!Q:Q,PPTO_GENERADOR!E:E,"-",0)</f>
        <v>1</v>
      </c>
      <c r="Q1447" s="123">
        <f t="shared" si="513"/>
        <v>0</v>
      </c>
      <c r="R1447" s="125">
        <f>+_xlfn.XLOOKUP(A1447,PPTO_GENERADOR!$Q:$Q,PPTO_GENERADOR!A:A,"-",0)</f>
        <v>18.25</v>
      </c>
    </row>
    <row r="1448" spans="1:18" ht="14.25" customHeight="1" x14ac:dyDescent="0.35">
      <c r="A1448" s="105" t="s">
        <v>334</v>
      </c>
      <c r="B1448" s="105" t="s">
        <v>1981</v>
      </c>
      <c r="C1448" s="105" t="s">
        <v>1982</v>
      </c>
      <c r="D1448" s="105" t="s">
        <v>1083</v>
      </c>
      <c r="E1448" s="95" t="str">
        <f>IFERROR(VLOOKUP(D1448,MATERIALES!A:B,2,FALSE()),"?")</f>
        <v>Puesta a tierra — Jabalinas y cableados</v>
      </c>
      <c r="F1448" s="129" t="str">
        <f>IFERROR(VLOOKUP(D1448,MATERIALES!A:C,3,FALSE()),"?")</f>
        <v>gl</v>
      </c>
      <c r="G1448" s="119">
        <v>1</v>
      </c>
      <c r="H1448" s="120">
        <v>0</v>
      </c>
      <c r="I1448" s="96">
        <f>IFERROR(VLOOKUP(D1448,MATERIALES!A:D,4,FALSE()),0)</f>
        <v>1057994.98</v>
      </c>
      <c r="J1448" s="31">
        <f>G1448*I1448*(1+H1448)</f>
        <v>1057994.98</v>
      </c>
      <c r="K1448" s="32" t="str">
        <f t="shared" si="507"/>
        <v>PTO-1826|MAT</v>
      </c>
      <c r="L1448" s="32">
        <f>COUNTIFS($K$2:K1448,K1448)</f>
        <v>1</v>
      </c>
      <c r="M1448" s="32" t="str">
        <f t="shared" si="511"/>
        <v>PTO-1826|MAT|1</v>
      </c>
      <c r="N1448" s="121">
        <f>IFERROR(VLOOKUP(A1448,PARTIDAS!A:F,6,FALSE()),0)</f>
        <v>1</v>
      </c>
      <c r="O1448" s="123">
        <f t="shared" si="512"/>
        <v>0</v>
      </c>
      <c r="P1448" s="123">
        <f>+_xlfn.XLOOKUP(A1448,PPTO_GENERADOR!Q:Q,PPTO_GENERADOR!E:E,"-",0)</f>
        <v>1</v>
      </c>
      <c r="Q1448" s="123">
        <f t="shared" si="513"/>
        <v>0</v>
      </c>
      <c r="R1448" s="125">
        <f>+_xlfn.XLOOKUP(A1448,PPTO_GENERADOR!$Q:$Q,PPTO_GENERADOR!A:A,"-",0)</f>
        <v>18.260000000000002</v>
      </c>
    </row>
    <row r="1449" spans="1:18" ht="14.25" customHeight="1" x14ac:dyDescent="0.35">
      <c r="A1449" s="105" t="s">
        <v>334</v>
      </c>
      <c r="B1449" s="105" t="s">
        <v>1979</v>
      </c>
      <c r="C1449" s="105" t="s">
        <v>1982</v>
      </c>
      <c r="D1449" s="105" t="s">
        <v>1622</v>
      </c>
      <c r="E1449" s="95" t="str">
        <f>IFERROR(VLOOKUP(D1449,SUBCONTRATOS_PRY!A:B,2,FALSE()),"?")</f>
        <v>PAT de Servicio</v>
      </c>
      <c r="F1449" s="129" t="s">
        <v>2042</v>
      </c>
      <c r="G1449" s="119">
        <v>5</v>
      </c>
      <c r="H1449" s="120">
        <v>0</v>
      </c>
      <c r="I1449" s="96">
        <f>IFERROR(VLOOKUP(D1449,SUBCONTRATOS_PRY!A:D,4,FALSE()),0)</f>
        <v>80397.100000000006</v>
      </c>
      <c r="J1449" s="31">
        <f>G1449*I1449</f>
        <v>401985.5</v>
      </c>
      <c r="K1449" s="32" t="str">
        <f t="shared" si="507"/>
        <v>PTO-1826|MO</v>
      </c>
      <c r="L1449" s="32">
        <f>COUNTIFS($K$2:K1449,K1449)</f>
        <v>1</v>
      </c>
      <c r="M1449" s="32" t="str">
        <f t="shared" si="511"/>
        <v>PTO-1826|MO|1</v>
      </c>
      <c r="N1449" s="121">
        <f>IFERROR(VLOOKUP(A1449,PARTIDAS!A:F,6,FALSE()),0)</f>
        <v>1</v>
      </c>
      <c r="O1449" s="123">
        <f t="shared" si="512"/>
        <v>0</v>
      </c>
      <c r="P1449" s="123">
        <f>+_xlfn.XLOOKUP(A1449,PPTO_GENERADOR!Q:Q,PPTO_GENERADOR!E:E,"-",0)</f>
        <v>1</v>
      </c>
      <c r="Q1449" s="123">
        <f t="shared" si="513"/>
        <v>0</v>
      </c>
      <c r="R1449" s="125">
        <f>+_xlfn.XLOOKUP(A1449,PPTO_GENERADOR!$Q:$Q,PPTO_GENERADOR!A:A,"-",0)</f>
        <v>18.260000000000002</v>
      </c>
    </row>
    <row r="1450" spans="1:18" ht="14.25" customHeight="1" x14ac:dyDescent="0.35">
      <c r="A1450" s="105" t="s">
        <v>334</v>
      </c>
      <c r="B1450" s="105" t="s">
        <v>1983</v>
      </c>
      <c r="C1450" s="105"/>
      <c r="D1450" s="105" t="s">
        <v>1453</v>
      </c>
      <c r="E1450" s="95" t="str">
        <f>IFERROR(VLOOKUP(D1450,EQUIPOS!A:B,2,FALSE()),"?")</f>
        <v>Herramientas — Puesta a tierra, jabalinas y cableados</v>
      </c>
      <c r="F1450" s="129"/>
      <c r="G1450" s="119">
        <v>1</v>
      </c>
      <c r="H1450" s="120">
        <v>0</v>
      </c>
      <c r="I1450" s="96">
        <f>IFERROR(VLOOKUP(D1450,EQUIPOS!A:F,6,FALSE()),0)</f>
        <v>21899.707259482599</v>
      </c>
      <c r="J1450" s="31">
        <f>G1450*I1450</f>
        <v>21899.707259482599</v>
      </c>
      <c r="K1450" s="32" t="str">
        <f t="shared" ref="K1450" si="518">A1450&amp;"|"&amp;B1450</f>
        <v>PTO-1826|EQ</v>
      </c>
      <c r="L1450" s="32">
        <f>COUNTIFS($K$2:K1450,K1450)</f>
        <v>1</v>
      </c>
      <c r="M1450" s="32" t="str">
        <f t="shared" si="511"/>
        <v>PTO-1826|EQ|1</v>
      </c>
      <c r="N1450" s="121">
        <f>IFERROR(VLOOKUP(A1450,PARTIDAS!A:F,6,FALSE()),0)</f>
        <v>1</v>
      </c>
      <c r="O1450" s="123">
        <f t="shared" si="512"/>
        <v>0</v>
      </c>
      <c r="P1450" s="123">
        <f>+_xlfn.XLOOKUP(A1450,PPTO_GENERADOR!Q:Q,PPTO_GENERADOR!E:E,"-",0)</f>
        <v>1</v>
      </c>
      <c r="Q1450" s="123">
        <f t="shared" si="513"/>
        <v>0</v>
      </c>
      <c r="R1450" s="125">
        <f>+_xlfn.XLOOKUP(A1450,PPTO_GENERADOR!$Q:$Q,PPTO_GENERADOR!A:A,"-",0)</f>
        <v>18.260000000000002</v>
      </c>
    </row>
    <row r="1451" spans="1:18" ht="14.25" customHeight="1" x14ac:dyDescent="0.35">
      <c r="A1451" s="105" t="s">
        <v>336</v>
      </c>
      <c r="B1451" s="105" t="s">
        <v>1979</v>
      </c>
      <c r="C1451" s="105" t="s">
        <v>1982</v>
      </c>
      <c r="D1451" s="105" t="s">
        <v>1624</v>
      </c>
      <c r="E1451" s="95" t="str">
        <f>IFERROR(VLOOKUP(D1451,SUBCONTRATOS_PRY!A:B,2,FALSE()),"?")</f>
        <v>Servicios grales T1</v>
      </c>
      <c r="F1451" s="129" t="s">
        <v>2042</v>
      </c>
      <c r="G1451" s="119">
        <v>1</v>
      </c>
      <c r="H1451" s="120">
        <v>0</v>
      </c>
      <c r="I1451" s="96">
        <f>IFERROR(VLOOKUP(D1451,SUBCONTRATOS_PRY!A:D,4,FALSE()),0)</f>
        <v>113275.771948505</v>
      </c>
      <c r="J1451" s="31">
        <f>G1451*I1451</f>
        <v>113275.771948505</v>
      </c>
      <c r="K1451" s="32" t="str">
        <f t="shared" ref="K1451:K1513" si="519">A1451&amp;"|"&amp;B1451</f>
        <v>PTO-1827|MO</v>
      </c>
      <c r="L1451" s="32">
        <f>COUNTIFS($K$2:K1451,K1451)</f>
        <v>1</v>
      </c>
      <c r="M1451" s="32" t="str">
        <f t="shared" si="511"/>
        <v>PTO-1827|MO|1</v>
      </c>
      <c r="N1451" s="121">
        <f>IFERROR(VLOOKUP(A1451,PARTIDAS!A:F,6,FALSE()),0)</f>
        <v>1</v>
      </c>
      <c r="O1451" s="123">
        <f t="shared" si="512"/>
        <v>0</v>
      </c>
      <c r="P1451" s="123">
        <f>+_xlfn.XLOOKUP(A1451,PPTO_GENERADOR!Q:Q,PPTO_GENERADOR!E:E,"-",0)</f>
        <v>1</v>
      </c>
      <c r="Q1451" s="123">
        <f t="shared" si="513"/>
        <v>0</v>
      </c>
      <c r="R1451" s="125">
        <f>+_xlfn.XLOOKUP(A1451,PPTO_GENERADOR!$Q:$Q,PPTO_GENERADOR!A:A,"-",0)</f>
        <v>18.27</v>
      </c>
    </row>
    <row r="1452" spans="1:18" ht="14.25" customHeight="1" x14ac:dyDescent="0.35">
      <c r="A1452" s="105" t="s">
        <v>338</v>
      </c>
      <c r="B1452" s="105" t="s">
        <v>1981</v>
      </c>
      <c r="C1452" s="105" t="s">
        <v>1982</v>
      </c>
      <c r="D1452" s="105" t="s">
        <v>1145</v>
      </c>
      <c r="E1452" s="95" t="str">
        <f>IFERROR(VLOOKUP(D1452,MATERIALES!A:B,2,FALSE()),"?")</f>
        <v>AWA TUBO PPN CLOACAL ø.110X4.00 3/1035</v>
      </c>
      <c r="F1452" s="129" t="str">
        <f>IFERROR(VLOOKUP(D1452,MATERIALES!A:C,3,FALSE()),"?")</f>
        <v>u</v>
      </c>
      <c r="G1452" s="119">
        <v>12</v>
      </c>
      <c r="H1452" s="120">
        <v>0</v>
      </c>
      <c r="I1452" s="96">
        <f>IFERROR(VLOOKUP(D1452,MATERIALES!A:D,4,FALSE()),0)</f>
        <v>15376.594074713499</v>
      </c>
      <c r="J1452" s="31">
        <f>G1452*I1452*(1+H1452)</f>
        <v>184519.12889656198</v>
      </c>
      <c r="K1452" s="32" t="str">
        <f t="shared" si="519"/>
        <v>PTO-1901|MAT</v>
      </c>
      <c r="L1452" s="32">
        <f>COUNTIFS($K$2:K1452,K1452)</f>
        <v>1</v>
      </c>
      <c r="M1452" s="32" t="str">
        <f t="shared" si="511"/>
        <v>PTO-1901|MAT|1</v>
      </c>
      <c r="N1452" s="121">
        <f>IFERROR(VLOOKUP(A1452,PARTIDAS!A:F,6,FALSE()),0)</f>
        <v>1</v>
      </c>
      <c r="O1452" s="123">
        <f t="shared" si="512"/>
        <v>0</v>
      </c>
      <c r="P1452" s="123">
        <f>+_xlfn.XLOOKUP(A1452,PPTO_GENERADOR!Q:Q,PPTO_GENERADOR!E:E,"-",0)</f>
        <v>1</v>
      </c>
      <c r="Q1452" s="123">
        <f t="shared" si="513"/>
        <v>0</v>
      </c>
      <c r="R1452" s="125">
        <f>+_xlfn.XLOOKUP(A1452,PPTO_GENERADOR!$Q:$Q,PPTO_GENERADOR!A:A,"-",0)</f>
        <v>19.010000000000002</v>
      </c>
    </row>
    <row r="1453" spans="1:18" ht="14.25" customHeight="1" x14ac:dyDescent="0.35">
      <c r="A1453" s="105" t="s">
        <v>338</v>
      </c>
      <c r="B1453" s="105" t="s">
        <v>1983</v>
      </c>
      <c r="C1453" s="105"/>
      <c r="D1453" s="105" t="s">
        <v>1455</v>
      </c>
      <c r="E1453" s="95" t="str">
        <f>IFERROR(VLOOKUP(D1453,EQUIPOS!A:B,2,FALSE()),"?")</f>
        <v>Herramientas — Tendido caño cloacal en planta baja</v>
      </c>
      <c r="F1453" s="129"/>
      <c r="G1453" s="119">
        <v>1</v>
      </c>
      <c r="H1453" s="120">
        <v>0</v>
      </c>
      <c r="I1453" s="96">
        <f>IFERROR(VLOOKUP(D1453,EQUIPOS!A:F,6,FALSE()),0)</f>
        <v>22374.766708971001</v>
      </c>
      <c r="J1453" s="31">
        <f>G1453*I1453</f>
        <v>22374.766708971001</v>
      </c>
      <c r="K1453" s="32" t="str">
        <f t="shared" si="519"/>
        <v>PTO-1901|EQ</v>
      </c>
      <c r="L1453" s="32">
        <f>COUNTIFS($K$2:K1453,K1453)</f>
        <v>1</v>
      </c>
      <c r="M1453" s="32" t="str">
        <f t="shared" si="511"/>
        <v>PTO-1901|EQ|1</v>
      </c>
      <c r="N1453" s="121">
        <f>IFERROR(VLOOKUP(A1453,PARTIDAS!A:F,6,FALSE()),0)</f>
        <v>1</v>
      </c>
      <c r="O1453" s="123">
        <f t="shared" si="512"/>
        <v>0</v>
      </c>
      <c r="P1453" s="123">
        <f>+_xlfn.XLOOKUP(A1453,PPTO_GENERADOR!Q:Q,PPTO_GENERADOR!E:E,"-",0)</f>
        <v>1</v>
      </c>
      <c r="Q1453" s="123">
        <f t="shared" si="513"/>
        <v>0</v>
      </c>
      <c r="R1453" s="125">
        <f>+_xlfn.XLOOKUP(A1453,PPTO_GENERADOR!$Q:$Q,PPTO_GENERADOR!A:A,"-",0)</f>
        <v>19.010000000000002</v>
      </c>
    </row>
    <row r="1454" spans="1:18" ht="14.25" customHeight="1" x14ac:dyDescent="0.35">
      <c r="A1454" s="105" t="s">
        <v>341</v>
      </c>
      <c r="B1454" s="105" t="s">
        <v>1981</v>
      </c>
      <c r="C1454" s="105" t="s">
        <v>1982</v>
      </c>
      <c r="D1454" s="105" t="s">
        <v>1145</v>
      </c>
      <c r="E1454" s="95" t="str">
        <f>IFERROR(VLOOKUP(D1454,MATERIALES!A:B,2,FALSE()),"?")</f>
        <v>AWA TUBO PPN CLOACAL ø.110X4.00 3/1035</v>
      </c>
      <c r="F1454" s="129" t="str">
        <f>IFERROR(VLOOKUP(D1454,MATERIALES!A:C,3,FALSE()),"?")</f>
        <v>u</v>
      </c>
      <c r="G1454" s="119">
        <v>42</v>
      </c>
      <c r="H1454" s="120">
        <v>0</v>
      </c>
      <c r="I1454" s="96">
        <f>IFERROR(VLOOKUP(D1454,MATERIALES!A:D,4,FALSE()),0)</f>
        <v>15376.594074713499</v>
      </c>
      <c r="J1454" s="31">
        <f>G1454*I1454*(1+H1454)</f>
        <v>645816.95113796694</v>
      </c>
      <c r="K1454" s="32" t="str">
        <f t="shared" si="519"/>
        <v>PTO-1902|MAT</v>
      </c>
      <c r="L1454" s="32">
        <f>COUNTIFS($K$2:K1454,K1454)</f>
        <v>1</v>
      </c>
      <c r="M1454" s="32" t="str">
        <f t="shared" si="511"/>
        <v>PTO-1902|MAT|1</v>
      </c>
      <c r="N1454" s="121">
        <f>IFERROR(VLOOKUP(A1454,PARTIDAS!A:F,6,FALSE()),0)</f>
        <v>1</v>
      </c>
      <c r="O1454" s="123">
        <f t="shared" si="512"/>
        <v>0</v>
      </c>
      <c r="P1454" s="123">
        <f>+_xlfn.XLOOKUP(A1454,PPTO_GENERADOR!Q:Q,PPTO_GENERADOR!E:E,"-",0)</f>
        <v>1</v>
      </c>
      <c r="Q1454" s="123">
        <f t="shared" si="513"/>
        <v>0</v>
      </c>
      <c r="R1454" s="125">
        <f>+_xlfn.XLOOKUP(A1454,PPTO_GENERADOR!$Q:$Q,PPTO_GENERADOR!A:A,"-",0)</f>
        <v>19.02</v>
      </c>
    </row>
    <row r="1455" spans="1:18" ht="14.25" customHeight="1" x14ac:dyDescent="0.35">
      <c r="A1455" s="105" t="s">
        <v>341</v>
      </c>
      <c r="B1455" s="105" t="s">
        <v>1983</v>
      </c>
      <c r="C1455" s="105"/>
      <c r="D1455" s="105" t="s">
        <v>1457</v>
      </c>
      <c r="E1455" s="95" t="str">
        <f>IFERROR(VLOOKUP(D1455,EQUIPOS!A:B,2,FALSE()),"?")</f>
        <v>Herramientas — Por armar CDV en UF</v>
      </c>
      <c r="F1455" s="129"/>
      <c r="G1455" s="119">
        <v>1</v>
      </c>
      <c r="H1455" s="120">
        <v>0</v>
      </c>
      <c r="I1455" s="96">
        <f>IFERROR(VLOOKUP(D1455,EQUIPOS!A:F,6,FALSE()),0)</f>
        <v>176237.56103145599</v>
      </c>
      <c r="J1455" s="31">
        <f>G1455*I1455</f>
        <v>176237.56103145599</v>
      </c>
      <c r="K1455" s="32" t="str">
        <f t="shared" si="519"/>
        <v>PTO-1902|EQ</v>
      </c>
      <c r="L1455" s="32">
        <f>COUNTIFS($K$2:K1455,K1455)</f>
        <v>1</v>
      </c>
      <c r="M1455" s="32" t="str">
        <f t="shared" si="511"/>
        <v>PTO-1902|EQ|1</v>
      </c>
      <c r="N1455" s="121">
        <f>IFERROR(VLOOKUP(A1455,PARTIDAS!A:F,6,FALSE()),0)</f>
        <v>1</v>
      </c>
      <c r="O1455" s="123">
        <f t="shared" si="512"/>
        <v>0</v>
      </c>
      <c r="P1455" s="123">
        <f>+_xlfn.XLOOKUP(A1455,PPTO_GENERADOR!Q:Q,PPTO_GENERADOR!E:E,"-",0)</f>
        <v>1</v>
      </c>
      <c r="Q1455" s="123">
        <f t="shared" si="513"/>
        <v>0</v>
      </c>
      <c r="R1455" s="125">
        <f>+_xlfn.XLOOKUP(A1455,PPTO_GENERADOR!$Q:$Q,PPTO_GENERADOR!A:A,"-",0)</f>
        <v>19.02</v>
      </c>
    </row>
    <row r="1456" spans="1:18" ht="14.25" customHeight="1" x14ac:dyDescent="0.35">
      <c r="A1456" s="105" t="s">
        <v>343</v>
      </c>
      <c r="B1456" s="105" t="s">
        <v>1981</v>
      </c>
      <c r="C1456" s="105" t="s">
        <v>1982</v>
      </c>
      <c r="D1456" s="105" t="s">
        <v>806</v>
      </c>
      <c r="E1456" s="95" t="str">
        <f>IFERROR(VLOOKUP(D1456,MATERIALES!A:B,2,FALSE()),"?")</f>
        <v>CLOACAL — Montantes, remate y ventilación a los 4 vient</v>
      </c>
      <c r="F1456" s="129" t="str">
        <f>IFERROR(VLOOKUP(D1456,MATERIALES!A:C,3,FALSE()),"?")</f>
        <v>u</v>
      </c>
      <c r="G1456" s="119">
        <v>1</v>
      </c>
      <c r="H1456" s="120">
        <v>0</v>
      </c>
      <c r="I1456" s="96">
        <f>IFERROR(VLOOKUP(D1456,MATERIALES!A:D,4,FALSE()),0)</f>
        <v>1446561.6458157499</v>
      </c>
      <c r="J1456" s="31">
        <f>G1456*I1456*(1+H1456)</f>
        <v>1446561.6458157499</v>
      </c>
      <c r="K1456" s="32" t="str">
        <f t="shared" si="519"/>
        <v>PTO-1903|MAT</v>
      </c>
      <c r="L1456" s="32">
        <f>COUNTIFS($K$2:K1456,K1456)</f>
        <v>1</v>
      </c>
      <c r="M1456" s="32" t="str">
        <f t="shared" si="511"/>
        <v>PTO-1903|MAT|1</v>
      </c>
      <c r="N1456" s="121">
        <f>IFERROR(VLOOKUP(A1456,PARTIDAS!A:F,6,FALSE()),0)</f>
        <v>1</v>
      </c>
      <c r="O1456" s="123">
        <f t="shared" si="512"/>
        <v>0</v>
      </c>
      <c r="P1456" s="123">
        <f>+_xlfn.XLOOKUP(A1456,PPTO_GENERADOR!Q:Q,PPTO_GENERADOR!E:E,"-",0)</f>
        <v>1</v>
      </c>
      <c r="Q1456" s="123">
        <f t="shared" si="513"/>
        <v>0</v>
      </c>
      <c r="R1456" s="125">
        <f>+_xlfn.XLOOKUP(A1456,PPTO_GENERADOR!$Q:$Q,PPTO_GENERADOR!A:A,"-",0)</f>
        <v>19.03</v>
      </c>
    </row>
    <row r="1457" spans="1:18" ht="14.25" customHeight="1" x14ac:dyDescent="0.35">
      <c r="A1457" s="105" t="s">
        <v>343</v>
      </c>
      <c r="B1457" s="105" t="s">
        <v>1983</v>
      </c>
      <c r="C1457" s="105"/>
      <c r="D1457" s="105" t="s">
        <v>1459</v>
      </c>
      <c r="E1457" s="95" t="str">
        <f>IFERROR(VLOOKUP(D1457,EQUIPOS!A:B,2,FALSE()),"?")</f>
        <v xml:space="preserve">Herramientas — Montantes, remate y ventilación a los 4 </v>
      </c>
      <c r="F1457" s="129"/>
      <c r="G1457" s="119">
        <v>1</v>
      </c>
      <c r="H1457" s="120">
        <v>0</v>
      </c>
      <c r="I1457" s="96">
        <f>IFERROR(VLOOKUP(D1457,EQUIPOS!A:F,6,FALSE()),0)</f>
        <v>54384.028149377104</v>
      </c>
      <c r="J1457" s="31">
        <f>G1457*I1457</f>
        <v>54384.028149377104</v>
      </c>
      <c r="K1457" s="32" t="str">
        <f t="shared" si="519"/>
        <v>PTO-1903|EQ</v>
      </c>
      <c r="L1457" s="32">
        <f>COUNTIFS($K$2:K1457,K1457)</f>
        <v>1</v>
      </c>
      <c r="M1457" s="32" t="str">
        <f t="shared" si="511"/>
        <v>PTO-1903|EQ|1</v>
      </c>
      <c r="N1457" s="121">
        <f>IFERROR(VLOOKUP(A1457,PARTIDAS!A:F,6,FALSE()),0)</f>
        <v>1</v>
      </c>
      <c r="O1457" s="123">
        <f t="shared" si="512"/>
        <v>0</v>
      </c>
      <c r="P1457" s="123">
        <f>+_xlfn.XLOOKUP(A1457,PPTO_GENERADOR!Q:Q,PPTO_GENERADOR!E:E,"-",0)</f>
        <v>1</v>
      </c>
      <c r="Q1457" s="123">
        <f t="shared" si="513"/>
        <v>0</v>
      </c>
      <c r="R1457" s="125">
        <f>+_xlfn.XLOOKUP(A1457,PPTO_GENERADOR!$Q:$Q,PPTO_GENERADOR!A:A,"-",0)</f>
        <v>19.03</v>
      </c>
    </row>
    <row r="1458" spans="1:18" ht="14.25" customHeight="1" x14ac:dyDescent="0.35">
      <c r="A1458" s="105" t="s">
        <v>345</v>
      </c>
      <c r="B1458" s="105" t="s">
        <v>1981</v>
      </c>
      <c r="C1458" s="105" t="s">
        <v>1982</v>
      </c>
      <c r="D1458" s="105" t="s">
        <v>1145</v>
      </c>
      <c r="E1458" s="95" t="str">
        <f>IFERROR(VLOOKUP(D1458,MATERIALES!A:B,2,FALSE()),"?")</f>
        <v>AWA TUBO PPN CLOACAL ø.110X4.00 3/1035</v>
      </c>
      <c r="F1458" s="129" t="str">
        <f>IFERROR(VLOOKUP(D1458,MATERIALES!A:C,3,FALSE()),"?")</f>
        <v>u</v>
      </c>
      <c r="G1458" s="119">
        <v>15</v>
      </c>
      <c r="H1458" s="120">
        <v>0</v>
      </c>
      <c r="I1458" s="96">
        <f>IFERROR(VLOOKUP(D1458,MATERIALES!A:D,4,FALSE()),0)</f>
        <v>15376.594074713499</v>
      </c>
      <c r="J1458" s="31">
        <f>G1458*I1458*(1+H1458)</f>
        <v>230648.91112070248</v>
      </c>
      <c r="K1458" s="32" t="str">
        <f t="shared" si="519"/>
        <v>PTO-1904|MAT</v>
      </c>
      <c r="L1458" s="32">
        <f>COUNTIFS($K$2:K1458,K1458)</f>
        <v>1</v>
      </c>
      <c r="M1458" s="32" t="str">
        <f t="shared" si="511"/>
        <v>PTO-1904|MAT|1</v>
      </c>
      <c r="N1458" s="121">
        <f>IFERROR(VLOOKUP(A1458,PARTIDAS!A:F,6,FALSE()),0)</f>
        <v>1</v>
      </c>
      <c r="O1458" s="123">
        <f t="shared" si="512"/>
        <v>0</v>
      </c>
      <c r="P1458" s="123">
        <f>+_xlfn.XLOOKUP(A1458,PPTO_GENERADOR!Q:Q,PPTO_GENERADOR!E:E,"-",0)</f>
        <v>1</v>
      </c>
      <c r="Q1458" s="123">
        <f t="shared" si="513"/>
        <v>0</v>
      </c>
      <c r="R1458" s="125">
        <f>+_xlfn.XLOOKUP(A1458,PPTO_GENERADOR!$Q:$Q,PPTO_GENERADOR!A:A,"-",0)</f>
        <v>19.04</v>
      </c>
    </row>
    <row r="1459" spans="1:18" ht="14.25" customHeight="1" x14ac:dyDescent="0.35">
      <c r="A1459" s="105" t="s">
        <v>345</v>
      </c>
      <c r="B1459" s="105" t="s">
        <v>1983</v>
      </c>
      <c r="C1459" s="105"/>
      <c r="D1459" s="105" t="s">
        <v>1461</v>
      </c>
      <c r="E1459" s="95" t="str">
        <f>IFERROR(VLOOKUP(D1459,EQUIPOS!A:B,2,FALSE()),"?")</f>
        <v>Herramientas — Tendido caño pluvial en planta baja</v>
      </c>
      <c r="F1459" s="129"/>
      <c r="G1459" s="119">
        <v>1</v>
      </c>
      <c r="H1459" s="120">
        <v>0</v>
      </c>
      <c r="I1459" s="96">
        <f>IFERROR(VLOOKUP(D1459,EQUIPOS!A:F,6,FALSE()),0)</f>
        <v>20885.780963797501</v>
      </c>
      <c r="J1459" s="31">
        <f>G1459*I1459</f>
        <v>20885.780963797501</v>
      </c>
      <c r="K1459" s="32" t="str">
        <f t="shared" si="519"/>
        <v>PTO-1904|EQ</v>
      </c>
      <c r="L1459" s="32">
        <f>COUNTIFS($K$2:K1459,K1459)</f>
        <v>1</v>
      </c>
      <c r="M1459" s="32" t="str">
        <f t="shared" si="511"/>
        <v>PTO-1904|EQ|1</v>
      </c>
      <c r="N1459" s="121">
        <f>IFERROR(VLOOKUP(A1459,PARTIDAS!A:F,6,FALSE()),0)</f>
        <v>1</v>
      </c>
      <c r="O1459" s="123">
        <f t="shared" si="512"/>
        <v>0</v>
      </c>
      <c r="P1459" s="123">
        <f>+_xlfn.XLOOKUP(A1459,PPTO_GENERADOR!Q:Q,PPTO_GENERADOR!E:E,"-",0)</f>
        <v>1</v>
      </c>
      <c r="Q1459" s="123">
        <f t="shared" si="513"/>
        <v>0</v>
      </c>
      <c r="R1459" s="125">
        <f>+_xlfn.XLOOKUP(A1459,PPTO_GENERADOR!$Q:$Q,PPTO_GENERADOR!A:A,"-",0)</f>
        <v>19.04</v>
      </c>
    </row>
    <row r="1460" spans="1:18" ht="14.25" customHeight="1" x14ac:dyDescent="0.35">
      <c r="A1460" s="105" t="s">
        <v>348</v>
      </c>
      <c r="B1460" s="105" t="s">
        <v>1981</v>
      </c>
      <c r="C1460" s="105" t="s">
        <v>1982</v>
      </c>
      <c r="D1460" s="105" t="s">
        <v>810</v>
      </c>
      <c r="E1460" s="95" t="str">
        <f>IFERROR(VLOOKUP(D1460,MATERIALES!A:B,2,FALSE()),"?")</f>
        <v>PLU — Tendido caño pluvial en balcones de UF y azot</v>
      </c>
      <c r="F1460" s="129" t="str">
        <f>IFERROR(VLOOKUP(D1460,MATERIALES!A:C,3,FALSE()),"?")</f>
        <v>u</v>
      </c>
      <c r="G1460" s="119">
        <v>1</v>
      </c>
      <c r="H1460" s="120">
        <v>0</v>
      </c>
      <c r="I1460" s="96">
        <f>IFERROR(VLOOKUP(D1460,MATERIALES!A:D,4,FALSE()),0)</f>
        <v>2104760.5606523599</v>
      </c>
      <c r="J1460" s="31">
        <f>G1460*I1460*(1+H1460)</f>
        <v>2104760.5606523599</v>
      </c>
      <c r="K1460" s="32" t="str">
        <f t="shared" si="519"/>
        <v>PTO-1905|MAT</v>
      </c>
      <c r="L1460" s="32">
        <f>COUNTIFS($K$2:K1460,K1460)</f>
        <v>1</v>
      </c>
      <c r="M1460" s="32" t="str">
        <f t="shared" si="511"/>
        <v>PTO-1905|MAT|1</v>
      </c>
      <c r="N1460" s="121">
        <f>IFERROR(VLOOKUP(A1460,PARTIDAS!A:F,6,FALSE()),0)</f>
        <v>1</v>
      </c>
      <c r="O1460" s="123">
        <f t="shared" si="512"/>
        <v>0</v>
      </c>
      <c r="P1460" s="123">
        <f>+_xlfn.XLOOKUP(A1460,PPTO_GENERADOR!Q:Q,PPTO_GENERADOR!E:E,"-",0)</f>
        <v>1</v>
      </c>
      <c r="Q1460" s="123">
        <f t="shared" si="513"/>
        <v>0</v>
      </c>
      <c r="R1460" s="125">
        <f>+_xlfn.XLOOKUP(A1460,PPTO_GENERADOR!$Q:$Q,PPTO_GENERADOR!A:A,"-",0)</f>
        <v>19.05</v>
      </c>
    </row>
    <row r="1461" spans="1:18" ht="14.25" customHeight="1" x14ac:dyDescent="0.35">
      <c r="A1461" s="105" t="s">
        <v>348</v>
      </c>
      <c r="B1461" s="105" t="s">
        <v>1983</v>
      </c>
      <c r="C1461" s="105"/>
      <c r="D1461" s="105" t="s">
        <v>1463</v>
      </c>
      <c r="E1461" s="95" t="str">
        <f>IFERROR(VLOOKUP(D1461,EQUIPOS!A:B,2,FALSE()),"?")</f>
        <v>Herramientas — Tendido caño pluvial en balcones de UF y</v>
      </c>
      <c r="F1461" s="129"/>
      <c r="G1461" s="119">
        <v>1</v>
      </c>
      <c r="H1461" s="120">
        <v>0</v>
      </c>
      <c r="I1461" s="96">
        <f>IFERROR(VLOOKUP(D1461,EQUIPOS!A:F,6,FALSE()),0)</f>
        <v>84635.381339109605</v>
      </c>
      <c r="J1461" s="31">
        <f>G1461*I1461</f>
        <v>84635.381339109605</v>
      </c>
      <c r="K1461" s="32" t="str">
        <f t="shared" si="519"/>
        <v>PTO-1905|EQ</v>
      </c>
      <c r="L1461" s="32">
        <f>COUNTIFS($K$2:K1461,K1461)</f>
        <v>1</v>
      </c>
      <c r="M1461" s="32" t="str">
        <f t="shared" si="511"/>
        <v>PTO-1905|EQ|1</v>
      </c>
      <c r="N1461" s="121">
        <f>IFERROR(VLOOKUP(A1461,PARTIDAS!A:F,6,FALSE()),0)</f>
        <v>1</v>
      </c>
      <c r="O1461" s="123">
        <f t="shared" si="512"/>
        <v>0</v>
      </c>
      <c r="P1461" s="123">
        <f>+_xlfn.XLOOKUP(A1461,PPTO_GENERADOR!Q:Q,PPTO_GENERADOR!E:E,"-",0)</f>
        <v>1</v>
      </c>
      <c r="Q1461" s="123">
        <f t="shared" si="513"/>
        <v>0</v>
      </c>
      <c r="R1461" s="125">
        <f>+_xlfn.XLOOKUP(A1461,PPTO_GENERADOR!$Q:$Q,PPTO_GENERADOR!A:A,"-",0)</f>
        <v>19.05</v>
      </c>
    </row>
    <row r="1462" spans="1:18" ht="14.25" customHeight="1" x14ac:dyDescent="0.35">
      <c r="A1462" s="105" t="s">
        <v>350</v>
      </c>
      <c r="B1462" s="105" t="s">
        <v>1981</v>
      </c>
      <c r="C1462" s="105" t="s">
        <v>1982</v>
      </c>
      <c r="D1462" s="105" t="s">
        <v>812</v>
      </c>
      <c r="E1462" s="95" t="str">
        <f>IFERROR(VLOOKUP(D1462,MATERIALES!A:B,2,FALSE()),"?")</f>
        <v>AF_AC — Tendido caño de agua en PB hasta TB. Armado d</v>
      </c>
      <c r="F1462" s="129" t="str">
        <f>IFERROR(VLOOKUP(D1462,MATERIALES!A:C,3,FALSE()),"?")</f>
        <v>u</v>
      </c>
      <c r="G1462" s="119">
        <v>1</v>
      </c>
      <c r="H1462" s="120">
        <v>0</v>
      </c>
      <c r="I1462" s="96">
        <f>IFERROR(VLOOKUP(D1462,MATERIALES!A:D,4,FALSE()),0)</f>
        <v>809170.17674968601</v>
      </c>
      <c r="J1462" s="31">
        <f>G1462*I1462*(1+H1462)</f>
        <v>809170.17674968601</v>
      </c>
      <c r="K1462" s="32" t="str">
        <f t="shared" si="519"/>
        <v>PTO-1906|MAT</v>
      </c>
      <c r="L1462" s="32">
        <f>COUNTIFS($K$2:K1462,K1462)</f>
        <v>1</v>
      </c>
      <c r="M1462" s="32" t="str">
        <f t="shared" si="511"/>
        <v>PTO-1906|MAT|1</v>
      </c>
      <c r="N1462" s="121">
        <f>IFERROR(VLOOKUP(A1462,PARTIDAS!A:F,6,FALSE()),0)</f>
        <v>1</v>
      </c>
      <c r="O1462" s="123">
        <f t="shared" si="512"/>
        <v>0</v>
      </c>
      <c r="P1462" s="123">
        <f>+_xlfn.XLOOKUP(A1462,PPTO_GENERADOR!Q:Q,PPTO_GENERADOR!E:E,"-",0)</f>
        <v>1</v>
      </c>
      <c r="Q1462" s="123">
        <f t="shared" si="513"/>
        <v>0</v>
      </c>
      <c r="R1462" s="125">
        <f>+_xlfn.XLOOKUP(A1462,PPTO_GENERADOR!$Q:$Q,PPTO_GENERADOR!A:A,"-",0)</f>
        <v>19.059999999999999</v>
      </c>
    </row>
    <row r="1463" spans="1:18" ht="14.25" customHeight="1" x14ac:dyDescent="0.35">
      <c r="A1463" s="105" t="s">
        <v>350</v>
      </c>
      <c r="B1463" s="105" t="s">
        <v>1983</v>
      </c>
      <c r="C1463" s="105"/>
      <c r="D1463" s="105" t="s">
        <v>1465</v>
      </c>
      <c r="E1463" s="95" t="str">
        <f>IFERROR(VLOOKUP(D1463,EQUIPOS!A:B,2,FALSE()),"?")</f>
        <v>Herramientas — Tendido caño de agua en PB hasta TB. Arm</v>
      </c>
      <c r="F1463" s="129"/>
      <c r="G1463" s="119">
        <v>1</v>
      </c>
      <c r="H1463" s="120">
        <v>0</v>
      </c>
      <c r="I1463" s="96">
        <f>IFERROR(VLOOKUP(D1463,EQUIPOS!A:F,6,FALSE()),0)</f>
        <v>38331.263660483099</v>
      </c>
      <c r="J1463" s="31">
        <f>G1463*I1463</f>
        <v>38331.263660483099</v>
      </c>
      <c r="K1463" s="32" t="str">
        <f t="shared" si="519"/>
        <v>PTO-1906|EQ</v>
      </c>
      <c r="L1463" s="32">
        <f>COUNTIFS($K$2:K1463,K1463)</f>
        <v>1</v>
      </c>
      <c r="M1463" s="32" t="str">
        <f t="shared" si="511"/>
        <v>PTO-1906|EQ|1</v>
      </c>
      <c r="N1463" s="121">
        <f>IFERROR(VLOOKUP(A1463,PARTIDAS!A:F,6,FALSE()),0)</f>
        <v>1</v>
      </c>
      <c r="O1463" s="123">
        <f t="shared" si="512"/>
        <v>0</v>
      </c>
      <c r="P1463" s="123">
        <f>+_xlfn.XLOOKUP(A1463,PPTO_GENERADOR!Q:Q,PPTO_GENERADOR!E:E,"-",0)</f>
        <v>1</v>
      </c>
      <c r="Q1463" s="123">
        <f t="shared" si="513"/>
        <v>0</v>
      </c>
      <c r="R1463" s="125">
        <f>+_xlfn.XLOOKUP(A1463,PPTO_GENERADOR!$Q:$Q,PPTO_GENERADOR!A:A,"-",0)</f>
        <v>19.059999999999999</v>
      </c>
    </row>
    <row r="1464" spans="1:18" ht="14.25" customHeight="1" x14ac:dyDescent="0.35">
      <c r="A1464" s="105" t="s">
        <v>353</v>
      </c>
      <c r="B1464" s="105" t="s">
        <v>1981</v>
      </c>
      <c r="C1464" s="105" t="s">
        <v>1982</v>
      </c>
      <c r="D1464" s="105" t="s">
        <v>814</v>
      </c>
      <c r="E1464" s="95" t="str">
        <f>IFERROR(VLOOKUP(D1464,MATERIALES!A:B,2,FALSE()),"?")</f>
        <v>AF_AC — Conexión y armado de colector de TR. Montante</v>
      </c>
      <c r="F1464" s="129" t="str">
        <f>IFERROR(VLOOKUP(D1464,MATERIALES!A:C,3,FALSE()),"?")</f>
        <v>u</v>
      </c>
      <c r="G1464" s="119">
        <v>1</v>
      </c>
      <c r="H1464" s="120">
        <v>0</v>
      </c>
      <c r="I1464" s="96">
        <f>IFERROR(VLOOKUP(D1464,MATERIALES!A:D,4,FALSE()),0)</f>
        <v>1906561.77476009</v>
      </c>
      <c r="J1464" s="31">
        <f>G1464*I1464*(1+H1464)</f>
        <v>1906561.77476009</v>
      </c>
      <c r="K1464" s="32" t="str">
        <f t="shared" si="519"/>
        <v>PTO-1907|MAT</v>
      </c>
      <c r="L1464" s="32">
        <f>COUNTIFS($K$2:K1464,K1464)</f>
        <v>1</v>
      </c>
      <c r="M1464" s="32" t="str">
        <f t="shared" si="511"/>
        <v>PTO-1907|MAT|1</v>
      </c>
      <c r="N1464" s="121">
        <f>IFERROR(VLOOKUP(A1464,PARTIDAS!A:F,6,FALSE()),0)</f>
        <v>1</v>
      </c>
      <c r="O1464" s="123">
        <f t="shared" si="512"/>
        <v>0</v>
      </c>
      <c r="P1464" s="123">
        <f>+_xlfn.XLOOKUP(A1464,PPTO_GENERADOR!Q:Q,PPTO_GENERADOR!E:E,"-",0)</f>
        <v>1</v>
      </c>
      <c r="Q1464" s="123">
        <f t="shared" si="513"/>
        <v>0</v>
      </c>
      <c r="R1464" s="125">
        <f>+_xlfn.XLOOKUP(A1464,PPTO_GENERADOR!$Q:$Q,PPTO_GENERADOR!A:A,"-",0)</f>
        <v>19.07</v>
      </c>
    </row>
    <row r="1465" spans="1:18" ht="14.25" customHeight="1" x14ac:dyDescent="0.35">
      <c r="A1465" s="105" t="s">
        <v>353</v>
      </c>
      <c r="B1465" s="105" t="s">
        <v>1983</v>
      </c>
      <c r="C1465" s="105"/>
      <c r="D1465" s="105" t="s">
        <v>1467</v>
      </c>
      <c r="E1465" s="95" t="str">
        <f>IFERROR(VLOOKUP(D1465,EQUIPOS!A:B,2,FALSE()),"?")</f>
        <v>Herramientas — Conexión y armado de colector de TR. Mon</v>
      </c>
      <c r="F1465" s="129"/>
      <c r="G1465" s="119">
        <v>1</v>
      </c>
      <c r="H1465" s="120">
        <v>0</v>
      </c>
      <c r="I1465" s="96">
        <f>IFERROR(VLOOKUP(D1465,EQUIPOS!A:F,6,FALSE()),0)</f>
        <v>82579.398554802203</v>
      </c>
      <c r="J1465" s="31">
        <f>G1465*I1465</f>
        <v>82579.398554802203</v>
      </c>
      <c r="K1465" s="32" t="str">
        <f t="shared" si="519"/>
        <v>PTO-1907|EQ</v>
      </c>
      <c r="L1465" s="32">
        <f>COUNTIFS($K$2:K1465,K1465)</f>
        <v>1</v>
      </c>
      <c r="M1465" s="32" t="str">
        <f t="shared" si="511"/>
        <v>PTO-1907|EQ|1</v>
      </c>
      <c r="N1465" s="121">
        <f>IFERROR(VLOOKUP(A1465,PARTIDAS!A:F,6,FALSE()),0)</f>
        <v>1</v>
      </c>
      <c r="O1465" s="123">
        <f t="shared" si="512"/>
        <v>0</v>
      </c>
      <c r="P1465" s="123">
        <f>+_xlfn.XLOOKUP(A1465,PPTO_GENERADOR!Q:Q,PPTO_GENERADOR!E:E,"-",0)</f>
        <v>1</v>
      </c>
      <c r="Q1465" s="123">
        <f t="shared" si="513"/>
        <v>0</v>
      </c>
      <c r="R1465" s="125">
        <f>+_xlfn.XLOOKUP(A1465,PPTO_GENERADOR!$Q:$Q,PPTO_GENERADOR!A:A,"-",0)</f>
        <v>19.07</v>
      </c>
    </row>
    <row r="1466" spans="1:18" ht="14.25" customHeight="1" x14ac:dyDescent="0.35">
      <c r="A1466" s="105" t="s">
        <v>355</v>
      </c>
      <c r="B1466" s="105" t="s">
        <v>1981</v>
      </c>
      <c r="C1466" s="105" t="s">
        <v>1982</v>
      </c>
      <c r="D1466" s="105" t="s">
        <v>816</v>
      </c>
      <c r="E1466" s="95" t="str">
        <f>IFERROR(VLOOKUP(D1466,MATERIALES!A:B,2,FALSE()),"?")</f>
        <v xml:space="preserve">AF_AC — Armado de colector de TAR. Bajadas y retorno </v>
      </c>
      <c r="F1466" s="129" t="str">
        <f>IFERROR(VLOOKUP(D1466,MATERIALES!A:C,3,FALSE()),"?")</f>
        <v>u</v>
      </c>
      <c r="G1466" s="119">
        <v>1</v>
      </c>
      <c r="H1466" s="120">
        <v>0</v>
      </c>
      <c r="I1466" s="96">
        <f>IFERROR(VLOOKUP(D1466,MATERIALES!A:D,4,FALSE()),0)</f>
        <v>1435578.0647120301</v>
      </c>
      <c r="J1466" s="31">
        <f>G1466*I1466*(1+H1466)</f>
        <v>1435578.0647120301</v>
      </c>
      <c r="K1466" s="32" t="str">
        <f t="shared" si="519"/>
        <v>PTO-1908|MAT</v>
      </c>
      <c r="L1466" s="32">
        <f>COUNTIFS($K$2:K1466,K1466)</f>
        <v>1</v>
      </c>
      <c r="M1466" s="32" t="str">
        <f t="shared" ref="M1466" si="520">K1466&amp;"|"&amp;L1466</f>
        <v>PTO-1908|MAT|1</v>
      </c>
      <c r="N1466" s="121">
        <f>IFERROR(VLOOKUP(A1466,PARTIDAS!A:F,6,FALSE()),0)</f>
        <v>1</v>
      </c>
      <c r="O1466" s="123">
        <f t="shared" si="512"/>
        <v>0</v>
      </c>
      <c r="P1466" s="123">
        <f>+_xlfn.XLOOKUP(A1466,PPTO_GENERADOR!Q:Q,PPTO_GENERADOR!E:E,"-",0)</f>
        <v>1</v>
      </c>
      <c r="Q1466" s="123">
        <f t="shared" si="513"/>
        <v>0</v>
      </c>
      <c r="R1466" s="125">
        <f>+_xlfn.XLOOKUP(A1466,PPTO_GENERADOR!$Q:$Q,PPTO_GENERADOR!A:A,"-",0)</f>
        <v>19.079999999999998</v>
      </c>
    </row>
    <row r="1467" spans="1:18" ht="14.25" customHeight="1" x14ac:dyDescent="0.35">
      <c r="A1467" s="105" t="s">
        <v>355</v>
      </c>
      <c r="B1467" s="105" t="s">
        <v>1983</v>
      </c>
      <c r="C1467" s="105"/>
      <c r="D1467" s="105" t="s">
        <v>1469</v>
      </c>
      <c r="E1467" s="95" t="str">
        <f>IFERROR(VLOOKUP(D1467,EQUIPOS!A:B,2,FALSE()),"?")</f>
        <v>Herramientas — Armado de colector de TAR. Bajadas y ret</v>
      </c>
      <c r="F1467" s="129"/>
      <c r="G1467" s="119">
        <v>1</v>
      </c>
      <c r="H1467" s="120">
        <v>0</v>
      </c>
      <c r="I1467" s="96">
        <f>IFERROR(VLOOKUP(D1467,EQUIPOS!A:F,6,FALSE()),0)</f>
        <v>59033.896817303801</v>
      </c>
      <c r="J1467" s="31">
        <f>G1467*I1467</f>
        <v>59033.896817303801</v>
      </c>
      <c r="K1467" s="32" t="str">
        <f t="shared" si="519"/>
        <v>PTO-1908|EQ</v>
      </c>
      <c r="L1467" s="32">
        <f>COUNTIFS($K$2:K1467,K1467)</f>
        <v>1</v>
      </c>
      <c r="M1467" s="32" t="str">
        <f t="shared" ref="M1467:M1529" si="521">K1467&amp;"|"&amp;L1467</f>
        <v>PTO-1908|EQ|1</v>
      </c>
      <c r="N1467" s="121">
        <f>IFERROR(VLOOKUP(A1467,PARTIDAS!A:F,6,FALSE()),0)</f>
        <v>1</v>
      </c>
      <c r="O1467" s="123">
        <f t="shared" si="512"/>
        <v>0</v>
      </c>
      <c r="P1467" s="123">
        <f>+_xlfn.XLOOKUP(A1467,PPTO_GENERADOR!Q:Q,PPTO_GENERADOR!E:E,"-",0)</f>
        <v>1</v>
      </c>
      <c r="Q1467" s="123">
        <f t="shared" si="513"/>
        <v>0</v>
      </c>
      <c r="R1467" s="125">
        <f>+_xlfn.XLOOKUP(A1467,PPTO_GENERADOR!$Q:$Q,PPTO_GENERADOR!A:A,"-",0)</f>
        <v>19.079999999999998</v>
      </c>
    </row>
    <row r="1468" spans="1:18" ht="14.25" customHeight="1" x14ac:dyDescent="0.35">
      <c r="A1468" s="105" t="s">
        <v>357</v>
      </c>
      <c r="B1468" s="105" t="s">
        <v>1981</v>
      </c>
      <c r="C1468" s="105" t="s">
        <v>1982</v>
      </c>
      <c r="D1468" s="105" t="s">
        <v>818</v>
      </c>
      <c r="E1468" s="95" t="str">
        <f>IFERROR(VLOOKUP(D1468,MATERIALES!A:B,2,FALSE()),"?")</f>
        <v xml:space="preserve">AF_AC — Colocación de bomba presurizadora, armado de </v>
      </c>
      <c r="F1468" s="129" t="str">
        <f>IFERROR(VLOOKUP(D1468,MATERIALES!A:C,3,FALSE()),"?")</f>
        <v>u</v>
      </c>
      <c r="G1468" s="119">
        <v>1</v>
      </c>
      <c r="H1468" s="120">
        <v>0</v>
      </c>
      <c r="I1468" s="96">
        <f>IFERROR(VLOOKUP(D1468,MATERIALES!A:D,4,FALSE()),0)</f>
        <v>609036.01399088604</v>
      </c>
      <c r="J1468" s="31">
        <f>G1468*I1468*(1+H1468)</f>
        <v>609036.01399088604</v>
      </c>
      <c r="K1468" s="32" t="str">
        <f t="shared" si="519"/>
        <v>PTO-1909|MAT</v>
      </c>
      <c r="L1468" s="32">
        <f>COUNTIFS($K$2:K1468,K1468)</f>
        <v>1</v>
      </c>
      <c r="M1468" s="32" t="str">
        <f t="shared" si="521"/>
        <v>PTO-1909|MAT|1</v>
      </c>
      <c r="N1468" s="121">
        <f>IFERROR(VLOOKUP(A1468,PARTIDAS!A:F,6,FALSE()),0)</f>
        <v>1</v>
      </c>
      <c r="O1468" s="123">
        <f t="shared" si="512"/>
        <v>0</v>
      </c>
      <c r="P1468" s="123">
        <f>+_xlfn.XLOOKUP(A1468,PPTO_GENERADOR!Q:Q,PPTO_GENERADOR!E:E,"-",0)</f>
        <v>1</v>
      </c>
      <c r="Q1468" s="123">
        <f t="shared" si="513"/>
        <v>0</v>
      </c>
      <c r="R1468" s="125">
        <f>+_xlfn.XLOOKUP(A1468,PPTO_GENERADOR!$Q:$Q,PPTO_GENERADOR!A:A,"-",0)</f>
        <v>19.09</v>
      </c>
    </row>
    <row r="1469" spans="1:18" ht="14.25" customHeight="1" x14ac:dyDescent="0.35">
      <c r="A1469" s="105" t="s">
        <v>357</v>
      </c>
      <c r="B1469" s="105" t="s">
        <v>1983</v>
      </c>
      <c r="C1469" s="105"/>
      <c r="D1469" s="105" t="s">
        <v>1471</v>
      </c>
      <c r="E1469" s="95" t="str">
        <f>IFERROR(VLOOKUP(D1469,EQUIPOS!A:B,2,FALSE()),"?")</f>
        <v>Herramientas — Colocación de bomba presurizadora, armad</v>
      </c>
      <c r="F1469" s="129"/>
      <c r="G1469" s="119">
        <v>1</v>
      </c>
      <c r="H1469" s="120">
        <v>0</v>
      </c>
      <c r="I1469" s="96">
        <f>IFERROR(VLOOKUP(D1469,EQUIPOS!A:F,6,FALSE()),0)</f>
        <v>27129.197520996899</v>
      </c>
      <c r="J1469" s="31">
        <f>G1469*I1469</f>
        <v>27129.197520996899</v>
      </c>
      <c r="K1469" s="32" t="str">
        <f t="shared" si="519"/>
        <v>PTO-1909|EQ</v>
      </c>
      <c r="L1469" s="32">
        <f>COUNTIFS($K$2:K1469,K1469)</f>
        <v>1</v>
      </c>
      <c r="M1469" s="32" t="str">
        <f t="shared" si="521"/>
        <v>PTO-1909|EQ|1</v>
      </c>
      <c r="N1469" s="121">
        <f>IFERROR(VLOOKUP(A1469,PARTIDAS!A:F,6,FALSE()),0)</f>
        <v>1</v>
      </c>
      <c r="O1469" s="123">
        <f t="shared" si="512"/>
        <v>0</v>
      </c>
      <c r="P1469" s="123">
        <f>+_xlfn.XLOOKUP(A1469,PPTO_GENERADOR!Q:Q,PPTO_GENERADOR!E:E,"-",0)</f>
        <v>1</v>
      </c>
      <c r="Q1469" s="123">
        <f t="shared" si="513"/>
        <v>0</v>
      </c>
      <c r="R1469" s="125">
        <f>+_xlfn.XLOOKUP(A1469,PPTO_GENERADOR!$Q:$Q,PPTO_GENERADOR!A:A,"-",0)</f>
        <v>19.09</v>
      </c>
    </row>
    <row r="1470" spans="1:18" ht="14.25" customHeight="1" x14ac:dyDescent="0.35">
      <c r="A1470" s="105" t="s">
        <v>2036</v>
      </c>
      <c r="B1470" s="105" t="s">
        <v>1981</v>
      </c>
      <c r="C1470" s="105" t="s">
        <v>1982</v>
      </c>
      <c r="D1470" s="105" t="s">
        <v>820</v>
      </c>
      <c r="E1470" s="95" t="str">
        <f>IFERROR(VLOOKUP(D1470,MATERIALES!A:B,2,FALSE()),"?")</f>
        <v>AF_AC — Distribución agua fria y caliente en planta t</v>
      </c>
      <c r="F1470" s="129" t="str">
        <f>IFERROR(VLOOKUP(D1470,MATERIALES!A:C,3,FALSE()),"?")</f>
        <v>u</v>
      </c>
      <c r="G1470" s="119">
        <v>1</v>
      </c>
      <c r="H1470" s="120">
        <v>0</v>
      </c>
      <c r="I1470" s="96">
        <f>IFERROR(VLOOKUP(D1470,MATERIALES!A:D,4,FALSE()),0)</f>
        <v>2840582.8064988302</v>
      </c>
      <c r="J1470" s="31">
        <f>G1470*I1470*(1+H1470)</f>
        <v>2840582.8064988302</v>
      </c>
      <c r="K1470" s="32" t="str">
        <f t="shared" si="519"/>
        <v>PTO-1910|MAT</v>
      </c>
      <c r="L1470" s="32">
        <f>COUNTIFS($K$2:K1470,K1470)</f>
        <v>1</v>
      </c>
      <c r="M1470" s="32" t="str">
        <f t="shared" si="521"/>
        <v>PTO-1910|MAT|1</v>
      </c>
      <c r="N1470" s="121">
        <f>IFERROR(VLOOKUP(A1470,PARTIDAS!A:F,6,FALSE()),0)</f>
        <v>1</v>
      </c>
      <c r="O1470" s="123">
        <f t="shared" si="512"/>
        <v>0</v>
      </c>
      <c r="P1470" s="123">
        <f>+_xlfn.XLOOKUP(A1470,PPTO_GENERADOR!Q:Q,PPTO_GENERADOR!E:E,"-",0)</f>
        <v>1</v>
      </c>
      <c r="Q1470" s="123">
        <f t="shared" si="513"/>
        <v>0</v>
      </c>
      <c r="R1470" s="125">
        <f>+_xlfn.XLOOKUP(A1470,PPTO_GENERADOR!$Q:$Q,PPTO_GENERADOR!A:A,"-",0)</f>
        <v>19.100000000000001</v>
      </c>
    </row>
    <row r="1471" spans="1:18" ht="14.25" customHeight="1" x14ac:dyDescent="0.35">
      <c r="A1471" s="105" t="s">
        <v>2036</v>
      </c>
      <c r="B1471" s="105" t="s">
        <v>1983</v>
      </c>
      <c r="C1471" s="105"/>
      <c r="D1471" s="105" t="s">
        <v>1473</v>
      </c>
      <c r="E1471" s="95" t="str">
        <f>IFERROR(VLOOKUP(D1471,EQUIPOS!A:B,2,FALSE()),"?")</f>
        <v>Herramientas — Distribución agua fria y caliente en pla</v>
      </c>
      <c r="F1471" s="129"/>
      <c r="G1471" s="119">
        <v>1</v>
      </c>
      <c r="H1471" s="120">
        <v>0</v>
      </c>
      <c r="I1471" s="96">
        <f>IFERROR(VLOOKUP(D1471,EQUIPOS!A:F,6,FALSE()),0)</f>
        <v>180429.330098951</v>
      </c>
      <c r="J1471" s="31">
        <f>G1471*I1471</f>
        <v>180429.330098951</v>
      </c>
      <c r="K1471" s="32" t="str">
        <f t="shared" si="519"/>
        <v>PTO-1910|EQ</v>
      </c>
      <c r="L1471" s="32">
        <f>COUNTIFS($K$2:K1471,K1471)</f>
        <v>1</v>
      </c>
      <c r="M1471" s="32" t="str">
        <f t="shared" si="521"/>
        <v>PTO-1910|EQ|1</v>
      </c>
      <c r="N1471" s="121">
        <f>IFERROR(VLOOKUP(A1471,PARTIDAS!A:F,6,FALSE()),0)</f>
        <v>1</v>
      </c>
      <c r="O1471" s="123">
        <f t="shared" si="512"/>
        <v>0</v>
      </c>
      <c r="P1471" s="123">
        <f>+_xlfn.XLOOKUP(A1471,PPTO_GENERADOR!Q:Q,PPTO_GENERADOR!E:E,"-",0)</f>
        <v>1</v>
      </c>
      <c r="Q1471" s="123">
        <f t="shared" si="513"/>
        <v>0</v>
      </c>
      <c r="R1471" s="125">
        <f>+_xlfn.XLOOKUP(A1471,PPTO_GENERADOR!$Q:$Q,PPTO_GENERADOR!A:A,"-",0)</f>
        <v>19.100000000000001</v>
      </c>
    </row>
    <row r="1472" spans="1:18" ht="14.25" customHeight="1" x14ac:dyDescent="0.35">
      <c r="A1472" s="105" t="s">
        <v>362</v>
      </c>
      <c r="B1472" s="105" t="s">
        <v>1981</v>
      </c>
      <c r="C1472" s="105" t="s">
        <v>1982</v>
      </c>
      <c r="D1472" s="105" t="s">
        <v>822</v>
      </c>
      <c r="E1472" s="95" t="str">
        <f>IFERROR(VLOOKUP(D1472,MATERIALES!A:B,2,FALSE()),"?")</f>
        <v>AF_AC — Colocación de artefactos y griferías - Provis</v>
      </c>
      <c r="F1472" s="129" t="str">
        <f>IFERROR(VLOOKUP(D1472,MATERIALES!A:C,3,FALSE()),"?")</f>
        <v>u</v>
      </c>
      <c r="G1472" s="119">
        <v>1</v>
      </c>
      <c r="H1472" s="120">
        <v>0</v>
      </c>
      <c r="I1472" s="96">
        <f>IFERROR(VLOOKUP(D1472,MATERIALES!A:D,4,FALSE()),0)</f>
        <v>2501139.9349345602</v>
      </c>
      <c r="J1472" s="31">
        <f>G1472*I1472*(1+H1472)</f>
        <v>2501139.9349345602</v>
      </c>
      <c r="K1472" s="32" t="str">
        <f t="shared" si="519"/>
        <v>PTO-1912|MAT</v>
      </c>
      <c r="L1472" s="32">
        <f>COUNTIFS($K$2:K1472,K1472)</f>
        <v>1</v>
      </c>
      <c r="M1472" s="32" t="str">
        <f t="shared" si="521"/>
        <v>PTO-1912|MAT|1</v>
      </c>
      <c r="N1472" s="121">
        <f>IFERROR(VLOOKUP(A1472,PARTIDAS!A:F,6,FALSE()),0)</f>
        <v>1</v>
      </c>
      <c r="O1472" s="123">
        <f t="shared" si="512"/>
        <v>0</v>
      </c>
      <c r="P1472" s="123">
        <f>+_xlfn.XLOOKUP(A1472,PPTO_GENERADOR!Q:Q,PPTO_GENERADOR!E:E,"-",0)</f>
        <v>1</v>
      </c>
      <c r="Q1472" s="123">
        <f t="shared" si="513"/>
        <v>0</v>
      </c>
      <c r="R1472" s="125">
        <f>+_xlfn.XLOOKUP(A1472,PPTO_GENERADOR!$Q:$Q,PPTO_GENERADOR!A:A,"-",0)</f>
        <v>19.12</v>
      </c>
    </row>
    <row r="1473" spans="1:18" ht="14.25" customHeight="1" x14ac:dyDescent="0.35">
      <c r="A1473" s="105" t="s">
        <v>362</v>
      </c>
      <c r="B1473" s="105" t="s">
        <v>1983</v>
      </c>
      <c r="C1473" s="105"/>
      <c r="D1473" s="105" t="s">
        <v>1475</v>
      </c>
      <c r="E1473" s="95" t="str">
        <f>IFERROR(VLOOKUP(D1473,EQUIPOS!A:B,2,FALSE()),"?")</f>
        <v>Herramientas — Colocación de artefactos y griferías - P</v>
      </c>
      <c r="F1473" s="129"/>
      <c r="G1473" s="119">
        <v>1</v>
      </c>
      <c r="H1473" s="120">
        <v>0</v>
      </c>
      <c r="I1473" s="96">
        <f>IFERROR(VLOOKUP(D1473,EQUIPOS!A:F,6,FALSE()),0)</f>
        <v>113709.375157824</v>
      </c>
      <c r="J1473" s="31">
        <f>G1473*I1473</f>
        <v>113709.375157824</v>
      </c>
      <c r="K1473" s="32" t="str">
        <f t="shared" si="519"/>
        <v>PTO-1912|EQ</v>
      </c>
      <c r="L1473" s="32">
        <f>COUNTIFS($K$2:K1473,K1473)</f>
        <v>1</v>
      </c>
      <c r="M1473" s="32" t="str">
        <f t="shared" si="521"/>
        <v>PTO-1912|EQ|1</v>
      </c>
      <c r="N1473" s="121">
        <f>IFERROR(VLOOKUP(A1473,PARTIDAS!A:F,6,FALSE()),0)</f>
        <v>1</v>
      </c>
      <c r="O1473" s="123">
        <f t="shared" si="512"/>
        <v>0</v>
      </c>
      <c r="P1473" s="123">
        <f>+_xlfn.XLOOKUP(A1473,PPTO_GENERADOR!Q:Q,PPTO_GENERADOR!E:E,"-",0)</f>
        <v>1</v>
      </c>
      <c r="Q1473" s="123">
        <f t="shared" si="513"/>
        <v>0</v>
      </c>
      <c r="R1473" s="125">
        <f>+_xlfn.XLOOKUP(A1473,PPTO_GENERADOR!$Q:$Q,PPTO_GENERADOR!A:A,"-",0)</f>
        <v>19.12</v>
      </c>
    </row>
    <row r="1474" spans="1:18" ht="14.25" customHeight="1" x14ac:dyDescent="0.35">
      <c r="A1474" s="105" t="s">
        <v>364</v>
      </c>
      <c r="B1474" s="105" t="s">
        <v>1981</v>
      </c>
      <c r="C1474" s="105" t="s">
        <v>1982</v>
      </c>
      <c r="D1474" s="105" t="s">
        <v>824</v>
      </c>
      <c r="E1474" s="95" t="str">
        <f>IFERROR(VLOOKUP(D1474,MATERIALES!A:B,2,FALSE()),"?")</f>
        <v>Colocación y armado de colectores solares - Provisión de col</v>
      </c>
      <c r="F1474" s="129" t="str">
        <f>IFERROR(VLOOKUP(D1474,MATERIALES!A:C,3,FALSE()),"?")</f>
        <v>u</v>
      </c>
      <c r="G1474" s="119">
        <v>1</v>
      </c>
      <c r="H1474" s="120">
        <v>0</v>
      </c>
      <c r="I1474" s="96">
        <f>IFERROR(VLOOKUP(D1474,MATERIALES!A:D,4,FALSE()),0)</f>
        <v>358894.516178007</v>
      </c>
      <c r="J1474" s="31">
        <f>G1474*I1474*(1+H1474)</f>
        <v>358894.516178007</v>
      </c>
      <c r="K1474" s="32" t="str">
        <f t="shared" si="519"/>
        <v>PTO-1913|MAT</v>
      </c>
      <c r="L1474" s="32">
        <f>COUNTIFS($K$2:K1474,K1474)</f>
        <v>1</v>
      </c>
      <c r="M1474" s="32" t="str">
        <f t="shared" si="521"/>
        <v>PTO-1913|MAT|1</v>
      </c>
      <c r="N1474" s="121">
        <f>IFERROR(VLOOKUP(A1474,PARTIDAS!A:F,6,FALSE()),0)</f>
        <v>1</v>
      </c>
      <c r="O1474" s="123">
        <f t="shared" si="512"/>
        <v>0</v>
      </c>
      <c r="P1474" s="123">
        <f>+_xlfn.XLOOKUP(A1474,PPTO_GENERADOR!Q:Q,PPTO_GENERADOR!E:E,"-",0)</f>
        <v>1</v>
      </c>
      <c r="Q1474" s="123">
        <f t="shared" si="513"/>
        <v>0</v>
      </c>
      <c r="R1474" s="125">
        <f>+_xlfn.XLOOKUP(A1474,PPTO_GENERADOR!$Q:$Q,PPTO_GENERADOR!A:A,"-",0)</f>
        <v>19.13</v>
      </c>
    </row>
    <row r="1475" spans="1:18" ht="14.25" customHeight="1" x14ac:dyDescent="0.35">
      <c r="A1475" s="105" t="s">
        <v>364</v>
      </c>
      <c r="B1475" s="105" t="s">
        <v>1979</v>
      </c>
      <c r="C1475" s="105" t="s">
        <v>1982</v>
      </c>
      <c r="D1475" s="105" t="s">
        <v>1626</v>
      </c>
      <c r="E1475" s="95" t="str">
        <f>IFERROR(VLOOKUP(D1475,SUBCONTRATOS_PRY!A:B,2,FALSE()),"?")</f>
        <v>MO — Colocación y armado de colectores solares - Provisión d</v>
      </c>
      <c r="F1475" s="129" t="s">
        <v>2042</v>
      </c>
      <c r="G1475" s="119">
        <v>1</v>
      </c>
      <c r="H1475" s="120">
        <v>0</v>
      </c>
      <c r="I1475" s="96">
        <f>IFERROR(VLOOKUP(D1475,SUBCONTRATOS_PRY!A:D,4,FALSE()),0)</f>
        <v>625003.76411038905</v>
      </c>
      <c r="J1475" s="31">
        <f>G1475*I1475</f>
        <v>625003.76411038905</v>
      </c>
      <c r="K1475" s="32" t="str">
        <f t="shared" si="519"/>
        <v>PTO-1913|MO</v>
      </c>
      <c r="L1475" s="32">
        <f>COUNTIFS($K$2:K1475,K1475)</f>
        <v>1</v>
      </c>
      <c r="M1475" s="32" t="str">
        <f t="shared" si="521"/>
        <v>PTO-1913|MO|1</v>
      </c>
      <c r="N1475" s="121">
        <f>IFERROR(VLOOKUP(A1475,PARTIDAS!A:F,6,FALSE()),0)</f>
        <v>1</v>
      </c>
      <c r="O1475" s="123">
        <f t="shared" ref="O1475:O1538" si="522">+IF(C1475="ALB",G1475/N1475,0)</f>
        <v>0</v>
      </c>
      <c r="P1475" s="123">
        <f>+_xlfn.XLOOKUP(A1475,PPTO_GENERADOR!Q:Q,PPTO_GENERADOR!E:E,"-",0)</f>
        <v>1</v>
      </c>
      <c r="Q1475" s="123">
        <f t="shared" ref="Q1475:Q1538" si="523">IFERROR(P1475*O1475,0)</f>
        <v>0</v>
      </c>
      <c r="R1475" s="125">
        <f>+_xlfn.XLOOKUP(A1475,PPTO_GENERADOR!$Q:$Q,PPTO_GENERADOR!A:A,"-",0)</f>
        <v>19.13</v>
      </c>
    </row>
    <row r="1476" spans="1:18" ht="14.25" customHeight="1" x14ac:dyDescent="0.35">
      <c r="A1476" s="105" t="s">
        <v>364</v>
      </c>
      <c r="B1476" s="105" t="s">
        <v>1983</v>
      </c>
      <c r="C1476" s="105"/>
      <c r="D1476" s="105" t="s">
        <v>1477</v>
      </c>
      <c r="E1476" s="95" t="str">
        <f>IFERROR(VLOOKUP(D1476,EQUIPOS!A:B,2,FALSE()),"?")</f>
        <v>EQ — Colocación y armado de colectores solares - Provisión d</v>
      </c>
      <c r="F1476" s="129"/>
      <c r="G1476" s="119">
        <v>1</v>
      </c>
      <c r="H1476" s="120">
        <v>0</v>
      </c>
      <c r="I1476" s="96">
        <f>IFERROR(VLOOKUP(D1476,EQUIPOS!A:F,6,FALSE()),0)</f>
        <v>14758.474204325899</v>
      </c>
      <c r="J1476" s="31">
        <f>G1476*I1476</f>
        <v>14758.474204325899</v>
      </c>
      <c r="K1476" s="32" t="str">
        <f t="shared" si="519"/>
        <v>PTO-1913|EQ</v>
      </c>
      <c r="L1476" s="32">
        <f>COUNTIFS($K$2:K1476,K1476)</f>
        <v>1</v>
      </c>
      <c r="M1476" s="32" t="str">
        <f t="shared" si="521"/>
        <v>PTO-1913|EQ|1</v>
      </c>
      <c r="N1476" s="121">
        <f>IFERROR(VLOOKUP(A1476,PARTIDAS!A:F,6,FALSE()),0)</f>
        <v>1</v>
      </c>
      <c r="O1476" s="123">
        <f t="shared" si="522"/>
        <v>0</v>
      </c>
      <c r="P1476" s="123">
        <f>+_xlfn.XLOOKUP(A1476,PPTO_GENERADOR!Q:Q,PPTO_GENERADOR!E:E,"-",0)</f>
        <v>1</v>
      </c>
      <c r="Q1476" s="123">
        <f t="shared" si="523"/>
        <v>0</v>
      </c>
      <c r="R1476" s="125">
        <f>+_xlfn.XLOOKUP(A1476,PPTO_GENERADOR!$Q:$Q,PPTO_GENERADOR!A:A,"-",0)</f>
        <v>19.13</v>
      </c>
    </row>
    <row r="1477" spans="1:18" ht="14.25" customHeight="1" x14ac:dyDescent="0.35">
      <c r="A1477" s="105" t="s">
        <v>366</v>
      </c>
      <c r="B1477" s="105" t="s">
        <v>1981</v>
      </c>
      <c r="C1477" s="105" t="s">
        <v>1982</v>
      </c>
      <c r="D1477" s="105" t="s">
        <v>1209</v>
      </c>
      <c r="E1477" s="95" t="str">
        <f>IFERROR(VLOOKUP(D1477,MATERIALES!A:B,2,FALSE()),"?")</f>
        <v>AWA A.A.ADAPT.ø32M X 3/4" ESPIGA 20/2283</v>
      </c>
      <c r="F1477" s="129" t="str">
        <f>IFERROR(VLOOKUP(D1477,MATERIALES!A:C,3,FALSE()),"?")</f>
        <v>u</v>
      </c>
      <c r="G1477" s="119">
        <v>39</v>
      </c>
      <c r="H1477" s="120">
        <v>0</v>
      </c>
      <c r="I1477" s="96">
        <f>IFERROR(VLOOKUP(D1477,MATERIALES!A:D,4,FALSE()),0)</f>
        <v>337.95256133570001</v>
      </c>
      <c r="J1477" s="31">
        <f>G1477*I1477*(1+H1477)</f>
        <v>13180.1498920923</v>
      </c>
      <c r="K1477" s="32" t="str">
        <f t="shared" si="519"/>
        <v>PTO-1914|MAT</v>
      </c>
      <c r="L1477" s="32">
        <f>COUNTIFS($K$2:K1477,K1477)</f>
        <v>1</v>
      </c>
      <c r="M1477" s="32" t="str">
        <f t="shared" si="521"/>
        <v>PTO-1914|MAT|1</v>
      </c>
      <c r="N1477" s="121">
        <f>IFERROR(VLOOKUP(A1477,PARTIDAS!A:F,6,FALSE()),0)</f>
        <v>1</v>
      </c>
      <c r="O1477" s="123">
        <f t="shared" si="522"/>
        <v>0</v>
      </c>
      <c r="P1477" s="123">
        <f>+_xlfn.XLOOKUP(A1477,PPTO_GENERADOR!Q:Q,PPTO_GENERADOR!E:E,"-",0)</f>
        <v>1</v>
      </c>
      <c r="Q1477" s="123">
        <f t="shared" si="523"/>
        <v>0</v>
      </c>
      <c r="R1477" s="125">
        <f>+_xlfn.XLOOKUP(A1477,PPTO_GENERADOR!$Q:$Q,PPTO_GENERADOR!A:A,"-",0)</f>
        <v>19.14</v>
      </c>
    </row>
    <row r="1478" spans="1:18" ht="14.25" customHeight="1" x14ac:dyDescent="0.35">
      <c r="A1478" s="105" t="s">
        <v>366</v>
      </c>
      <c r="B1478" s="105" t="s">
        <v>1983</v>
      </c>
      <c r="C1478" s="105"/>
      <c r="D1478" s="105" t="s">
        <v>1479</v>
      </c>
      <c r="E1478" s="95" t="str">
        <f>IFERROR(VLOOKUP(D1478,EQUIPOS!A:B,2,FALSE()),"?")</f>
        <v>Herramientas — Armado y conexionado de desagües AA.CC</v>
      </c>
      <c r="F1478" s="129"/>
      <c r="G1478" s="119">
        <v>1</v>
      </c>
      <c r="H1478" s="120">
        <v>0</v>
      </c>
      <c r="I1478" s="96">
        <f>IFERROR(VLOOKUP(D1478,EQUIPOS!A:F,6,FALSE()),0)</f>
        <v>35765.263711523599</v>
      </c>
      <c r="J1478" s="31">
        <f>G1478*I1478</f>
        <v>35765.263711523599</v>
      </c>
      <c r="K1478" s="32" t="str">
        <f t="shared" si="519"/>
        <v>PTO-1914|EQ</v>
      </c>
      <c r="L1478" s="32">
        <f>COUNTIFS($K$2:K1478,K1478)</f>
        <v>1</v>
      </c>
      <c r="M1478" s="32" t="str">
        <f t="shared" si="521"/>
        <v>PTO-1914|EQ|1</v>
      </c>
      <c r="N1478" s="121">
        <f>IFERROR(VLOOKUP(A1478,PARTIDAS!A:F,6,FALSE()),0)</f>
        <v>1</v>
      </c>
      <c r="O1478" s="123">
        <f t="shared" si="522"/>
        <v>0</v>
      </c>
      <c r="P1478" s="123">
        <f>+_xlfn.XLOOKUP(A1478,PPTO_GENERADOR!Q:Q,PPTO_GENERADOR!E:E,"-",0)</f>
        <v>1</v>
      </c>
      <c r="Q1478" s="123">
        <f t="shared" si="523"/>
        <v>0</v>
      </c>
      <c r="R1478" s="125">
        <f>+_xlfn.XLOOKUP(A1478,PPTO_GENERADOR!$Q:$Q,PPTO_GENERADOR!A:A,"-",0)</f>
        <v>19.14</v>
      </c>
    </row>
    <row r="1479" spans="1:18" ht="14.25" customHeight="1" x14ac:dyDescent="0.35">
      <c r="A1479" s="105" t="s">
        <v>369</v>
      </c>
      <c r="B1479" s="105" t="s">
        <v>1981</v>
      </c>
      <c r="C1479" s="105" t="s">
        <v>1982</v>
      </c>
      <c r="D1479" s="105" t="s">
        <v>829</v>
      </c>
      <c r="E1479" s="95" t="str">
        <f>IFERROR(VLOOKUP(D1479,MATERIALES!A:B,2,FALSE()),"?")</f>
        <v>INCEND — Tendido cañeria de incendio - Gabinetes, mang</v>
      </c>
      <c r="F1479" s="129" t="str">
        <f>IFERROR(VLOOKUP(D1479,MATERIALES!A:C,3,FALSE()),"?")</f>
        <v>u</v>
      </c>
      <c r="G1479" s="119">
        <v>1</v>
      </c>
      <c r="H1479" s="120">
        <v>0</v>
      </c>
      <c r="I1479" s="96">
        <f>IFERROR(VLOOKUP(D1479,MATERIALES!A:D,4,FALSE()),0)</f>
        <v>3702330.1060249</v>
      </c>
      <c r="J1479" s="31">
        <f>G1479*I1479*(1+H1479)</f>
        <v>3702330.1060249</v>
      </c>
      <c r="K1479" s="32" t="str">
        <f t="shared" si="519"/>
        <v>PTO-1915|MAT</v>
      </c>
      <c r="L1479" s="32">
        <f>COUNTIFS($K$2:K1479,K1479)</f>
        <v>1</v>
      </c>
      <c r="M1479" s="32" t="str">
        <f t="shared" si="521"/>
        <v>PTO-1915|MAT|1</v>
      </c>
      <c r="N1479" s="121">
        <f>IFERROR(VLOOKUP(A1479,PARTIDAS!A:F,6,FALSE()),0)</f>
        <v>1</v>
      </c>
      <c r="O1479" s="123">
        <f t="shared" si="522"/>
        <v>0</v>
      </c>
      <c r="P1479" s="123">
        <f>+_xlfn.XLOOKUP(A1479,PPTO_GENERADOR!Q:Q,PPTO_GENERADOR!E:E,"-",0)</f>
        <v>1</v>
      </c>
      <c r="Q1479" s="123">
        <f t="shared" si="523"/>
        <v>0</v>
      </c>
      <c r="R1479" s="125">
        <f>+_xlfn.XLOOKUP(A1479,PPTO_GENERADOR!$Q:$Q,PPTO_GENERADOR!A:A,"-",0)</f>
        <v>19.149999999999999</v>
      </c>
    </row>
    <row r="1480" spans="1:18" ht="14.25" customHeight="1" x14ac:dyDescent="0.35">
      <c r="A1480" s="105" t="s">
        <v>369</v>
      </c>
      <c r="B1480" s="105" t="s">
        <v>1983</v>
      </c>
      <c r="C1480" s="105"/>
      <c r="D1480" s="105" t="s">
        <v>1481</v>
      </c>
      <c r="E1480" s="95" t="str">
        <f>IFERROR(VLOOKUP(D1480,EQUIPOS!A:B,2,FALSE()),"?")</f>
        <v>Herramientas — Tendido cañeria de incendio - Gabinetes,</v>
      </c>
      <c r="F1480" s="129"/>
      <c r="G1480" s="119">
        <v>1</v>
      </c>
      <c r="H1480" s="120">
        <v>0</v>
      </c>
      <c r="I1480" s="96">
        <f>IFERROR(VLOOKUP(D1480,EQUIPOS!A:F,6,FALSE()),0)</f>
        <v>107892.95041054901</v>
      </c>
      <c r="J1480" s="31">
        <f>G1480*I1480</f>
        <v>107892.95041054901</v>
      </c>
      <c r="K1480" s="32" t="str">
        <f t="shared" si="519"/>
        <v>PTO-1915|EQ</v>
      </c>
      <c r="L1480" s="32">
        <f>COUNTIFS($K$2:K1480,K1480)</f>
        <v>1</v>
      </c>
      <c r="M1480" s="32" t="str">
        <f t="shared" si="521"/>
        <v>PTO-1915|EQ|1</v>
      </c>
      <c r="N1480" s="121">
        <f>IFERROR(VLOOKUP(A1480,PARTIDAS!A:F,6,FALSE()),0)</f>
        <v>1</v>
      </c>
      <c r="O1480" s="123">
        <f t="shared" si="522"/>
        <v>0</v>
      </c>
      <c r="P1480" s="123">
        <f>+_xlfn.XLOOKUP(A1480,PPTO_GENERADOR!Q:Q,PPTO_GENERADOR!E:E,"-",0)</f>
        <v>1</v>
      </c>
      <c r="Q1480" s="123">
        <f t="shared" si="523"/>
        <v>0</v>
      </c>
      <c r="R1480" s="125">
        <f>+_xlfn.XLOOKUP(A1480,PPTO_GENERADOR!$Q:$Q,PPTO_GENERADOR!A:A,"-",0)</f>
        <v>19.149999999999999</v>
      </c>
    </row>
    <row r="1481" spans="1:18" ht="14.25" customHeight="1" x14ac:dyDescent="0.35">
      <c r="A1481" s="105" t="s">
        <v>372</v>
      </c>
      <c r="B1481" s="105" t="s">
        <v>1981</v>
      </c>
      <c r="C1481" s="105" t="s">
        <v>1982</v>
      </c>
      <c r="D1481" s="105" t="s">
        <v>1219</v>
      </c>
      <c r="E1481" s="95" t="str">
        <f>IFERROR(VLOOKUP(D1481,MATERIALES!A:B,2,FALSE()),"?")</f>
        <v>BZ TENARIS CANO EPOXI 11/4X6.40 MTS</v>
      </c>
      <c r="F1481" s="129" t="str">
        <f>IFERROR(VLOOKUP(D1481,MATERIALES!A:C,3,FALSE()),"?")</f>
        <v>tira</v>
      </c>
      <c r="G1481" s="119">
        <v>1</v>
      </c>
      <c r="H1481" s="120">
        <v>0</v>
      </c>
      <c r="I1481" s="96">
        <f>IFERROR(VLOOKUP(D1481,MATERIALES!A:D,4,FALSE()),0)</f>
        <v>85882.267275332793</v>
      </c>
      <c r="J1481" s="31">
        <f>G1481*I1481*(1+H1481)</f>
        <v>85882.267275332793</v>
      </c>
      <c r="K1481" s="32" t="str">
        <f t="shared" si="519"/>
        <v>PTO-1916|MAT</v>
      </c>
      <c r="L1481" s="32">
        <f>COUNTIFS($K$2:K1481,K1481)</f>
        <v>1</v>
      </c>
      <c r="M1481" s="32" t="str">
        <f t="shared" si="521"/>
        <v>PTO-1916|MAT|1</v>
      </c>
      <c r="N1481" s="121">
        <f>IFERROR(VLOOKUP(A1481,PARTIDAS!A:F,6,FALSE()),0)</f>
        <v>1</v>
      </c>
      <c r="O1481" s="123">
        <f t="shared" si="522"/>
        <v>0</v>
      </c>
      <c r="P1481" s="123">
        <f>+_xlfn.XLOOKUP(A1481,PPTO_GENERADOR!Q:Q,PPTO_GENERADOR!E:E,"-",0)</f>
        <v>1</v>
      </c>
      <c r="Q1481" s="123">
        <f t="shared" si="523"/>
        <v>0</v>
      </c>
      <c r="R1481" s="125">
        <f>+_xlfn.XLOOKUP(A1481,PPTO_GENERADOR!$Q:$Q,PPTO_GENERADOR!A:A,"-",0)</f>
        <v>19.16</v>
      </c>
    </row>
    <row r="1482" spans="1:18" ht="14.25" customHeight="1" x14ac:dyDescent="0.35">
      <c r="A1482" s="105" t="s">
        <v>372</v>
      </c>
      <c r="B1482" s="105" t="s">
        <v>1983</v>
      </c>
      <c r="C1482" s="105"/>
      <c r="D1482" s="105" t="s">
        <v>1483</v>
      </c>
      <c r="E1482" s="95" t="str">
        <f>IFERROR(VLOOKUP(D1482,EQUIPOS!A:B,2,FALSE()),"?")</f>
        <v>Herramientas — Provisión y tendido de cañerías de gas a</v>
      </c>
      <c r="F1482" s="129"/>
      <c r="G1482" s="119">
        <v>1</v>
      </c>
      <c r="H1482" s="120">
        <v>0</v>
      </c>
      <c r="I1482" s="96">
        <f>IFERROR(VLOOKUP(D1482,EQUIPOS!A:F,6,FALSE()),0)</f>
        <v>97657.093521783696</v>
      </c>
      <c r="J1482" s="31">
        <f>G1482*I1482</f>
        <v>97657.093521783696</v>
      </c>
      <c r="K1482" s="32" t="str">
        <f t="shared" si="519"/>
        <v>PTO-1916|EQ</v>
      </c>
      <c r="L1482" s="32">
        <f>COUNTIFS($K$2:K1482,K1482)</f>
        <v>1</v>
      </c>
      <c r="M1482" s="32" t="str">
        <f t="shared" si="521"/>
        <v>PTO-1916|EQ|1</v>
      </c>
      <c r="N1482" s="121">
        <f>IFERROR(VLOOKUP(A1482,PARTIDAS!A:F,6,FALSE()),0)</f>
        <v>1</v>
      </c>
      <c r="O1482" s="123">
        <f t="shared" si="522"/>
        <v>0</v>
      </c>
      <c r="P1482" s="123">
        <f>+_xlfn.XLOOKUP(A1482,PPTO_GENERADOR!Q:Q,PPTO_GENERADOR!E:E,"-",0)</f>
        <v>1</v>
      </c>
      <c r="Q1482" s="123">
        <f t="shared" si="523"/>
        <v>0</v>
      </c>
      <c r="R1482" s="125">
        <f>+_xlfn.XLOOKUP(A1482,PPTO_GENERADOR!$Q:$Q,PPTO_GENERADOR!A:A,"-",0)</f>
        <v>19.16</v>
      </c>
    </row>
    <row r="1483" spans="1:18" ht="14.25" customHeight="1" x14ac:dyDescent="0.35">
      <c r="A1483" s="105" t="s">
        <v>375</v>
      </c>
      <c r="B1483" s="105" t="s">
        <v>1981</v>
      </c>
      <c r="C1483" s="105" t="s">
        <v>1982</v>
      </c>
      <c r="D1483" s="105" t="s">
        <v>834</v>
      </c>
      <c r="E1483" s="95" t="str">
        <f>IFERROR(VLOOKUP(D1483,MATERIALES!A:B,2,FALSE()),"?")</f>
        <v xml:space="preserve">GAS — Colocación de artefactos - Provisión a cargo </v>
      </c>
      <c r="F1483" s="129" t="str">
        <f>IFERROR(VLOOKUP(D1483,MATERIALES!A:C,3,FALSE()),"?")</f>
        <v>u</v>
      </c>
      <c r="G1483" s="119">
        <v>1</v>
      </c>
      <c r="H1483" s="120">
        <v>0</v>
      </c>
      <c r="I1483" s="96">
        <f>IFERROR(VLOOKUP(D1483,MATERIALES!A:D,4,FALSE()),0)</f>
        <v>43707.030007852401</v>
      </c>
      <c r="J1483" s="31">
        <f>G1483*I1483*(1+H1483)</f>
        <v>43707.030007852401</v>
      </c>
      <c r="K1483" s="32" t="str">
        <f t="shared" si="519"/>
        <v>PTO-1917|MAT</v>
      </c>
      <c r="L1483" s="32">
        <f>COUNTIFS($K$2:K1483,K1483)</f>
        <v>1</v>
      </c>
      <c r="M1483" s="32" t="str">
        <f t="shared" si="521"/>
        <v>PTO-1917|MAT|1</v>
      </c>
      <c r="N1483" s="121">
        <f>IFERROR(VLOOKUP(A1483,PARTIDAS!A:F,6,FALSE()),0)</f>
        <v>1</v>
      </c>
      <c r="O1483" s="123">
        <f t="shared" si="522"/>
        <v>0</v>
      </c>
      <c r="P1483" s="123">
        <f>+_xlfn.XLOOKUP(A1483,PPTO_GENERADOR!Q:Q,PPTO_GENERADOR!E:E,"-",0)</f>
        <v>1</v>
      </c>
      <c r="Q1483" s="123">
        <f t="shared" si="523"/>
        <v>0</v>
      </c>
      <c r="R1483" s="125">
        <f>+_xlfn.XLOOKUP(A1483,PPTO_GENERADOR!$Q:$Q,PPTO_GENERADOR!A:A,"-",0)</f>
        <v>19.170000000000002</v>
      </c>
    </row>
    <row r="1484" spans="1:18" ht="14.25" customHeight="1" x14ac:dyDescent="0.35">
      <c r="A1484" s="105" t="s">
        <v>375</v>
      </c>
      <c r="B1484" s="105" t="s">
        <v>1983</v>
      </c>
      <c r="C1484" s="105"/>
      <c r="D1484" s="105" t="s">
        <v>1485</v>
      </c>
      <c r="E1484" s="95" t="str">
        <f>IFERROR(VLOOKUP(D1484,EQUIPOS!A:B,2,FALSE()),"?")</f>
        <v>Herramientas — Colocación de artefactos - Provisión a c</v>
      </c>
      <c r="F1484" s="129"/>
      <c r="G1484" s="119">
        <v>1</v>
      </c>
      <c r="H1484" s="120">
        <v>0</v>
      </c>
      <c r="I1484" s="96">
        <f>IFERROR(VLOOKUP(D1484,EQUIPOS!A:F,6,FALSE()),0)</f>
        <v>8139.5228813285903</v>
      </c>
      <c r="J1484" s="31">
        <f>G1484*I1484</f>
        <v>8139.5228813285903</v>
      </c>
      <c r="K1484" s="32" t="str">
        <f t="shared" si="519"/>
        <v>PTO-1917|EQ</v>
      </c>
      <c r="L1484" s="32">
        <f>COUNTIFS($K$2:K1484,K1484)</f>
        <v>1</v>
      </c>
      <c r="M1484" s="32" t="str">
        <f t="shared" si="521"/>
        <v>PTO-1917|EQ|1</v>
      </c>
      <c r="N1484" s="121">
        <f>IFERROR(VLOOKUP(A1484,PARTIDAS!A:F,6,FALSE()),0)</f>
        <v>1</v>
      </c>
      <c r="O1484" s="123">
        <f t="shared" si="522"/>
        <v>0</v>
      </c>
      <c r="P1484" s="123">
        <f>+_xlfn.XLOOKUP(A1484,PPTO_GENERADOR!Q:Q,PPTO_GENERADOR!E:E,"-",0)</f>
        <v>1</v>
      </c>
      <c r="Q1484" s="123">
        <f t="shared" si="523"/>
        <v>0</v>
      </c>
      <c r="R1484" s="125">
        <f>+_xlfn.XLOOKUP(A1484,PPTO_GENERADOR!$Q:$Q,PPTO_GENERADOR!A:A,"-",0)</f>
        <v>19.170000000000002</v>
      </c>
    </row>
    <row r="1485" spans="1:18" ht="14.25" customHeight="1" x14ac:dyDescent="0.35">
      <c r="A1485" s="105" t="s">
        <v>377</v>
      </c>
      <c r="B1485" s="105" t="s">
        <v>1979</v>
      </c>
      <c r="C1485" s="105" t="s">
        <v>1982</v>
      </c>
      <c r="D1485" s="105" t="s">
        <v>1688</v>
      </c>
      <c r="E1485" s="95" t="str">
        <f>IFERROR(VLOOKUP(D1485,SUBCONTRATOS_PRY!A:B,2,FALSE()),"?")</f>
        <v>Gestor Gas — Prefactibilidad</v>
      </c>
      <c r="F1485" s="129" t="s">
        <v>2042</v>
      </c>
      <c r="G1485" s="119">
        <v>1</v>
      </c>
      <c r="H1485" s="120">
        <v>0</v>
      </c>
      <c r="I1485" s="96">
        <f>IFERROR(VLOOKUP(D1485,SUBCONTRATOS_PRY!A:D,4,FALSE()),0)</f>
        <v>450000</v>
      </c>
      <c r="J1485" s="31">
        <f t="shared" ref="J1485:J1489" si="524">G1485*I1485</f>
        <v>450000</v>
      </c>
      <c r="K1485" s="32" t="str">
        <f t="shared" si="519"/>
        <v>PTO-1918|MO</v>
      </c>
      <c r="L1485" s="32">
        <f>COUNTIFS($K$2:K1485,K1485)</f>
        <v>1</v>
      </c>
      <c r="M1485" s="32" t="str">
        <f t="shared" si="521"/>
        <v>PTO-1918|MO|1</v>
      </c>
      <c r="N1485" s="121">
        <f>IFERROR(VLOOKUP(A1485,PARTIDAS!A:F,6,FALSE()),0)</f>
        <v>1</v>
      </c>
      <c r="O1485" s="123">
        <f t="shared" si="522"/>
        <v>0</v>
      </c>
      <c r="P1485" s="123">
        <f>+_xlfn.XLOOKUP(A1485,PPTO_GENERADOR!Q:Q,PPTO_GENERADOR!E:E,"-",0)</f>
        <v>1</v>
      </c>
      <c r="Q1485" s="123">
        <f t="shared" si="523"/>
        <v>0</v>
      </c>
      <c r="R1485" s="125">
        <f>+_xlfn.XLOOKUP(A1485,PPTO_GENERADOR!$Q:$Q,PPTO_GENERADOR!A:A,"-",0)</f>
        <v>19.18</v>
      </c>
    </row>
    <row r="1486" spans="1:18" ht="14.25" customHeight="1" x14ac:dyDescent="0.35">
      <c r="A1486" s="105" t="s">
        <v>379</v>
      </c>
      <c r="B1486" s="105" t="s">
        <v>1979</v>
      </c>
      <c r="C1486" s="105" t="s">
        <v>1982</v>
      </c>
      <c r="D1486" s="105" t="s">
        <v>1630</v>
      </c>
      <c r="E1486" s="95" t="str">
        <f>IFERROR(VLOOKUP(D1486,SUBCONTRATOS_PRY!A:B,2,FALSE()),"?")</f>
        <v xml:space="preserve">MO — Tramites de habilitación municipal </v>
      </c>
      <c r="F1486" s="129" t="s">
        <v>2042</v>
      </c>
      <c r="G1486" s="119">
        <v>1</v>
      </c>
      <c r="H1486" s="120">
        <v>0</v>
      </c>
      <c r="I1486" s="96">
        <f>IFERROR(VLOOKUP(D1486,SUBCONTRATOS_PRY!A:D,4,FALSE()),0)</f>
        <v>1400000</v>
      </c>
      <c r="J1486" s="31">
        <f t="shared" si="524"/>
        <v>1400000</v>
      </c>
      <c r="K1486" s="32" t="str">
        <f t="shared" si="519"/>
        <v>PTO-1919|MO</v>
      </c>
      <c r="L1486" s="32">
        <f>COUNTIFS($K$2:K1486,K1486)</f>
        <v>1</v>
      </c>
      <c r="M1486" s="32" t="str">
        <f t="shared" si="521"/>
        <v>PTO-1919|MO|1</v>
      </c>
      <c r="N1486" s="121">
        <f>IFERROR(VLOOKUP(A1486,PARTIDAS!A:F,6,FALSE()),0)</f>
        <v>1</v>
      </c>
      <c r="O1486" s="123">
        <f t="shared" si="522"/>
        <v>0</v>
      </c>
      <c r="P1486" s="123">
        <f>+_xlfn.XLOOKUP(A1486,PPTO_GENERADOR!Q:Q,PPTO_GENERADOR!E:E,"-",0)</f>
        <v>1</v>
      </c>
      <c r="Q1486" s="123">
        <f t="shared" si="523"/>
        <v>0</v>
      </c>
      <c r="R1486" s="125">
        <f>+_xlfn.XLOOKUP(A1486,PPTO_GENERADOR!$Q:$Q,PPTO_GENERADOR!A:A,"-",0)</f>
        <v>19.190000000000001</v>
      </c>
    </row>
    <row r="1487" spans="1:18" ht="14.25" customHeight="1" x14ac:dyDescent="0.35">
      <c r="A1487" s="105" t="s">
        <v>381</v>
      </c>
      <c r="B1487" s="105" t="s">
        <v>1979</v>
      </c>
      <c r="C1487" s="105" t="s">
        <v>1982</v>
      </c>
      <c r="D1487" s="105" t="s">
        <v>1632</v>
      </c>
      <c r="E1487" s="95" t="str">
        <f>IFERROR(VLOOKUP(D1487,SUBCONTRATOS_PRY!A:B,2,FALSE()),"?")</f>
        <v>Preinstalacion M.O</v>
      </c>
      <c r="F1487" s="129" t="s">
        <v>2042</v>
      </c>
      <c r="G1487" s="119">
        <v>1</v>
      </c>
      <c r="H1487" s="120">
        <v>0</v>
      </c>
      <c r="I1487" s="96">
        <f>IFERROR(VLOOKUP(D1487,SUBCONTRATOS_PRY!A:D,4,FALSE()),0)</f>
        <v>230000</v>
      </c>
      <c r="J1487" s="31">
        <f t="shared" si="524"/>
        <v>230000</v>
      </c>
      <c r="K1487" s="32" t="str">
        <f t="shared" si="519"/>
        <v>PTO-2001|MO</v>
      </c>
      <c r="L1487" s="32">
        <f>COUNTIFS($K$2:K1487,K1487)</f>
        <v>1</v>
      </c>
      <c r="M1487" s="32" t="str">
        <f t="shared" si="521"/>
        <v>PTO-2001|MO|1</v>
      </c>
      <c r="N1487" s="121">
        <f>IFERROR(VLOOKUP(A1487,PARTIDAS!A:F,6,FALSE()),0)</f>
        <v>1</v>
      </c>
      <c r="O1487" s="123">
        <f t="shared" si="522"/>
        <v>0</v>
      </c>
      <c r="P1487" s="123">
        <f>+_xlfn.XLOOKUP(A1487,PPTO_GENERADOR!Q:Q,PPTO_GENERADOR!E:E,"-",0)</f>
        <v>40</v>
      </c>
      <c r="Q1487" s="123">
        <f t="shared" si="523"/>
        <v>0</v>
      </c>
      <c r="R1487" s="125">
        <f>+_xlfn.XLOOKUP(A1487,PPTO_GENERADOR!$Q:$Q,PPTO_GENERADOR!A:A,"-",0)</f>
        <v>20.010000000000002</v>
      </c>
    </row>
    <row r="1488" spans="1:18" ht="14.25" customHeight="1" x14ac:dyDescent="0.35">
      <c r="A1488" s="105" t="s">
        <v>383</v>
      </c>
      <c r="B1488" s="105" t="s">
        <v>1979</v>
      </c>
      <c r="C1488" s="105" t="s">
        <v>1982</v>
      </c>
      <c r="D1488" s="105" t="s">
        <v>1634</v>
      </c>
      <c r="E1488" s="95" t="str">
        <f>IFERROR(VLOOKUP(D1488,SUBCONTRATOS_PRY!A:B,2,FALSE()),"?")</f>
        <v>Instalacion y puesta en marcha</v>
      </c>
      <c r="F1488" s="129" t="s">
        <v>2042</v>
      </c>
      <c r="G1488" s="119">
        <v>1</v>
      </c>
      <c r="H1488" s="120">
        <v>0</v>
      </c>
      <c r="I1488" s="96">
        <f>IFERROR(VLOOKUP(D1488,SUBCONTRATOS_PRY!A:D,4,FALSE()),0)</f>
        <v>0</v>
      </c>
      <c r="J1488" s="31">
        <f t="shared" si="524"/>
        <v>0</v>
      </c>
      <c r="K1488" s="32" t="str">
        <f t="shared" si="519"/>
        <v>PTO-2002|MO</v>
      </c>
      <c r="L1488" s="32">
        <f>COUNTIFS($K$2:K1488,K1488)</f>
        <v>1</v>
      </c>
      <c r="M1488" s="32" t="str">
        <f t="shared" si="521"/>
        <v>PTO-2002|MO|1</v>
      </c>
      <c r="N1488" s="121">
        <f>IFERROR(VLOOKUP(A1488,PARTIDAS!A:F,6,FALSE()),0)</f>
        <v>1</v>
      </c>
      <c r="O1488" s="123">
        <f t="shared" si="522"/>
        <v>0</v>
      </c>
      <c r="P1488" s="123">
        <f>+_xlfn.XLOOKUP(A1488,PPTO_GENERADOR!Q:Q,PPTO_GENERADOR!E:E,"-",0)</f>
        <v>0</v>
      </c>
      <c r="Q1488" s="123">
        <f t="shared" si="523"/>
        <v>0</v>
      </c>
      <c r="R1488" s="125">
        <f>+_xlfn.XLOOKUP(A1488,PPTO_GENERADOR!$Q:$Q,PPTO_GENERADOR!A:A,"-",0)</f>
        <v>20.02</v>
      </c>
    </row>
    <row r="1489" spans="1:18" ht="14.25" customHeight="1" x14ac:dyDescent="0.35">
      <c r="A1489" s="105" t="s">
        <v>387</v>
      </c>
      <c r="B1489" s="105" t="s">
        <v>1979</v>
      </c>
      <c r="C1489" s="105" t="s">
        <v>1982</v>
      </c>
      <c r="D1489" s="105" t="s">
        <v>1636</v>
      </c>
      <c r="E1489" s="95" t="str">
        <f>IFERROR(VLOOKUP(D1489,SUBCONTRATOS_PRY!A:B,2,FALSE()),"?")</f>
        <v>Colocación extractor de aire en baño</v>
      </c>
      <c r="F1489" s="129" t="s">
        <v>2042</v>
      </c>
      <c r="G1489" s="119">
        <v>1</v>
      </c>
      <c r="H1489" s="120">
        <v>0</v>
      </c>
      <c r="I1489" s="96">
        <f>IFERROR(VLOOKUP(D1489,SUBCONTRATOS_PRY!A:D,4,FALSE()),0)</f>
        <v>59550</v>
      </c>
      <c r="J1489" s="31">
        <f t="shared" si="524"/>
        <v>59550</v>
      </c>
      <c r="K1489" s="32" t="str">
        <f t="shared" si="519"/>
        <v>PTO-2201|MO</v>
      </c>
      <c r="L1489" s="32">
        <f>COUNTIFS($K$2:K1489,K1489)</f>
        <v>1</v>
      </c>
      <c r="M1489" s="32" t="str">
        <f t="shared" si="521"/>
        <v>PTO-2201|MO|1</v>
      </c>
      <c r="N1489" s="121">
        <f>IFERROR(VLOOKUP(A1489,PARTIDAS!A:F,6,FALSE()),0)</f>
        <v>1</v>
      </c>
      <c r="O1489" s="123">
        <f t="shared" si="522"/>
        <v>0</v>
      </c>
      <c r="P1489" s="123">
        <f>+_xlfn.XLOOKUP(A1489,PPTO_GENERADOR!Q:Q,PPTO_GENERADOR!E:E,"-",0)</f>
        <v>50</v>
      </c>
      <c r="Q1489" s="123">
        <f t="shared" si="523"/>
        <v>0</v>
      </c>
      <c r="R1489" s="125">
        <f>+_xlfn.XLOOKUP(A1489,PPTO_GENERADOR!$Q:$Q,PPTO_GENERADOR!A:A,"-",0)</f>
        <v>22.01</v>
      </c>
    </row>
    <row r="1490" spans="1:18" ht="14.25" customHeight="1" x14ac:dyDescent="0.35">
      <c r="A1490" s="105" t="s">
        <v>392</v>
      </c>
      <c r="B1490" s="105" t="s">
        <v>1981</v>
      </c>
      <c r="C1490" s="105" t="s">
        <v>1982</v>
      </c>
      <c r="D1490" s="105" t="s">
        <v>836</v>
      </c>
      <c r="E1490" s="95" t="str">
        <f>IFERROR(VLOOKUP(D1490,MATERIALES!A:B,2,FALSE()),"?")</f>
        <v>Angulo 3/4" x 1/8"</v>
      </c>
      <c r="F1490" s="129" t="str">
        <f>IFERROR(VLOOKUP(D1490,MATERIALES!A:C,3,FALSE()),"?")</f>
        <v>u</v>
      </c>
      <c r="G1490" s="119">
        <v>0.5</v>
      </c>
      <c r="H1490" s="120">
        <v>0</v>
      </c>
      <c r="I1490" s="96">
        <f>IFERROR(VLOOKUP(D1490,MATERIALES!A:D,4,FALSE()),0)</f>
        <v>15000</v>
      </c>
      <c r="J1490" s="31">
        <f t="shared" ref="J1490:J1491" si="525">G1490*I1490*(1+H1490)</f>
        <v>7500</v>
      </c>
      <c r="K1490" s="32" t="str">
        <f t="shared" si="519"/>
        <v>PTO-2301|MAT</v>
      </c>
      <c r="L1490" s="32">
        <f>COUNTIFS($K$2:K1490,K1490)</f>
        <v>1</v>
      </c>
      <c r="M1490" s="32" t="str">
        <f t="shared" si="521"/>
        <v>PTO-2301|MAT|1</v>
      </c>
      <c r="N1490" s="121">
        <f>IFERROR(VLOOKUP(A1490,PARTIDAS!A:F,6,FALSE()),0)</f>
        <v>1</v>
      </c>
      <c r="O1490" s="123">
        <f t="shared" si="522"/>
        <v>0</v>
      </c>
      <c r="P1490" s="123">
        <f>+_xlfn.XLOOKUP(A1490,PPTO_GENERADOR!Q:Q,PPTO_GENERADOR!E:E,"-",0)</f>
        <v>8</v>
      </c>
      <c r="Q1490" s="123">
        <f t="shared" si="523"/>
        <v>0</v>
      </c>
      <c r="R1490" s="125">
        <f>+_xlfn.XLOOKUP(A1490,PPTO_GENERADOR!$Q:$Q,PPTO_GENERADOR!A:A,"-",0)</f>
        <v>23.01</v>
      </c>
    </row>
    <row r="1491" spans="1:18" ht="14.25" customHeight="1" x14ac:dyDescent="0.35">
      <c r="A1491" s="105" t="s">
        <v>392</v>
      </c>
      <c r="B1491" s="105" t="s">
        <v>1981</v>
      </c>
      <c r="C1491" s="105" t="s">
        <v>1982</v>
      </c>
      <c r="D1491" s="105" t="s">
        <v>559</v>
      </c>
      <c r="E1491" s="95" t="str">
        <f>IFERROR(VLOOKUP(D1491,MATERIALES!A:B,2,FALSE()),"?")</f>
        <v>CONSUMIBLES (varios)</v>
      </c>
      <c r="F1491" s="129" t="str">
        <f>IFERROR(VLOOKUP(D1491,MATERIALES!A:C,3,FALSE()),"?")</f>
        <v>gl</v>
      </c>
      <c r="G1491" s="119">
        <v>7500</v>
      </c>
      <c r="H1491" s="120">
        <v>0</v>
      </c>
      <c r="I1491" s="96">
        <f>IFERROR(VLOOKUP(D1491,MATERIALES!A:D,4,FALSE()),0)</f>
        <v>1</v>
      </c>
      <c r="J1491" s="31">
        <f t="shared" si="525"/>
        <v>7500</v>
      </c>
      <c r="K1491" s="32" t="str">
        <f t="shared" si="519"/>
        <v>PTO-2301|MAT</v>
      </c>
      <c r="L1491" s="32">
        <f>COUNTIFS($K$2:K1491,K1491)</f>
        <v>2</v>
      </c>
      <c r="M1491" s="32" t="str">
        <f t="shared" si="521"/>
        <v>PTO-2301|MAT|2</v>
      </c>
      <c r="N1491" s="121">
        <f>IFERROR(VLOOKUP(A1491,PARTIDAS!A:F,6,FALSE()),0)</f>
        <v>1</v>
      </c>
      <c r="O1491" s="123">
        <f t="shared" si="522"/>
        <v>0</v>
      </c>
      <c r="P1491" s="123">
        <f>+_xlfn.XLOOKUP(A1491,PPTO_GENERADOR!Q:Q,PPTO_GENERADOR!E:E,"-",0)</f>
        <v>8</v>
      </c>
      <c r="Q1491" s="123">
        <f t="shared" si="523"/>
        <v>0</v>
      </c>
      <c r="R1491" s="125">
        <f>+_xlfn.XLOOKUP(A1491,PPTO_GENERADOR!$Q:$Q,PPTO_GENERADOR!A:A,"-",0)</f>
        <v>23.01</v>
      </c>
    </row>
    <row r="1492" spans="1:18" ht="14.25" customHeight="1" x14ac:dyDescent="0.35">
      <c r="A1492" s="105" t="s">
        <v>392</v>
      </c>
      <c r="B1492" s="105" t="s">
        <v>1979</v>
      </c>
      <c r="C1492" s="105" t="s">
        <v>1980</v>
      </c>
      <c r="D1492" s="105" t="s">
        <v>1292</v>
      </c>
      <c r="E1492" s="95" t="str">
        <f>IFERROR(VLOOKUP(D1492,MANO_DE_OBRA!A:B,2,FALSE()),"?")</f>
        <v>ESPECIALIZADO</v>
      </c>
      <c r="F1492" s="129" t="s">
        <v>2042</v>
      </c>
      <c r="G1492" s="119">
        <v>0.75</v>
      </c>
      <c r="H1492" s="120">
        <v>0</v>
      </c>
      <c r="I1492" s="96">
        <f>IFERROR(VLOOKUP(D1492,MANO_DE_OBRA!A:C,3,FALSE()),0)</f>
        <v>94177.137883538904</v>
      </c>
      <c r="J1492" s="31">
        <f t="shared" ref="J1492:J1494" si="526">G1492*I1492</f>
        <v>70632.853412654178</v>
      </c>
      <c r="K1492" s="32" t="str">
        <f t="shared" si="519"/>
        <v>PTO-2301|MO</v>
      </c>
      <c r="L1492" s="32">
        <f>COUNTIFS($K$2:K1492,K1492)</f>
        <v>1</v>
      </c>
      <c r="M1492" s="32" t="str">
        <f t="shared" si="521"/>
        <v>PTO-2301|MO|1</v>
      </c>
      <c r="N1492" s="121">
        <f>IFERROR(VLOOKUP(A1492,PARTIDAS!A:F,6,FALSE()),0)</f>
        <v>1</v>
      </c>
      <c r="O1492" s="123">
        <f t="shared" si="522"/>
        <v>0.75</v>
      </c>
      <c r="P1492" s="123">
        <f>+_xlfn.XLOOKUP(A1492,PPTO_GENERADOR!Q:Q,PPTO_GENERADOR!E:E,"-",0)</f>
        <v>8</v>
      </c>
      <c r="Q1492" s="123">
        <f t="shared" si="523"/>
        <v>6</v>
      </c>
      <c r="R1492" s="125">
        <f>+_xlfn.XLOOKUP(A1492,PPTO_GENERADOR!$Q:$Q,PPTO_GENERADOR!A:A,"-",0)</f>
        <v>23.01</v>
      </c>
    </row>
    <row r="1493" spans="1:18" ht="14.25" customHeight="1" x14ac:dyDescent="0.35">
      <c r="A1493" s="105" t="s">
        <v>392</v>
      </c>
      <c r="B1493" s="105" t="s">
        <v>1979</v>
      </c>
      <c r="C1493" s="105" t="s">
        <v>1980</v>
      </c>
      <c r="D1493" s="105" t="s">
        <v>1290</v>
      </c>
      <c r="E1493" s="95" t="str">
        <f>IFERROR(VLOOKUP(D1493,MANO_DE_OBRA!A:B,2,FALSE()),"?")</f>
        <v>OFICIAL</v>
      </c>
      <c r="F1493" s="129" t="s">
        <v>2042</v>
      </c>
      <c r="G1493" s="119">
        <v>0.75</v>
      </c>
      <c r="H1493" s="120">
        <v>0</v>
      </c>
      <c r="I1493" s="96">
        <f>IFERROR(VLOOKUP(D1493,MANO_DE_OBRA!A:C,3,FALSE()),0)</f>
        <v>84612.512709566407</v>
      </c>
      <c r="J1493" s="31">
        <f t="shared" si="526"/>
        <v>63459.384532174809</v>
      </c>
      <c r="K1493" s="32" t="str">
        <f t="shared" si="519"/>
        <v>PTO-2301|MO</v>
      </c>
      <c r="L1493" s="32">
        <f>COUNTIFS($K$2:K1493,K1493)</f>
        <v>2</v>
      </c>
      <c r="M1493" s="32" t="str">
        <f t="shared" si="521"/>
        <v>PTO-2301|MO|2</v>
      </c>
      <c r="N1493" s="121">
        <f>IFERROR(VLOOKUP(A1493,PARTIDAS!A:F,6,FALSE()),0)</f>
        <v>1</v>
      </c>
      <c r="O1493" s="123">
        <f t="shared" si="522"/>
        <v>0.75</v>
      </c>
      <c r="P1493" s="123">
        <f>+_xlfn.XLOOKUP(A1493,PPTO_GENERADOR!Q:Q,PPTO_GENERADOR!E:E,"-",0)</f>
        <v>8</v>
      </c>
      <c r="Q1493" s="123">
        <f t="shared" si="523"/>
        <v>6</v>
      </c>
      <c r="R1493" s="125">
        <f>+_xlfn.XLOOKUP(A1493,PPTO_GENERADOR!$Q:$Q,PPTO_GENERADOR!A:A,"-",0)</f>
        <v>23.01</v>
      </c>
    </row>
    <row r="1494" spans="1:18" ht="14.25" customHeight="1" x14ac:dyDescent="0.35">
      <c r="A1494" s="105" t="s">
        <v>392</v>
      </c>
      <c r="B1494" s="105" t="s">
        <v>1979</v>
      </c>
      <c r="C1494" s="105" t="s">
        <v>1980</v>
      </c>
      <c r="D1494" s="105" t="s">
        <v>2038</v>
      </c>
      <c r="E1494" s="95" t="str">
        <f>IFERROR(VLOOKUP(D1494,MANO_DE_OBRA!A:B,2,FALSE()),"?")</f>
        <v>AYUDANTE</v>
      </c>
      <c r="F1494" s="129" t="s">
        <v>2042</v>
      </c>
      <c r="G1494" s="119">
        <v>0.25</v>
      </c>
      <c r="H1494" s="120">
        <v>0</v>
      </c>
      <c r="I1494" s="96">
        <f>IFERROR(VLOOKUP(D1494,MANO_DE_OBRA!A:C,3,FALSE()),0)</f>
        <v>67240.498860267602</v>
      </c>
      <c r="J1494" s="31">
        <f t="shared" si="526"/>
        <v>16810.124715066901</v>
      </c>
      <c r="K1494" s="32" t="str">
        <f t="shared" si="519"/>
        <v>PTO-2301|MO</v>
      </c>
      <c r="L1494" s="32">
        <f>COUNTIFS($K$2:K1494,K1494)</f>
        <v>3</v>
      </c>
      <c r="M1494" s="32" t="str">
        <f t="shared" si="521"/>
        <v>PTO-2301|MO|3</v>
      </c>
      <c r="N1494" s="121">
        <f>IFERROR(VLOOKUP(A1494,PARTIDAS!A:F,6,FALSE()),0)</f>
        <v>1</v>
      </c>
      <c r="O1494" s="123">
        <f t="shared" si="522"/>
        <v>0.25</v>
      </c>
      <c r="P1494" s="123">
        <f>+_xlfn.XLOOKUP(A1494,PPTO_GENERADOR!Q:Q,PPTO_GENERADOR!E:E,"-",0)</f>
        <v>8</v>
      </c>
      <c r="Q1494" s="123">
        <f t="shared" si="523"/>
        <v>2</v>
      </c>
      <c r="R1494" s="125">
        <f>+_xlfn.XLOOKUP(A1494,PPTO_GENERADOR!$Q:$Q,PPTO_GENERADOR!A:A,"-",0)</f>
        <v>23.01</v>
      </c>
    </row>
    <row r="1495" spans="1:18" ht="14.25" customHeight="1" x14ac:dyDescent="0.35">
      <c r="A1495" s="105" t="s">
        <v>392</v>
      </c>
      <c r="B1495" s="105" t="s">
        <v>1981</v>
      </c>
      <c r="C1495" s="105" t="s">
        <v>1982</v>
      </c>
      <c r="D1495" s="105" t="s">
        <v>840</v>
      </c>
      <c r="E1495" s="95" t="str">
        <f>IFERROR(VLOOKUP(D1495,MATERIALES!A:B,2,FALSE()),"?")</f>
        <v>Chapa LAF 1,22 x 2,44 C22</v>
      </c>
      <c r="F1495" s="129" t="str">
        <f>IFERROR(VLOOKUP(D1495,MATERIALES!A:C,3,FALSE()),"?")</f>
        <v>u</v>
      </c>
      <c r="G1495" s="119">
        <v>0.25</v>
      </c>
      <c r="H1495" s="120">
        <v>0</v>
      </c>
      <c r="I1495" s="96">
        <f>IFERROR(VLOOKUP(D1495,MATERIALES!A:D,4,FALSE()),0)</f>
        <v>40000</v>
      </c>
      <c r="J1495" s="31">
        <f>G1495*I1495*(1+H1495)</f>
        <v>10000</v>
      </c>
      <c r="K1495" s="32" t="str">
        <f t="shared" si="519"/>
        <v>PTO-2301|MAT</v>
      </c>
      <c r="L1495" s="32">
        <f>COUNTIFS($K$2:K1495,K1495)</f>
        <v>3</v>
      </c>
      <c r="M1495" s="32" t="str">
        <f t="shared" si="521"/>
        <v>PTO-2301|MAT|3</v>
      </c>
      <c r="N1495" s="121">
        <f>IFERROR(VLOOKUP(A1495,PARTIDAS!A:F,6,FALSE()),0)</f>
        <v>1</v>
      </c>
      <c r="O1495" s="123">
        <f t="shared" si="522"/>
        <v>0</v>
      </c>
      <c r="P1495" s="123">
        <f>+_xlfn.XLOOKUP(A1495,PPTO_GENERADOR!Q:Q,PPTO_GENERADOR!E:E,"-",0)</f>
        <v>8</v>
      </c>
      <c r="Q1495" s="123">
        <f t="shared" si="523"/>
        <v>0</v>
      </c>
      <c r="R1495" s="125">
        <f>+_xlfn.XLOOKUP(A1495,PPTO_GENERADOR!$Q:$Q,PPTO_GENERADOR!A:A,"-",0)</f>
        <v>23.01</v>
      </c>
    </row>
    <row r="1496" spans="1:18" ht="14.25" customHeight="1" x14ac:dyDescent="0.35">
      <c r="A1496" s="105" t="s">
        <v>392</v>
      </c>
      <c r="B1496" s="105" t="s">
        <v>1979</v>
      </c>
      <c r="C1496" s="105" t="s">
        <v>1982</v>
      </c>
      <c r="D1496" s="105" t="s">
        <v>1638</v>
      </c>
      <c r="E1496" s="95" t="str">
        <f>IFERROR(VLOOKUP(D1496,SUBCONTRATOS_PRY!A:B,2,FALSE()),"?")</f>
        <v>M.Obra plegado</v>
      </c>
      <c r="F1496" s="129" t="s">
        <v>2042</v>
      </c>
      <c r="G1496" s="119">
        <v>0.5</v>
      </c>
      <c r="H1496" s="120">
        <v>0</v>
      </c>
      <c r="I1496" s="96">
        <f>IFERROR(VLOOKUP(D1496,SUBCONTRATOS_PRY!A:D,4,FALSE()),0)</f>
        <v>40000</v>
      </c>
      <c r="J1496" s="31">
        <f>G1496*I1496</f>
        <v>20000</v>
      </c>
      <c r="K1496" s="32" t="str">
        <f t="shared" si="519"/>
        <v>PTO-2301|MO</v>
      </c>
      <c r="L1496" s="32">
        <f>COUNTIFS($K$2:K1496,K1496)</f>
        <v>4</v>
      </c>
      <c r="M1496" s="32" t="str">
        <f t="shared" si="521"/>
        <v>PTO-2301|MO|4</v>
      </c>
      <c r="N1496" s="121">
        <f>IFERROR(VLOOKUP(A1496,PARTIDAS!A:F,6,FALSE()),0)</f>
        <v>1</v>
      </c>
      <c r="O1496" s="123">
        <f t="shared" si="522"/>
        <v>0</v>
      </c>
      <c r="P1496" s="123">
        <f>+_xlfn.XLOOKUP(A1496,PPTO_GENERADOR!Q:Q,PPTO_GENERADOR!E:E,"-",0)</f>
        <v>8</v>
      </c>
      <c r="Q1496" s="123">
        <f t="shared" si="523"/>
        <v>0</v>
      </c>
      <c r="R1496" s="125">
        <f>+_xlfn.XLOOKUP(A1496,PPTO_GENERADOR!$Q:$Q,PPTO_GENERADOR!A:A,"-",0)</f>
        <v>23.01</v>
      </c>
    </row>
    <row r="1497" spans="1:18" ht="14.25" customHeight="1" x14ac:dyDescent="0.35">
      <c r="A1497" s="105" t="s">
        <v>392</v>
      </c>
      <c r="B1497" s="105" t="s">
        <v>1983</v>
      </c>
      <c r="C1497" s="105"/>
      <c r="D1497" s="105" t="s">
        <v>1487</v>
      </c>
      <c r="E1497" s="95" t="str">
        <f>IFERROR(VLOOKUP(D1497,EQUIPOS!A:B,2,FALSE()),"?")</f>
        <v>Herramientas — Provisión y amure de tapas para pleno el</v>
      </c>
      <c r="F1497" s="129"/>
      <c r="G1497" s="119">
        <v>1</v>
      </c>
      <c r="H1497" s="120">
        <v>0</v>
      </c>
      <c r="I1497" s="96">
        <f>IFERROR(VLOOKUP(D1497,EQUIPOS!A:F,6,FALSE()),0)</f>
        <v>2938.53543989844</v>
      </c>
      <c r="J1497" s="31">
        <f>G1497*I1497</f>
        <v>2938.53543989844</v>
      </c>
      <c r="K1497" s="32" t="str">
        <f t="shared" si="519"/>
        <v>PTO-2301|EQ</v>
      </c>
      <c r="L1497" s="32">
        <f>COUNTIFS($K$2:K1497,K1497)</f>
        <v>1</v>
      </c>
      <c r="M1497" s="32" t="str">
        <f t="shared" si="521"/>
        <v>PTO-2301|EQ|1</v>
      </c>
      <c r="N1497" s="121">
        <f>IFERROR(VLOOKUP(A1497,PARTIDAS!A:F,6,FALSE()),0)</f>
        <v>1</v>
      </c>
      <c r="O1497" s="123">
        <f t="shared" si="522"/>
        <v>0</v>
      </c>
      <c r="P1497" s="123">
        <f>+_xlfn.XLOOKUP(A1497,PPTO_GENERADOR!Q:Q,PPTO_GENERADOR!E:E,"-",0)</f>
        <v>8</v>
      </c>
      <c r="Q1497" s="123">
        <f t="shared" si="523"/>
        <v>0</v>
      </c>
      <c r="R1497" s="125">
        <f>+_xlfn.XLOOKUP(A1497,PPTO_GENERADOR!$Q:$Q,PPTO_GENERADOR!A:A,"-",0)</f>
        <v>23.01</v>
      </c>
    </row>
    <row r="1498" spans="1:18" ht="14.25" customHeight="1" x14ac:dyDescent="0.35">
      <c r="A1498" s="105" t="s">
        <v>394</v>
      </c>
      <c r="B1498" s="105" t="s">
        <v>1981</v>
      </c>
      <c r="C1498" s="105" t="s">
        <v>1982</v>
      </c>
      <c r="D1498" s="105" t="s">
        <v>842</v>
      </c>
      <c r="E1498" s="95" t="str">
        <f>IFERROR(VLOOKUP(D1498,MATERIALES!A:B,2,FALSE()),"?")</f>
        <v>Colocación de herrajes</v>
      </c>
      <c r="F1498" s="129" t="str">
        <f>IFERROR(VLOOKUP(D1498,MATERIALES!A:C,3,FALSE()),"?")</f>
        <v>u</v>
      </c>
      <c r="G1498" s="119">
        <v>3</v>
      </c>
      <c r="H1498" s="120">
        <v>0</v>
      </c>
      <c r="I1498" s="96">
        <f>IFERROR(VLOOKUP(D1498,MATERIALES!A:D,4,FALSE()),0)</f>
        <v>20000</v>
      </c>
      <c r="J1498" s="31">
        <f>G1498*I1498*(1+H1498)</f>
        <v>60000</v>
      </c>
      <c r="K1498" s="32" t="str">
        <f t="shared" si="519"/>
        <v>PTO-2302|MAT</v>
      </c>
      <c r="L1498" s="32">
        <f>COUNTIFS($K$2:K1498,K1498)</f>
        <v>1</v>
      </c>
      <c r="M1498" s="32" t="str">
        <f t="shared" si="521"/>
        <v>PTO-2302|MAT|1</v>
      </c>
      <c r="N1498" s="121">
        <f>IFERROR(VLOOKUP(A1498,PARTIDAS!A:F,6,FALSE()),0)</f>
        <v>1</v>
      </c>
      <c r="O1498" s="123">
        <f t="shared" si="522"/>
        <v>0</v>
      </c>
      <c r="P1498" s="123">
        <f>+_xlfn.XLOOKUP(A1498,PPTO_GENERADOR!Q:Q,PPTO_GENERADOR!E:E,"-",0)</f>
        <v>1</v>
      </c>
      <c r="Q1498" s="123">
        <f t="shared" si="523"/>
        <v>0</v>
      </c>
      <c r="R1498" s="125">
        <f>+_xlfn.XLOOKUP(A1498,PPTO_GENERADOR!$Q:$Q,PPTO_GENERADOR!A:A,"-",0)</f>
        <v>23.02</v>
      </c>
    </row>
    <row r="1499" spans="1:18" ht="14.25" customHeight="1" x14ac:dyDescent="0.35">
      <c r="A1499" s="105" t="s">
        <v>394</v>
      </c>
      <c r="B1499" s="105" t="s">
        <v>1979</v>
      </c>
      <c r="C1499" s="105" t="s">
        <v>1980</v>
      </c>
      <c r="D1499" s="105" t="s">
        <v>1292</v>
      </c>
      <c r="E1499" s="95" t="str">
        <f>IFERROR(VLOOKUP(D1499,MANO_DE_OBRA!A:B,2,FALSE()),"?")</f>
        <v>ESPECIALIZADO</v>
      </c>
      <c r="F1499" s="129" t="s">
        <v>2042</v>
      </c>
      <c r="G1499" s="119">
        <v>3</v>
      </c>
      <c r="H1499" s="120">
        <v>0</v>
      </c>
      <c r="I1499" s="96">
        <f>IFERROR(VLOOKUP(D1499,MANO_DE_OBRA!A:C,3,FALSE()),0)</f>
        <v>94177.137883538904</v>
      </c>
      <c r="J1499" s="31">
        <f t="shared" ref="J1499:J1500" si="527">G1499*I1499</f>
        <v>282531.41365061671</v>
      </c>
      <c r="K1499" s="32" t="str">
        <f t="shared" si="519"/>
        <v>PTO-2302|MO</v>
      </c>
      <c r="L1499" s="32">
        <f>COUNTIFS($K$2:K1499,K1499)</f>
        <v>1</v>
      </c>
      <c r="M1499" s="32" t="str">
        <f t="shared" si="521"/>
        <v>PTO-2302|MO|1</v>
      </c>
      <c r="N1499" s="121">
        <f>IFERROR(VLOOKUP(A1499,PARTIDAS!A:F,6,FALSE()),0)</f>
        <v>1</v>
      </c>
      <c r="O1499" s="123">
        <f t="shared" si="522"/>
        <v>3</v>
      </c>
      <c r="P1499" s="123">
        <f>+_xlfn.XLOOKUP(A1499,PPTO_GENERADOR!Q:Q,PPTO_GENERADOR!E:E,"-",0)</f>
        <v>1</v>
      </c>
      <c r="Q1499" s="123">
        <f t="shared" si="523"/>
        <v>3</v>
      </c>
      <c r="R1499" s="125">
        <f>+_xlfn.XLOOKUP(A1499,PPTO_GENERADOR!$Q:$Q,PPTO_GENERADOR!A:A,"-",0)</f>
        <v>23.02</v>
      </c>
    </row>
    <row r="1500" spans="1:18" ht="14.25" customHeight="1" x14ac:dyDescent="0.35">
      <c r="A1500" s="105" t="s">
        <v>394</v>
      </c>
      <c r="B1500" s="105" t="s">
        <v>1979</v>
      </c>
      <c r="C1500" s="105" t="s">
        <v>1980</v>
      </c>
      <c r="D1500" s="105" t="s">
        <v>2038</v>
      </c>
      <c r="E1500" s="95" t="str">
        <f>IFERROR(VLOOKUP(D1500,MANO_DE_OBRA!A:B,2,FALSE()),"?")</f>
        <v>AYUDANTE</v>
      </c>
      <c r="F1500" s="129" t="s">
        <v>2042</v>
      </c>
      <c r="G1500" s="119">
        <v>1.5</v>
      </c>
      <c r="H1500" s="120">
        <v>0</v>
      </c>
      <c r="I1500" s="96">
        <f>IFERROR(VLOOKUP(D1500,MANO_DE_OBRA!A:C,3,FALSE()),0)</f>
        <v>67240.498860267602</v>
      </c>
      <c r="J1500" s="31">
        <f t="shared" si="527"/>
        <v>100860.7482904014</v>
      </c>
      <c r="K1500" s="32" t="str">
        <f t="shared" si="519"/>
        <v>PTO-2302|MO</v>
      </c>
      <c r="L1500" s="32">
        <f>COUNTIFS($K$2:K1500,K1500)</f>
        <v>2</v>
      </c>
      <c r="M1500" s="32" t="str">
        <f t="shared" si="521"/>
        <v>PTO-2302|MO|2</v>
      </c>
      <c r="N1500" s="121">
        <f>IFERROR(VLOOKUP(A1500,PARTIDAS!A:F,6,FALSE()),0)</f>
        <v>1</v>
      </c>
      <c r="O1500" s="123">
        <f t="shared" si="522"/>
        <v>1.5</v>
      </c>
      <c r="P1500" s="123">
        <f>+_xlfn.XLOOKUP(A1500,PPTO_GENERADOR!Q:Q,PPTO_GENERADOR!E:E,"-",0)</f>
        <v>1</v>
      </c>
      <c r="Q1500" s="123">
        <f t="shared" si="523"/>
        <v>1.5</v>
      </c>
      <c r="R1500" s="125">
        <f>+_xlfn.XLOOKUP(A1500,PPTO_GENERADOR!$Q:$Q,PPTO_GENERADOR!A:A,"-",0)</f>
        <v>23.02</v>
      </c>
    </row>
    <row r="1501" spans="1:18" ht="14.25" customHeight="1" x14ac:dyDescent="0.35">
      <c r="A1501" s="105" t="s">
        <v>394</v>
      </c>
      <c r="B1501" s="105" t="s">
        <v>1983</v>
      </c>
      <c r="C1501" s="105"/>
      <c r="D1501" s="105" t="s">
        <v>1489</v>
      </c>
      <c r="E1501" s="95" t="str">
        <f>IFERROR(VLOOKUP(D1501,EQUIPOS!A:B,2,FALSE()),"?")</f>
        <v>Herramientas — Colocación de señaletica - Provisión a c</v>
      </c>
      <c r="F1501" s="129"/>
      <c r="G1501" s="119">
        <v>1</v>
      </c>
      <c r="H1501" s="120">
        <v>0</v>
      </c>
      <c r="I1501" s="96">
        <f>IFERROR(VLOOKUP(D1501,EQUIPOS!A:F,6,FALSE()),0)</f>
        <v>6650.8824291152696</v>
      </c>
      <c r="J1501" s="31">
        <f>G1501*I1501</f>
        <v>6650.8824291152696</v>
      </c>
      <c r="K1501" s="32" t="str">
        <f t="shared" si="519"/>
        <v>PTO-2302|EQ</v>
      </c>
      <c r="L1501" s="32">
        <f>COUNTIFS($K$2:K1501,K1501)</f>
        <v>1</v>
      </c>
      <c r="M1501" s="32" t="str">
        <f t="shared" si="521"/>
        <v>PTO-2302|EQ|1</v>
      </c>
      <c r="N1501" s="121">
        <f>IFERROR(VLOOKUP(A1501,PARTIDAS!A:F,6,FALSE()),0)</f>
        <v>1</v>
      </c>
      <c r="O1501" s="123">
        <f t="shared" si="522"/>
        <v>0</v>
      </c>
      <c r="P1501" s="123">
        <f>+_xlfn.XLOOKUP(A1501,PPTO_GENERADOR!Q:Q,PPTO_GENERADOR!E:E,"-",0)</f>
        <v>1</v>
      </c>
      <c r="Q1501" s="123">
        <f t="shared" si="523"/>
        <v>0</v>
      </c>
      <c r="R1501" s="125">
        <f>+_xlfn.XLOOKUP(A1501,PPTO_GENERADOR!$Q:$Q,PPTO_GENERADOR!A:A,"-",0)</f>
        <v>23.02</v>
      </c>
    </row>
    <row r="1502" spans="1:18" ht="14.25" customHeight="1" x14ac:dyDescent="0.35">
      <c r="A1502" s="105" t="s">
        <v>396</v>
      </c>
      <c r="B1502" s="105" t="s">
        <v>1979</v>
      </c>
      <c r="C1502" s="105" t="s">
        <v>1982</v>
      </c>
      <c r="D1502" s="105" t="s">
        <v>1640</v>
      </c>
      <c r="E1502" s="95" t="str">
        <f>IFERROR(VLOOKUP(D1502,SUBCONTRATOS_PRY!A:B,2,FALSE()),"?")</f>
        <v>Colocación de herrajes</v>
      </c>
      <c r="F1502" s="129" t="s">
        <v>2042</v>
      </c>
      <c r="G1502" s="119">
        <v>81</v>
      </c>
      <c r="H1502" s="120">
        <v>0</v>
      </c>
      <c r="I1502" s="96">
        <f>IFERROR(VLOOKUP(D1502,SUBCONTRATOS_PRY!A:D,4,FALSE()),0)</f>
        <v>7500</v>
      </c>
      <c r="J1502" s="31">
        <f t="shared" ref="J1502:J1508" si="528">G1502*I1502</f>
        <v>607500</v>
      </c>
      <c r="K1502" s="32" t="str">
        <f t="shared" si="519"/>
        <v>PTO-2303|MO</v>
      </c>
      <c r="L1502" s="32">
        <f>COUNTIFS($K$2:K1502,K1502)</f>
        <v>1</v>
      </c>
      <c r="M1502" s="32" t="str">
        <f t="shared" si="521"/>
        <v>PTO-2303|MO|1</v>
      </c>
      <c r="N1502" s="121">
        <f>IFERROR(VLOOKUP(A1502,PARTIDAS!A:F,6,FALSE()),0)</f>
        <v>1</v>
      </c>
      <c r="O1502" s="123">
        <f t="shared" si="522"/>
        <v>0</v>
      </c>
      <c r="P1502" s="123">
        <f>+_xlfn.XLOOKUP(A1502,PPTO_GENERADOR!Q:Q,PPTO_GENERADOR!E:E,"-",0)</f>
        <v>1</v>
      </c>
      <c r="Q1502" s="123">
        <f t="shared" si="523"/>
        <v>0</v>
      </c>
      <c r="R1502" s="125">
        <f>+_xlfn.XLOOKUP(A1502,PPTO_GENERADOR!$Q:$Q,PPTO_GENERADOR!A:A,"-",0)</f>
        <v>23.03</v>
      </c>
    </row>
    <row r="1503" spans="1:18" ht="14.25" customHeight="1" x14ac:dyDescent="0.35">
      <c r="A1503" s="105" t="s">
        <v>396</v>
      </c>
      <c r="B1503" s="105" t="s">
        <v>1979</v>
      </c>
      <c r="C1503" s="105" t="s">
        <v>1982</v>
      </c>
      <c r="D1503" s="105" t="s">
        <v>1641</v>
      </c>
      <c r="E1503" s="95" t="str">
        <f>IFERROR(VLOOKUP(D1503,SUBCONTRATOS_PRY!A:B,2,FALSE()),"?")</f>
        <v>Cambio de cerraduras/ajuste de cerraduras</v>
      </c>
      <c r="F1503" s="129" t="s">
        <v>2042</v>
      </c>
      <c r="G1503" s="119">
        <v>25</v>
      </c>
      <c r="H1503" s="120">
        <v>0</v>
      </c>
      <c r="I1503" s="96">
        <f>IFERROR(VLOOKUP(D1503,SUBCONTRATOS_PRY!A:D,4,FALSE()),0)</f>
        <v>30000</v>
      </c>
      <c r="J1503" s="31">
        <f t="shared" si="528"/>
        <v>750000</v>
      </c>
      <c r="K1503" s="32" t="str">
        <f t="shared" si="519"/>
        <v>PTO-2303|MO</v>
      </c>
      <c r="L1503" s="32">
        <f>COUNTIFS($K$2:K1503,K1503)</f>
        <v>2</v>
      </c>
      <c r="M1503" s="32" t="str">
        <f t="shared" si="521"/>
        <v>PTO-2303|MO|2</v>
      </c>
      <c r="N1503" s="121">
        <f>IFERROR(VLOOKUP(A1503,PARTIDAS!A:F,6,FALSE()),0)</f>
        <v>1</v>
      </c>
      <c r="O1503" s="123">
        <f t="shared" si="522"/>
        <v>0</v>
      </c>
      <c r="P1503" s="123">
        <f>+_xlfn.XLOOKUP(A1503,PPTO_GENERADOR!Q:Q,PPTO_GENERADOR!E:E,"-",0)</f>
        <v>1</v>
      </c>
      <c r="Q1503" s="123">
        <f t="shared" si="523"/>
        <v>0</v>
      </c>
      <c r="R1503" s="125">
        <f>+_xlfn.XLOOKUP(A1503,PPTO_GENERADOR!$Q:$Q,PPTO_GENERADOR!A:A,"-",0)</f>
        <v>23.03</v>
      </c>
    </row>
    <row r="1504" spans="1:18" ht="14.25" customHeight="1" x14ac:dyDescent="0.35">
      <c r="A1504" s="105" t="s">
        <v>396</v>
      </c>
      <c r="B1504" s="105" t="s">
        <v>1979</v>
      </c>
      <c r="C1504" s="105" t="s">
        <v>1982</v>
      </c>
      <c r="D1504" s="105" t="s">
        <v>1643</v>
      </c>
      <c r="E1504" s="95" t="str">
        <f>IFERROR(VLOOKUP(D1504,SUBCONTRATOS_PRY!A:B,2,FALSE()),"?")</f>
        <v>Trabajo de carpintero, ajuste de hojas puerta placa</v>
      </c>
      <c r="F1504" s="129" t="s">
        <v>2042</v>
      </c>
      <c r="G1504" s="119">
        <v>5</v>
      </c>
      <c r="H1504" s="120">
        <v>0</v>
      </c>
      <c r="I1504" s="96">
        <f>IFERROR(VLOOKUP(D1504,SUBCONTRATOS_PRY!A:D,4,FALSE()),0)</f>
        <v>200000</v>
      </c>
      <c r="J1504" s="31">
        <f t="shared" si="528"/>
        <v>1000000</v>
      </c>
      <c r="K1504" s="32" t="str">
        <f t="shared" si="519"/>
        <v>PTO-2303|MO</v>
      </c>
      <c r="L1504" s="32">
        <f>COUNTIFS($K$2:K1504,K1504)</f>
        <v>3</v>
      </c>
      <c r="M1504" s="32" t="str">
        <f t="shared" si="521"/>
        <v>PTO-2303|MO|3</v>
      </c>
      <c r="N1504" s="121">
        <f>IFERROR(VLOOKUP(A1504,PARTIDAS!A:F,6,FALSE()),0)</f>
        <v>1</v>
      </c>
      <c r="O1504" s="123">
        <f t="shared" si="522"/>
        <v>0</v>
      </c>
      <c r="P1504" s="123">
        <f>+_xlfn.XLOOKUP(A1504,PPTO_GENERADOR!Q:Q,PPTO_GENERADOR!E:E,"-",0)</f>
        <v>1</v>
      </c>
      <c r="Q1504" s="123">
        <f t="shared" si="523"/>
        <v>0</v>
      </c>
      <c r="R1504" s="125">
        <f>+_xlfn.XLOOKUP(A1504,PPTO_GENERADOR!$Q:$Q,PPTO_GENERADOR!A:A,"-",0)</f>
        <v>23.03</v>
      </c>
    </row>
    <row r="1505" spans="1:18" ht="14.25" customHeight="1" x14ac:dyDescent="0.35">
      <c r="A1505" s="105" t="s">
        <v>396</v>
      </c>
      <c r="B1505" s="105" t="s">
        <v>1983</v>
      </c>
      <c r="C1505" s="105"/>
      <c r="D1505" s="105" t="s">
        <v>1491</v>
      </c>
      <c r="E1505" s="95" t="str">
        <f>IFERROR(VLOOKUP(D1505,EQUIPOS!A:B,2,FALSE()),"?")</f>
        <v>Herramientas — Ajuste final de puertas placas, colocaci</v>
      </c>
      <c r="F1505" s="129"/>
      <c r="G1505" s="119">
        <v>1</v>
      </c>
      <c r="H1505" s="120">
        <v>0</v>
      </c>
      <c r="I1505" s="96">
        <f>IFERROR(VLOOKUP(D1505,EQUIPOS!A:F,6,FALSE()),0)</f>
        <v>35362.5</v>
      </c>
      <c r="J1505" s="31">
        <f>G1505*I1505</f>
        <v>35362.5</v>
      </c>
      <c r="K1505" s="32" t="str">
        <f t="shared" si="519"/>
        <v>PTO-2303|EQ</v>
      </c>
      <c r="L1505" s="32">
        <f>COUNTIFS($K$2:K1505,K1505)</f>
        <v>1</v>
      </c>
      <c r="M1505" s="32" t="str">
        <f t="shared" si="521"/>
        <v>PTO-2303|EQ|1</v>
      </c>
      <c r="N1505" s="121">
        <f>IFERROR(VLOOKUP(A1505,PARTIDAS!A:F,6,FALSE()),0)</f>
        <v>1</v>
      </c>
      <c r="O1505" s="123">
        <f t="shared" si="522"/>
        <v>0</v>
      </c>
      <c r="P1505" s="123">
        <f>+_xlfn.XLOOKUP(A1505,PPTO_GENERADOR!Q:Q,PPTO_GENERADOR!E:E,"-",0)</f>
        <v>1</v>
      </c>
      <c r="Q1505" s="123">
        <f t="shared" si="523"/>
        <v>0</v>
      </c>
      <c r="R1505" s="125">
        <f>+_xlfn.XLOOKUP(A1505,PPTO_GENERADOR!$Q:$Q,PPTO_GENERADOR!A:A,"-",0)</f>
        <v>23.03</v>
      </c>
    </row>
    <row r="1506" spans="1:18" ht="14.25" customHeight="1" x14ac:dyDescent="0.35">
      <c r="A1506" s="105" t="s">
        <v>398</v>
      </c>
      <c r="B1506" s="105" t="s">
        <v>1979</v>
      </c>
      <c r="C1506" s="105" t="s">
        <v>1982</v>
      </c>
      <c r="D1506" s="105" t="s">
        <v>1645</v>
      </c>
      <c r="E1506" s="95" t="str">
        <f>IFERROR(VLOOKUP(D1506,SUBCONTRATOS_PRY!A:B,2,FALSE()),"?")</f>
        <v>Sereno</v>
      </c>
      <c r="F1506" s="129" t="s">
        <v>2042</v>
      </c>
      <c r="G1506" s="119">
        <v>1</v>
      </c>
      <c r="H1506" s="120">
        <v>0</v>
      </c>
      <c r="I1506" s="96">
        <f>IFERROR(VLOOKUP(D1506,SUBCONTRATOS_PRY!A:D,4,FALSE()),0)</f>
        <v>806885.98632321204</v>
      </c>
      <c r="J1506" s="31">
        <f t="shared" si="528"/>
        <v>806885.98632321204</v>
      </c>
      <c r="K1506" s="32" t="str">
        <f t="shared" si="519"/>
        <v>PTO-2401|MO</v>
      </c>
      <c r="L1506" s="32">
        <f>COUNTIFS($K$2:K1506,K1506)</f>
        <v>1</v>
      </c>
      <c r="M1506" s="32" t="str">
        <f t="shared" si="521"/>
        <v>PTO-2401|MO|1</v>
      </c>
      <c r="N1506" s="121">
        <f>IFERROR(VLOOKUP(A1506,PARTIDAS!A:F,6,FALSE()),0)</f>
        <v>1</v>
      </c>
      <c r="O1506" s="123">
        <f t="shared" si="522"/>
        <v>0</v>
      </c>
      <c r="P1506" s="123">
        <f>+_xlfn.XLOOKUP(A1506,PPTO_GENERADOR!Q:Q,PPTO_GENERADOR!E:E,"-",0)</f>
        <v>19</v>
      </c>
      <c r="Q1506" s="123">
        <f t="shared" si="523"/>
        <v>0</v>
      </c>
      <c r="R1506" s="125">
        <f>+_xlfn.XLOOKUP(A1506,PPTO_GENERADOR!$Q:$Q,PPTO_GENERADOR!A:A,"-",0)</f>
        <v>24.01</v>
      </c>
    </row>
    <row r="1507" spans="1:18" ht="14.25" customHeight="1" x14ac:dyDescent="0.35">
      <c r="A1507" s="105" t="s">
        <v>401</v>
      </c>
      <c r="B1507" s="105" t="s">
        <v>1979</v>
      </c>
      <c r="C1507" s="105" t="s">
        <v>1982</v>
      </c>
      <c r="D1507" s="105" t="s">
        <v>1646</v>
      </c>
      <c r="E1507" s="95" t="str">
        <f>IFERROR(VLOOKUP(D1507,SUBCONTRATOS_PRY!A:B,2,FALSE()),"?")</f>
        <v>Tecnico de seguridad &amp; higiene permanente en Obra</v>
      </c>
      <c r="F1507" s="129" t="s">
        <v>2042</v>
      </c>
      <c r="G1507" s="119">
        <v>1</v>
      </c>
      <c r="H1507" s="120">
        <v>0</v>
      </c>
      <c r="I1507" s="96">
        <f>IFERROR(VLOOKUP(D1507,SUBCONTRATOS_PRY!A:D,4,FALSE()),0)</f>
        <v>1623254.46014153</v>
      </c>
      <c r="J1507" s="31">
        <f t="shared" si="528"/>
        <v>1623254.46014153</v>
      </c>
      <c r="K1507" s="32" t="str">
        <f t="shared" si="519"/>
        <v>PTO-2402|MO</v>
      </c>
      <c r="L1507" s="32">
        <f>COUNTIFS($K$2:K1507,K1507)</f>
        <v>1</v>
      </c>
      <c r="M1507" s="32" t="str">
        <f t="shared" si="521"/>
        <v>PTO-2402|MO|1</v>
      </c>
      <c r="N1507" s="121">
        <f>IFERROR(VLOOKUP(A1507,PARTIDAS!A:F,6,FALSE()),0)</f>
        <v>1</v>
      </c>
      <c r="O1507" s="123">
        <f t="shared" si="522"/>
        <v>0</v>
      </c>
      <c r="P1507" s="123">
        <f>+_xlfn.XLOOKUP(A1507,PPTO_GENERADOR!Q:Q,PPTO_GENERADOR!E:E,"-",0)</f>
        <v>1</v>
      </c>
      <c r="Q1507" s="123">
        <f t="shared" si="523"/>
        <v>0</v>
      </c>
      <c r="R1507" s="125">
        <f>+_xlfn.XLOOKUP(A1507,PPTO_GENERADOR!$Q:$Q,PPTO_GENERADOR!A:A,"-",0)</f>
        <v>24.02</v>
      </c>
    </row>
    <row r="1508" spans="1:18" ht="14.25" customHeight="1" x14ac:dyDescent="0.35">
      <c r="A1508" s="105" t="s">
        <v>403</v>
      </c>
      <c r="B1508" s="105" t="s">
        <v>1979</v>
      </c>
      <c r="C1508" s="105" t="s">
        <v>1982</v>
      </c>
      <c r="D1508" s="105" t="s">
        <v>1647</v>
      </c>
      <c r="E1508" s="95" t="str">
        <f>IFERROR(VLOOKUP(D1508,SUBCONTRATOS_PRY!A:B,2,FALSE()),"?")</f>
        <v>Higiene y seguridad Res 51</v>
      </c>
      <c r="F1508" s="129" t="s">
        <v>2042</v>
      </c>
      <c r="G1508" s="119">
        <v>1</v>
      </c>
      <c r="H1508" s="120">
        <v>0</v>
      </c>
      <c r="I1508" s="96">
        <f>IFERROR(VLOOKUP(D1508,SUBCONTRATOS_PRY!A:D,4,FALSE()),0)</f>
        <v>300000</v>
      </c>
      <c r="J1508" s="31">
        <f t="shared" si="528"/>
        <v>300000</v>
      </c>
      <c r="K1508" s="32" t="str">
        <f t="shared" si="519"/>
        <v>PTO-2403|MO</v>
      </c>
      <c r="L1508" s="32">
        <f>COUNTIFS($K$2:K1508,K1508)</f>
        <v>1</v>
      </c>
      <c r="M1508" s="32" t="str">
        <f t="shared" si="521"/>
        <v>PTO-2403|MO|1</v>
      </c>
      <c r="N1508" s="121">
        <f>IFERROR(VLOOKUP(A1508,PARTIDAS!A:F,6,FALSE()),0)</f>
        <v>1</v>
      </c>
      <c r="O1508" s="123">
        <f t="shared" si="522"/>
        <v>0</v>
      </c>
      <c r="P1508" s="123">
        <f>+_xlfn.XLOOKUP(A1508,PPTO_GENERADOR!Q:Q,PPTO_GENERADOR!E:E,"-",0)</f>
        <v>19</v>
      </c>
      <c r="Q1508" s="123">
        <f t="shared" si="523"/>
        <v>0</v>
      </c>
      <c r="R1508" s="125">
        <f>+_xlfn.XLOOKUP(A1508,PPTO_GENERADOR!$Q:$Q,PPTO_GENERADOR!A:A,"-",0)</f>
        <v>24.03</v>
      </c>
    </row>
    <row r="1509" spans="1:18" ht="14.25" customHeight="1" x14ac:dyDescent="0.35">
      <c r="A1509" s="105" t="s">
        <v>405</v>
      </c>
      <c r="B1509" s="105" t="s">
        <v>1981</v>
      </c>
      <c r="C1509" s="105" t="s">
        <v>1982</v>
      </c>
      <c r="D1509" s="105" t="s">
        <v>844</v>
      </c>
      <c r="E1509" s="95" t="str">
        <f>IFERROR(VLOOKUP(D1509,MATERIALES!A:B,2,FALSE()),"?")</f>
        <v>Defensas</v>
      </c>
      <c r="F1509" s="129" t="str">
        <f>IFERROR(VLOOKUP(D1509,MATERIALES!A:C,3,FALSE()),"?")</f>
        <v>u</v>
      </c>
      <c r="G1509" s="119">
        <v>140</v>
      </c>
      <c r="H1509" s="120">
        <v>0</v>
      </c>
      <c r="I1509" s="96">
        <f>IFERROR(VLOOKUP(D1509,MATERIALES!A:D,4,FALSE()),0)</f>
        <v>27437.106666666699</v>
      </c>
      <c r="J1509" s="31">
        <f t="shared" ref="J1509:J1511" si="529">G1509*I1509*(1+H1509)</f>
        <v>3841194.9333333378</v>
      </c>
      <c r="K1509" s="32" t="str">
        <f t="shared" si="519"/>
        <v>PTO-2404|MAT</v>
      </c>
      <c r="L1509" s="32">
        <f>COUNTIFS($K$2:K1509,K1509)</f>
        <v>1</v>
      </c>
      <c r="M1509" s="32" t="str">
        <f t="shared" si="521"/>
        <v>PTO-2404|MAT|1</v>
      </c>
      <c r="N1509" s="121">
        <f>IFERROR(VLOOKUP(A1509,PARTIDAS!A:F,6,FALSE()),0)</f>
        <v>1</v>
      </c>
      <c r="O1509" s="123">
        <f t="shared" si="522"/>
        <v>0</v>
      </c>
      <c r="P1509" s="123">
        <f>+_xlfn.XLOOKUP(A1509,PPTO_GENERADOR!Q:Q,PPTO_GENERADOR!E:E,"-",0)</f>
        <v>1</v>
      </c>
      <c r="Q1509" s="123">
        <f t="shared" si="523"/>
        <v>0</v>
      </c>
      <c r="R1509" s="125">
        <f>+_xlfn.XLOOKUP(A1509,PPTO_GENERADOR!$Q:$Q,PPTO_GENERADOR!A:A,"-",0)</f>
        <v>24.04</v>
      </c>
    </row>
    <row r="1510" spans="1:18" ht="14.25" customHeight="1" x14ac:dyDescent="0.35">
      <c r="A1510" s="105" t="s">
        <v>405</v>
      </c>
      <c r="B1510" s="105" t="s">
        <v>1981</v>
      </c>
      <c r="C1510" s="105" t="s">
        <v>1982</v>
      </c>
      <c r="D1510" s="105" t="s">
        <v>846</v>
      </c>
      <c r="E1510" s="95" t="str">
        <f>IFERROR(VLOOKUP(D1510,MATERIALES!A:B,2,FALSE()),"?")</f>
        <v>Tabla 4 x 1 x 3,6 Saligna bruto</v>
      </c>
      <c r="F1510" s="129" t="str">
        <f>IFERROR(VLOOKUP(D1510,MATERIALES!A:C,3,FALSE()),"?")</f>
        <v>u</v>
      </c>
      <c r="G1510" s="119">
        <v>109</v>
      </c>
      <c r="H1510" s="120">
        <v>0</v>
      </c>
      <c r="I1510" s="96">
        <f>IFERROR(VLOOKUP(D1510,MATERIALES!A:D,4,FALSE()),0)</f>
        <v>1109.3689999999999</v>
      </c>
      <c r="J1510" s="31">
        <f t="shared" si="529"/>
        <v>120921.22099999999</v>
      </c>
      <c r="K1510" s="32" t="str">
        <f t="shared" si="519"/>
        <v>PTO-2404|MAT</v>
      </c>
      <c r="L1510" s="32">
        <f>COUNTIFS($K$2:K1510,K1510)</f>
        <v>2</v>
      </c>
      <c r="M1510" s="32" t="str">
        <f t="shared" si="521"/>
        <v>PTO-2404|MAT|2</v>
      </c>
      <c r="N1510" s="121">
        <f>IFERROR(VLOOKUP(A1510,PARTIDAS!A:F,6,FALSE()),0)</f>
        <v>1</v>
      </c>
      <c r="O1510" s="123">
        <f t="shared" si="522"/>
        <v>0</v>
      </c>
      <c r="P1510" s="123">
        <f>+_xlfn.XLOOKUP(A1510,PPTO_GENERADOR!Q:Q,PPTO_GENERADOR!E:E,"-",0)</f>
        <v>1</v>
      </c>
      <c r="Q1510" s="123">
        <f t="shared" si="523"/>
        <v>0</v>
      </c>
      <c r="R1510" s="125">
        <f>+_xlfn.XLOOKUP(A1510,PPTO_GENERADOR!$Q:$Q,PPTO_GENERADOR!A:A,"-",0)</f>
        <v>24.04</v>
      </c>
    </row>
    <row r="1511" spans="1:18" ht="14.25" customHeight="1" x14ac:dyDescent="0.35">
      <c r="A1511" s="105" t="s">
        <v>405</v>
      </c>
      <c r="B1511" s="105" t="s">
        <v>1981</v>
      </c>
      <c r="C1511" s="105" t="s">
        <v>1982</v>
      </c>
      <c r="D1511" s="105" t="s">
        <v>848</v>
      </c>
      <c r="E1511" s="95" t="str">
        <f>IFERROR(VLOOKUP(D1511,MATERIALES!A:B,2,FALSE()),"?")</f>
        <v>Tirante 3 x 3 x 3,6 Saligna bruto</v>
      </c>
      <c r="F1511" s="129" t="str">
        <f>IFERROR(VLOOKUP(D1511,MATERIALES!A:C,3,FALSE()),"?")</f>
        <v>u</v>
      </c>
      <c r="G1511" s="119">
        <v>46</v>
      </c>
      <c r="H1511" s="120">
        <v>0</v>
      </c>
      <c r="I1511" s="96">
        <f>IFERROR(VLOOKUP(D1511,MATERIALES!A:D,4,FALSE()),0)</f>
        <v>2496.0823333333301</v>
      </c>
      <c r="J1511" s="31">
        <f t="shared" si="529"/>
        <v>114819.78733333318</v>
      </c>
      <c r="K1511" s="32" t="str">
        <f t="shared" si="519"/>
        <v>PTO-2404|MAT</v>
      </c>
      <c r="L1511" s="32">
        <f>COUNTIFS($K$2:K1511,K1511)</f>
        <v>3</v>
      </c>
      <c r="M1511" s="32" t="str">
        <f t="shared" si="521"/>
        <v>PTO-2404|MAT|3</v>
      </c>
      <c r="N1511" s="121">
        <f>IFERROR(VLOOKUP(A1511,PARTIDAS!A:F,6,FALSE()),0)</f>
        <v>1</v>
      </c>
      <c r="O1511" s="123">
        <f t="shared" si="522"/>
        <v>0</v>
      </c>
      <c r="P1511" s="123">
        <f>+_xlfn.XLOOKUP(A1511,PPTO_GENERADOR!Q:Q,PPTO_GENERADOR!E:E,"-",0)</f>
        <v>1</v>
      </c>
      <c r="Q1511" s="123">
        <f t="shared" si="523"/>
        <v>0</v>
      </c>
      <c r="R1511" s="125">
        <f>+_xlfn.XLOOKUP(A1511,PPTO_GENERADOR!$Q:$Q,PPTO_GENERADOR!A:A,"-",0)</f>
        <v>24.04</v>
      </c>
    </row>
    <row r="1512" spans="1:18" ht="14.25" customHeight="1" x14ac:dyDescent="0.35">
      <c r="A1512" s="105" t="s">
        <v>405</v>
      </c>
      <c r="B1512" s="105" t="s">
        <v>1979</v>
      </c>
      <c r="C1512" s="105" t="s">
        <v>1982</v>
      </c>
      <c r="D1512" s="105" t="s">
        <v>1530</v>
      </c>
      <c r="E1512" s="95" t="str">
        <f>IFERROR(VLOOKUP(D1512,SUBCONTRATOS_PRY!A:B,2,FALSE()),"?")</f>
        <v>Fletes de entrega y retiro</v>
      </c>
      <c r="F1512" s="129" t="s">
        <v>2042</v>
      </c>
      <c r="G1512" s="119">
        <v>30</v>
      </c>
      <c r="H1512" s="120">
        <v>0</v>
      </c>
      <c r="I1512" s="96">
        <f>IFERROR(VLOOKUP(D1512,SUBCONTRATOS_PRY!A:D,4,FALSE()),0)</f>
        <v>20000</v>
      </c>
      <c r="J1512" s="31">
        <f>G1512*I1512</f>
        <v>600000</v>
      </c>
      <c r="K1512" s="32" t="str">
        <f t="shared" si="519"/>
        <v>PTO-2404|MO</v>
      </c>
      <c r="L1512" s="32">
        <f>COUNTIFS($K$2:K1512,K1512)</f>
        <v>1</v>
      </c>
      <c r="M1512" s="32" t="str">
        <f t="shared" si="521"/>
        <v>PTO-2404|MO|1</v>
      </c>
      <c r="N1512" s="121">
        <f>IFERROR(VLOOKUP(A1512,PARTIDAS!A:F,6,FALSE()),0)</f>
        <v>1</v>
      </c>
      <c r="O1512" s="123">
        <f t="shared" si="522"/>
        <v>0</v>
      </c>
      <c r="P1512" s="123">
        <f>+_xlfn.XLOOKUP(A1512,PPTO_GENERADOR!Q:Q,PPTO_GENERADOR!E:E,"-",0)</f>
        <v>1</v>
      </c>
      <c r="Q1512" s="123">
        <f t="shared" si="523"/>
        <v>0</v>
      </c>
      <c r="R1512" s="125">
        <f>+_xlfn.XLOOKUP(A1512,PPTO_GENERADOR!$Q:$Q,PPTO_GENERADOR!A:A,"-",0)</f>
        <v>24.04</v>
      </c>
    </row>
    <row r="1513" spans="1:18" ht="14.25" customHeight="1" x14ac:dyDescent="0.35">
      <c r="A1513" s="105" t="s">
        <v>405</v>
      </c>
      <c r="B1513" s="105" t="s">
        <v>1979</v>
      </c>
      <c r="C1513" s="105" t="s">
        <v>1980</v>
      </c>
      <c r="D1513" s="105" t="s">
        <v>1292</v>
      </c>
      <c r="E1513" s="95" t="str">
        <f>IFERROR(VLOOKUP(D1513,MANO_DE_OBRA!A:B,2,FALSE()),"?")</f>
        <v>ESPECIALIZADO</v>
      </c>
      <c r="F1513" s="129" t="s">
        <v>2042</v>
      </c>
      <c r="G1513" s="119">
        <v>16</v>
      </c>
      <c r="H1513" s="120">
        <v>0</v>
      </c>
      <c r="I1513" s="96">
        <f>IFERROR(VLOOKUP(D1513,MANO_DE_OBRA!A:C,3,FALSE()),0)</f>
        <v>94177.137883538904</v>
      </c>
      <c r="J1513" s="31">
        <f t="shared" ref="J1513:J1515" si="530">G1513*I1513</f>
        <v>1506834.2061366225</v>
      </c>
      <c r="K1513" s="32" t="str">
        <f t="shared" si="519"/>
        <v>PTO-2404|MO</v>
      </c>
      <c r="L1513" s="32">
        <f>COUNTIFS($K$2:K1513,K1513)</f>
        <v>2</v>
      </c>
      <c r="M1513" s="32" t="str">
        <f t="shared" si="521"/>
        <v>PTO-2404|MO|2</v>
      </c>
      <c r="N1513" s="121">
        <f>IFERROR(VLOOKUP(A1513,PARTIDAS!A:F,6,FALSE()),0)</f>
        <v>1</v>
      </c>
      <c r="O1513" s="123">
        <f t="shared" si="522"/>
        <v>16</v>
      </c>
      <c r="P1513" s="123">
        <f>+_xlfn.XLOOKUP(A1513,PPTO_GENERADOR!Q:Q,PPTO_GENERADOR!E:E,"-",0)</f>
        <v>1</v>
      </c>
      <c r="Q1513" s="123">
        <f t="shared" si="523"/>
        <v>16</v>
      </c>
      <c r="R1513" s="125">
        <f>+_xlfn.XLOOKUP(A1513,PPTO_GENERADOR!$Q:$Q,PPTO_GENERADOR!A:A,"-",0)</f>
        <v>24.04</v>
      </c>
    </row>
    <row r="1514" spans="1:18" ht="14.25" customHeight="1" x14ac:dyDescent="0.35">
      <c r="A1514" s="105" t="s">
        <v>405</v>
      </c>
      <c r="B1514" s="105" t="s">
        <v>1979</v>
      </c>
      <c r="C1514" s="105" t="s">
        <v>1980</v>
      </c>
      <c r="D1514" s="105" t="s">
        <v>1290</v>
      </c>
      <c r="E1514" s="95" t="str">
        <f>IFERROR(VLOOKUP(D1514,MANO_DE_OBRA!A:B,2,FALSE()),"?")</f>
        <v>OFICIAL</v>
      </c>
      <c r="F1514" s="129" t="s">
        <v>2042</v>
      </c>
      <c r="G1514" s="119">
        <v>23</v>
      </c>
      <c r="H1514" s="120">
        <v>0</v>
      </c>
      <c r="I1514" s="96">
        <f>IFERROR(VLOOKUP(D1514,MANO_DE_OBRA!A:C,3,FALSE()),0)</f>
        <v>84612.512709566407</v>
      </c>
      <c r="J1514" s="31">
        <f t="shared" si="530"/>
        <v>1946087.7923200272</v>
      </c>
      <c r="K1514" s="32" t="str">
        <f t="shared" ref="K1514:K1517" si="531">A1514&amp;"|"&amp;B1514</f>
        <v>PTO-2404|MO</v>
      </c>
      <c r="L1514" s="32">
        <f>COUNTIFS($K$2:K1514,K1514)</f>
        <v>3</v>
      </c>
      <c r="M1514" s="32" t="str">
        <f t="shared" si="521"/>
        <v>PTO-2404|MO|3</v>
      </c>
      <c r="N1514" s="121">
        <f>IFERROR(VLOOKUP(A1514,PARTIDAS!A:F,6,FALSE()),0)</f>
        <v>1</v>
      </c>
      <c r="O1514" s="123">
        <f t="shared" si="522"/>
        <v>23</v>
      </c>
      <c r="P1514" s="123">
        <f>+_xlfn.XLOOKUP(A1514,PPTO_GENERADOR!Q:Q,PPTO_GENERADOR!E:E,"-",0)</f>
        <v>1</v>
      </c>
      <c r="Q1514" s="123">
        <f t="shared" si="523"/>
        <v>23</v>
      </c>
      <c r="R1514" s="125">
        <f>+_xlfn.XLOOKUP(A1514,PPTO_GENERADOR!$Q:$Q,PPTO_GENERADOR!A:A,"-",0)</f>
        <v>24.04</v>
      </c>
    </row>
    <row r="1515" spans="1:18" ht="14.25" customHeight="1" x14ac:dyDescent="0.35">
      <c r="A1515" s="105" t="s">
        <v>405</v>
      </c>
      <c r="B1515" s="105" t="s">
        <v>1979</v>
      </c>
      <c r="C1515" s="105" t="s">
        <v>1980</v>
      </c>
      <c r="D1515" s="105" t="s">
        <v>2038</v>
      </c>
      <c r="E1515" s="95" t="str">
        <f>IFERROR(VLOOKUP(D1515,MANO_DE_OBRA!A:B,2,FALSE()),"?")</f>
        <v>AYUDANTE</v>
      </c>
      <c r="F1515" s="129" t="s">
        <v>2042</v>
      </c>
      <c r="G1515" s="119">
        <v>23</v>
      </c>
      <c r="H1515" s="120">
        <v>0</v>
      </c>
      <c r="I1515" s="96">
        <f>IFERROR(VLOOKUP(D1515,MANO_DE_OBRA!A:C,3,FALSE()),0)</f>
        <v>67240.498860267602</v>
      </c>
      <c r="J1515" s="31">
        <f t="shared" si="530"/>
        <v>1546531.4737861548</v>
      </c>
      <c r="K1515" s="32" t="str">
        <f t="shared" si="531"/>
        <v>PTO-2404|MO</v>
      </c>
      <c r="L1515" s="32">
        <f>COUNTIFS($K$2:K1515,K1515)</f>
        <v>4</v>
      </c>
      <c r="M1515" s="32" t="str">
        <f t="shared" si="521"/>
        <v>PTO-2404|MO|4</v>
      </c>
      <c r="N1515" s="121">
        <f>IFERROR(VLOOKUP(A1515,PARTIDAS!A:F,6,FALSE()),0)</f>
        <v>1</v>
      </c>
      <c r="O1515" s="123">
        <f t="shared" si="522"/>
        <v>23</v>
      </c>
      <c r="P1515" s="123">
        <f>+_xlfn.XLOOKUP(A1515,PPTO_GENERADOR!Q:Q,PPTO_GENERADOR!E:E,"-",0)</f>
        <v>1</v>
      </c>
      <c r="Q1515" s="123">
        <f t="shared" si="523"/>
        <v>23</v>
      </c>
      <c r="R1515" s="125">
        <f>+_xlfn.XLOOKUP(A1515,PPTO_GENERADOR!$Q:$Q,PPTO_GENERADOR!A:A,"-",0)</f>
        <v>24.04</v>
      </c>
    </row>
    <row r="1516" spans="1:18" ht="14.25" customHeight="1" x14ac:dyDescent="0.35">
      <c r="A1516" s="105" t="s">
        <v>405</v>
      </c>
      <c r="B1516" s="105" t="s">
        <v>1983</v>
      </c>
      <c r="C1516" s="105"/>
      <c r="D1516" s="105" t="s">
        <v>1493</v>
      </c>
      <c r="E1516" s="95" t="str">
        <f>IFERROR(VLOOKUP(D1516,EQUIPOS!A:B,2,FALSE()),"?")</f>
        <v>Herramientas — Protecciones y defensas</v>
      </c>
      <c r="F1516" s="129"/>
      <c r="G1516" s="119">
        <v>1</v>
      </c>
      <c r="H1516" s="120">
        <v>0</v>
      </c>
      <c r="I1516" s="96">
        <f>IFERROR(VLOOKUP(D1516,EQUIPOS!A:F,6,FALSE()),0)</f>
        <v>145145.841208642</v>
      </c>
      <c r="J1516" s="31">
        <f>G1516*I1516</f>
        <v>145145.841208642</v>
      </c>
      <c r="K1516" s="32" t="str">
        <f t="shared" si="531"/>
        <v>PTO-2404|EQ</v>
      </c>
      <c r="L1516" s="32">
        <f>COUNTIFS($K$2:K1516,K1516)</f>
        <v>1</v>
      </c>
      <c r="M1516" s="32" t="str">
        <f t="shared" si="521"/>
        <v>PTO-2404|EQ|1</v>
      </c>
      <c r="N1516" s="121">
        <f>IFERROR(VLOOKUP(A1516,PARTIDAS!A:F,6,FALSE()),0)</f>
        <v>1</v>
      </c>
      <c r="O1516" s="123">
        <f t="shared" si="522"/>
        <v>0</v>
      </c>
      <c r="P1516" s="123">
        <f>+_xlfn.XLOOKUP(A1516,PPTO_GENERADOR!Q:Q,PPTO_GENERADOR!E:E,"-",0)</f>
        <v>1</v>
      </c>
      <c r="Q1516" s="123">
        <f t="shared" si="523"/>
        <v>0</v>
      </c>
      <c r="R1516" s="125">
        <f>+_xlfn.XLOOKUP(A1516,PPTO_GENERADOR!$Q:$Q,PPTO_GENERADOR!A:A,"-",0)</f>
        <v>24.04</v>
      </c>
    </row>
    <row r="1517" spans="1:18" ht="14.25" customHeight="1" x14ac:dyDescent="0.35">
      <c r="A1517" s="105" t="s">
        <v>407</v>
      </c>
      <c r="B1517" s="105" t="s">
        <v>1981</v>
      </c>
      <c r="C1517" s="105" t="s">
        <v>1984</v>
      </c>
      <c r="D1517" s="105" t="s">
        <v>850</v>
      </c>
      <c r="E1517" s="95" t="str">
        <f>IFERROR(VLOOKUP(D1517,MATERIALES!A:B,2,FALSE()),"?")</f>
        <v>Mat.</v>
      </c>
      <c r="F1517" s="129" t="str">
        <f>IFERROR(VLOOKUP(D1517,MATERIALES!A:C,3,FALSE()),"?")</f>
        <v>u</v>
      </c>
      <c r="G1517" s="119">
        <v>1</v>
      </c>
      <c r="H1517" s="120">
        <v>0</v>
      </c>
      <c r="I1517" s="96">
        <f>IFERROR(VLOOKUP(D1517,MATERIALES!A:D,4,FALSE()),0)</f>
        <v>50000</v>
      </c>
      <c r="J1517" s="31">
        <f>G1517*I1517*(1+H1517)</f>
        <v>50000</v>
      </c>
      <c r="K1517" s="32" t="str">
        <f t="shared" si="531"/>
        <v>PTO-2405|MAT</v>
      </c>
      <c r="L1517" s="32">
        <f>COUNTIFS($K$2:K1517,K1517)</f>
        <v>1</v>
      </c>
      <c r="M1517" s="32" t="str">
        <f t="shared" si="521"/>
        <v>PTO-2405|MAT|1</v>
      </c>
      <c r="N1517" s="121">
        <f>IFERROR(VLOOKUP(A1517,PARTIDAS!A:F,6,FALSE()),0)</f>
        <v>1</v>
      </c>
      <c r="O1517" s="123">
        <f t="shared" si="522"/>
        <v>0</v>
      </c>
      <c r="P1517" s="123">
        <f>+_xlfn.XLOOKUP(A1517,PPTO_GENERADOR!Q:Q,PPTO_GENERADOR!E:E,"-",0)</f>
        <v>19</v>
      </c>
      <c r="Q1517" s="123">
        <f t="shared" si="523"/>
        <v>0</v>
      </c>
      <c r="R1517" s="125">
        <f>+_xlfn.XLOOKUP(A1517,PPTO_GENERADOR!$Q:$Q,PPTO_GENERADOR!A:A,"-",0)</f>
        <v>24.05</v>
      </c>
    </row>
    <row r="1518" spans="1:18" ht="14.25" customHeight="1" x14ac:dyDescent="0.35">
      <c r="A1518" s="105" t="s">
        <v>407</v>
      </c>
      <c r="B1518" s="105" t="s">
        <v>1979</v>
      </c>
      <c r="C1518" s="105" t="s">
        <v>1980</v>
      </c>
      <c r="D1518" s="105" t="s">
        <v>1290</v>
      </c>
      <c r="E1518" s="95" t="str">
        <f>IFERROR(VLOOKUP(D1518,MANO_DE_OBRA!A:B,2,FALSE()),"?")</f>
        <v>OFICIAL</v>
      </c>
      <c r="F1518" s="129" t="s">
        <v>2042</v>
      </c>
      <c r="G1518" s="119">
        <v>3</v>
      </c>
      <c r="H1518" s="120">
        <v>0</v>
      </c>
      <c r="I1518" s="96">
        <f>IFERROR(VLOOKUP(D1518,MANO_DE_OBRA!A:C,3,FALSE()),0)</f>
        <v>84612.512709566407</v>
      </c>
      <c r="J1518" s="31">
        <f t="shared" ref="J1518:J1519" si="532">G1518*I1518</f>
        <v>253837.53812869923</v>
      </c>
      <c r="K1518" s="32" t="str">
        <f t="shared" ref="K1518:K1577" si="533">A1518&amp;"|"&amp;B1518</f>
        <v>PTO-2405|MO</v>
      </c>
      <c r="L1518" s="32">
        <f>COUNTIFS($K$2:K1518,K1518)</f>
        <v>1</v>
      </c>
      <c r="M1518" s="32" t="str">
        <f t="shared" si="521"/>
        <v>PTO-2405|MO|1</v>
      </c>
      <c r="N1518" s="121">
        <f>IFERROR(VLOOKUP(A1518,PARTIDAS!A:F,6,FALSE()),0)</f>
        <v>1</v>
      </c>
      <c r="O1518" s="123">
        <f t="shared" si="522"/>
        <v>3</v>
      </c>
      <c r="P1518" s="123">
        <f>+_xlfn.XLOOKUP(A1518,PPTO_GENERADOR!Q:Q,PPTO_GENERADOR!E:E,"-",0)</f>
        <v>19</v>
      </c>
      <c r="Q1518" s="123">
        <f t="shared" si="523"/>
        <v>57</v>
      </c>
      <c r="R1518" s="125">
        <f>+_xlfn.XLOOKUP(A1518,PPTO_GENERADOR!$Q:$Q,PPTO_GENERADOR!A:A,"-",0)</f>
        <v>24.05</v>
      </c>
    </row>
    <row r="1519" spans="1:18" ht="14.25" customHeight="1" x14ac:dyDescent="0.35">
      <c r="A1519" s="105" t="s">
        <v>407</v>
      </c>
      <c r="B1519" s="105" t="s">
        <v>1979</v>
      </c>
      <c r="C1519" s="105" t="s">
        <v>1980</v>
      </c>
      <c r="D1519" s="105" t="s">
        <v>2038</v>
      </c>
      <c r="E1519" s="95" t="str">
        <f>IFERROR(VLOOKUP(D1519,MANO_DE_OBRA!A:B,2,FALSE()),"?")</f>
        <v>AYUDANTE</v>
      </c>
      <c r="F1519" s="129" t="s">
        <v>2042</v>
      </c>
      <c r="G1519" s="119">
        <v>6</v>
      </c>
      <c r="H1519" s="120">
        <v>0</v>
      </c>
      <c r="I1519" s="96">
        <f>IFERROR(VLOOKUP(D1519,MANO_DE_OBRA!A:C,3,FALSE()),0)</f>
        <v>67240.498860267602</v>
      </c>
      <c r="J1519" s="31">
        <f t="shared" si="532"/>
        <v>403442.99316160561</v>
      </c>
      <c r="K1519" s="32" t="str">
        <f t="shared" si="533"/>
        <v>PTO-2405|MO</v>
      </c>
      <c r="L1519" s="32">
        <f>COUNTIFS($K$2:K1519,K1519)</f>
        <v>2</v>
      </c>
      <c r="M1519" s="32" t="str">
        <f t="shared" si="521"/>
        <v>PTO-2405|MO|2</v>
      </c>
      <c r="N1519" s="121">
        <f>IFERROR(VLOOKUP(A1519,PARTIDAS!A:F,6,FALSE()),0)</f>
        <v>1</v>
      </c>
      <c r="O1519" s="123">
        <f t="shared" si="522"/>
        <v>6</v>
      </c>
      <c r="P1519" s="123">
        <f>+_xlfn.XLOOKUP(A1519,PPTO_GENERADOR!Q:Q,PPTO_GENERADOR!E:E,"-",0)</f>
        <v>19</v>
      </c>
      <c r="Q1519" s="123">
        <f t="shared" si="523"/>
        <v>114</v>
      </c>
      <c r="R1519" s="125">
        <f>+_xlfn.XLOOKUP(A1519,PPTO_GENERADOR!$Q:$Q,PPTO_GENERADOR!A:A,"-",0)</f>
        <v>24.05</v>
      </c>
    </row>
    <row r="1520" spans="1:18" ht="14.25" customHeight="1" x14ac:dyDescent="0.35">
      <c r="A1520" s="105" t="s">
        <v>407</v>
      </c>
      <c r="B1520" s="105" t="s">
        <v>1983</v>
      </c>
      <c r="C1520" s="105"/>
      <c r="D1520" s="105" t="s">
        <v>1495</v>
      </c>
      <c r="E1520" s="95" t="str">
        <f>IFERROR(VLOOKUP(D1520,EQUIPOS!A:B,2,FALSE()),"?")</f>
        <v>Herramientas — Ayuda de gremios</v>
      </c>
      <c r="F1520" s="129"/>
      <c r="G1520" s="119">
        <v>1</v>
      </c>
      <c r="H1520" s="120">
        <v>0</v>
      </c>
      <c r="I1520" s="96">
        <f>IFERROR(VLOOKUP(D1520,EQUIPOS!A:F,6,FALSE()),0)</f>
        <v>10609.2079693546</v>
      </c>
      <c r="J1520" s="31">
        <f>G1520*I1520</f>
        <v>10609.2079693546</v>
      </c>
      <c r="K1520" s="32" t="str">
        <f t="shared" si="533"/>
        <v>PTO-2405|EQ</v>
      </c>
      <c r="L1520" s="32">
        <f>COUNTIFS($K$2:K1520,K1520)</f>
        <v>1</v>
      </c>
      <c r="M1520" s="32" t="str">
        <f t="shared" si="521"/>
        <v>PTO-2405|EQ|1</v>
      </c>
      <c r="N1520" s="121">
        <f>IFERROR(VLOOKUP(A1520,PARTIDAS!A:F,6,FALSE()),0)</f>
        <v>1</v>
      </c>
      <c r="O1520" s="123">
        <f t="shared" si="522"/>
        <v>0</v>
      </c>
      <c r="P1520" s="123">
        <f>+_xlfn.XLOOKUP(A1520,PPTO_GENERADOR!Q:Q,PPTO_GENERADOR!E:E,"-",0)</f>
        <v>19</v>
      </c>
      <c r="Q1520" s="123">
        <f t="shared" si="523"/>
        <v>0</v>
      </c>
      <c r="R1520" s="125">
        <f>+_xlfn.XLOOKUP(A1520,PPTO_GENERADOR!$Q:$Q,PPTO_GENERADOR!A:A,"-",0)</f>
        <v>24.05</v>
      </c>
    </row>
    <row r="1521" spans="1:18" ht="14.25" customHeight="1" x14ac:dyDescent="0.35">
      <c r="A1521" s="105" t="s">
        <v>409</v>
      </c>
      <c r="B1521" s="105" t="s">
        <v>1981</v>
      </c>
      <c r="C1521" s="105" t="s">
        <v>1984</v>
      </c>
      <c r="D1521" s="105" t="s">
        <v>850</v>
      </c>
      <c r="E1521" s="95" t="str">
        <f>IFERROR(VLOOKUP(D1521,MATERIALES!A:B,2,FALSE()),"?")</f>
        <v>Mat.</v>
      </c>
      <c r="F1521" s="129" t="str">
        <f>IFERROR(VLOOKUP(D1521,MATERIALES!A:C,3,FALSE()),"?")</f>
        <v>u</v>
      </c>
      <c r="G1521" s="119">
        <v>1</v>
      </c>
      <c r="H1521" s="120">
        <v>0</v>
      </c>
      <c r="I1521" s="96">
        <f>IFERROR(VLOOKUP(D1521,MATERIALES!A:D,4,FALSE()),0)</f>
        <v>50000</v>
      </c>
      <c r="J1521" s="31">
        <f>G1521*I1521*(1+H1521)</f>
        <v>50000</v>
      </c>
      <c r="K1521" s="32" t="str">
        <f t="shared" si="533"/>
        <v>PTO-2406|MAT</v>
      </c>
      <c r="L1521" s="32">
        <f>COUNTIFS($K$2:K1521,K1521)</f>
        <v>1</v>
      </c>
      <c r="M1521" s="32" t="str">
        <f t="shared" si="521"/>
        <v>PTO-2406|MAT|1</v>
      </c>
      <c r="N1521" s="121">
        <f>IFERROR(VLOOKUP(A1521,PARTIDAS!A:F,6,FALSE()),0)</f>
        <v>1</v>
      </c>
      <c r="O1521" s="123">
        <f t="shared" si="522"/>
        <v>0</v>
      </c>
      <c r="P1521" s="123">
        <f>+_xlfn.XLOOKUP(A1521,PPTO_GENERADOR!Q:Q,PPTO_GENERADOR!E:E,"-",0)</f>
        <v>19</v>
      </c>
      <c r="Q1521" s="123">
        <f t="shared" si="523"/>
        <v>0</v>
      </c>
      <c r="R1521" s="125">
        <f>+_xlfn.XLOOKUP(A1521,PPTO_GENERADOR!$Q:$Q,PPTO_GENERADOR!A:A,"-",0)</f>
        <v>24.06</v>
      </c>
    </row>
    <row r="1522" spans="1:18" ht="14.25" customHeight="1" x14ac:dyDescent="0.35">
      <c r="A1522" s="105" t="s">
        <v>409</v>
      </c>
      <c r="B1522" s="105" t="s">
        <v>1979</v>
      </c>
      <c r="C1522" s="105" t="s">
        <v>1980</v>
      </c>
      <c r="D1522" s="105" t="s">
        <v>2038</v>
      </c>
      <c r="E1522" s="95" t="str">
        <f>IFERROR(VLOOKUP(D1522,MANO_DE_OBRA!A:B,2,FALSE()),"?")</f>
        <v>AYUDANTE</v>
      </c>
      <c r="F1522" s="129" t="s">
        <v>2042</v>
      </c>
      <c r="G1522" s="119">
        <v>8.8000000000000007</v>
      </c>
      <c r="H1522" s="120">
        <v>0</v>
      </c>
      <c r="I1522" s="96">
        <f>IFERROR(VLOOKUP(D1522,MANO_DE_OBRA!A:C,3,FALSE()),0)</f>
        <v>67240.498860267602</v>
      </c>
      <c r="J1522" s="31">
        <f t="shared" ref="J1522" si="534">G1522*I1522</f>
        <v>591716.38997035497</v>
      </c>
      <c r="K1522" s="32" t="str">
        <f t="shared" si="533"/>
        <v>PTO-2406|MO</v>
      </c>
      <c r="L1522" s="32">
        <f>COUNTIFS($K$2:K1522,K1522)</f>
        <v>1</v>
      </c>
      <c r="M1522" s="32" t="str">
        <f t="shared" si="521"/>
        <v>PTO-2406|MO|1</v>
      </c>
      <c r="N1522" s="121">
        <f>IFERROR(VLOOKUP(A1522,PARTIDAS!A:F,6,FALSE()),0)</f>
        <v>1</v>
      </c>
      <c r="O1522" s="123">
        <f t="shared" si="522"/>
        <v>8.8000000000000007</v>
      </c>
      <c r="P1522" s="123">
        <f>+_xlfn.XLOOKUP(A1522,PPTO_GENERADOR!Q:Q,PPTO_GENERADOR!E:E,"-",0)</f>
        <v>19</v>
      </c>
      <c r="Q1522" s="123">
        <f t="shared" si="523"/>
        <v>167.20000000000002</v>
      </c>
      <c r="R1522" s="125">
        <f>+_xlfn.XLOOKUP(A1522,PPTO_GENERADOR!$Q:$Q,PPTO_GENERADOR!A:A,"-",0)</f>
        <v>24.06</v>
      </c>
    </row>
    <row r="1523" spans="1:18" ht="14.25" customHeight="1" x14ac:dyDescent="0.35">
      <c r="A1523" s="105" t="s">
        <v>409</v>
      </c>
      <c r="B1523" s="105" t="s">
        <v>1983</v>
      </c>
      <c r="C1523" s="105"/>
      <c r="D1523" s="105" t="s">
        <v>1497</v>
      </c>
      <c r="E1523" s="95" t="str">
        <f>IFERROR(VLOOKUP(D1523,EQUIPOS!A:B,2,FALSE()),"?")</f>
        <v xml:space="preserve">Herramientas — Limpieza periódica </v>
      </c>
      <c r="F1523" s="129"/>
      <c r="G1523" s="119">
        <v>1</v>
      </c>
      <c r="H1523" s="120">
        <v>0</v>
      </c>
      <c r="I1523" s="96">
        <f>IFERROR(VLOOKUP(D1523,EQUIPOS!A:F,6,FALSE()),0)</f>
        <v>9625.7458495553292</v>
      </c>
      <c r="J1523" s="31">
        <f>G1523*I1523</f>
        <v>9625.7458495553292</v>
      </c>
      <c r="K1523" s="32" t="str">
        <f t="shared" si="533"/>
        <v>PTO-2406|EQ</v>
      </c>
      <c r="L1523" s="32">
        <f>COUNTIFS($K$2:K1523,K1523)</f>
        <v>1</v>
      </c>
      <c r="M1523" s="32" t="str">
        <f t="shared" si="521"/>
        <v>PTO-2406|EQ|1</v>
      </c>
      <c r="N1523" s="121">
        <f>IFERROR(VLOOKUP(A1523,PARTIDAS!A:F,6,FALSE()),0)</f>
        <v>1</v>
      </c>
      <c r="O1523" s="123">
        <f t="shared" si="522"/>
        <v>0</v>
      </c>
      <c r="P1523" s="123">
        <f>+_xlfn.XLOOKUP(A1523,PPTO_GENERADOR!Q:Q,PPTO_GENERADOR!E:E,"-",0)</f>
        <v>19</v>
      </c>
      <c r="Q1523" s="123">
        <f t="shared" si="523"/>
        <v>0</v>
      </c>
      <c r="R1523" s="125">
        <f>+_xlfn.XLOOKUP(A1523,PPTO_GENERADOR!$Q:$Q,PPTO_GENERADOR!A:A,"-",0)</f>
        <v>24.06</v>
      </c>
    </row>
    <row r="1524" spans="1:18" ht="14.25" customHeight="1" x14ac:dyDescent="0.35">
      <c r="A1524" s="105" t="s">
        <v>411</v>
      </c>
      <c r="B1524" s="105" t="s">
        <v>1981</v>
      </c>
      <c r="C1524" s="105" t="s">
        <v>1982</v>
      </c>
      <c r="D1524" s="105" t="s">
        <v>1085</v>
      </c>
      <c r="E1524" s="95" t="str">
        <f>IFERROR(VLOOKUP(D1524,MATERIALES!A:B,2,FALSE()),"?")</f>
        <v>Limpieza final de obra — Materiales</v>
      </c>
      <c r="F1524" s="129" t="str">
        <f>IFERROR(VLOOKUP(D1524,MATERIALES!A:C,3,FALSE()),"?")</f>
        <v>gl</v>
      </c>
      <c r="G1524" s="119">
        <v>1</v>
      </c>
      <c r="H1524" s="120">
        <v>0</v>
      </c>
      <c r="I1524" s="96">
        <f>IFERROR(VLOOKUP(D1524,MATERIALES!A:D,4,FALSE()),0)</f>
        <v>500000</v>
      </c>
      <c r="J1524" s="31">
        <f>G1524*I1524*(1+H1524)</f>
        <v>500000</v>
      </c>
      <c r="K1524" s="32" t="str">
        <f t="shared" si="533"/>
        <v>PTO-2407|MAT</v>
      </c>
      <c r="L1524" s="32">
        <f>COUNTIFS($K$2:K1524,K1524)</f>
        <v>1</v>
      </c>
      <c r="M1524" s="32" t="str">
        <f t="shared" si="521"/>
        <v>PTO-2407|MAT|1</v>
      </c>
      <c r="N1524" s="121">
        <f>IFERROR(VLOOKUP(A1524,PARTIDAS!A:F,6,FALSE()),0)</f>
        <v>1</v>
      </c>
      <c r="O1524" s="123">
        <f t="shared" si="522"/>
        <v>0</v>
      </c>
      <c r="P1524" s="123">
        <f>+_xlfn.XLOOKUP(A1524,PPTO_GENERADOR!Q:Q,PPTO_GENERADOR!E:E,"-",0)</f>
        <v>1</v>
      </c>
      <c r="Q1524" s="123">
        <f t="shared" si="523"/>
        <v>0</v>
      </c>
      <c r="R1524" s="125">
        <f>+_xlfn.XLOOKUP(A1524,PPTO_GENERADOR!$Q:$Q,PPTO_GENERADOR!A:A,"-",0)</f>
        <v>24.07</v>
      </c>
    </row>
    <row r="1525" spans="1:18" ht="14.25" customHeight="1" x14ac:dyDescent="0.35">
      <c r="A1525" s="105" t="s">
        <v>411</v>
      </c>
      <c r="B1525" s="105" t="s">
        <v>1979</v>
      </c>
      <c r="C1525" s="105" t="s">
        <v>1980</v>
      </c>
      <c r="D1525" s="105" t="s">
        <v>2038</v>
      </c>
      <c r="E1525" s="95" t="str">
        <f>IFERROR(VLOOKUP(D1525,MANO_DE_OBRA!A:B,2,FALSE()),"?")</f>
        <v>AYUDANTE</v>
      </c>
      <c r="F1525" s="129" t="s">
        <v>2042</v>
      </c>
      <c r="G1525" s="119">
        <v>60</v>
      </c>
      <c r="H1525" s="120">
        <v>0</v>
      </c>
      <c r="I1525" s="96">
        <f>IFERROR(VLOOKUP(D1525,MANO_DE_OBRA!A:C,3,FALSE()),0)</f>
        <v>67240.498860267602</v>
      </c>
      <c r="J1525" s="31">
        <f t="shared" ref="J1525" si="535">G1525*I1525</f>
        <v>4034429.9316160562</v>
      </c>
      <c r="K1525" s="32" t="str">
        <f t="shared" si="533"/>
        <v>PTO-2407|MO</v>
      </c>
      <c r="L1525" s="32">
        <f>COUNTIFS($K$2:K1525,K1525)</f>
        <v>1</v>
      </c>
      <c r="M1525" s="32" t="str">
        <f t="shared" si="521"/>
        <v>PTO-2407|MO|1</v>
      </c>
      <c r="N1525" s="121">
        <f>IFERROR(VLOOKUP(A1525,PARTIDAS!A:F,6,FALSE()),0)</f>
        <v>1</v>
      </c>
      <c r="O1525" s="123">
        <f t="shared" si="522"/>
        <v>60</v>
      </c>
      <c r="P1525" s="123">
        <f>+_xlfn.XLOOKUP(A1525,PPTO_GENERADOR!Q:Q,PPTO_GENERADOR!E:E,"-",0)</f>
        <v>1</v>
      </c>
      <c r="Q1525" s="123">
        <f t="shared" si="523"/>
        <v>60</v>
      </c>
      <c r="R1525" s="125">
        <f>+_xlfn.XLOOKUP(A1525,PPTO_GENERADOR!$Q:$Q,PPTO_GENERADOR!A:A,"-",0)</f>
        <v>24.07</v>
      </c>
    </row>
    <row r="1526" spans="1:18" ht="14.25" customHeight="1" x14ac:dyDescent="0.35">
      <c r="A1526" s="105" t="s">
        <v>411</v>
      </c>
      <c r="B1526" s="105" t="s">
        <v>1983</v>
      </c>
      <c r="C1526" s="105"/>
      <c r="D1526" s="105" t="s">
        <v>1499</v>
      </c>
      <c r="E1526" s="95" t="str">
        <f>IFERROR(VLOOKUP(D1526,EQUIPOS!A:B,2,FALSE()),"?")</f>
        <v>Herramientas — Limpieza final de Obra</v>
      </c>
      <c r="F1526" s="129"/>
      <c r="G1526" s="119">
        <v>1</v>
      </c>
      <c r="H1526" s="120">
        <v>0</v>
      </c>
      <c r="I1526" s="96">
        <f>IFERROR(VLOOKUP(D1526,EQUIPOS!A:F,6,FALSE()),0)</f>
        <v>68016.448974240906</v>
      </c>
      <c r="J1526" s="31">
        <f>G1526*I1526</f>
        <v>68016.448974240906</v>
      </c>
      <c r="K1526" s="32" t="str">
        <f t="shared" si="533"/>
        <v>PTO-2407|EQ</v>
      </c>
      <c r="L1526" s="32">
        <f>COUNTIFS($K$2:K1526,K1526)</f>
        <v>1</v>
      </c>
      <c r="M1526" s="32" t="str">
        <f t="shared" si="521"/>
        <v>PTO-2407|EQ|1</v>
      </c>
      <c r="N1526" s="121">
        <f>IFERROR(VLOOKUP(A1526,PARTIDAS!A:F,6,FALSE()),0)</f>
        <v>1</v>
      </c>
      <c r="O1526" s="123">
        <f t="shared" si="522"/>
        <v>0</v>
      </c>
      <c r="P1526" s="123">
        <f>+_xlfn.XLOOKUP(A1526,PPTO_GENERADOR!Q:Q,PPTO_GENERADOR!E:E,"-",0)</f>
        <v>1</v>
      </c>
      <c r="Q1526" s="123">
        <f t="shared" si="523"/>
        <v>0</v>
      </c>
      <c r="R1526" s="125">
        <f>+_xlfn.XLOOKUP(A1526,PPTO_GENERADOR!$Q:$Q,PPTO_GENERADOR!A:A,"-",0)</f>
        <v>24.07</v>
      </c>
    </row>
    <row r="1527" spans="1:18" ht="14.25" customHeight="1" x14ac:dyDescent="0.35">
      <c r="A1527" s="105" t="s">
        <v>413</v>
      </c>
      <c r="B1527" s="105" t="s">
        <v>1979</v>
      </c>
      <c r="C1527" s="105" t="s">
        <v>1982</v>
      </c>
      <c r="D1527" s="105" t="s">
        <v>1648</v>
      </c>
      <c r="E1527" s="95" t="str">
        <f>IFERROR(VLOOKUP(D1527,SUBCONTRATOS_PRY!A:B,2,FALSE()),"?")</f>
        <v>MO — Fletes</v>
      </c>
      <c r="F1527" s="129" t="s">
        <v>2042</v>
      </c>
      <c r="G1527" s="119">
        <v>1</v>
      </c>
      <c r="H1527" s="120">
        <v>0</v>
      </c>
      <c r="I1527" s="96">
        <f>IFERROR(VLOOKUP(D1527,SUBCONTRATOS_PRY!A:D,4,FALSE()),0)</f>
        <v>300000</v>
      </c>
      <c r="J1527" s="31">
        <f>G1527*I1527</f>
        <v>300000</v>
      </c>
      <c r="K1527" s="32" t="str">
        <f t="shared" si="533"/>
        <v>PTO-2408|MO</v>
      </c>
      <c r="L1527" s="32">
        <f>COUNTIFS($K$2:K1527,K1527)</f>
        <v>1</v>
      </c>
      <c r="M1527" s="32" t="str">
        <f t="shared" si="521"/>
        <v>PTO-2408|MO|1</v>
      </c>
      <c r="N1527" s="121">
        <f>IFERROR(VLOOKUP(A1527,PARTIDAS!A:F,6,FALSE()),0)</f>
        <v>1</v>
      </c>
      <c r="O1527" s="123">
        <f t="shared" si="522"/>
        <v>0</v>
      </c>
      <c r="P1527" s="123">
        <f>+_xlfn.XLOOKUP(A1527,PPTO_GENERADOR!Q:Q,PPTO_GENERADOR!E:E,"-",0)</f>
        <v>19</v>
      </c>
      <c r="Q1527" s="123">
        <f t="shared" si="523"/>
        <v>0</v>
      </c>
      <c r="R1527" s="125">
        <f>+_xlfn.XLOOKUP(A1527,PPTO_GENERADOR!$Q:$Q,PPTO_GENERADOR!A:A,"-",0)</f>
        <v>24.08</v>
      </c>
    </row>
    <row r="1528" spans="1:18" ht="14.25" customHeight="1" x14ac:dyDescent="0.35">
      <c r="A1528" s="105" t="s">
        <v>415</v>
      </c>
      <c r="B1528" s="105" t="s">
        <v>1981</v>
      </c>
      <c r="C1528" s="105" t="s">
        <v>1982</v>
      </c>
      <c r="D1528" s="105" t="s">
        <v>852</v>
      </c>
      <c r="E1528" s="95" t="str">
        <f>IFERROR(VLOOKUP(D1528,MATERIALES!A:B,2,FALSE()),"?")</f>
        <v>Volquete x mes</v>
      </c>
      <c r="F1528" s="129" t="str">
        <f>IFERROR(VLOOKUP(D1528,MATERIALES!A:C,3,FALSE()),"?")</f>
        <v>u</v>
      </c>
      <c r="G1528" s="119">
        <v>2</v>
      </c>
      <c r="H1528" s="120">
        <v>0</v>
      </c>
      <c r="I1528" s="96">
        <f>IFERROR(VLOOKUP(D1528,MATERIALES!A:D,4,FALSE()),0)</f>
        <v>100000</v>
      </c>
      <c r="J1528" s="31">
        <f>G1528*I1528*(1+H1528)</f>
        <v>200000</v>
      </c>
      <c r="K1528" s="32" t="str">
        <f t="shared" si="533"/>
        <v>PTO-2409|MAT</v>
      </c>
      <c r="L1528" s="32">
        <f>COUNTIFS($K$2:K1528,K1528)</f>
        <v>1</v>
      </c>
      <c r="M1528" s="32" t="str">
        <f t="shared" si="521"/>
        <v>PTO-2409|MAT|1</v>
      </c>
      <c r="N1528" s="121">
        <f>IFERROR(VLOOKUP(A1528,PARTIDAS!A:F,6,FALSE()),0)</f>
        <v>1</v>
      </c>
      <c r="O1528" s="123">
        <f t="shared" si="522"/>
        <v>0</v>
      </c>
      <c r="P1528" s="123">
        <f>+_xlfn.XLOOKUP(A1528,PPTO_GENERADOR!Q:Q,PPTO_GENERADOR!E:E,"-",0)</f>
        <v>19</v>
      </c>
      <c r="Q1528" s="123">
        <f t="shared" si="523"/>
        <v>0</v>
      </c>
      <c r="R1528" s="125">
        <f>+_xlfn.XLOOKUP(A1528,PPTO_GENERADOR!$Q:$Q,PPTO_GENERADOR!A:A,"-",0)</f>
        <v>24.09</v>
      </c>
    </row>
    <row r="1529" spans="1:18" ht="14.25" customHeight="1" x14ac:dyDescent="0.35">
      <c r="A1529" s="105" t="s">
        <v>415</v>
      </c>
      <c r="B1529" s="105" t="s">
        <v>1979</v>
      </c>
      <c r="C1529" s="105" t="s">
        <v>1980</v>
      </c>
      <c r="D1529" s="105" t="s">
        <v>2038</v>
      </c>
      <c r="E1529" s="95" t="str">
        <f>IFERROR(VLOOKUP(D1529,MANO_DE_OBRA!A:B,2,FALSE()),"?")</f>
        <v>AYUDANTE</v>
      </c>
      <c r="F1529" s="129" t="s">
        <v>2042</v>
      </c>
      <c r="G1529" s="119">
        <v>1</v>
      </c>
      <c r="H1529" s="120">
        <v>0</v>
      </c>
      <c r="I1529" s="96">
        <f>IFERROR(VLOOKUP(D1529,MANO_DE_OBRA!A:C,3,FALSE()),0)</f>
        <v>67240.498860267602</v>
      </c>
      <c r="J1529" s="31">
        <f t="shared" ref="J1529" si="536">G1529*I1529</f>
        <v>67240.498860267602</v>
      </c>
      <c r="K1529" s="32" t="str">
        <f t="shared" si="533"/>
        <v>PTO-2409|MO</v>
      </c>
      <c r="L1529" s="32">
        <f>COUNTIFS($K$2:K1529,K1529)</f>
        <v>1</v>
      </c>
      <c r="M1529" s="32" t="str">
        <f t="shared" si="521"/>
        <v>PTO-2409|MO|1</v>
      </c>
      <c r="N1529" s="121">
        <f>IFERROR(VLOOKUP(A1529,PARTIDAS!A:F,6,FALSE()),0)</f>
        <v>1</v>
      </c>
      <c r="O1529" s="123">
        <f t="shared" si="522"/>
        <v>1</v>
      </c>
      <c r="P1529" s="123">
        <f>+_xlfn.XLOOKUP(A1529,PPTO_GENERADOR!Q:Q,PPTO_GENERADOR!E:E,"-",0)</f>
        <v>19</v>
      </c>
      <c r="Q1529" s="123">
        <f t="shared" si="523"/>
        <v>19</v>
      </c>
      <c r="R1529" s="125">
        <f>+_xlfn.XLOOKUP(A1529,PPTO_GENERADOR!$Q:$Q,PPTO_GENERADOR!A:A,"-",0)</f>
        <v>24.09</v>
      </c>
    </row>
    <row r="1530" spans="1:18" ht="14.25" customHeight="1" x14ac:dyDescent="0.35">
      <c r="A1530" s="105" t="s">
        <v>415</v>
      </c>
      <c r="B1530" s="105" t="s">
        <v>1983</v>
      </c>
      <c r="C1530" s="105"/>
      <c r="D1530" s="105" t="s">
        <v>1501</v>
      </c>
      <c r="E1530" s="95" t="str">
        <f>IFERROR(VLOOKUP(D1530,EQUIPOS!A:B,2,FALSE()),"?")</f>
        <v>Herramientas — Volquetes</v>
      </c>
      <c r="F1530" s="129"/>
      <c r="G1530" s="119">
        <v>1</v>
      </c>
      <c r="H1530" s="120">
        <v>0</v>
      </c>
      <c r="I1530" s="96">
        <f>IFERROR(VLOOKUP(D1530,EQUIPOS!A:F,6,FALSE()),0)</f>
        <v>4008.6074829040099</v>
      </c>
      <c r="J1530" s="31">
        <f>G1530*I1530</f>
        <v>4008.6074829040099</v>
      </c>
      <c r="K1530" s="32" t="str">
        <f t="shared" si="533"/>
        <v>PTO-2409|EQ</v>
      </c>
      <c r="L1530" s="32">
        <f>COUNTIFS($K$2:K1530,K1530)</f>
        <v>1</v>
      </c>
      <c r="M1530" s="32" t="str">
        <f t="shared" ref="M1530" si="537">K1530&amp;"|"&amp;L1530</f>
        <v>PTO-2409|EQ|1</v>
      </c>
      <c r="N1530" s="121">
        <f>IFERROR(VLOOKUP(A1530,PARTIDAS!A:F,6,FALSE()),0)</f>
        <v>1</v>
      </c>
      <c r="O1530" s="123">
        <f t="shared" si="522"/>
        <v>0</v>
      </c>
      <c r="P1530" s="123">
        <f>+_xlfn.XLOOKUP(A1530,PPTO_GENERADOR!Q:Q,PPTO_GENERADOR!E:E,"-",0)</f>
        <v>19</v>
      </c>
      <c r="Q1530" s="123">
        <f t="shared" si="523"/>
        <v>0</v>
      </c>
      <c r="R1530" s="125">
        <f>+_xlfn.XLOOKUP(A1530,PPTO_GENERADOR!$Q:$Q,PPTO_GENERADOR!A:A,"-",0)</f>
        <v>24.09</v>
      </c>
    </row>
    <row r="1531" spans="1:18" ht="14.25" customHeight="1" x14ac:dyDescent="0.35">
      <c r="A1531" s="105" t="s">
        <v>417</v>
      </c>
      <c r="B1531" s="105" t="s">
        <v>1979</v>
      </c>
      <c r="C1531" s="105" t="s">
        <v>1982</v>
      </c>
      <c r="D1531" s="105" t="s">
        <v>1650</v>
      </c>
      <c r="E1531" s="95" t="str">
        <f>IFERROR(VLOOKUP(D1531,SUBCONTRATOS_PRY!A:B,2,FALSE()),"?")</f>
        <v>Proyecto Ejecutivo y Supervisión profesional de Obra</v>
      </c>
      <c r="F1531" s="129" t="s">
        <v>2042</v>
      </c>
      <c r="G1531" s="119">
        <v>1</v>
      </c>
      <c r="H1531" s="120">
        <v>0</v>
      </c>
      <c r="I1531" s="96">
        <f>IFERROR(VLOOKUP(D1531,SUBCONTRATOS_PRY!A:D,4,FALSE()),0)</f>
        <v>3246508.9202830601</v>
      </c>
      <c r="J1531" s="31">
        <f t="shared" ref="J1531:J1532" si="538">G1531*I1531</f>
        <v>3246508.9202830601</v>
      </c>
      <c r="K1531" s="32" t="str">
        <f t="shared" si="533"/>
        <v>PTO-2501|MO</v>
      </c>
      <c r="L1531" s="32">
        <f>COUNTIFS($K$2:K1531,K1531)</f>
        <v>1</v>
      </c>
      <c r="M1531" s="32" t="str">
        <f t="shared" ref="M1531:M1593" si="539">K1531&amp;"|"&amp;L1531</f>
        <v>PTO-2501|MO|1</v>
      </c>
      <c r="N1531" s="121">
        <f>IFERROR(VLOOKUP(A1531,PARTIDAS!A:F,6,FALSE()),0)</f>
        <v>1</v>
      </c>
      <c r="O1531" s="123">
        <f t="shared" si="522"/>
        <v>0</v>
      </c>
      <c r="P1531" s="123">
        <f>+_xlfn.XLOOKUP(A1531,PPTO_GENERADOR!Q:Q,PPTO_GENERADOR!E:E,"-",0)</f>
        <v>19</v>
      </c>
      <c r="Q1531" s="123">
        <f t="shared" si="523"/>
        <v>0</v>
      </c>
      <c r="R1531" s="125">
        <f>+_xlfn.XLOOKUP(A1531,PPTO_GENERADOR!$Q:$Q,PPTO_GENERADOR!A:A,"-",0)</f>
        <v>25.01</v>
      </c>
    </row>
    <row r="1532" spans="1:18" ht="14.25" customHeight="1" x14ac:dyDescent="0.35">
      <c r="A1532" s="105" t="s">
        <v>419</v>
      </c>
      <c r="B1532" s="105" t="s">
        <v>1979</v>
      </c>
      <c r="C1532" s="105" t="s">
        <v>1982</v>
      </c>
      <c r="D1532" s="105" t="s">
        <v>1651</v>
      </c>
      <c r="E1532" s="95" t="str">
        <f>IFERROR(VLOOKUP(D1532,SUBCONTRATOS_PRY!A:B,2,FALSE()),"?")</f>
        <v>Movilidad y viaticos</v>
      </c>
      <c r="F1532" s="129" t="s">
        <v>2042</v>
      </c>
      <c r="G1532" s="119">
        <v>1</v>
      </c>
      <c r="H1532" s="120">
        <v>0</v>
      </c>
      <c r="I1532" s="96">
        <f>IFERROR(VLOOKUP(D1532,SUBCONTRATOS_PRY!A:D,4,FALSE()),0)</f>
        <v>500000</v>
      </c>
      <c r="J1532" s="31">
        <f t="shared" si="538"/>
        <v>500000</v>
      </c>
      <c r="K1532" s="32" t="str">
        <f t="shared" si="533"/>
        <v>PTO-2502|MO</v>
      </c>
      <c r="L1532" s="32">
        <f>COUNTIFS($K$2:K1532,K1532)</f>
        <v>1</v>
      </c>
      <c r="M1532" s="32" t="str">
        <f t="shared" si="539"/>
        <v>PTO-2502|MO|1</v>
      </c>
      <c r="N1532" s="121">
        <f>IFERROR(VLOOKUP(A1532,PARTIDAS!A:F,6,FALSE()),0)</f>
        <v>1</v>
      </c>
      <c r="O1532" s="123">
        <f t="shared" si="522"/>
        <v>0</v>
      </c>
      <c r="P1532" s="123">
        <f>+_xlfn.XLOOKUP(A1532,PPTO_GENERADOR!Q:Q,PPTO_GENERADOR!E:E,"-",0)</f>
        <v>19</v>
      </c>
      <c r="Q1532" s="123">
        <f t="shared" si="523"/>
        <v>0</v>
      </c>
      <c r="R1532" s="125">
        <f>+_xlfn.XLOOKUP(A1532,PPTO_GENERADOR!$Q:$Q,PPTO_GENERADOR!A:A,"-",0)</f>
        <v>25.02</v>
      </c>
    </row>
    <row r="1533" spans="1:18" ht="14.25" customHeight="1" x14ac:dyDescent="0.35">
      <c r="A1533" s="105" t="s">
        <v>421</v>
      </c>
      <c r="B1533" s="105" t="s">
        <v>1981</v>
      </c>
      <c r="C1533" s="105" t="s">
        <v>1982</v>
      </c>
      <c r="D1533" s="105" t="s">
        <v>854</v>
      </c>
      <c r="E1533" s="95" t="str">
        <f>IFERROR(VLOOKUP(D1533,MATERIALES!A:B,2,FALSE()),"?")</f>
        <v>Sombrerete en chapa prepintada C25</v>
      </c>
      <c r="F1533" s="129" t="str">
        <f>IFERROR(VLOOKUP(D1533,MATERIALES!A:C,3,FALSE()),"?")</f>
        <v>u</v>
      </c>
      <c r="G1533" s="119">
        <v>1</v>
      </c>
      <c r="H1533" s="120">
        <v>0</v>
      </c>
      <c r="I1533" s="96">
        <f>IFERROR(VLOOKUP(D1533,MATERIALES!A:D,4,FALSE()),0)</f>
        <v>300000</v>
      </c>
      <c r="J1533" s="31">
        <f t="shared" ref="J1533:J1572" si="540">G1533*I1533*(1+H1533)</f>
        <v>300000</v>
      </c>
      <c r="K1533" s="32" t="str">
        <f t="shared" si="533"/>
        <v>PTO-2603|MAT</v>
      </c>
      <c r="L1533" s="32">
        <f>COUNTIFS($K$2:K1533,K1533)</f>
        <v>1</v>
      </c>
      <c r="M1533" s="32" t="str">
        <f t="shared" si="539"/>
        <v>PTO-2603|MAT|1</v>
      </c>
      <c r="N1533" s="121">
        <f>IFERROR(VLOOKUP(A1533,PARTIDAS!A:F,6,FALSE()),0)</f>
        <v>1</v>
      </c>
      <c r="O1533" s="123">
        <f t="shared" si="522"/>
        <v>0</v>
      </c>
      <c r="P1533" s="123">
        <f>+_xlfn.XLOOKUP(A1533,PPTO_GENERADOR!Q:Q,PPTO_GENERADOR!E:E,"-",0)</f>
        <v>5</v>
      </c>
      <c r="Q1533" s="123">
        <f t="shared" si="523"/>
        <v>0</v>
      </c>
      <c r="R1533" s="125">
        <f>+_xlfn.XLOOKUP(A1533,PPTO_GENERADOR!$Q:$Q,PPTO_GENERADOR!A:A,"-",0)</f>
        <v>26.03</v>
      </c>
    </row>
    <row r="1534" spans="1:18" ht="14.25" customHeight="1" x14ac:dyDescent="0.35">
      <c r="A1534" s="105" t="s">
        <v>423</v>
      </c>
      <c r="B1534" s="105" t="s">
        <v>1981</v>
      </c>
      <c r="C1534" s="105" t="s">
        <v>1982</v>
      </c>
      <c r="D1534" s="105" t="s">
        <v>855</v>
      </c>
      <c r="E1534" s="95" t="str">
        <f>IFERROR(VLOOKUP(D1534,MATERIALES!A:B,2,FALSE()),"?")</f>
        <v>Cotizaciones — Forzador de aire y termostato de ambiente - S</v>
      </c>
      <c r="F1534" s="129" t="str">
        <f>IFERROR(VLOOKUP(D1534,MATERIALES!A:C,3,FALSE()),"?")</f>
        <v>u</v>
      </c>
      <c r="G1534" s="119">
        <v>1</v>
      </c>
      <c r="H1534" s="120">
        <v>0</v>
      </c>
      <c r="I1534" s="96">
        <f>IFERROR(VLOOKUP(D1534,MATERIALES!A:D,4,FALSE()),0)</f>
        <v>228642</v>
      </c>
      <c r="J1534" s="31">
        <f t="shared" si="540"/>
        <v>228642</v>
      </c>
      <c r="K1534" s="32" t="str">
        <f t="shared" si="533"/>
        <v>PTO-2605|MAT</v>
      </c>
      <c r="L1534" s="32">
        <f>COUNTIFS($K$2:K1534,K1534)</f>
        <v>1</v>
      </c>
      <c r="M1534" s="32" t="str">
        <f t="shared" si="539"/>
        <v>PTO-2605|MAT|1</v>
      </c>
      <c r="N1534" s="121">
        <f>IFERROR(VLOOKUP(A1534,PARTIDAS!A:F,6,FALSE()),0)</f>
        <v>1</v>
      </c>
      <c r="O1534" s="123">
        <f t="shared" si="522"/>
        <v>0</v>
      </c>
      <c r="P1534" s="123">
        <f>+_xlfn.XLOOKUP(A1534,PPTO_GENERADOR!Q:Q,PPTO_GENERADOR!E:E,"-",0)</f>
        <v>1</v>
      </c>
      <c r="Q1534" s="123">
        <f t="shared" si="523"/>
        <v>0</v>
      </c>
      <c r="R1534" s="125">
        <f>+_xlfn.XLOOKUP(A1534,PPTO_GENERADOR!$Q:$Q,PPTO_GENERADOR!A:A,"-",0)</f>
        <v>26.05</v>
      </c>
    </row>
    <row r="1535" spans="1:18" ht="14.25" customHeight="1" x14ac:dyDescent="0.35">
      <c r="A1535" s="105" t="s">
        <v>426</v>
      </c>
      <c r="B1535" s="105" t="s">
        <v>1981</v>
      </c>
      <c r="C1535" s="105" t="s">
        <v>1982</v>
      </c>
      <c r="D1535" s="105" t="s">
        <v>857</v>
      </c>
      <c r="E1535" s="95" t="str">
        <f>IFERROR(VLOOKUP(D1535,MATERIALES!A:B,2,FALSE()),"?")</f>
        <v>Electrobomba centrifuga 2,5 Hp Motormech</v>
      </c>
      <c r="F1535" s="129" t="str">
        <f>IFERROR(VLOOKUP(D1535,MATERIALES!A:C,3,FALSE()),"?")</f>
        <v>u</v>
      </c>
      <c r="G1535" s="119">
        <v>1</v>
      </c>
      <c r="H1535" s="120">
        <v>0</v>
      </c>
      <c r="I1535" s="96">
        <f>IFERROR(VLOOKUP(D1535,MATERIALES!A:D,4,FALSE()),0)</f>
        <v>550000</v>
      </c>
      <c r="J1535" s="31">
        <f t="shared" si="540"/>
        <v>550000</v>
      </c>
      <c r="K1535" s="32" t="str">
        <f t="shared" si="533"/>
        <v>PTO-2701|MAT</v>
      </c>
      <c r="L1535" s="32">
        <f>COUNTIFS($K$2:K1535,K1535)</f>
        <v>1</v>
      </c>
      <c r="M1535" s="32" t="str">
        <f t="shared" si="539"/>
        <v>PTO-2701|MAT|1</v>
      </c>
      <c r="N1535" s="121">
        <f>IFERROR(VLOOKUP(A1535,PARTIDAS!A:F,6,FALSE()),0)</f>
        <v>1</v>
      </c>
      <c r="O1535" s="123">
        <f t="shared" si="522"/>
        <v>0</v>
      </c>
      <c r="P1535" s="123">
        <f>+_xlfn.XLOOKUP(A1535,PPTO_GENERADOR!Q:Q,PPTO_GENERADOR!E:E,"-",0)</f>
        <v>2</v>
      </c>
      <c r="Q1535" s="123">
        <f t="shared" si="523"/>
        <v>0</v>
      </c>
      <c r="R1535" s="125">
        <f>+_xlfn.XLOOKUP(A1535,PPTO_GENERADOR!$Q:$Q,PPTO_GENERADOR!A:A,"-",0)</f>
        <v>27.01</v>
      </c>
    </row>
    <row r="1536" spans="1:18" ht="14.25" customHeight="1" x14ac:dyDescent="0.35">
      <c r="A1536" s="105" t="s">
        <v>428</v>
      </c>
      <c r="B1536" s="105" t="s">
        <v>1981</v>
      </c>
      <c r="C1536" s="105" t="s">
        <v>1982</v>
      </c>
      <c r="D1536" s="105" t="s">
        <v>858</v>
      </c>
      <c r="E1536" s="95" t="str">
        <f>IFERROR(VLOOKUP(D1536,MATERIALES!A:B,2,FALSE()),"?")</f>
        <v>Bomba sumergible trituradora Mec V1300 1,8hp Monofásica - Po</v>
      </c>
      <c r="F1536" s="129" t="str">
        <f>IFERROR(VLOOKUP(D1536,MATERIALES!A:C,3,FALSE()),"?")</f>
        <v>u</v>
      </c>
      <c r="G1536" s="119">
        <v>1</v>
      </c>
      <c r="H1536" s="120">
        <v>0</v>
      </c>
      <c r="I1536" s="96">
        <f>IFERROR(VLOOKUP(D1536,MATERIALES!A:D,4,FALSE()),0)</f>
        <v>550000</v>
      </c>
      <c r="J1536" s="31">
        <f t="shared" si="540"/>
        <v>550000</v>
      </c>
      <c r="K1536" s="32" t="str">
        <f t="shared" si="533"/>
        <v>PTO-2702|MAT</v>
      </c>
      <c r="L1536" s="32">
        <f>COUNTIFS($K$2:K1536,K1536)</f>
        <v>1</v>
      </c>
      <c r="M1536" s="32" t="str">
        <f t="shared" si="539"/>
        <v>PTO-2702|MAT|1</v>
      </c>
      <c r="N1536" s="121">
        <f>IFERROR(VLOOKUP(A1536,PARTIDAS!A:F,6,FALSE()),0)</f>
        <v>1</v>
      </c>
      <c r="O1536" s="123">
        <f t="shared" si="522"/>
        <v>0</v>
      </c>
      <c r="P1536" s="123">
        <f>+_xlfn.XLOOKUP(A1536,PPTO_GENERADOR!Q:Q,PPTO_GENERADOR!E:E,"-",0)</f>
        <v>2</v>
      </c>
      <c r="Q1536" s="123">
        <f t="shared" si="523"/>
        <v>0</v>
      </c>
      <c r="R1536" s="125">
        <f>+_xlfn.XLOOKUP(A1536,PPTO_GENERADOR!$Q:$Q,PPTO_GENERADOR!A:A,"-",0)</f>
        <v>27.02</v>
      </c>
    </row>
    <row r="1537" spans="1:18" ht="14.25" customHeight="1" x14ac:dyDescent="0.35">
      <c r="A1537" s="105" t="s">
        <v>430</v>
      </c>
      <c r="B1537" s="105" t="s">
        <v>1981</v>
      </c>
      <c r="C1537" s="105" t="s">
        <v>1982</v>
      </c>
      <c r="D1537" s="105" t="s">
        <v>860</v>
      </c>
      <c r="E1537" s="95" t="str">
        <f>IFERROR(VLOOKUP(D1537,MATERIALES!A:B,2,FALSE()),"?")</f>
        <v>Bomba sumergible agua sucia 7mts Llp-250 Lusqtoff C - Pozo d</v>
      </c>
      <c r="F1537" s="129" t="str">
        <f>IFERROR(VLOOKUP(D1537,MATERIALES!A:C,3,FALSE()),"?")</f>
        <v>u</v>
      </c>
      <c r="G1537" s="119">
        <v>1</v>
      </c>
      <c r="H1537" s="120">
        <v>0</v>
      </c>
      <c r="I1537" s="96">
        <f>IFERROR(VLOOKUP(D1537,MATERIALES!A:D,4,FALSE()),0)</f>
        <v>125000</v>
      </c>
      <c r="J1537" s="31">
        <f t="shared" si="540"/>
        <v>125000</v>
      </c>
      <c r="K1537" s="32" t="str">
        <f t="shared" si="533"/>
        <v>PTO-2703|MAT</v>
      </c>
      <c r="L1537" s="32">
        <f>COUNTIFS($K$2:K1537,K1537)</f>
        <v>1</v>
      </c>
      <c r="M1537" s="32" t="str">
        <f t="shared" si="539"/>
        <v>PTO-2703|MAT|1</v>
      </c>
      <c r="N1537" s="121">
        <f>IFERROR(VLOOKUP(A1537,PARTIDAS!A:F,6,FALSE()),0)</f>
        <v>1</v>
      </c>
      <c r="O1537" s="123">
        <f t="shared" si="522"/>
        <v>0</v>
      </c>
      <c r="P1537" s="123">
        <f>+_xlfn.XLOOKUP(A1537,PPTO_GENERADOR!Q:Q,PPTO_GENERADOR!E:E,"-",0)</f>
        <v>2</v>
      </c>
      <c r="Q1537" s="123">
        <f t="shared" si="523"/>
        <v>0</v>
      </c>
      <c r="R1537" s="125">
        <f>+_xlfn.XLOOKUP(A1537,PPTO_GENERADOR!$Q:$Q,PPTO_GENERADOR!A:A,"-",0)</f>
        <v>27.03</v>
      </c>
    </row>
    <row r="1538" spans="1:18" ht="14.25" customHeight="1" x14ac:dyDescent="0.35">
      <c r="A1538" s="105" t="s">
        <v>432</v>
      </c>
      <c r="B1538" s="105" t="s">
        <v>1981</v>
      </c>
      <c r="C1538" s="105" t="s">
        <v>1982</v>
      </c>
      <c r="D1538" s="105" t="s">
        <v>862</v>
      </c>
      <c r="E1538" s="95" t="str">
        <f>IFERROR(VLOOKUP(D1538,MATERIALES!A:B,2,FALSE()),"?")</f>
        <v>Bomba presurizadora tipo Rowa Mini RW9 Bronce para un consum</v>
      </c>
      <c r="F1538" s="129" t="str">
        <f>IFERROR(VLOOKUP(D1538,MATERIALES!A:C,3,FALSE()),"?")</f>
        <v>u</v>
      </c>
      <c r="G1538" s="119">
        <v>1</v>
      </c>
      <c r="H1538" s="120">
        <v>0</v>
      </c>
      <c r="I1538" s="96">
        <f>IFERROR(VLOOKUP(D1538,MATERIALES!A:D,4,FALSE()),0)</f>
        <v>135000</v>
      </c>
      <c r="J1538" s="31">
        <f t="shared" si="540"/>
        <v>135000</v>
      </c>
      <c r="K1538" s="32" t="str">
        <f t="shared" si="533"/>
        <v>PTO-2704|MAT</v>
      </c>
      <c r="L1538" s="32">
        <f>COUNTIFS($K$2:K1538,K1538)</f>
        <v>1</v>
      </c>
      <c r="M1538" s="32" t="str">
        <f t="shared" si="539"/>
        <v>PTO-2704|MAT|1</v>
      </c>
      <c r="N1538" s="121">
        <f>IFERROR(VLOOKUP(A1538,PARTIDAS!A:F,6,FALSE()),0)</f>
        <v>1</v>
      </c>
      <c r="O1538" s="123">
        <f t="shared" si="522"/>
        <v>0</v>
      </c>
      <c r="P1538" s="123">
        <f>+_xlfn.XLOOKUP(A1538,PPTO_GENERADOR!Q:Q,PPTO_GENERADOR!E:E,"-",0)</f>
        <v>2</v>
      </c>
      <c r="Q1538" s="123">
        <f t="shared" si="523"/>
        <v>0</v>
      </c>
      <c r="R1538" s="125">
        <f>+_xlfn.XLOOKUP(A1538,PPTO_GENERADOR!$Q:$Q,PPTO_GENERADOR!A:A,"-",0)</f>
        <v>27.04</v>
      </c>
    </row>
    <row r="1539" spans="1:18" ht="14.25" customHeight="1" x14ac:dyDescent="0.35">
      <c r="A1539" s="105" t="s">
        <v>434</v>
      </c>
      <c r="B1539" s="105" t="s">
        <v>1981</v>
      </c>
      <c r="C1539" s="105" t="s">
        <v>1982</v>
      </c>
      <c r="D1539" s="105" t="s">
        <v>864</v>
      </c>
      <c r="E1539" s="95" t="str">
        <f>IFERROR(VLOOKUP(D1539,MATERIALES!A:B,2,FALSE()),"?")</f>
        <v>Rowa 5/1 Sanitaria Tempo 220 V</v>
      </c>
      <c r="F1539" s="129" t="str">
        <f>IFERROR(VLOOKUP(D1539,MATERIALES!A:C,3,FALSE()),"?")</f>
        <v>u</v>
      </c>
      <c r="G1539" s="119">
        <v>1</v>
      </c>
      <c r="H1539" s="120">
        <v>0</v>
      </c>
      <c r="I1539" s="96">
        <f>IFERROR(VLOOKUP(D1539,MATERIALES!A:D,4,FALSE()),0)</f>
        <v>300000</v>
      </c>
      <c r="J1539" s="31">
        <f t="shared" si="540"/>
        <v>300000</v>
      </c>
      <c r="K1539" s="32" t="str">
        <f t="shared" si="533"/>
        <v>PTO-2705|MAT</v>
      </c>
      <c r="L1539" s="32">
        <f>COUNTIFS($K$2:K1539,K1539)</f>
        <v>1</v>
      </c>
      <c r="M1539" s="32" t="str">
        <f t="shared" si="539"/>
        <v>PTO-2705|MAT|1</v>
      </c>
      <c r="N1539" s="121">
        <f>IFERROR(VLOOKUP(A1539,PARTIDAS!A:F,6,FALSE()),0)</f>
        <v>1</v>
      </c>
      <c r="O1539" s="123">
        <f t="shared" ref="O1539:O1602" si="541">+IF(C1539="ALB",G1539/N1539,0)</f>
        <v>0</v>
      </c>
      <c r="P1539" s="123">
        <f>+_xlfn.XLOOKUP(A1539,PPTO_GENERADOR!Q:Q,PPTO_GENERADOR!E:E,"-",0)</f>
        <v>2</v>
      </c>
      <c r="Q1539" s="123">
        <f t="shared" ref="Q1539:Q1602" si="542">IFERROR(P1539*O1539,0)</f>
        <v>0</v>
      </c>
      <c r="R1539" s="125">
        <f>+_xlfn.XLOOKUP(A1539,PPTO_GENERADOR!$Q:$Q,PPTO_GENERADOR!A:A,"-",0)</f>
        <v>27.05</v>
      </c>
    </row>
    <row r="1540" spans="1:18" ht="14.25" customHeight="1" x14ac:dyDescent="0.35">
      <c r="A1540" s="105" t="s">
        <v>436</v>
      </c>
      <c r="B1540" s="105" t="s">
        <v>1981</v>
      </c>
      <c r="C1540" s="105" t="s">
        <v>1982</v>
      </c>
      <c r="D1540" s="105" t="s">
        <v>865</v>
      </c>
      <c r="E1540" s="95" t="str">
        <f>IFERROR(VLOOKUP(D1540,MATERIALES!A:B,2,FALSE()),"?")</f>
        <v>Termotanque a gas Rheem Performance 120 litros de pie (TGNP1</v>
      </c>
      <c r="F1540" s="129" t="str">
        <f>IFERROR(VLOOKUP(D1540,MATERIALES!A:C,3,FALSE()),"?")</f>
        <v>u</v>
      </c>
      <c r="G1540" s="119">
        <v>1</v>
      </c>
      <c r="H1540" s="120">
        <v>0</v>
      </c>
      <c r="I1540" s="96">
        <f>IFERROR(VLOOKUP(D1540,MATERIALES!A:D,4,FALSE()),0)</f>
        <v>700000</v>
      </c>
      <c r="J1540" s="31">
        <f t="shared" si="540"/>
        <v>700000</v>
      </c>
      <c r="K1540" s="32" t="str">
        <f t="shared" si="533"/>
        <v>PTO-2706|MAT</v>
      </c>
      <c r="L1540" s="32">
        <f>COUNTIFS($K$2:K1540,K1540)</f>
        <v>1</v>
      </c>
      <c r="M1540" s="32" t="str">
        <f t="shared" si="539"/>
        <v>PTO-2706|MAT|1</v>
      </c>
      <c r="N1540" s="121">
        <f>IFERROR(VLOOKUP(A1540,PARTIDAS!A:F,6,FALSE()),0)</f>
        <v>1</v>
      </c>
      <c r="O1540" s="123">
        <f t="shared" si="541"/>
        <v>0</v>
      </c>
      <c r="P1540" s="123">
        <f>+_xlfn.XLOOKUP(A1540,PPTO_GENERADOR!Q:Q,PPTO_GENERADOR!E:E,"-",0)</f>
        <v>1</v>
      </c>
      <c r="Q1540" s="123">
        <f t="shared" si="542"/>
        <v>0</v>
      </c>
      <c r="R1540" s="125">
        <f>+_xlfn.XLOOKUP(A1540,PPTO_GENERADOR!$Q:$Q,PPTO_GENERADOR!A:A,"-",0)</f>
        <v>27.06</v>
      </c>
    </row>
    <row r="1541" spans="1:18" ht="14.25" customHeight="1" x14ac:dyDescent="0.35">
      <c r="A1541" s="105" t="s">
        <v>438</v>
      </c>
      <c r="B1541" s="105" t="s">
        <v>1981</v>
      </c>
      <c r="C1541" s="105" t="s">
        <v>1982</v>
      </c>
      <c r="D1541" s="105" t="s">
        <v>867</v>
      </c>
      <c r="E1541" s="95" t="str">
        <f>IFERROR(VLOOKUP(D1541,MATERIALES!A:B,2,FALSE()),"?")</f>
        <v>Rejilla galvanizada 15cm - Modelo Ed-r150g - Rampa vehicular</v>
      </c>
      <c r="F1541" s="129" t="str">
        <f>IFERROR(VLOOKUP(D1541,MATERIALES!A:C,3,FALSE()),"?")</f>
        <v>u</v>
      </c>
      <c r="G1541" s="119">
        <v>1</v>
      </c>
      <c r="H1541" s="120">
        <v>0</v>
      </c>
      <c r="I1541" s="96">
        <f>IFERROR(VLOOKUP(D1541,MATERIALES!A:D,4,FALSE()),0)</f>
        <v>65000</v>
      </c>
      <c r="J1541" s="31">
        <f t="shared" si="540"/>
        <v>65000</v>
      </c>
      <c r="K1541" s="32" t="str">
        <f t="shared" si="533"/>
        <v>PTO-2707|MAT</v>
      </c>
      <c r="L1541" s="32">
        <f>COUNTIFS($K$2:K1541,K1541)</f>
        <v>1</v>
      </c>
      <c r="M1541" s="32" t="str">
        <f t="shared" si="539"/>
        <v>PTO-2707|MAT|1</v>
      </c>
      <c r="N1541" s="121">
        <f>IFERROR(VLOOKUP(A1541,PARTIDAS!A:F,6,FALSE()),0)</f>
        <v>1</v>
      </c>
      <c r="O1541" s="123">
        <f t="shared" si="541"/>
        <v>0</v>
      </c>
      <c r="P1541" s="123">
        <f>+_xlfn.XLOOKUP(A1541,PPTO_GENERADOR!Q:Q,PPTO_GENERADOR!E:E,"-",0)</f>
        <v>3</v>
      </c>
      <c r="Q1541" s="123">
        <f t="shared" si="542"/>
        <v>0</v>
      </c>
      <c r="R1541" s="125">
        <f>+_xlfn.XLOOKUP(A1541,PPTO_GENERADOR!$Q:$Q,PPTO_GENERADOR!A:A,"-",0)</f>
        <v>27.07</v>
      </c>
    </row>
    <row r="1542" spans="1:18" ht="14.25" customHeight="1" x14ac:dyDescent="0.35">
      <c r="A1542" s="105" t="s">
        <v>441</v>
      </c>
      <c r="B1542" s="105" t="s">
        <v>1981</v>
      </c>
      <c r="C1542" s="105" t="s">
        <v>1982</v>
      </c>
      <c r="D1542" s="105" t="s">
        <v>868</v>
      </c>
      <c r="E1542" s="95" t="str">
        <f>IFERROR(VLOOKUP(D1542,MATERIALES!A:B,2,FALSE()),"?")</f>
        <v>Cotizaciones — Válvula tipo teatro de 2" BSP x 1 3/4"INC.</v>
      </c>
      <c r="F1542" s="129" t="str">
        <f>IFERROR(VLOOKUP(D1542,MATERIALES!A:C,3,FALSE()),"?")</f>
        <v>u</v>
      </c>
      <c r="G1542" s="119">
        <v>1</v>
      </c>
      <c r="H1542" s="120">
        <v>0</v>
      </c>
      <c r="I1542" s="96">
        <f>IFERROR(VLOOKUP(D1542,MATERIALES!A:D,4,FALSE()),0)</f>
        <v>51214.714802856899</v>
      </c>
      <c r="J1542" s="31">
        <f t="shared" si="540"/>
        <v>51214.714802856899</v>
      </c>
      <c r="K1542" s="32" t="str">
        <f t="shared" si="533"/>
        <v>PTO-2801|MAT</v>
      </c>
      <c r="L1542" s="32">
        <f>COUNTIFS($K$2:K1542,K1542)</f>
        <v>1</v>
      </c>
      <c r="M1542" s="32" t="str">
        <f t="shared" si="539"/>
        <v>PTO-2801|MAT|1</v>
      </c>
      <c r="N1542" s="121">
        <f>IFERROR(VLOOKUP(A1542,PARTIDAS!A:F,6,FALSE()),0)</f>
        <v>1</v>
      </c>
      <c r="O1542" s="123">
        <f t="shared" si="541"/>
        <v>0</v>
      </c>
      <c r="P1542" s="123">
        <f>+_xlfn.XLOOKUP(A1542,PPTO_GENERADOR!Q:Q,PPTO_GENERADOR!E:E,"-",0)</f>
        <v>4</v>
      </c>
      <c r="Q1542" s="123">
        <f t="shared" si="542"/>
        <v>0</v>
      </c>
      <c r="R1542" s="125">
        <f>+_xlfn.XLOOKUP(A1542,PPTO_GENERADOR!$Q:$Q,PPTO_GENERADOR!A:A,"-",0)</f>
        <v>28.01</v>
      </c>
    </row>
    <row r="1543" spans="1:18" ht="14.25" customHeight="1" x14ac:dyDescent="0.35">
      <c r="A1543" s="105" t="s">
        <v>443</v>
      </c>
      <c r="B1543" s="105" t="s">
        <v>1981</v>
      </c>
      <c r="C1543" s="105" t="s">
        <v>1982</v>
      </c>
      <c r="D1543" s="105" t="s">
        <v>870</v>
      </c>
      <c r="E1543" s="95" t="str">
        <f>IFERROR(VLOOKUP(D1543,MATERIALES!A:B,2,FALSE()),"?")</f>
        <v>Cotizaciones — Gabinete para manguera de 1 3/4" con puerta h</v>
      </c>
      <c r="F1543" s="129" t="str">
        <f>IFERROR(VLOOKUP(D1543,MATERIALES!A:C,3,FALSE()),"?")</f>
        <v>u</v>
      </c>
      <c r="G1543" s="119">
        <v>1</v>
      </c>
      <c r="H1543" s="120">
        <v>0</v>
      </c>
      <c r="I1543" s="96">
        <f>IFERROR(VLOOKUP(D1543,MATERIALES!A:D,4,FALSE()),0)</f>
        <v>56938.712339646801</v>
      </c>
      <c r="J1543" s="31">
        <f t="shared" si="540"/>
        <v>56938.712339646801</v>
      </c>
      <c r="K1543" s="32" t="str">
        <f t="shared" si="533"/>
        <v>PTO-2802|MAT</v>
      </c>
      <c r="L1543" s="32">
        <f>COUNTIFS($K$2:K1543,K1543)</f>
        <v>1</v>
      </c>
      <c r="M1543" s="32" t="str">
        <f t="shared" si="539"/>
        <v>PTO-2802|MAT|1</v>
      </c>
      <c r="N1543" s="121">
        <f>IFERROR(VLOOKUP(A1543,PARTIDAS!A:F,6,FALSE()),0)</f>
        <v>1</v>
      </c>
      <c r="O1543" s="123">
        <f t="shared" si="541"/>
        <v>0</v>
      </c>
      <c r="P1543" s="123">
        <f>+_xlfn.XLOOKUP(A1543,PPTO_GENERADOR!Q:Q,PPTO_GENERADOR!E:E,"-",0)</f>
        <v>4</v>
      </c>
      <c r="Q1543" s="123">
        <f t="shared" si="542"/>
        <v>0</v>
      </c>
      <c r="R1543" s="125">
        <f>+_xlfn.XLOOKUP(A1543,PPTO_GENERADOR!$Q:$Q,PPTO_GENERADOR!A:A,"-",0)</f>
        <v>28.02</v>
      </c>
    </row>
    <row r="1544" spans="1:18" ht="14.25" customHeight="1" x14ac:dyDescent="0.35">
      <c r="A1544" s="105" t="s">
        <v>445</v>
      </c>
      <c r="B1544" s="105" t="s">
        <v>1981</v>
      </c>
      <c r="C1544" s="105" t="s">
        <v>1982</v>
      </c>
      <c r="D1544" s="105" t="s">
        <v>872</v>
      </c>
      <c r="E1544" s="95" t="str">
        <f>IFERROR(VLOOKUP(D1544,MATERIALES!A:B,2,FALSE()),"?")</f>
        <v>Cotizaciones — Manguera sintética RYL JET sello IRAM de 1 3/</v>
      </c>
      <c r="F1544" s="129" t="str">
        <f>IFERROR(VLOOKUP(D1544,MATERIALES!A:C,3,FALSE()),"?")</f>
        <v>u</v>
      </c>
      <c r="G1544" s="119">
        <v>1</v>
      </c>
      <c r="H1544" s="120">
        <v>0</v>
      </c>
      <c r="I1544" s="96">
        <f>IFERROR(VLOOKUP(D1544,MATERIALES!A:D,4,FALSE()),0)</f>
        <v>286985.31259172299</v>
      </c>
      <c r="J1544" s="31">
        <f t="shared" si="540"/>
        <v>286985.31259172299</v>
      </c>
      <c r="K1544" s="32" t="str">
        <f t="shared" si="533"/>
        <v>PTO-2803|MAT</v>
      </c>
      <c r="L1544" s="32">
        <f>COUNTIFS($K$2:K1544,K1544)</f>
        <v>1</v>
      </c>
      <c r="M1544" s="32" t="str">
        <f t="shared" si="539"/>
        <v>PTO-2803|MAT|1</v>
      </c>
      <c r="N1544" s="121">
        <f>IFERROR(VLOOKUP(A1544,PARTIDAS!A:F,6,FALSE()),0)</f>
        <v>1</v>
      </c>
      <c r="O1544" s="123">
        <f t="shared" si="541"/>
        <v>0</v>
      </c>
      <c r="P1544" s="123">
        <f>+_xlfn.XLOOKUP(A1544,PPTO_GENERADOR!Q:Q,PPTO_GENERADOR!E:E,"-",0)</f>
        <v>4</v>
      </c>
      <c r="Q1544" s="123">
        <f t="shared" si="542"/>
        <v>0</v>
      </c>
      <c r="R1544" s="125">
        <f>+_xlfn.XLOOKUP(A1544,PPTO_GENERADOR!$Q:$Q,PPTO_GENERADOR!A:A,"-",0)</f>
        <v>28.03</v>
      </c>
    </row>
    <row r="1545" spans="1:18" ht="14.25" customHeight="1" x14ac:dyDescent="0.35">
      <c r="A1545" s="105" t="s">
        <v>447</v>
      </c>
      <c r="B1545" s="105" t="s">
        <v>1981</v>
      </c>
      <c r="C1545" s="105" t="s">
        <v>1982</v>
      </c>
      <c r="D1545" s="105" t="s">
        <v>874</v>
      </c>
      <c r="E1545" s="95" t="str">
        <f>IFERROR(VLOOKUP(D1545,MATERIALES!A:B,2,FALSE()),"?")</f>
        <v>Cotizaciones — Lanza de 1 3/4" con boquilla chorro PLENO Y N</v>
      </c>
      <c r="F1545" s="129" t="str">
        <f>IFERROR(VLOOKUP(D1545,MATERIALES!A:C,3,FALSE()),"?")</f>
        <v>u</v>
      </c>
      <c r="G1545" s="119">
        <v>1</v>
      </c>
      <c r="H1545" s="120">
        <v>0</v>
      </c>
      <c r="I1545" s="96">
        <f>IFERROR(VLOOKUP(D1545,MATERIALES!A:D,4,FALSE()),0)</f>
        <v>47125.768554935901</v>
      </c>
      <c r="J1545" s="31">
        <f t="shared" si="540"/>
        <v>47125.768554935901</v>
      </c>
      <c r="K1545" s="32" t="str">
        <f t="shared" si="533"/>
        <v>PTO-2804|MAT</v>
      </c>
      <c r="L1545" s="32">
        <f>COUNTIFS($K$2:K1545,K1545)</f>
        <v>1</v>
      </c>
      <c r="M1545" s="32" t="str">
        <f t="shared" si="539"/>
        <v>PTO-2804|MAT|1</v>
      </c>
      <c r="N1545" s="121">
        <f>IFERROR(VLOOKUP(A1545,PARTIDAS!A:F,6,FALSE()),0)</f>
        <v>1</v>
      </c>
      <c r="O1545" s="123">
        <f t="shared" si="541"/>
        <v>0</v>
      </c>
      <c r="P1545" s="123">
        <f>+_xlfn.XLOOKUP(A1545,PPTO_GENERADOR!Q:Q,PPTO_GENERADOR!E:E,"-",0)</f>
        <v>4</v>
      </c>
      <c r="Q1545" s="123">
        <f t="shared" si="542"/>
        <v>0</v>
      </c>
      <c r="R1545" s="125">
        <f>+_xlfn.XLOOKUP(A1545,PPTO_GENERADOR!$Q:$Q,PPTO_GENERADOR!A:A,"-",0)</f>
        <v>28.04</v>
      </c>
    </row>
    <row r="1546" spans="1:18" ht="14.25" customHeight="1" x14ac:dyDescent="0.35">
      <c r="A1546" s="105" t="s">
        <v>449</v>
      </c>
      <c r="B1546" s="105" t="s">
        <v>1981</v>
      </c>
      <c r="C1546" s="105" t="s">
        <v>1982</v>
      </c>
      <c r="D1546" s="105" t="s">
        <v>876</v>
      </c>
      <c r="E1546" s="95" t="str">
        <f>IFERROR(VLOOKUP(D1546,MATERIALES!A:B,2,FALSE()),"?")</f>
        <v>Cotizaciones — Válvula de Impulsión para Piso o Pared c/anil</v>
      </c>
      <c r="F1546" s="129" t="str">
        <f>IFERROR(VLOOKUP(D1546,MATERIALES!A:C,3,FALSE()),"?")</f>
        <v>u</v>
      </c>
      <c r="G1546" s="119">
        <v>1</v>
      </c>
      <c r="H1546" s="120">
        <v>0</v>
      </c>
      <c r="I1546" s="96">
        <f>IFERROR(VLOOKUP(D1546,MATERIALES!A:D,4,FALSE()),0)</f>
        <v>137686.18800508801</v>
      </c>
      <c r="J1546" s="31">
        <f t="shared" si="540"/>
        <v>137686.18800508801</v>
      </c>
      <c r="K1546" s="32" t="str">
        <f t="shared" si="533"/>
        <v>PTO-2805|MAT</v>
      </c>
      <c r="L1546" s="32">
        <f>COUNTIFS($K$2:K1546,K1546)</f>
        <v>1</v>
      </c>
      <c r="M1546" s="32" t="str">
        <f t="shared" si="539"/>
        <v>PTO-2805|MAT|1</v>
      </c>
      <c r="N1546" s="121">
        <f>IFERROR(VLOOKUP(A1546,PARTIDAS!A:F,6,FALSE()),0)</f>
        <v>1</v>
      </c>
      <c r="O1546" s="123">
        <f t="shared" si="541"/>
        <v>0</v>
      </c>
      <c r="P1546" s="123">
        <f>+_xlfn.XLOOKUP(A1546,PPTO_GENERADOR!Q:Q,PPTO_GENERADOR!E:E,"-",0)</f>
        <v>1</v>
      </c>
      <c r="Q1546" s="123">
        <f t="shared" si="542"/>
        <v>0</v>
      </c>
      <c r="R1546" s="125">
        <f>+_xlfn.XLOOKUP(A1546,PPTO_GENERADOR!$Q:$Q,PPTO_GENERADOR!A:A,"-",0)</f>
        <v>28.05</v>
      </c>
    </row>
    <row r="1547" spans="1:18" ht="14.25" customHeight="1" x14ac:dyDescent="0.35">
      <c r="A1547" s="105" t="s">
        <v>451</v>
      </c>
      <c r="B1547" s="105" t="s">
        <v>1981</v>
      </c>
      <c r="C1547" s="105" t="s">
        <v>1982</v>
      </c>
      <c r="D1547" s="105" t="s">
        <v>878</v>
      </c>
      <c r="E1547" s="95" t="str">
        <f>IFERROR(VLOOKUP(D1547,MATERIALES!A:B,2,FALSE()),"?")</f>
        <v>Cotizaciones — Tapa con inscripción BOMBEROS para pared</v>
      </c>
      <c r="F1547" s="129" t="str">
        <f>IFERROR(VLOOKUP(D1547,MATERIALES!A:C,3,FALSE()),"?")</f>
        <v>u</v>
      </c>
      <c r="G1547" s="119">
        <v>1</v>
      </c>
      <c r="H1547" s="120">
        <v>0</v>
      </c>
      <c r="I1547" s="96">
        <f>IFERROR(VLOOKUP(D1547,MATERIALES!A:D,4,FALSE()),0)</f>
        <v>48000.991448977598</v>
      </c>
      <c r="J1547" s="31">
        <f t="shared" si="540"/>
        <v>48000.991448977598</v>
      </c>
      <c r="K1547" s="32" t="str">
        <f t="shared" si="533"/>
        <v>PTO-2806|MAT</v>
      </c>
      <c r="L1547" s="32">
        <f>COUNTIFS($K$2:K1547,K1547)</f>
        <v>1</v>
      </c>
      <c r="M1547" s="32" t="str">
        <f t="shared" si="539"/>
        <v>PTO-2806|MAT|1</v>
      </c>
      <c r="N1547" s="121">
        <f>IFERROR(VLOOKUP(A1547,PARTIDAS!A:F,6,FALSE()),0)</f>
        <v>1</v>
      </c>
      <c r="O1547" s="123">
        <f t="shared" si="541"/>
        <v>0</v>
      </c>
      <c r="P1547" s="123">
        <f>+_xlfn.XLOOKUP(A1547,PPTO_GENERADOR!Q:Q,PPTO_GENERADOR!E:E,"-",0)</f>
        <v>1</v>
      </c>
      <c r="Q1547" s="123">
        <f t="shared" si="542"/>
        <v>0</v>
      </c>
      <c r="R1547" s="125">
        <f>+_xlfn.XLOOKUP(A1547,PPTO_GENERADOR!$Q:$Q,PPTO_GENERADOR!A:A,"-",0)</f>
        <v>28.06</v>
      </c>
    </row>
    <row r="1548" spans="1:18" ht="14.25" customHeight="1" x14ac:dyDescent="0.35">
      <c r="A1548" s="105" t="s">
        <v>453</v>
      </c>
      <c r="B1548" s="105" t="s">
        <v>1981</v>
      </c>
      <c r="C1548" s="105" t="s">
        <v>1982</v>
      </c>
      <c r="D1548" s="105" t="s">
        <v>880</v>
      </c>
      <c r="E1548" s="95" t="str">
        <f>IFERROR(VLOOKUP(D1548,MATERIALES!A:B,2,FALSE()),"?")</f>
        <v>Cotizaciones — Extintor nuevo a base de polvo ABC x 5 kg. In</v>
      </c>
      <c r="F1548" s="129" t="str">
        <f>IFERROR(VLOOKUP(D1548,MATERIALES!A:C,3,FALSE()),"?")</f>
        <v>u</v>
      </c>
      <c r="G1548" s="119">
        <v>1</v>
      </c>
      <c r="H1548" s="120">
        <v>0</v>
      </c>
      <c r="I1548" s="96">
        <f>IFERROR(VLOOKUP(D1548,MATERIALES!A:D,4,FALSE()),0)</f>
        <v>63187.068936503303</v>
      </c>
      <c r="J1548" s="31">
        <f t="shared" si="540"/>
        <v>63187.068936503303</v>
      </c>
      <c r="K1548" s="32" t="str">
        <f t="shared" si="533"/>
        <v>PTO-2807|MAT</v>
      </c>
      <c r="L1548" s="32">
        <f>COUNTIFS($K$2:K1548,K1548)</f>
        <v>1</v>
      </c>
      <c r="M1548" s="32" t="str">
        <f t="shared" si="539"/>
        <v>PTO-2807|MAT|1</v>
      </c>
      <c r="N1548" s="121">
        <f>IFERROR(VLOOKUP(A1548,PARTIDAS!A:F,6,FALSE()),0)</f>
        <v>1</v>
      </c>
      <c r="O1548" s="123">
        <f t="shared" si="541"/>
        <v>0</v>
      </c>
      <c r="P1548" s="123">
        <f>+_xlfn.XLOOKUP(A1548,PPTO_GENERADOR!Q:Q,PPTO_GENERADOR!E:E,"-",0)</f>
        <v>7</v>
      </c>
      <c r="Q1548" s="123">
        <f t="shared" si="542"/>
        <v>0</v>
      </c>
      <c r="R1548" s="125">
        <f>+_xlfn.XLOOKUP(A1548,PPTO_GENERADOR!$Q:$Q,PPTO_GENERADOR!A:A,"-",0)</f>
        <v>28.07</v>
      </c>
    </row>
    <row r="1549" spans="1:18" ht="14.25" customHeight="1" x14ac:dyDescent="0.35">
      <c r="A1549" s="105" t="s">
        <v>455</v>
      </c>
      <c r="B1549" s="105" t="s">
        <v>1981</v>
      </c>
      <c r="C1549" s="105" t="s">
        <v>1982</v>
      </c>
      <c r="D1549" s="105" t="s">
        <v>882</v>
      </c>
      <c r="E1549" s="95" t="str">
        <f>IFERROR(VLOOKUP(D1549,MATERIALES!A:B,2,FALSE()),"?")</f>
        <v>Cotizaciones — Extintor nuevo a base de gas carbonico BC C02</v>
      </c>
      <c r="F1549" s="129" t="str">
        <f>IFERROR(VLOOKUP(D1549,MATERIALES!A:C,3,FALSE()),"?")</f>
        <v>u</v>
      </c>
      <c r="G1549" s="119">
        <v>1</v>
      </c>
      <c r="H1549" s="120">
        <v>0</v>
      </c>
      <c r="I1549" s="96">
        <f>IFERROR(VLOOKUP(D1549,MATERIALES!A:D,4,FALSE()),0)</f>
        <v>288770.79096623498</v>
      </c>
      <c r="J1549" s="31">
        <f t="shared" si="540"/>
        <v>288770.79096623498</v>
      </c>
      <c r="K1549" s="32" t="str">
        <f t="shared" si="533"/>
        <v>PTO-2808|MAT</v>
      </c>
      <c r="L1549" s="32">
        <f>COUNTIFS($K$2:K1549,K1549)</f>
        <v>1</v>
      </c>
      <c r="M1549" s="32" t="str">
        <f t="shared" si="539"/>
        <v>PTO-2808|MAT|1</v>
      </c>
      <c r="N1549" s="121">
        <f>IFERROR(VLOOKUP(A1549,PARTIDAS!A:F,6,FALSE()),0)</f>
        <v>1</v>
      </c>
      <c r="O1549" s="123">
        <f t="shared" si="541"/>
        <v>0</v>
      </c>
      <c r="P1549" s="123">
        <f>+_xlfn.XLOOKUP(A1549,PPTO_GENERADOR!Q:Q,PPTO_GENERADOR!E:E,"-",0)</f>
        <v>3</v>
      </c>
      <c r="Q1549" s="123">
        <f t="shared" si="542"/>
        <v>0</v>
      </c>
      <c r="R1549" s="125">
        <f>+_xlfn.XLOOKUP(A1549,PPTO_GENERADOR!$Q:$Q,PPTO_GENERADOR!A:A,"-",0)</f>
        <v>28.08</v>
      </c>
    </row>
    <row r="1550" spans="1:18" ht="14.25" customHeight="1" x14ac:dyDescent="0.35">
      <c r="A1550" s="105" t="s">
        <v>457</v>
      </c>
      <c r="B1550" s="105" t="s">
        <v>1981</v>
      </c>
      <c r="C1550" s="105" t="s">
        <v>1982</v>
      </c>
      <c r="D1550" s="105" t="s">
        <v>884</v>
      </c>
      <c r="E1550" s="95" t="str">
        <f>IFERROR(VLOOKUP(D1550,MATERIALES!A:B,2,FALSE()),"?")</f>
        <v>Cotizaciones — Hidroflex colector Luxus cromo 4 sal.16 mm</v>
      </c>
      <c r="F1550" s="129" t="str">
        <f>IFERROR(VLOOKUP(D1550,MATERIALES!A:C,3,FALSE()),"?")</f>
        <v>u</v>
      </c>
      <c r="G1550" s="119">
        <v>1</v>
      </c>
      <c r="H1550" s="120">
        <v>0</v>
      </c>
      <c r="I1550" s="96">
        <f>IFERROR(VLOOKUP(D1550,MATERIALES!A:D,4,FALSE()),0)</f>
        <v>285491.67201643699</v>
      </c>
      <c r="J1550" s="31">
        <f t="shared" si="540"/>
        <v>285491.67201643699</v>
      </c>
      <c r="K1550" s="32" t="str">
        <f t="shared" si="533"/>
        <v>PTO-2901|MAT</v>
      </c>
      <c r="L1550" s="32">
        <f>COUNTIFS($K$2:K1550,K1550)</f>
        <v>1</v>
      </c>
      <c r="M1550" s="32" t="str">
        <f t="shared" si="539"/>
        <v>PTO-2901|MAT|1</v>
      </c>
      <c r="N1550" s="121">
        <f>IFERROR(VLOOKUP(A1550,PARTIDAS!A:F,6,FALSE()),0)</f>
        <v>1</v>
      </c>
      <c r="O1550" s="123">
        <f t="shared" si="541"/>
        <v>0</v>
      </c>
      <c r="P1550" s="123">
        <f>+_xlfn.XLOOKUP(A1550,PPTO_GENERADOR!Q:Q,PPTO_GENERADOR!E:E,"-",0)</f>
        <v>1</v>
      </c>
      <c r="Q1550" s="123">
        <f t="shared" si="542"/>
        <v>0</v>
      </c>
      <c r="R1550" s="125">
        <f>+_xlfn.XLOOKUP(A1550,PPTO_GENERADOR!$Q:$Q,PPTO_GENERADOR!A:A,"-",0)</f>
        <v>29.01</v>
      </c>
    </row>
    <row r="1551" spans="1:18" ht="14.25" customHeight="1" x14ac:dyDescent="0.35">
      <c r="A1551" s="105" t="s">
        <v>459</v>
      </c>
      <c r="B1551" s="105" t="s">
        <v>1981</v>
      </c>
      <c r="C1551" s="105" t="s">
        <v>1982</v>
      </c>
      <c r="D1551" s="105" t="s">
        <v>886</v>
      </c>
      <c r="E1551" s="95" t="str">
        <f>IFERROR(VLOOKUP(D1551,MATERIALES!A:B,2,FALSE()),"?")</f>
        <v>Cotizaciones — Hidroflex colector Luxus cromo 5 sal.16 mm</v>
      </c>
      <c r="F1551" s="129" t="str">
        <f>IFERROR(VLOOKUP(D1551,MATERIALES!A:C,3,FALSE()),"?")</f>
        <v>u</v>
      </c>
      <c r="G1551" s="119">
        <v>1</v>
      </c>
      <c r="H1551" s="120">
        <v>0</v>
      </c>
      <c r="I1551" s="96">
        <f>IFERROR(VLOOKUP(D1551,MATERIALES!A:D,4,FALSE()),0)</f>
        <v>326160.39477108797</v>
      </c>
      <c r="J1551" s="31">
        <f t="shared" si="540"/>
        <v>326160.39477108797</v>
      </c>
      <c r="K1551" s="32" t="str">
        <f t="shared" si="533"/>
        <v>PTO-2902|MAT</v>
      </c>
      <c r="L1551" s="32">
        <f>COUNTIFS($K$2:K1551,K1551)</f>
        <v>1</v>
      </c>
      <c r="M1551" s="32" t="str">
        <f t="shared" si="539"/>
        <v>PTO-2902|MAT|1</v>
      </c>
      <c r="N1551" s="121">
        <f>IFERROR(VLOOKUP(A1551,PARTIDAS!A:F,6,FALSE()),0)</f>
        <v>1</v>
      </c>
      <c r="O1551" s="123">
        <f t="shared" si="541"/>
        <v>0</v>
      </c>
      <c r="P1551" s="123">
        <f>+_xlfn.XLOOKUP(A1551,PPTO_GENERADOR!Q:Q,PPTO_GENERADOR!E:E,"-",0)</f>
        <v>3</v>
      </c>
      <c r="Q1551" s="123">
        <f t="shared" si="542"/>
        <v>0</v>
      </c>
      <c r="R1551" s="125">
        <f>+_xlfn.XLOOKUP(A1551,PPTO_GENERADOR!$Q:$Q,PPTO_GENERADOR!A:A,"-",0)</f>
        <v>29.02</v>
      </c>
    </row>
    <row r="1552" spans="1:18" ht="14.25" customHeight="1" x14ac:dyDescent="0.35">
      <c r="A1552" s="105" t="s">
        <v>461</v>
      </c>
      <c r="B1552" s="105" t="s">
        <v>1981</v>
      </c>
      <c r="C1552" s="105" t="s">
        <v>1982</v>
      </c>
      <c r="D1552" s="105" t="s">
        <v>888</v>
      </c>
      <c r="E1552" s="95" t="str">
        <f>IFERROR(VLOOKUP(D1552,MATERIALES!A:B,2,FALSE()),"?")</f>
        <v>Cotizaciones — Hidroflex gabinete p/colector 450 x 450 x 110</v>
      </c>
      <c r="F1552" s="129" t="str">
        <f>IFERROR(VLOOKUP(D1552,MATERIALES!A:C,3,FALSE()),"?")</f>
        <v>u</v>
      </c>
      <c r="G1552" s="119">
        <v>1</v>
      </c>
      <c r="H1552" s="120">
        <v>0</v>
      </c>
      <c r="I1552" s="96">
        <f>IFERROR(VLOOKUP(D1552,MATERIALES!A:D,4,FALSE()),0)</f>
        <v>78983.161018664003</v>
      </c>
      <c r="J1552" s="31">
        <f t="shared" si="540"/>
        <v>78983.161018664003</v>
      </c>
      <c r="K1552" s="32" t="str">
        <f t="shared" si="533"/>
        <v>PTO-2903|MAT</v>
      </c>
      <c r="L1552" s="32">
        <f>COUNTIFS($K$2:K1552,K1552)</f>
        <v>1</v>
      </c>
      <c r="M1552" s="32" t="str">
        <f t="shared" si="539"/>
        <v>PTO-2903|MAT|1</v>
      </c>
      <c r="N1552" s="121">
        <f>IFERROR(VLOOKUP(A1552,PARTIDAS!A:F,6,FALSE()),0)</f>
        <v>1</v>
      </c>
      <c r="O1552" s="123">
        <f t="shared" si="541"/>
        <v>0</v>
      </c>
      <c r="P1552" s="123">
        <f>+_xlfn.XLOOKUP(A1552,PPTO_GENERADOR!Q:Q,PPTO_GENERADOR!E:E,"-",0)</f>
        <v>1</v>
      </c>
      <c r="Q1552" s="123">
        <f t="shared" si="542"/>
        <v>0</v>
      </c>
      <c r="R1552" s="125">
        <f>+_xlfn.XLOOKUP(A1552,PPTO_GENERADOR!$Q:$Q,PPTO_GENERADOR!A:A,"-",0)</f>
        <v>29.03</v>
      </c>
    </row>
    <row r="1553" spans="1:18" ht="14.25" customHeight="1" x14ac:dyDescent="0.35">
      <c r="A1553" s="105" t="s">
        <v>463</v>
      </c>
      <c r="B1553" s="105" t="s">
        <v>1981</v>
      </c>
      <c r="C1553" s="105" t="s">
        <v>1982</v>
      </c>
      <c r="D1553" s="105" t="s">
        <v>890</v>
      </c>
      <c r="E1553" s="95" t="str">
        <f>IFERROR(VLOOKUP(D1553,MATERIALES!A:B,2,FALSE()),"?")</f>
        <v>Cotizaciones — Hidroflex gabinete p/colector 600 x 450 x 110</v>
      </c>
      <c r="F1553" s="129" t="str">
        <f>IFERROR(VLOOKUP(D1553,MATERIALES!A:C,3,FALSE()),"?")</f>
        <v>u</v>
      </c>
      <c r="G1553" s="119">
        <v>1</v>
      </c>
      <c r="H1553" s="120">
        <v>0</v>
      </c>
      <c r="I1553" s="96">
        <f>IFERROR(VLOOKUP(D1553,MATERIALES!A:D,4,FALSE()),0)</f>
        <v>100197.178160304</v>
      </c>
      <c r="J1553" s="31">
        <f t="shared" si="540"/>
        <v>100197.178160304</v>
      </c>
      <c r="K1553" s="32" t="str">
        <f t="shared" si="533"/>
        <v>PTO-2904|MAT</v>
      </c>
      <c r="L1553" s="32">
        <f>COUNTIFS($K$2:K1553,K1553)</f>
        <v>1</v>
      </c>
      <c r="M1553" s="32" t="str">
        <f t="shared" si="539"/>
        <v>PTO-2904|MAT|1</v>
      </c>
      <c r="N1553" s="121">
        <f>IFERROR(VLOOKUP(A1553,PARTIDAS!A:F,6,FALSE()),0)</f>
        <v>1</v>
      </c>
      <c r="O1553" s="123">
        <f t="shared" si="541"/>
        <v>0</v>
      </c>
      <c r="P1553" s="123">
        <f>+_xlfn.XLOOKUP(A1553,PPTO_GENERADOR!Q:Q,PPTO_GENERADOR!E:E,"-",0)</f>
        <v>3</v>
      </c>
      <c r="Q1553" s="123">
        <f t="shared" si="542"/>
        <v>0</v>
      </c>
      <c r="R1553" s="125">
        <f>+_xlfn.XLOOKUP(A1553,PPTO_GENERADOR!$Q:$Q,PPTO_GENERADOR!A:A,"-",0)</f>
        <v>29.04</v>
      </c>
    </row>
    <row r="1554" spans="1:18" ht="14.25" customHeight="1" x14ac:dyDescent="0.35">
      <c r="A1554" s="105" t="s">
        <v>465</v>
      </c>
      <c r="B1554" s="105" t="s">
        <v>1981</v>
      </c>
      <c r="C1554" s="105" t="s">
        <v>1982</v>
      </c>
      <c r="D1554" s="105" t="s">
        <v>892</v>
      </c>
      <c r="E1554" s="95" t="str">
        <f>IFERROR(VLOOKUP(D1554,MATERIALES!A:B,2,FALSE()),"?")</f>
        <v>Cotizaciones — Hidroflex termostato de ambiente 220 V</v>
      </c>
      <c r="F1554" s="129" t="str">
        <f>IFERROR(VLOOKUP(D1554,MATERIALES!A:C,3,FALSE()),"?")</f>
        <v>u</v>
      </c>
      <c r="G1554" s="119">
        <v>1</v>
      </c>
      <c r="H1554" s="120">
        <v>0</v>
      </c>
      <c r="I1554" s="96">
        <f>IFERROR(VLOOKUP(D1554,MATERIALES!A:D,4,FALSE()),0)</f>
        <v>30601.781958942702</v>
      </c>
      <c r="J1554" s="31">
        <f t="shared" si="540"/>
        <v>30601.781958942702</v>
      </c>
      <c r="K1554" s="32" t="str">
        <f t="shared" si="533"/>
        <v>PTO-2905|MAT</v>
      </c>
      <c r="L1554" s="32">
        <f>COUNTIFS($K$2:K1554,K1554)</f>
        <v>1</v>
      </c>
      <c r="M1554" s="32" t="str">
        <f t="shared" si="539"/>
        <v>PTO-2905|MAT|1</v>
      </c>
      <c r="N1554" s="121">
        <f>IFERROR(VLOOKUP(A1554,PARTIDAS!A:F,6,FALSE()),0)</f>
        <v>1</v>
      </c>
      <c r="O1554" s="123">
        <f t="shared" si="541"/>
        <v>0</v>
      </c>
      <c r="P1554" s="123">
        <f>+_xlfn.XLOOKUP(A1554,PPTO_GENERADOR!Q:Q,PPTO_GENERADOR!E:E,"-",0)</f>
        <v>4</v>
      </c>
      <c r="Q1554" s="123">
        <f t="shared" si="542"/>
        <v>0</v>
      </c>
      <c r="R1554" s="125">
        <f>+_xlfn.XLOOKUP(A1554,PPTO_GENERADOR!$Q:$Q,PPTO_GENERADOR!A:A,"-",0)</f>
        <v>29.05</v>
      </c>
    </row>
    <row r="1555" spans="1:18" ht="14.25" customHeight="1" x14ac:dyDescent="0.35">
      <c r="A1555" s="105" t="s">
        <v>467</v>
      </c>
      <c r="B1555" s="105" t="s">
        <v>1981</v>
      </c>
      <c r="C1555" s="105" t="s">
        <v>1982</v>
      </c>
      <c r="D1555" s="105" t="s">
        <v>894</v>
      </c>
      <c r="E1555" s="95" t="str">
        <f>IFERROR(VLOOKUP(D1555,MATERIALES!A:B,2,FALSE()),"?")</f>
        <v>Cotizaciones — Caldera Peisa Diva 24 DS TF GN 19800 KC. Inc.</v>
      </c>
      <c r="F1555" s="129" t="str">
        <f>IFERROR(VLOOKUP(D1555,MATERIALES!A:C,3,FALSE()),"?")</f>
        <v>u</v>
      </c>
      <c r="G1555" s="119">
        <v>1</v>
      </c>
      <c r="H1555" s="120">
        <v>0</v>
      </c>
      <c r="I1555" s="96">
        <f>IFERROR(VLOOKUP(D1555,MATERIALES!A:D,4,FALSE()),0)</f>
        <v>2020800</v>
      </c>
      <c r="J1555" s="31">
        <f t="shared" si="540"/>
        <v>2020800</v>
      </c>
      <c r="K1555" s="32" t="str">
        <f t="shared" si="533"/>
        <v>PTO-2906|MAT</v>
      </c>
      <c r="L1555" s="32">
        <f>COUNTIFS($K$2:K1555,K1555)</f>
        <v>1</v>
      </c>
      <c r="M1555" s="32" t="str">
        <f t="shared" si="539"/>
        <v>PTO-2906|MAT|1</v>
      </c>
      <c r="N1555" s="121">
        <f>IFERROR(VLOOKUP(A1555,PARTIDAS!A:F,6,FALSE()),0)</f>
        <v>1</v>
      </c>
      <c r="O1555" s="123">
        <f t="shared" si="541"/>
        <v>0</v>
      </c>
      <c r="P1555" s="123">
        <f>+_xlfn.XLOOKUP(A1555,PPTO_GENERADOR!Q:Q,PPTO_GENERADOR!E:E,"-",0)</f>
        <v>4</v>
      </c>
      <c r="Q1555" s="123">
        <f t="shared" si="542"/>
        <v>0</v>
      </c>
      <c r="R1555" s="125">
        <f>+_xlfn.XLOOKUP(A1555,PPTO_GENERADOR!$Q:$Q,PPTO_GENERADOR!A:A,"-",0)</f>
        <v>29.06</v>
      </c>
    </row>
    <row r="1556" spans="1:18" ht="14.25" customHeight="1" x14ac:dyDescent="0.35">
      <c r="A1556" s="105" t="s">
        <v>469</v>
      </c>
      <c r="B1556" s="105" t="s">
        <v>1981</v>
      </c>
      <c r="C1556" s="105" t="s">
        <v>1982</v>
      </c>
      <c r="D1556" s="105" t="s">
        <v>896</v>
      </c>
      <c r="E1556" s="95" t="str">
        <f>IFERROR(VLOOKUP(D1556,MATERIALES!A:B,2,FALSE()),"?")</f>
        <v>Cotizaciones — Tubo Coaxial 1,00 m 60/100 MH</v>
      </c>
      <c r="F1556" s="129" t="str">
        <f>IFERROR(VLOOKUP(D1556,MATERIALES!A:C,3,FALSE()),"?")</f>
        <v>u</v>
      </c>
      <c r="G1556" s="119">
        <v>1</v>
      </c>
      <c r="H1556" s="120">
        <v>0</v>
      </c>
      <c r="I1556" s="96">
        <f>IFERROR(VLOOKUP(D1556,MATERIALES!A:D,4,FALSE()),0)</f>
        <v>66000</v>
      </c>
      <c r="J1556" s="31">
        <f t="shared" si="540"/>
        <v>66000</v>
      </c>
      <c r="K1556" s="32" t="str">
        <f t="shared" si="533"/>
        <v>PTO-2907|MAT</v>
      </c>
      <c r="L1556" s="32">
        <f>COUNTIFS($K$2:K1556,K1556)</f>
        <v>1</v>
      </c>
      <c r="M1556" s="32" t="str">
        <f t="shared" si="539"/>
        <v>PTO-2907|MAT|1</v>
      </c>
      <c r="N1556" s="121">
        <f>IFERROR(VLOOKUP(A1556,PARTIDAS!A:F,6,FALSE()),0)</f>
        <v>1</v>
      </c>
      <c r="O1556" s="123">
        <f t="shared" si="541"/>
        <v>0</v>
      </c>
      <c r="P1556" s="123">
        <f>+_xlfn.XLOOKUP(A1556,PPTO_GENERADOR!Q:Q,PPTO_GENERADOR!E:E,"-",0)</f>
        <v>12</v>
      </c>
      <c r="Q1556" s="123">
        <f t="shared" si="542"/>
        <v>0</v>
      </c>
      <c r="R1556" s="125">
        <f>+_xlfn.XLOOKUP(A1556,PPTO_GENERADOR!$Q:$Q,PPTO_GENERADOR!A:A,"-",0)</f>
        <v>29.07</v>
      </c>
    </row>
    <row r="1557" spans="1:18" ht="14.25" customHeight="1" x14ac:dyDescent="0.35">
      <c r="A1557" s="105" t="s">
        <v>471</v>
      </c>
      <c r="B1557" s="105" t="s">
        <v>1981</v>
      </c>
      <c r="C1557" s="105" t="s">
        <v>1982</v>
      </c>
      <c r="D1557" s="105" t="s">
        <v>898</v>
      </c>
      <c r="E1557" s="95" t="str">
        <f>IFERROR(VLOOKUP(D1557,MATERIALES!A:B,2,FALSE()),"?")</f>
        <v>ELECT — Módulo completo tecla marca Cambre línea SXXI</v>
      </c>
      <c r="F1557" s="129" t="str">
        <f>IFERROR(VLOOKUP(D1557,MATERIALES!A:C,3,FALSE()),"?")</f>
        <v>u</v>
      </c>
      <c r="G1557" s="119">
        <v>1</v>
      </c>
      <c r="H1557" s="120">
        <v>0</v>
      </c>
      <c r="I1557" s="96">
        <f>IFERROR(VLOOKUP(D1557,MATERIALES!A:D,4,FALSE()),0)</f>
        <v>5892.0807877668303</v>
      </c>
      <c r="J1557" s="31">
        <f t="shared" si="540"/>
        <v>5892.0807877668303</v>
      </c>
      <c r="K1557" s="32" t="str">
        <f t="shared" si="533"/>
        <v>PTO-3001|MAT</v>
      </c>
      <c r="L1557" s="32">
        <f>COUNTIFS($K$2:K1557,K1557)</f>
        <v>1</v>
      </c>
      <c r="M1557" s="32" t="str">
        <f t="shared" si="539"/>
        <v>PTO-3001|MAT|1</v>
      </c>
      <c r="N1557" s="121">
        <f>IFERROR(VLOOKUP(A1557,PARTIDAS!A:F,6,FALSE()),0)</f>
        <v>1</v>
      </c>
      <c r="O1557" s="123">
        <f t="shared" si="541"/>
        <v>0</v>
      </c>
      <c r="P1557" s="123">
        <f>+_xlfn.XLOOKUP(A1557,PPTO_GENERADOR!Q:Q,PPTO_GENERADOR!E:E,"-",0)</f>
        <v>0</v>
      </c>
      <c r="Q1557" s="123">
        <f t="shared" si="542"/>
        <v>0</v>
      </c>
      <c r="R1557" s="125">
        <f>+_xlfn.XLOOKUP(A1557,PPTO_GENERADOR!$Q:$Q,PPTO_GENERADOR!A:A,"-",0)</f>
        <v>30.01</v>
      </c>
    </row>
    <row r="1558" spans="1:18" ht="14.25" customHeight="1" x14ac:dyDescent="0.35">
      <c r="A1558" s="105" t="s">
        <v>473</v>
      </c>
      <c r="B1558" s="105" t="s">
        <v>1981</v>
      </c>
      <c r="C1558" s="105" t="s">
        <v>1982</v>
      </c>
      <c r="D1558" s="105" t="s">
        <v>900</v>
      </c>
      <c r="E1558" s="95" t="str">
        <f>IFERROR(VLOOKUP(D1558,MATERIALES!A:B,2,FALSE()),"?")</f>
        <v>ELECT — Modulo completo ciego mignon, marca Cambre lí</v>
      </c>
      <c r="F1558" s="129" t="str">
        <f>IFERROR(VLOOKUP(D1558,MATERIALES!A:C,3,FALSE()),"?")</f>
        <v>u</v>
      </c>
      <c r="G1558" s="119">
        <v>1</v>
      </c>
      <c r="H1558" s="120">
        <v>0</v>
      </c>
      <c r="I1558" s="96">
        <f>IFERROR(VLOOKUP(D1558,MATERIALES!A:D,4,FALSE()),0)</f>
        <v>1885.5105394124801</v>
      </c>
      <c r="J1558" s="31">
        <f t="shared" si="540"/>
        <v>1885.5105394124801</v>
      </c>
      <c r="K1558" s="32" t="str">
        <f t="shared" si="533"/>
        <v>PTO-3002|MAT</v>
      </c>
      <c r="L1558" s="32">
        <f>COUNTIFS($K$2:K1558,K1558)</f>
        <v>1</v>
      </c>
      <c r="M1558" s="32" t="str">
        <f t="shared" si="539"/>
        <v>PTO-3002|MAT|1</v>
      </c>
      <c r="N1558" s="121">
        <f>IFERROR(VLOOKUP(A1558,PARTIDAS!A:F,6,FALSE()),0)</f>
        <v>1</v>
      </c>
      <c r="O1558" s="123">
        <f t="shared" si="541"/>
        <v>0</v>
      </c>
      <c r="P1558" s="123">
        <f>+_xlfn.XLOOKUP(A1558,PPTO_GENERADOR!Q:Q,PPTO_GENERADOR!E:E,"-",0)</f>
        <v>0</v>
      </c>
      <c r="Q1558" s="123">
        <f t="shared" si="542"/>
        <v>0</v>
      </c>
      <c r="R1558" s="125">
        <f>+_xlfn.XLOOKUP(A1558,PPTO_GENERADOR!$Q:$Q,PPTO_GENERADOR!A:A,"-",0)</f>
        <v>30.02</v>
      </c>
    </row>
    <row r="1559" spans="1:18" ht="14.25" customHeight="1" x14ac:dyDescent="0.35">
      <c r="A1559" s="105" t="s">
        <v>475</v>
      </c>
      <c r="B1559" s="105" t="s">
        <v>1981</v>
      </c>
      <c r="C1559" s="105" t="s">
        <v>1982</v>
      </c>
      <c r="D1559" s="105" t="s">
        <v>902</v>
      </c>
      <c r="E1559" s="95" t="str">
        <f>IFERROR(VLOOKUP(D1559,MATERIALES!A:B,2,FALSE()),"?")</f>
        <v>ELECT — Módulo completo tomacorriente simple 10A marc</v>
      </c>
      <c r="F1559" s="129" t="str">
        <f>IFERROR(VLOOKUP(D1559,MATERIALES!A:C,3,FALSE()),"?")</f>
        <v>u</v>
      </c>
      <c r="G1559" s="119">
        <v>1</v>
      </c>
      <c r="H1559" s="120">
        <v>0</v>
      </c>
      <c r="I1559" s="96">
        <f>IFERROR(VLOOKUP(D1559,MATERIALES!A:D,4,FALSE()),0)</f>
        <v>3839.53452028022</v>
      </c>
      <c r="J1559" s="31">
        <f t="shared" si="540"/>
        <v>3839.53452028022</v>
      </c>
      <c r="K1559" s="32" t="str">
        <f t="shared" si="533"/>
        <v>PTO-3003|MAT</v>
      </c>
      <c r="L1559" s="32">
        <f>COUNTIFS($K$2:K1559,K1559)</f>
        <v>1</v>
      </c>
      <c r="M1559" s="32" t="str">
        <f t="shared" si="539"/>
        <v>PTO-3003|MAT|1</v>
      </c>
      <c r="N1559" s="121">
        <f>IFERROR(VLOOKUP(A1559,PARTIDAS!A:F,6,FALSE()),0)</f>
        <v>1</v>
      </c>
      <c r="O1559" s="123">
        <f t="shared" si="541"/>
        <v>0</v>
      </c>
      <c r="P1559" s="123">
        <f>+_xlfn.XLOOKUP(A1559,PPTO_GENERADOR!Q:Q,PPTO_GENERADOR!E:E,"-",0)</f>
        <v>0</v>
      </c>
      <c r="Q1559" s="123">
        <f t="shared" si="542"/>
        <v>0</v>
      </c>
      <c r="R1559" s="125">
        <f>+_xlfn.XLOOKUP(A1559,PPTO_GENERADOR!$Q:$Q,PPTO_GENERADOR!A:A,"-",0)</f>
        <v>30.03</v>
      </c>
    </row>
    <row r="1560" spans="1:18" ht="14.25" customHeight="1" x14ac:dyDescent="0.35">
      <c r="A1560" s="105" t="s">
        <v>477</v>
      </c>
      <c r="B1560" s="105" t="s">
        <v>1981</v>
      </c>
      <c r="C1560" s="105" t="s">
        <v>1982</v>
      </c>
      <c r="D1560" s="105" t="s">
        <v>904</v>
      </c>
      <c r="E1560" s="95" t="str">
        <f>IFERROR(VLOOKUP(D1560,MATERIALES!A:B,2,FALSE()),"?")</f>
        <v>ELECT — Módulo completo tomacorriente doble 10A marca</v>
      </c>
      <c r="F1560" s="129" t="str">
        <f>IFERROR(VLOOKUP(D1560,MATERIALES!A:C,3,FALSE()),"?")</f>
        <v>u</v>
      </c>
      <c r="G1560" s="119">
        <v>1</v>
      </c>
      <c r="H1560" s="120">
        <v>0</v>
      </c>
      <c r="I1560" s="96">
        <f>IFERROR(VLOOKUP(D1560,MATERIALES!A:D,4,FALSE()),0)</f>
        <v>6314.6459338307404</v>
      </c>
      <c r="J1560" s="31">
        <f t="shared" si="540"/>
        <v>6314.6459338307404</v>
      </c>
      <c r="K1560" s="32" t="str">
        <f t="shared" si="533"/>
        <v>PTO-3004|MAT</v>
      </c>
      <c r="L1560" s="32">
        <f>COUNTIFS($K$2:K1560,K1560)</f>
        <v>1</v>
      </c>
      <c r="M1560" s="32" t="str">
        <f t="shared" si="539"/>
        <v>PTO-3004|MAT|1</v>
      </c>
      <c r="N1560" s="121">
        <f>IFERROR(VLOOKUP(A1560,PARTIDAS!A:F,6,FALSE()),0)</f>
        <v>1</v>
      </c>
      <c r="O1560" s="123">
        <f t="shared" si="541"/>
        <v>0</v>
      </c>
      <c r="P1560" s="123">
        <f>+_xlfn.XLOOKUP(A1560,PPTO_GENERADOR!Q:Q,PPTO_GENERADOR!E:E,"-",0)</f>
        <v>0</v>
      </c>
      <c r="Q1560" s="123">
        <f t="shared" si="542"/>
        <v>0</v>
      </c>
      <c r="R1560" s="125">
        <f>+_xlfn.XLOOKUP(A1560,PPTO_GENERADOR!$Q:$Q,PPTO_GENERADOR!A:A,"-",0)</f>
        <v>30.04</v>
      </c>
    </row>
    <row r="1561" spans="1:18" ht="14.25" customHeight="1" x14ac:dyDescent="0.35">
      <c r="A1561" s="105" t="s">
        <v>479</v>
      </c>
      <c r="B1561" s="105" t="s">
        <v>1981</v>
      </c>
      <c r="C1561" s="105" t="s">
        <v>1982</v>
      </c>
      <c r="D1561" s="105" t="s">
        <v>906</v>
      </c>
      <c r="E1561" s="95" t="str">
        <f>IFERROR(VLOOKUP(D1561,MATERIALES!A:B,2,FALSE()),"?")</f>
        <v>ELECT — Módulo completo tomacorriente simple 20A marc</v>
      </c>
      <c r="F1561" s="129" t="str">
        <f>IFERROR(VLOOKUP(D1561,MATERIALES!A:C,3,FALSE()),"?")</f>
        <v>u</v>
      </c>
      <c r="G1561" s="119">
        <v>1</v>
      </c>
      <c r="H1561" s="120">
        <v>0</v>
      </c>
      <c r="I1561" s="96">
        <f>IFERROR(VLOOKUP(D1561,MATERIALES!A:D,4,FALSE()),0)</f>
        <v>4996.5593136686502</v>
      </c>
      <c r="J1561" s="31">
        <f t="shared" si="540"/>
        <v>4996.5593136686502</v>
      </c>
      <c r="K1561" s="32" t="str">
        <f t="shared" si="533"/>
        <v>PTO-3005|MAT</v>
      </c>
      <c r="L1561" s="32">
        <f>COUNTIFS($K$2:K1561,K1561)</f>
        <v>1</v>
      </c>
      <c r="M1561" s="32" t="str">
        <f t="shared" si="539"/>
        <v>PTO-3005|MAT|1</v>
      </c>
      <c r="N1561" s="121">
        <f>IFERROR(VLOOKUP(A1561,PARTIDAS!A:F,6,FALSE()),0)</f>
        <v>1</v>
      </c>
      <c r="O1561" s="123">
        <f t="shared" si="541"/>
        <v>0</v>
      </c>
      <c r="P1561" s="123">
        <f>+_xlfn.XLOOKUP(A1561,PPTO_GENERADOR!Q:Q,PPTO_GENERADOR!E:E,"-",0)</f>
        <v>0</v>
      </c>
      <c r="Q1561" s="123">
        <f t="shared" si="542"/>
        <v>0</v>
      </c>
      <c r="R1561" s="125">
        <f>+_xlfn.XLOOKUP(A1561,PPTO_GENERADOR!$Q:$Q,PPTO_GENERADOR!A:A,"-",0)</f>
        <v>30.05</v>
      </c>
    </row>
    <row r="1562" spans="1:18" ht="14.25" customHeight="1" x14ac:dyDescent="0.35">
      <c r="A1562" s="105" t="s">
        <v>481</v>
      </c>
      <c r="B1562" s="105" t="s">
        <v>1981</v>
      </c>
      <c r="C1562" s="105" t="s">
        <v>1982</v>
      </c>
      <c r="D1562" s="105" t="s">
        <v>908</v>
      </c>
      <c r="E1562" s="95" t="str">
        <f>IFERROR(VLOOKUP(D1562,MATERIALES!A:B,2,FALSE()),"?")</f>
        <v>ELECT — Módulo completo tomacorriente doble 10A encap</v>
      </c>
      <c r="F1562" s="129" t="str">
        <f>IFERROR(VLOOKUP(D1562,MATERIALES!A:C,3,FALSE()),"?")</f>
        <v>u</v>
      </c>
      <c r="G1562" s="119">
        <v>1</v>
      </c>
      <c r="H1562" s="120">
        <v>0</v>
      </c>
      <c r="I1562" s="96">
        <f>IFERROR(VLOOKUP(D1562,MATERIALES!A:D,4,FALSE()),0)</f>
        <v>12629.291867661501</v>
      </c>
      <c r="J1562" s="31">
        <f t="shared" si="540"/>
        <v>12629.291867661501</v>
      </c>
      <c r="K1562" s="32" t="str">
        <f t="shared" si="533"/>
        <v>PTO-3006|MAT</v>
      </c>
      <c r="L1562" s="32">
        <f>COUNTIFS($K$2:K1562,K1562)</f>
        <v>1</v>
      </c>
      <c r="M1562" s="32" t="str">
        <f t="shared" si="539"/>
        <v>PTO-3006|MAT|1</v>
      </c>
      <c r="N1562" s="121">
        <f>IFERROR(VLOOKUP(A1562,PARTIDAS!A:F,6,FALSE()),0)</f>
        <v>1</v>
      </c>
      <c r="O1562" s="123">
        <f t="shared" si="541"/>
        <v>0</v>
      </c>
      <c r="P1562" s="123">
        <f>+_xlfn.XLOOKUP(A1562,PPTO_GENERADOR!Q:Q,PPTO_GENERADOR!E:E,"-",0)</f>
        <v>0</v>
      </c>
      <c r="Q1562" s="123">
        <f t="shared" si="542"/>
        <v>0</v>
      </c>
      <c r="R1562" s="125">
        <f>+_xlfn.XLOOKUP(A1562,PPTO_GENERADOR!$Q:$Q,PPTO_GENERADOR!A:A,"-",0)</f>
        <v>30.06</v>
      </c>
    </row>
    <row r="1563" spans="1:18" ht="14.25" customHeight="1" x14ac:dyDescent="0.35">
      <c r="A1563" s="105" t="s">
        <v>483</v>
      </c>
      <c r="B1563" s="105" t="s">
        <v>1981</v>
      </c>
      <c r="C1563" s="105" t="s">
        <v>1982</v>
      </c>
      <c r="D1563" s="105" t="s">
        <v>910</v>
      </c>
      <c r="E1563" s="95" t="str">
        <f>IFERROR(VLOOKUP(D1563,MATERIALES!A:B,2,FALSE()),"?")</f>
        <v>ELECT — Módulo completo TV/RED marca Cambre línea SXX</v>
      </c>
      <c r="F1563" s="129" t="str">
        <f>IFERROR(VLOOKUP(D1563,MATERIALES!A:C,3,FALSE()),"?")</f>
        <v>u</v>
      </c>
      <c r="G1563" s="119">
        <v>1</v>
      </c>
      <c r="H1563" s="120">
        <v>0</v>
      </c>
      <c r="I1563" s="96">
        <f>IFERROR(VLOOKUP(D1563,MATERIALES!A:D,4,FALSE()),0)</f>
        <v>2203.1708839165899</v>
      </c>
      <c r="J1563" s="31">
        <f t="shared" si="540"/>
        <v>2203.1708839165899</v>
      </c>
      <c r="K1563" s="32" t="str">
        <f t="shared" si="533"/>
        <v>PTO-3007|MAT</v>
      </c>
      <c r="L1563" s="32">
        <f>COUNTIFS($K$2:K1563,K1563)</f>
        <v>1</v>
      </c>
      <c r="M1563" s="32" t="str">
        <f t="shared" si="539"/>
        <v>PTO-3007|MAT|1</v>
      </c>
      <c r="N1563" s="121">
        <f>IFERROR(VLOOKUP(A1563,PARTIDAS!A:F,6,FALSE()),0)</f>
        <v>1</v>
      </c>
      <c r="O1563" s="123">
        <f t="shared" si="541"/>
        <v>0</v>
      </c>
      <c r="P1563" s="123">
        <f>+_xlfn.XLOOKUP(A1563,PPTO_GENERADOR!Q:Q,PPTO_GENERADOR!E:E,"-",0)</f>
        <v>0</v>
      </c>
      <c r="Q1563" s="123">
        <f t="shared" si="542"/>
        <v>0</v>
      </c>
      <c r="R1563" s="125">
        <f>+_xlfn.XLOOKUP(A1563,PPTO_GENERADOR!$Q:$Q,PPTO_GENERADOR!A:A,"-",0)</f>
        <v>30.07</v>
      </c>
    </row>
    <row r="1564" spans="1:18" ht="14.25" customHeight="1" x14ac:dyDescent="0.35">
      <c r="A1564" s="105" t="s">
        <v>1907</v>
      </c>
      <c r="B1564" s="105" t="s">
        <v>1981</v>
      </c>
      <c r="C1564" s="105" t="s">
        <v>1982</v>
      </c>
      <c r="D1564" s="105" t="s">
        <v>1011</v>
      </c>
      <c r="E1564" s="95" t="str">
        <f>IFERROR(VLOOKUP(D1564,MATERIALES!A:B,2,FALSE()),"?")</f>
        <v>Recarga de garrafa</v>
      </c>
      <c r="F1564" s="129" t="str">
        <f>IFERROR(VLOOKUP(D1564,MATERIALES!A:C,3,FALSE()),"?")</f>
        <v>u</v>
      </c>
      <c r="G1564" s="119">
        <v>0.02</v>
      </c>
      <c r="H1564" s="120">
        <v>0.05</v>
      </c>
      <c r="I1564" s="96">
        <f>IFERROR(VLOOKUP(D1564,MATERIALES!A:D,4,FALSE()),0)</f>
        <v>15000</v>
      </c>
      <c r="J1564" s="31">
        <f t="shared" si="540"/>
        <v>315</v>
      </c>
      <c r="K1564" s="32" t="str">
        <f t="shared" si="533"/>
        <v>IMP-070|MAT</v>
      </c>
      <c r="L1564" s="32">
        <f>COUNTIFS($K$2:K1564,K1564)</f>
        <v>8</v>
      </c>
      <c r="M1564" s="32" t="str">
        <f t="shared" si="539"/>
        <v>IMP-070|MAT|8</v>
      </c>
      <c r="N1564" s="121">
        <f>IFERROR(VLOOKUP(A1564,PARTIDAS!A:F,6,FALSE()),0)</f>
        <v>25</v>
      </c>
      <c r="O1564" s="123">
        <f t="shared" si="541"/>
        <v>0</v>
      </c>
      <c r="P1564" s="123" t="str">
        <f>+_xlfn.XLOOKUP(A1564,PPTO_GENERADOR!Q:Q,PPTO_GENERADOR!E:E,"-",0)</f>
        <v>-</v>
      </c>
      <c r="Q1564" s="123">
        <f t="shared" si="542"/>
        <v>0</v>
      </c>
      <c r="R1564" s="125" t="str">
        <f>+_xlfn.XLOOKUP(A1564,PPTO_GENERADOR!$Q:$Q,PPTO_GENERADOR!A:A,"-",0)</f>
        <v>-</v>
      </c>
    </row>
    <row r="1565" spans="1:18" ht="14.25" customHeight="1" x14ac:dyDescent="0.35">
      <c r="A1565" s="105" t="s">
        <v>121</v>
      </c>
      <c r="B1565" s="105" t="s">
        <v>1981</v>
      </c>
      <c r="C1565" s="105" t="s">
        <v>1982</v>
      </c>
      <c r="D1565" s="105" t="s">
        <v>586</v>
      </c>
      <c r="E1565" s="95" t="str">
        <f>IFERROR(VLOOKUP(D1565,MATERIALES!A:B,2,FALSE()),"?")</f>
        <v>Trapo</v>
      </c>
      <c r="F1565" s="129">
        <f>IFERROR(VLOOKUP(D1565,MATERIALES!A:C,3,FALSE()),"?")</f>
        <v>0</v>
      </c>
      <c r="G1565" s="119">
        <v>0.02</v>
      </c>
      <c r="H1565" s="120">
        <v>0.05</v>
      </c>
      <c r="I1565" s="96">
        <f>IFERROR(VLOOKUP(D1565,MATERIALES!A:D,4,FALSE()),0)</f>
        <v>1182.6446280991699</v>
      </c>
      <c r="J1565" s="31">
        <f t="shared" si="540"/>
        <v>24.835537190082572</v>
      </c>
      <c r="K1565" s="32" t="str">
        <f t="shared" si="533"/>
        <v>PTO-0501|MAT</v>
      </c>
      <c r="L1565" s="32">
        <f>COUNTIFS($K$2:K1565,K1565)</f>
        <v>6</v>
      </c>
      <c r="M1565" s="32" t="str">
        <f t="shared" si="539"/>
        <v>PTO-0501|MAT|6</v>
      </c>
      <c r="N1565" s="121">
        <f>IFERROR(VLOOKUP(A1565,PARTIDAS!A:F,6,FALSE()),0)</f>
        <v>1</v>
      </c>
      <c r="O1565" s="123">
        <f t="shared" si="541"/>
        <v>0</v>
      </c>
      <c r="P1565" s="123">
        <f>+_xlfn.XLOOKUP(A1565,PPTO_GENERADOR!Q:Q,PPTO_GENERADOR!E:E,"-",0)</f>
        <v>79</v>
      </c>
      <c r="Q1565" s="123">
        <f t="shared" si="542"/>
        <v>0</v>
      </c>
      <c r="R1565" s="125">
        <f>+_xlfn.XLOOKUP(A1565,PPTO_GENERADOR!$Q:$Q,PPTO_GENERADOR!A:A,"-",0)</f>
        <v>5.01</v>
      </c>
    </row>
    <row r="1566" spans="1:18" ht="14.25" customHeight="1" x14ac:dyDescent="0.35">
      <c r="A1566" s="105" t="s">
        <v>121</v>
      </c>
      <c r="B1566" s="105" t="s">
        <v>1981</v>
      </c>
      <c r="C1566" s="105" t="s">
        <v>1982</v>
      </c>
      <c r="D1566" s="105" t="s">
        <v>1009</v>
      </c>
      <c r="E1566" s="95" t="str">
        <f>IFERROR(VLOOKUP(D1566,MATERIALES!A:B,2,FALSE()),"?")</f>
        <v>Guante vaqueta medio paseo</v>
      </c>
      <c r="F1566" s="129" t="str">
        <f>IFERROR(VLOOKUP(D1566,MATERIALES!A:C,3,FALSE()),"?")</f>
        <v>u</v>
      </c>
      <c r="G1566" s="119">
        <v>0.06</v>
      </c>
      <c r="H1566" s="120">
        <v>0.05</v>
      </c>
      <c r="I1566" s="96">
        <f>IFERROR(VLOOKUP(D1566,MATERIALES!A:D,4,FALSE()),0)</f>
        <v>3600</v>
      </c>
      <c r="J1566" s="31">
        <f t="shared" si="540"/>
        <v>226.8</v>
      </c>
      <c r="K1566" s="32" t="str">
        <f t="shared" si="533"/>
        <v>PTO-0501|MAT</v>
      </c>
      <c r="L1566" s="32">
        <f>COUNTIFS($K$2:K1566,K1566)</f>
        <v>7</v>
      </c>
      <c r="M1566" s="32" t="str">
        <f t="shared" si="539"/>
        <v>PTO-0501|MAT|7</v>
      </c>
      <c r="N1566" s="121">
        <f>IFERROR(VLOOKUP(A1566,PARTIDAS!A:F,6,FALSE()),0)</f>
        <v>1</v>
      </c>
      <c r="O1566" s="123">
        <f t="shared" si="541"/>
        <v>0</v>
      </c>
      <c r="P1566" s="123">
        <f>+_xlfn.XLOOKUP(A1566,PPTO_GENERADOR!Q:Q,PPTO_GENERADOR!E:E,"-",0)</f>
        <v>79</v>
      </c>
      <c r="Q1566" s="123">
        <f t="shared" si="542"/>
        <v>0</v>
      </c>
      <c r="R1566" s="125">
        <f>+_xlfn.XLOOKUP(A1566,PPTO_GENERADOR!$Q:$Q,PPTO_GENERADOR!A:A,"-",0)</f>
        <v>5.01</v>
      </c>
    </row>
    <row r="1567" spans="1:18" ht="14.25" customHeight="1" x14ac:dyDescent="0.35">
      <c r="A1567" s="105" t="s">
        <v>121</v>
      </c>
      <c r="B1567" s="105" t="s">
        <v>1981</v>
      </c>
      <c r="C1567" s="105" t="s">
        <v>1982</v>
      </c>
      <c r="D1567" s="105" t="s">
        <v>1011</v>
      </c>
      <c r="E1567" s="95" t="str">
        <f>IFERROR(VLOOKUP(D1567,MATERIALES!A:B,2,FALSE()),"?")</f>
        <v>Recarga de garrafa</v>
      </c>
      <c r="F1567" s="129" t="str">
        <f>IFERROR(VLOOKUP(D1567,MATERIALES!A:C,3,FALSE()),"?")</f>
        <v>u</v>
      </c>
      <c r="G1567" s="119">
        <v>0.02</v>
      </c>
      <c r="H1567" s="120">
        <v>0.05</v>
      </c>
      <c r="I1567" s="96">
        <f>IFERROR(VLOOKUP(D1567,MATERIALES!A:D,4,FALSE()),0)</f>
        <v>15000</v>
      </c>
      <c r="J1567" s="31">
        <f t="shared" si="540"/>
        <v>315</v>
      </c>
      <c r="K1567" s="32" t="str">
        <f t="shared" si="533"/>
        <v>PTO-0501|MAT</v>
      </c>
      <c r="L1567" s="32">
        <f>COUNTIFS($K$2:K1567,K1567)</f>
        <v>8</v>
      </c>
      <c r="M1567" s="32" t="str">
        <f t="shared" si="539"/>
        <v>PTO-0501|MAT|8</v>
      </c>
      <c r="N1567" s="121">
        <f>IFERROR(VLOOKUP(A1567,PARTIDAS!A:F,6,FALSE()),0)</f>
        <v>1</v>
      </c>
      <c r="O1567" s="123">
        <f t="shared" si="541"/>
        <v>0</v>
      </c>
      <c r="P1567" s="123">
        <f>+_xlfn.XLOOKUP(A1567,PPTO_GENERADOR!Q:Q,PPTO_GENERADOR!E:E,"-",0)</f>
        <v>79</v>
      </c>
      <c r="Q1567" s="123">
        <f t="shared" si="542"/>
        <v>0</v>
      </c>
      <c r="R1567" s="125">
        <f>+_xlfn.XLOOKUP(A1567,PPTO_GENERADOR!$Q:$Q,PPTO_GENERADOR!A:A,"-",0)</f>
        <v>5.01</v>
      </c>
    </row>
    <row r="1568" spans="1:18" ht="14.25" customHeight="1" x14ac:dyDescent="0.35">
      <c r="A1568" s="105" t="s">
        <v>121</v>
      </c>
      <c r="B1568" s="105" t="s">
        <v>1981</v>
      </c>
      <c r="C1568" s="105" t="s">
        <v>1982</v>
      </c>
      <c r="D1568" s="105" t="s">
        <v>1013</v>
      </c>
      <c r="E1568" s="95" t="str">
        <f>IFERROR(VLOOKUP(D1568,MATERIALES!A:B,2,FALSE()),"?")</f>
        <v>Costo adicional babetas MAT — 35% sobre MT/COR (PTO-0501)</v>
      </c>
      <c r="F1568" s="129" t="str">
        <f>IFERROR(VLOOKUP(D1568,MATERIALES!A:C,3,FALSE()),"?")</f>
        <v>gl</v>
      </c>
      <c r="G1568" s="119">
        <v>3050.8865484871399</v>
      </c>
      <c r="H1568" s="120">
        <v>0</v>
      </c>
      <c r="I1568" s="96">
        <f>IFERROR(VLOOKUP(D1568,MATERIALES!A:D,4,FALSE()),0)</f>
        <v>1</v>
      </c>
      <c r="J1568" s="31">
        <f t="shared" si="540"/>
        <v>3050.8865484871399</v>
      </c>
      <c r="K1568" s="32" t="str">
        <f t="shared" si="533"/>
        <v>PTO-0501|MAT</v>
      </c>
      <c r="L1568" s="32">
        <f>COUNTIFS($K$2:K1568,K1568)</f>
        <v>9</v>
      </c>
      <c r="M1568" s="32" t="str">
        <f t="shared" si="539"/>
        <v>PTO-0501|MAT|9</v>
      </c>
      <c r="N1568" s="121">
        <f>IFERROR(VLOOKUP(A1568,PARTIDAS!A:F,6,FALSE()),0)</f>
        <v>1</v>
      </c>
      <c r="O1568" s="123">
        <f t="shared" si="541"/>
        <v>0</v>
      </c>
      <c r="P1568" s="123">
        <f>+_xlfn.XLOOKUP(A1568,PPTO_GENERADOR!Q:Q,PPTO_GENERADOR!E:E,"-",0)</f>
        <v>79</v>
      </c>
      <c r="Q1568" s="123">
        <f t="shared" si="542"/>
        <v>0</v>
      </c>
      <c r="R1568" s="125">
        <f>+_xlfn.XLOOKUP(A1568,PPTO_GENERADOR!$Q:$Q,PPTO_GENERADOR!A:A,"-",0)</f>
        <v>5.01</v>
      </c>
    </row>
    <row r="1569" spans="1:18" ht="14.25" customHeight="1" x14ac:dyDescent="0.35">
      <c r="A1569" s="105" t="s">
        <v>134</v>
      </c>
      <c r="B1569" s="105" t="s">
        <v>1981</v>
      </c>
      <c r="C1569" s="105" t="s">
        <v>1982</v>
      </c>
      <c r="D1569" s="105" t="s">
        <v>586</v>
      </c>
      <c r="E1569" s="95" t="str">
        <f>IFERROR(VLOOKUP(D1569,MATERIALES!A:B,2,FALSE()),"?")</f>
        <v>Trapo</v>
      </c>
      <c r="F1569" s="129">
        <f>IFERROR(VLOOKUP(D1569,MATERIALES!A:C,3,FALSE()),"?")</f>
        <v>0</v>
      </c>
      <c r="G1569" s="119">
        <v>0.02</v>
      </c>
      <c r="H1569" s="120">
        <v>0.05</v>
      </c>
      <c r="I1569" s="96">
        <f>IFERROR(VLOOKUP(D1569,MATERIALES!A:D,4,FALSE()),0)</f>
        <v>1182.6446280991699</v>
      </c>
      <c r="J1569" s="31">
        <f t="shared" si="540"/>
        <v>24.835537190082572</v>
      </c>
      <c r="K1569" s="32" t="str">
        <f t="shared" si="533"/>
        <v>PTO-0506|MAT</v>
      </c>
      <c r="L1569" s="32">
        <f>COUNTIFS($K$2:K1569,K1569)</f>
        <v>6</v>
      </c>
      <c r="M1569" s="32" t="str">
        <f t="shared" si="539"/>
        <v>PTO-0506|MAT|6</v>
      </c>
      <c r="N1569" s="121">
        <f>IFERROR(VLOOKUP(A1569,PARTIDAS!A:F,6,FALSE()),0)</f>
        <v>1</v>
      </c>
      <c r="O1569" s="123">
        <f t="shared" si="541"/>
        <v>0</v>
      </c>
      <c r="P1569" s="123">
        <f>+_xlfn.XLOOKUP(A1569,PPTO_GENERADOR!Q:Q,PPTO_GENERADOR!E:E,"-",0)</f>
        <v>274</v>
      </c>
      <c r="Q1569" s="123">
        <f t="shared" si="542"/>
        <v>0</v>
      </c>
      <c r="R1569" s="125">
        <f>+_xlfn.XLOOKUP(A1569,PPTO_GENERADOR!$Q:$Q,PPTO_GENERADOR!A:A,"-",0)</f>
        <v>5.0599999999999996</v>
      </c>
    </row>
    <row r="1570" spans="1:18" ht="14.25" customHeight="1" x14ac:dyDescent="0.35">
      <c r="A1570" s="105" t="s">
        <v>134</v>
      </c>
      <c r="B1570" s="105" t="s">
        <v>1981</v>
      </c>
      <c r="C1570" s="105" t="s">
        <v>1982</v>
      </c>
      <c r="D1570" s="105" t="s">
        <v>1009</v>
      </c>
      <c r="E1570" s="95" t="str">
        <f>IFERROR(VLOOKUP(D1570,MATERIALES!A:B,2,FALSE()),"?")</f>
        <v>Guante vaqueta medio paseo</v>
      </c>
      <c r="F1570" s="129" t="str">
        <f>IFERROR(VLOOKUP(D1570,MATERIALES!A:C,3,FALSE()),"?")</f>
        <v>u</v>
      </c>
      <c r="G1570" s="119">
        <v>0.06</v>
      </c>
      <c r="H1570" s="120">
        <v>0.05</v>
      </c>
      <c r="I1570" s="96">
        <f>IFERROR(VLOOKUP(D1570,MATERIALES!A:D,4,FALSE()),0)</f>
        <v>3600</v>
      </c>
      <c r="J1570" s="31">
        <f t="shared" si="540"/>
        <v>226.8</v>
      </c>
      <c r="K1570" s="32" t="str">
        <f t="shared" si="533"/>
        <v>PTO-0506|MAT</v>
      </c>
      <c r="L1570" s="32">
        <f>COUNTIFS($K$2:K1570,K1570)</f>
        <v>7</v>
      </c>
      <c r="M1570" s="32" t="str">
        <f t="shared" si="539"/>
        <v>PTO-0506|MAT|7</v>
      </c>
      <c r="N1570" s="121">
        <f>IFERROR(VLOOKUP(A1570,PARTIDAS!A:F,6,FALSE()),0)</f>
        <v>1</v>
      </c>
      <c r="O1570" s="123">
        <f t="shared" si="541"/>
        <v>0</v>
      </c>
      <c r="P1570" s="123">
        <f>+_xlfn.XLOOKUP(A1570,PPTO_GENERADOR!Q:Q,PPTO_GENERADOR!E:E,"-",0)</f>
        <v>274</v>
      </c>
      <c r="Q1570" s="123">
        <f t="shared" si="542"/>
        <v>0</v>
      </c>
      <c r="R1570" s="125">
        <f>+_xlfn.XLOOKUP(A1570,PPTO_GENERADOR!$Q:$Q,PPTO_GENERADOR!A:A,"-",0)</f>
        <v>5.0599999999999996</v>
      </c>
    </row>
    <row r="1571" spans="1:18" ht="14.25" customHeight="1" x14ac:dyDescent="0.35">
      <c r="A1571" s="105" t="s">
        <v>134</v>
      </c>
      <c r="B1571" s="105" t="s">
        <v>1981</v>
      </c>
      <c r="C1571" s="105" t="s">
        <v>1982</v>
      </c>
      <c r="D1571" s="105" t="s">
        <v>1011</v>
      </c>
      <c r="E1571" s="95" t="str">
        <f>IFERROR(VLOOKUP(D1571,MATERIALES!A:B,2,FALSE()),"?")</f>
        <v>Recarga de garrafa</v>
      </c>
      <c r="F1571" s="129" t="str">
        <f>IFERROR(VLOOKUP(D1571,MATERIALES!A:C,3,FALSE()),"?")</f>
        <v>u</v>
      </c>
      <c r="G1571" s="119">
        <v>0.02</v>
      </c>
      <c r="H1571" s="120">
        <v>0.05</v>
      </c>
      <c r="I1571" s="96">
        <f>IFERROR(VLOOKUP(D1571,MATERIALES!A:D,4,FALSE()),0)</f>
        <v>15000</v>
      </c>
      <c r="J1571" s="31">
        <f t="shared" si="540"/>
        <v>315</v>
      </c>
      <c r="K1571" s="32" t="str">
        <f t="shared" si="533"/>
        <v>PTO-0506|MAT</v>
      </c>
      <c r="L1571" s="32">
        <f>COUNTIFS($K$2:K1571,K1571)</f>
        <v>8</v>
      </c>
      <c r="M1571" s="32" t="str">
        <f t="shared" si="539"/>
        <v>PTO-0506|MAT|8</v>
      </c>
      <c r="N1571" s="121">
        <f>IFERROR(VLOOKUP(A1571,PARTIDAS!A:F,6,FALSE()),0)</f>
        <v>1</v>
      </c>
      <c r="O1571" s="123">
        <f t="shared" si="541"/>
        <v>0</v>
      </c>
      <c r="P1571" s="123">
        <f>+_xlfn.XLOOKUP(A1571,PPTO_GENERADOR!Q:Q,PPTO_GENERADOR!E:E,"-",0)</f>
        <v>274</v>
      </c>
      <c r="Q1571" s="123">
        <f t="shared" si="542"/>
        <v>0</v>
      </c>
      <c r="R1571" s="125">
        <f>+_xlfn.XLOOKUP(A1571,PPTO_GENERADOR!$Q:$Q,PPTO_GENERADOR!A:A,"-",0)</f>
        <v>5.0599999999999996</v>
      </c>
    </row>
    <row r="1572" spans="1:18" ht="14.25" customHeight="1" x14ac:dyDescent="0.35">
      <c r="A1572" s="105" t="s">
        <v>134</v>
      </c>
      <c r="B1572" s="105" t="s">
        <v>1981</v>
      </c>
      <c r="C1572" s="105" t="s">
        <v>1982</v>
      </c>
      <c r="D1572" s="105" t="s">
        <v>1015</v>
      </c>
      <c r="E1572" s="95" t="str">
        <f>IFERROR(VLOOKUP(D1572,MATERIALES!A:B,2,FALSE()),"?")</f>
        <v>Costo adicional babetas MAT — 20% sobre MT/COR (PTO-0506)</v>
      </c>
      <c r="F1572" s="129" t="str">
        <f>IFERROR(VLOOKUP(D1572,MATERIALES!A:C,3,FALSE()),"?")</f>
        <v>gl</v>
      </c>
      <c r="G1572" s="119">
        <v>1743.3637419926499</v>
      </c>
      <c r="H1572" s="120">
        <v>0</v>
      </c>
      <c r="I1572" s="96">
        <f>IFERROR(VLOOKUP(D1572,MATERIALES!A:D,4,FALSE()),0)</f>
        <v>1</v>
      </c>
      <c r="J1572" s="31">
        <f t="shared" si="540"/>
        <v>1743.3637419926499</v>
      </c>
      <c r="K1572" s="32" t="str">
        <f t="shared" si="533"/>
        <v>PTO-0506|MAT</v>
      </c>
      <c r="L1572" s="32">
        <f>COUNTIFS($K$2:K1572,K1572)</f>
        <v>9</v>
      </c>
      <c r="M1572" s="32" t="str">
        <f t="shared" si="539"/>
        <v>PTO-0506|MAT|9</v>
      </c>
      <c r="N1572" s="121">
        <f>IFERROR(VLOOKUP(A1572,PARTIDAS!A:F,6,FALSE()),0)</f>
        <v>1</v>
      </c>
      <c r="O1572" s="123">
        <f t="shared" si="541"/>
        <v>0</v>
      </c>
      <c r="P1572" s="123">
        <f>+_xlfn.XLOOKUP(A1572,PPTO_GENERADOR!Q:Q,PPTO_GENERADOR!E:E,"-",0)</f>
        <v>274</v>
      </c>
      <c r="Q1572" s="123">
        <f t="shared" si="542"/>
        <v>0</v>
      </c>
      <c r="R1572" s="125">
        <f>+_xlfn.XLOOKUP(A1572,PPTO_GENERADOR!$Q:$Q,PPTO_GENERADOR!A:A,"-",0)</f>
        <v>5.0599999999999996</v>
      </c>
    </row>
    <row r="1573" spans="1:18" ht="14.25" customHeight="1" x14ac:dyDescent="0.35">
      <c r="A1573" s="105" t="s">
        <v>189</v>
      </c>
      <c r="B1573" s="105" t="s">
        <v>1983</v>
      </c>
      <c r="C1573" s="105"/>
      <c r="D1573" s="105" t="s">
        <v>1317</v>
      </c>
      <c r="E1573" s="95" t="str">
        <f>IFERROR(VLOOKUP(D1573,EQUIPOS!A:B,2,FALSE()),"?")</f>
        <v>CORTADORA CERAMICA PROFESIONAL 1200MM (PORCELANATO HASTA 16MM)</v>
      </c>
      <c r="F1573" s="129"/>
      <c r="G1573" s="119">
        <v>1</v>
      </c>
      <c r="H1573" s="120">
        <v>0</v>
      </c>
      <c r="I1573" s="96">
        <f>IFERROR(VLOOKUP(D1573,EQUIPOS!A:F,6,FALSE()),0)</f>
        <v>324.35467767922836</v>
      </c>
      <c r="J1573" s="31">
        <f t="shared" ref="J1573:J1589" si="543">G1573*I1573</f>
        <v>324.35467767922836</v>
      </c>
      <c r="K1573" s="32" t="str">
        <f t="shared" si="533"/>
        <v>PTO-1101|EQ</v>
      </c>
      <c r="L1573" s="32">
        <f>COUNTIFS($K$2:K1573,K1573)</f>
        <v>2</v>
      </c>
      <c r="M1573" s="32" t="str">
        <f t="shared" si="539"/>
        <v>PTO-1101|EQ|2</v>
      </c>
      <c r="N1573" s="121">
        <f>IFERROR(VLOOKUP(A1573,PARTIDAS!A:F,6,FALSE()),0)</f>
        <v>13</v>
      </c>
      <c r="O1573" s="123">
        <f t="shared" si="541"/>
        <v>0</v>
      </c>
      <c r="P1573" s="123">
        <f>+_xlfn.XLOOKUP(A1573,PPTO_GENERADOR!Q:Q,PPTO_GENERADOR!E:E,"-",0)</f>
        <v>101</v>
      </c>
      <c r="Q1573" s="123">
        <f t="shared" si="542"/>
        <v>0</v>
      </c>
      <c r="R1573" s="125">
        <f>+_xlfn.XLOOKUP(A1573,PPTO_GENERADOR!$Q:$Q,PPTO_GENERADOR!A:A,"-",0)</f>
        <v>11.01</v>
      </c>
    </row>
    <row r="1574" spans="1:18" ht="14.25" customHeight="1" x14ac:dyDescent="0.35">
      <c r="A1574" s="105" t="s">
        <v>192</v>
      </c>
      <c r="B1574" s="105" t="s">
        <v>1983</v>
      </c>
      <c r="C1574" s="105"/>
      <c r="D1574" s="105" t="s">
        <v>1317</v>
      </c>
      <c r="E1574" s="95" t="str">
        <f>IFERROR(VLOOKUP(D1574,EQUIPOS!A:B,2,FALSE()),"?")</f>
        <v>CORTADORA CERAMICA PROFESIONAL 1200MM (PORCELANATO HASTA 16MM)</v>
      </c>
      <c r="F1574" s="129"/>
      <c r="G1574" s="119">
        <v>1</v>
      </c>
      <c r="H1574" s="120">
        <v>0</v>
      </c>
      <c r="I1574" s="96">
        <f>IFERROR(VLOOKUP(D1574,EQUIPOS!A:F,6,FALSE()),0)</f>
        <v>324.35467767922836</v>
      </c>
      <c r="J1574" s="31">
        <f t="shared" si="543"/>
        <v>324.35467767922836</v>
      </c>
      <c r="K1574" s="32" t="str">
        <f t="shared" si="533"/>
        <v>PTO-1102|EQ</v>
      </c>
      <c r="L1574" s="32">
        <f>COUNTIFS($K$2:K1574,K1574)</f>
        <v>2</v>
      </c>
      <c r="M1574" s="32" t="str">
        <f t="shared" si="539"/>
        <v>PTO-1102|EQ|2</v>
      </c>
      <c r="N1574" s="121">
        <f>IFERROR(VLOOKUP(A1574,PARTIDAS!A:F,6,FALSE()),0)</f>
        <v>13</v>
      </c>
      <c r="O1574" s="123">
        <f t="shared" si="541"/>
        <v>0</v>
      </c>
      <c r="P1574" s="123">
        <f>+_xlfn.XLOOKUP(A1574,PPTO_GENERADOR!Q:Q,PPTO_GENERADOR!E:E,"-",0)</f>
        <v>898</v>
      </c>
      <c r="Q1574" s="123">
        <f t="shared" si="542"/>
        <v>0</v>
      </c>
      <c r="R1574" s="125">
        <f>+_xlfn.XLOOKUP(A1574,PPTO_GENERADOR!$Q:$Q,PPTO_GENERADOR!A:A,"-",0)</f>
        <v>11.02</v>
      </c>
    </row>
    <row r="1575" spans="1:18" ht="14.25" customHeight="1" x14ac:dyDescent="0.35">
      <c r="A1575" s="105" t="s">
        <v>194</v>
      </c>
      <c r="B1575" s="105" t="s">
        <v>1983</v>
      </c>
      <c r="C1575" s="105"/>
      <c r="D1575" s="105" t="s">
        <v>1317</v>
      </c>
      <c r="E1575" s="95" t="str">
        <f>IFERROR(VLOOKUP(D1575,EQUIPOS!A:B,2,FALSE()),"?")</f>
        <v>CORTADORA CERAMICA PROFESIONAL 1200MM (PORCELANATO HASTA 16MM)</v>
      </c>
      <c r="F1575" s="129"/>
      <c r="G1575" s="119">
        <v>1</v>
      </c>
      <c r="H1575" s="120">
        <v>0</v>
      </c>
      <c r="I1575" s="96">
        <f>IFERROR(VLOOKUP(D1575,EQUIPOS!A:F,6,FALSE()),0)</f>
        <v>324.35467767922836</v>
      </c>
      <c r="J1575" s="31">
        <f t="shared" si="543"/>
        <v>324.35467767922836</v>
      </c>
      <c r="K1575" s="32" t="str">
        <f t="shared" si="533"/>
        <v>PTO-1103|EQ</v>
      </c>
      <c r="L1575" s="32">
        <f>COUNTIFS($K$2:K1575,K1575)</f>
        <v>2</v>
      </c>
      <c r="M1575" s="32" t="str">
        <f t="shared" si="539"/>
        <v>PTO-1103|EQ|2</v>
      </c>
      <c r="N1575" s="121">
        <f>IFERROR(VLOOKUP(A1575,PARTIDAS!A:F,6,FALSE()),0)</f>
        <v>10</v>
      </c>
      <c r="O1575" s="123">
        <f t="shared" si="541"/>
        <v>0</v>
      </c>
      <c r="P1575" s="123">
        <f>+_xlfn.XLOOKUP(A1575,PPTO_GENERADOR!Q:Q,PPTO_GENERADOR!E:E,"-",0)</f>
        <v>88</v>
      </c>
      <c r="Q1575" s="123">
        <f t="shared" si="542"/>
        <v>0</v>
      </c>
      <c r="R1575" s="125">
        <f>+_xlfn.XLOOKUP(A1575,PPTO_GENERADOR!$Q:$Q,PPTO_GENERADOR!A:A,"-",0)</f>
        <v>11.03</v>
      </c>
    </row>
    <row r="1576" spans="1:18" ht="14.25" customHeight="1" x14ac:dyDescent="0.35">
      <c r="A1576" s="105" t="s">
        <v>197</v>
      </c>
      <c r="B1576" s="105" t="s">
        <v>1983</v>
      </c>
      <c r="C1576" s="105"/>
      <c r="D1576" s="105" t="s">
        <v>1317</v>
      </c>
      <c r="E1576" s="95" t="str">
        <f>IFERROR(VLOOKUP(D1576,EQUIPOS!A:B,2,FALSE()),"?")</f>
        <v>CORTADORA CERAMICA PROFESIONAL 1200MM (PORCELANATO HASTA 16MM)</v>
      </c>
      <c r="F1576" s="129"/>
      <c r="G1576" s="119">
        <v>1</v>
      </c>
      <c r="H1576" s="120">
        <v>0</v>
      </c>
      <c r="I1576" s="96">
        <f>IFERROR(VLOOKUP(D1576,EQUIPOS!A:F,6,FALSE()),0)</f>
        <v>324.35467767922836</v>
      </c>
      <c r="J1576" s="31">
        <f t="shared" si="543"/>
        <v>324.35467767922836</v>
      </c>
      <c r="K1576" s="32" t="str">
        <f t="shared" si="533"/>
        <v>PTO-1104|EQ</v>
      </c>
      <c r="L1576" s="32">
        <f>COUNTIFS($K$2:K1576,K1576)</f>
        <v>2</v>
      </c>
      <c r="M1576" s="32" t="str">
        <f t="shared" si="539"/>
        <v>PTO-1104|EQ|2</v>
      </c>
      <c r="N1576" s="121">
        <f>IFERROR(VLOOKUP(A1576,PARTIDAS!A:F,6,FALSE()),0)</f>
        <v>13</v>
      </c>
      <c r="O1576" s="123">
        <f t="shared" si="541"/>
        <v>0</v>
      </c>
      <c r="P1576" s="123">
        <f>+_xlfn.XLOOKUP(A1576,PPTO_GENERADOR!Q:Q,PPTO_GENERADOR!E:E,"-",0)</f>
        <v>63</v>
      </c>
      <c r="Q1576" s="123">
        <f t="shared" si="542"/>
        <v>0</v>
      </c>
      <c r="R1576" s="125">
        <f>+_xlfn.XLOOKUP(A1576,PPTO_GENERADOR!$Q:$Q,PPTO_GENERADOR!A:A,"-",0)</f>
        <v>11.04</v>
      </c>
    </row>
    <row r="1577" spans="1:18" ht="14.25" customHeight="1" x14ac:dyDescent="0.35">
      <c r="A1577" s="105" t="s">
        <v>204</v>
      </c>
      <c r="B1577" s="105" t="s">
        <v>1983</v>
      </c>
      <c r="C1577" s="105"/>
      <c r="D1577" s="105" t="s">
        <v>1317</v>
      </c>
      <c r="E1577" s="95" t="str">
        <f>IFERROR(VLOOKUP(D1577,EQUIPOS!A:B,2,FALSE()),"?")</f>
        <v>CORTADORA CERAMICA PROFESIONAL 1200MM (PORCELANATO HASTA 16MM)</v>
      </c>
      <c r="F1577" s="129"/>
      <c r="G1577" s="119">
        <v>1</v>
      </c>
      <c r="H1577" s="120">
        <v>0</v>
      </c>
      <c r="I1577" s="96">
        <f>IFERROR(VLOOKUP(D1577,EQUIPOS!A:F,6,FALSE()),0)</f>
        <v>324.35467767922836</v>
      </c>
      <c r="J1577" s="31">
        <f t="shared" si="543"/>
        <v>324.35467767922836</v>
      </c>
      <c r="K1577" s="32" t="str">
        <f t="shared" si="533"/>
        <v>PTO-1107|EQ</v>
      </c>
      <c r="L1577" s="32">
        <f>COUNTIFS($K$2:K1577,K1577)</f>
        <v>2</v>
      </c>
      <c r="M1577" s="32" t="str">
        <f t="shared" si="539"/>
        <v>PTO-1107|EQ|2</v>
      </c>
      <c r="N1577" s="121">
        <f>IFERROR(VLOOKUP(A1577,PARTIDAS!A:F,6,FALSE()),0)</f>
        <v>13</v>
      </c>
      <c r="O1577" s="123">
        <f t="shared" si="541"/>
        <v>0</v>
      </c>
      <c r="P1577" s="123">
        <f>+_xlfn.XLOOKUP(A1577,PPTO_GENERADOR!Q:Q,PPTO_GENERADOR!E:E,"-",0)</f>
        <v>180</v>
      </c>
      <c r="Q1577" s="123">
        <f t="shared" si="542"/>
        <v>0</v>
      </c>
      <c r="R1577" s="125">
        <f>+_xlfn.XLOOKUP(A1577,PPTO_GENERADOR!$Q:$Q,PPTO_GENERADOR!A:A,"-",0)</f>
        <v>11.07</v>
      </c>
    </row>
    <row r="1578" spans="1:18" ht="14.25" customHeight="1" x14ac:dyDescent="0.35">
      <c r="A1578" s="105" t="s">
        <v>208</v>
      </c>
      <c r="B1578" s="105" t="s">
        <v>1983</v>
      </c>
      <c r="C1578" s="105"/>
      <c r="D1578" s="105" t="s">
        <v>1317</v>
      </c>
      <c r="E1578" s="95" t="str">
        <f>IFERROR(VLOOKUP(D1578,EQUIPOS!A:B,2,FALSE()),"?")</f>
        <v>CORTADORA CERAMICA PROFESIONAL 1200MM (PORCELANATO HASTA 16MM)</v>
      </c>
      <c r="F1578" s="129"/>
      <c r="G1578" s="119">
        <v>1</v>
      </c>
      <c r="H1578" s="120">
        <v>0</v>
      </c>
      <c r="I1578" s="96">
        <f>IFERROR(VLOOKUP(D1578,EQUIPOS!A:F,6,FALSE()),0)</f>
        <v>324.35467767922836</v>
      </c>
      <c r="J1578" s="31">
        <f t="shared" si="543"/>
        <v>324.35467767922836</v>
      </c>
      <c r="K1578" s="32" t="str">
        <f t="shared" ref="K1578:K1603" si="544">A1578&amp;"|"&amp;B1578</f>
        <v>PTO-1202|EQ</v>
      </c>
      <c r="L1578" s="32">
        <f>COUNTIFS($K$2:K1578,K1578)</f>
        <v>2</v>
      </c>
      <c r="M1578" s="32" t="str">
        <f t="shared" si="539"/>
        <v>PTO-1202|EQ|2</v>
      </c>
      <c r="N1578" s="121">
        <f>IFERROR(VLOOKUP(A1578,PARTIDAS!A:F,6,FALSE()),0)</f>
        <v>30</v>
      </c>
      <c r="O1578" s="123">
        <f t="shared" si="541"/>
        <v>0</v>
      </c>
      <c r="P1578" s="123">
        <f>+_xlfn.XLOOKUP(A1578,PPTO_GENERADOR!Q:Q,PPTO_GENERADOR!E:E,"-",0)</f>
        <v>282</v>
      </c>
      <c r="Q1578" s="123">
        <f t="shared" si="542"/>
        <v>0</v>
      </c>
      <c r="R1578" s="125">
        <f>+_xlfn.XLOOKUP(A1578,PPTO_GENERADOR!$Q:$Q,PPTO_GENERADOR!A:A,"-",0)</f>
        <v>12.02</v>
      </c>
    </row>
    <row r="1579" spans="1:18" ht="14.25" customHeight="1" x14ac:dyDescent="0.35">
      <c r="A1579" s="105" t="s">
        <v>211</v>
      </c>
      <c r="B1579" s="105" t="s">
        <v>1983</v>
      </c>
      <c r="C1579" s="105"/>
      <c r="D1579" s="105" t="s">
        <v>1317</v>
      </c>
      <c r="E1579" s="95" t="str">
        <f>IFERROR(VLOOKUP(D1579,EQUIPOS!A:B,2,FALSE()),"?")</f>
        <v>CORTADORA CERAMICA PROFESIONAL 1200MM (PORCELANATO HASTA 16MM)</v>
      </c>
      <c r="F1579" s="129"/>
      <c r="G1579" s="119">
        <v>1</v>
      </c>
      <c r="H1579" s="120">
        <v>0</v>
      </c>
      <c r="I1579" s="96">
        <f>IFERROR(VLOOKUP(D1579,EQUIPOS!A:F,6,FALSE()),0)</f>
        <v>324.35467767922836</v>
      </c>
      <c r="J1579" s="31">
        <f t="shared" si="543"/>
        <v>324.35467767922836</v>
      </c>
      <c r="K1579" s="32" t="str">
        <f t="shared" si="544"/>
        <v>PTO-1203|EQ</v>
      </c>
      <c r="L1579" s="32">
        <f>COUNTIFS($K$2:K1579,K1579)</f>
        <v>2</v>
      </c>
      <c r="M1579" s="32" t="str">
        <f t="shared" si="539"/>
        <v>PTO-1203|EQ|2</v>
      </c>
      <c r="N1579" s="121">
        <f>IFERROR(VLOOKUP(A1579,PARTIDAS!A:F,6,FALSE()),0)</f>
        <v>30</v>
      </c>
      <c r="O1579" s="123">
        <f t="shared" si="541"/>
        <v>0</v>
      </c>
      <c r="P1579" s="123">
        <f>+_xlfn.XLOOKUP(A1579,PPTO_GENERADOR!Q:Q,PPTO_GENERADOR!E:E,"-",0)</f>
        <v>263</v>
      </c>
      <c r="Q1579" s="123">
        <f t="shared" si="542"/>
        <v>0</v>
      </c>
      <c r="R1579" s="125">
        <f>+_xlfn.XLOOKUP(A1579,PPTO_GENERADOR!$Q:$Q,PPTO_GENERADOR!A:A,"-",0)</f>
        <v>12.03</v>
      </c>
    </row>
    <row r="1580" spans="1:18" ht="14.25" customHeight="1" x14ac:dyDescent="0.35">
      <c r="A1580" s="105" t="s">
        <v>213</v>
      </c>
      <c r="B1580" s="105" t="s">
        <v>1983</v>
      </c>
      <c r="C1580" s="105"/>
      <c r="D1580" s="105" t="s">
        <v>1317</v>
      </c>
      <c r="E1580" s="95" t="str">
        <f>IFERROR(VLOOKUP(D1580,EQUIPOS!A:B,2,FALSE()),"?")</f>
        <v>CORTADORA CERAMICA PROFESIONAL 1200MM (PORCELANATO HASTA 16MM)</v>
      </c>
      <c r="F1580" s="129"/>
      <c r="G1580" s="119">
        <v>1</v>
      </c>
      <c r="H1580" s="120">
        <v>0</v>
      </c>
      <c r="I1580" s="96">
        <f>IFERROR(VLOOKUP(D1580,EQUIPOS!A:F,6,FALSE()),0)</f>
        <v>324.35467767922836</v>
      </c>
      <c r="J1580" s="31">
        <f t="shared" si="543"/>
        <v>324.35467767922836</v>
      </c>
      <c r="K1580" s="32" t="str">
        <f t="shared" si="544"/>
        <v>PTO-1204|EQ</v>
      </c>
      <c r="L1580" s="32">
        <f>COUNTIFS($K$2:K1580,K1580)</f>
        <v>2</v>
      </c>
      <c r="M1580" s="32" t="str">
        <f t="shared" si="539"/>
        <v>PTO-1204|EQ|2</v>
      </c>
      <c r="N1580" s="121">
        <f>IFERROR(VLOOKUP(A1580,PARTIDAS!A:F,6,FALSE()),0)</f>
        <v>30</v>
      </c>
      <c r="O1580" s="123">
        <f t="shared" si="541"/>
        <v>0</v>
      </c>
      <c r="P1580" s="123">
        <f>+_xlfn.XLOOKUP(A1580,PPTO_GENERADOR!Q:Q,PPTO_GENERADOR!E:E,"-",0)</f>
        <v>25</v>
      </c>
      <c r="Q1580" s="123">
        <f t="shared" si="542"/>
        <v>0</v>
      </c>
      <c r="R1580" s="125">
        <f>+_xlfn.XLOOKUP(A1580,PPTO_GENERADOR!$Q:$Q,PPTO_GENERADOR!A:A,"-",0)</f>
        <v>12.04</v>
      </c>
    </row>
    <row r="1581" spans="1:18" ht="14.25" customHeight="1" x14ac:dyDescent="0.35">
      <c r="A1581" s="105" t="s">
        <v>215</v>
      </c>
      <c r="B1581" s="105" t="s">
        <v>1983</v>
      </c>
      <c r="C1581" s="105"/>
      <c r="D1581" s="105" t="s">
        <v>1317</v>
      </c>
      <c r="E1581" s="95" t="str">
        <f>IFERROR(VLOOKUP(D1581,EQUIPOS!A:B,2,FALSE()),"?")</f>
        <v>CORTADORA CERAMICA PROFESIONAL 1200MM (PORCELANATO HASTA 16MM)</v>
      </c>
      <c r="F1581" s="129"/>
      <c r="G1581" s="119">
        <v>1</v>
      </c>
      <c r="H1581" s="120">
        <v>0</v>
      </c>
      <c r="I1581" s="96">
        <f>IFERROR(VLOOKUP(D1581,EQUIPOS!A:F,6,FALSE()),0)</f>
        <v>324.35467767922836</v>
      </c>
      <c r="J1581" s="31">
        <f t="shared" si="543"/>
        <v>324.35467767922836</v>
      </c>
      <c r="K1581" s="32" t="str">
        <f t="shared" si="544"/>
        <v>PTO-1301|EQ</v>
      </c>
      <c r="L1581" s="32">
        <f>COUNTIFS($K$2:K1581,K1581)</f>
        <v>2</v>
      </c>
      <c r="M1581" s="32" t="str">
        <f t="shared" si="539"/>
        <v>PTO-1301|EQ|2</v>
      </c>
      <c r="N1581" s="121">
        <f>IFERROR(VLOOKUP(A1581,PARTIDAS!A:F,6,FALSE()),0)</f>
        <v>10</v>
      </c>
      <c r="O1581" s="123">
        <f t="shared" si="541"/>
        <v>0</v>
      </c>
      <c r="P1581" s="123">
        <f>+_xlfn.XLOOKUP(A1581,PPTO_GENERADOR!Q:Q,PPTO_GENERADOR!E:E,"-",0)</f>
        <v>493</v>
      </c>
      <c r="Q1581" s="123">
        <f t="shared" si="542"/>
        <v>0</v>
      </c>
      <c r="R1581" s="125">
        <f>+_xlfn.XLOOKUP(A1581,PPTO_GENERADOR!$Q:$Q,PPTO_GENERADOR!A:A,"-",0)</f>
        <v>13.01</v>
      </c>
    </row>
    <row r="1582" spans="1:18" ht="14.25" customHeight="1" x14ac:dyDescent="0.35">
      <c r="A1582" s="105" t="s">
        <v>217</v>
      </c>
      <c r="B1582" s="105" t="s">
        <v>1983</v>
      </c>
      <c r="C1582" s="105"/>
      <c r="D1582" s="105" t="s">
        <v>1317</v>
      </c>
      <c r="E1582" s="95" t="str">
        <f>IFERROR(VLOOKUP(D1582,EQUIPOS!A:B,2,FALSE()),"?")</f>
        <v>CORTADORA CERAMICA PROFESIONAL 1200MM (PORCELANATO HASTA 16MM)</v>
      </c>
      <c r="F1582" s="129"/>
      <c r="G1582" s="119">
        <v>1</v>
      </c>
      <c r="H1582" s="120">
        <v>0</v>
      </c>
      <c r="I1582" s="96">
        <f>IFERROR(VLOOKUP(D1582,EQUIPOS!A:F,6,FALSE()),0)</f>
        <v>324.35467767922836</v>
      </c>
      <c r="J1582" s="31">
        <f t="shared" si="543"/>
        <v>324.35467767922836</v>
      </c>
      <c r="K1582" s="32" t="str">
        <f t="shared" si="544"/>
        <v>PTO-1302|EQ</v>
      </c>
      <c r="L1582" s="32">
        <f>COUNTIFS($K$2:K1582,K1582)</f>
        <v>2</v>
      </c>
      <c r="M1582" s="32" t="str">
        <f t="shared" si="539"/>
        <v>PTO-1302|EQ|2</v>
      </c>
      <c r="N1582" s="121">
        <f>IFERROR(VLOOKUP(A1582,PARTIDAS!A:F,6,FALSE()),0)</f>
        <v>10</v>
      </c>
      <c r="O1582" s="123">
        <f t="shared" si="541"/>
        <v>0</v>
      </c>
      <c r="P1582" s="123">
        <f>+_xlfn.XLOOKUP(A1582,PPTO_GENERADOR!Q:Q,PPTO_GENERADOR!E:E,"-",0)</f>
        <v>82</v>
      </c>
      <c r="Q1582" s="123">
        <f t="shared" si="542"/>
        <v>0</v>
      </c>
      <c r="R1582" s="125">
        <f>+_xlfn.XLOOKUP(A1582,PPTO_GENERADOR!$Q:$Q,PPTO_GENERADOR!A:A,"-",0)</f>
        <v>13.02</v>
      </c>
    </row>
    <row r="1583" spans="1:18" ht="14.25" customHeight="1" x14ac:dyDescent="0.35">
      <c r="A1583" s="105" t="s">
        <v>219</v>
      </c>
      <c r="B1583" s="105" t="s">
        <v>1983</v>
      </c>
      <c r="C1583" s="105"/>
      <c r="D1583" s="105" t="s">
        <v>1317</v>
      </c>
      <c r="E1583" s="95" t="str">
        <f>IFERROR(VLOOKUP(D1583,EQUIPOS!A:B,2,FALSE()),"?")</f>
        <v>CORTADORA CERAMICA PROFESIONAL 1200MM (PORCELANATO HASTA 16MM)</v>
      </c>
      <c r="F1583" s="129"/>
      <c r="G1583" s="119">
        <v>1</v>
      </c>
      <c r="H1583" s="120">
        <v>0</v>
      </c>
      <c r="I1583" s="96">
        <f>IFERROR(VLOOKUP(D1583,EQUIPOS!A:F,6,FALSE()),0)</f>
        <v>324.35467767922836</v>
      </c>
      <c r="J1583" s="31">
        <f t="shared" si="543"/>
        <v>324.35467767922836</v>
      </c>
      <c r="K1583" s="32" t="str">
        <f t="shared" si="544"/>
        <v>PTO-1303|EQ</v>
      </c>
      <c r="L1583" s="32">
        <f>COUNTIFS($K$2:K1583,K1583)</f>
        <v>2</v>
      </c>
      <c r="M1583" s="32" t="str">
        <f t="shared" si="539"/>
        <v>PTO-1303|EQ|2</v>
      </c>
      <c r="N1583" s="121">
        <f>IFERROR(VLOOKUP(A1583,PARTIDAS!A:F,6,FALSE()),0)</f>
        <v>30</v>
      </c>
      <c r="O1583" s="123">
        <f t="shared" si="541"/>
        <v>0</v>
      </c>
      <c r="P1583" s="123">
        <f>+_xlfn.XLOOKUP(A1583,PPTO_GENERADOR!Q:Q,PPTO_GENERADOR!E:E,"-",0)</f>
        <v>152</v>
      </c>
      <c r="Q1583" s="123">
        <f t="shared" si="542"/>
        <v>0</v>
      </c>
      <c r="R1583" s="125">
        <f>+_xlfn.XLOOKUP(A1583,PPTO_GENERADOR!$Q:$Q,PPTO_GENERADOR!A:A,"-",0)</f>
        <v>13.03</v>
      </c>
    </row>
    <row r="1584" spans="1:18" ht="14.25" customHeight="1" x14ac:dyDescent="0.35">
      <c r="A1584" s="105" t="s">
        <v>241</v>
      </c>
      <c r="B1584" s="105" t="s">
        <v>1983</v>
      </c>
      <c r="C1584" s="105"/>
      <c r="D1584" s="105" t="s">
        <v>1509</v>
      </c>
      <c r="E1584" s="95" t="str">
        <f>IFERROR(VLOOKUP(D1584,EQUIPOS!A:B,2,FALSE()),"?")</f>
        <v>Escalera madera pintor 8 escalones</v>
      </c>
      <c r="F1584" s="129"/>
      <c r="G1584" s="119">
        <v>1</v>
      </c>
      <c r="H1584" s="120">
        <v>0</v>
      </c>
      <c r="I1584" s="96">
        <f>IFERROR(VLOOKUP(D1584,EQUIPOS!A:F,6,FALSE()),0)</f>
        <v>217.65359719478195</v>
      </c>
      <c r="J1584" s="31">
        <f t="shared" si="543"/>
        <v>217.65359719478195</v>
      </c>
      <c r="K1584" s="32" t="str">
        <f t="shared" si="544"/>
        <v>PTO-1501|EQ</v>
      </c>
      <c r="L1584" s="32">
        <f>COUNTIFS($K$2:K1584,K1584)</f>
        <v>2</v>
      </c>
      <c r="M1584" s="32" t="str">
        <f t="shared" si="539"/>
        <v>PTO-1501|EQ|2</v>
      </c>
      <c r="N1584" s="121">
        <f>IFERROR(VLOOKUP(A1584,PARTIDAS!A:F,6,FALSE()),0)</f>
        <v>20</v>
      </c>
      <c r="O1584" s="123">
        <f t="shared" si="541"/>
        <v>0</v>
      </c>
      <c r="P1584" s="123">
        <f>+_xlfn.XLOOKUP(A1584,PPTO_GENERADOR!Q:Q,PPTO_GENERADOR!E:E,"-",0)</f>
        <v>2180</v>
      </c>
      <c r="Q1584" s="123">
        <f t="shared" si="542"/>
        <v>0</v>
      </c>
      <c r="R1584" s="125">
        <f>+_xlfn.XLOOKUP(A1584,PPTO_GENERADOR!$Q:$Q,PPTO_GENERADOR!A:A,"-",0)</f>
        <v>15.01</v>
      </c>
    </row>
    <row r="1585" spans="1:18" ht="14.25" customHeight="1" x14ac:dyDescent="0.35">
      <c r="A1585" s="105" t="s">
        <v>244</v>
      </c>
      <c r="B1585" s="105" t="s">
        <v>1983</v>
      </c>
      <c r="C1585" s="105"/>
      <c r="D1585" s="105" t="s">
        <v>1509</v>
      </c>
      <c r="E1585" s="95" t="str">
        <f>IFERROR(VLOOKUP(D1585,EQUIPOS!A:B,2,FALSE()),"?")</f>
        <v>Escalera madera pintor 8 escalones</v>
      </c>
      <c r="F1585" s="129"/>
      <c r="G1585" s="119">
        <v>1</v>
      </c>
      <c r="H1585" s="120">
        <v>0</v>
      </c>
      <c r="I1585" s="96">
        <f>IFERROR(VLOOKUP(D1585,EQUIPOS!A:F,6,FALSE()),0)</f>
        <v>217.65359719478195</v>
      </c>
      <c r="J1585" s="31">
        <f t="shared" si="543"/>
        <v>217.65359719478195</v>
      </c>
      <c r="K1585" s="32" t="str">
        <f t="shared" si="544"/>
        <v>PTO-1502|EQ</v>
      </c>
      <c r="L1585" s="32">
        <f>COUNTIFS($K$2:K1585,K1585)</f>
        <v>2</v>
      </c>
      <c r="M1585" s="32" t="str">
        <f t="shared" si="539"/>
        <v>PTO-1502|EQ|2</v>
      </c>
      <c r="N1585" s="121">
        <f>IFERROR(VLOOKUP(A1585,PARTIDAS!A:F,6,FALSE()),0)</f>
        <v>25</v>
      </c>
      <c r="O1585" s="123">
        <f t="shared" si="541"/>
        <v>0</v>
      </c>
      <c r="P1585" s="123">
        <f>+_xlfn.XLOOKUP(A1585,PPTO_GENERADOR!Q:Q,PPTO_GENERADOR!E:E,"-",0)</f>
        <v>525</v>
      </c>
      <c r="Q1585" s="123">
        <f t="shared" si="542"/>
        <v>0</v>
      </c>
      <c r="R1585" s="125">
        <f>+_xlfn.XLOOKUP(A1585,PPTO_GENERADOR!$Q:$Q,PPTO_GENERADOR!A:A,"-",0)</f>
        <v>15.02</v>
      </c>
    </row>
    <row r="1586" spans="1:18" ht="14.25" customHeight="1" x14ac:dyDescent="0.35">
      <c r="A1586" s="105" t="s">
        <v>247</v>
      </c>
      <c r="B1586" s="105" t="s">
        <v>1983</v>
      </c>
      <c r="C1586" s="105"/>
      <c r="D1586" s="105" t="s">
        <v>1509</v>
      </c>
      <c r="E1586" s="95" t="str">
        <f>IFERROR(VLOOKUP(D1586,EQUIPOS!A:B,2,FALSE()),"?")</f>
        <v>Escalera madera pintor 8 escalones</v>
      </c>
      <c r="F1586" s="129"/>
      <c r="G1586" s="119">
        <v>1</v>
      </c>
      <c r="H1586" s="120">
        <v>0</v>
      </c>
      <c r="I1586" s="96">
        <f>IFERROR(VLOOKUP(D1586,EQUIPOS!A:F,6,FALSE()),0)</f>
        <v>217.65359719478195</v>
      </c>
      <c r="J1586" s="31">
        <f t="shared" si="543"/>
        <v>217.65359719478195</v>
      </c>
      <c r="K1586" s="32" t="str">
        <f t="shared" si="544"/>
        <v>PTO-1503|EQ</v>
      </c>
      <c r="L1586" s="32">
        <f>COUNTIFS($K$2:K1586,K1586)</f>
        <v>3</v>
      </c>
      <c r="M1586" s="32" t="str">
        <f t="shared" si="539"/>
        <v>PTO-1503|EQ|3</v>
      </c>
      <c r="N1586" s="121">
        <f>IFERROR(VLOOKUP(A1586,PARTIDAS!A:F,6,FALSE()),0)</f>
        <v>17.5</v>
      </c>
      <c r="O1586" s="123">
        <f t="shared" si="541"/>
        <v>0</v>
      </c>
      <c r="P1586" s="123">
        <f>+_xlfn.XLOOKUP(A1586,PPTO_GENERADOR!Q:Q,PPTO_GENERADOR!E:E,"-",0)</f>
        <v>136</v>
      </c>
      <c r="Q1586" s="123">
        <f t="shared" si="542"/>
        <v>0</v>
      </c>
      <c r="R1586" s="125">
        <f>+_xlfn.XLOOKUP(A1586,PPTO_GENERADOR!$Q:$Q,PPTO_GENERADOR!A:A,"-",0)</f>
        <v>15.03</v>
      </c>
    </row>
    <row r="1587" spans="1:18" ht="14.25" customHeight="1" x14ac:dyDescent="0.35">
      <c r="A1587" s="105" t="s">
        <v>250</v>
      </c>
      <c r="B1587" s="105" t="s">
        <v>1983</v>
      </c>
      <c r="C1587" s="105"/>
      <c r="D1587" s="105" t="s">
        <v>1509</v>
      </c>
      <c r="E1587" s="95" t="str">
        <f>IFERROR(VLOOKUP(D1587,EQUIPOS!A:B,2,FALSE()),"?")</f>
        <v>Escalera madera pintor 8 escalones</v>
      </c>
      <c r="F1587" s="129"/>
      <c r="G1587" s="119">
        <v>1</v>
      </c>
      <c r="H1587" s="120">
        <v>0</v>
      </c>
      <c r="I1587" s="96">
        <f>IFERROR(VLOOKUP(D1587,EQUIPOS!A:F,6,FALSE()),0)</f>
        <v>217.65359719478195</v>
      </c>
      <c r="J1587" s="31">
        <f t="shared" si="543"/>
        <v>217.65359719478195</v>
      </c>
      <c r="K1587" s="32" t="str">
        <f t="shared" si="544"/>
        <v>PTO-1504|EQ</v>
      </c>
      <c r="L1587" s="32">
        <f>COUNTIFS($K$2:K1587,K1587)</f>
        <v>3</v>
      </c>
      <c r="M1587" s="32" t="str">
        <f t="shared" si="539"/>
        <v>PTO-1504|EQ|3</v>
      </c>
      <c r="N1587" s="121">
        <f>IFERROR(VLOOKUP(A1587,PARTIDAS!A:F,6,FALSE()),0)</f>
        <v>17.5</v>
      </c>
      <c r="O1587" s="123">
        <f t="shared" si="541"/>
        <v>0</v>
      </c>
      <c r="P1587" s="123">
        <f>+_xlfn.XLOOKUP(A1587,PPTO_GENERADOR!Q:Q,PPTO_GENERADOR!E:E,"-",0)</f>
        <v>296</v>
      </c>
      <c r="Q1587" s="123">
        <f t="shared" si="542"/>
        <v>0</v>
      </c>
      <c r="R1587" s="125">
        <f>+_xlfn.XLOOKUP(A1587,PPTO_GENERADOR!$Q:$Q,PPTO_GENERADOR!A:A,"-",0)</f>
        <v>15.04</v>
      </c>
    </row>
    <row r="1588" spans="1:18" ht="14.25" customHeight="1" x14ac:dyDescent="0.35">
      <c r="A1588" s="105" t="s">
        <v>252</v>
      </c>
      <c r="B1588" s="105" t="s">
        <v>1983</v>
      </c>
      <c r="C1588" s="105"/>
      <c r="D1588" s="105" t="s">
        <v>1509</v>
      </c>
      <c r="E1588" s="95" t="str">
        <f>IFERROR(VLOOKUP(D1588,EQUIPOS!A:B,2,FALSE()),"?")</f>
        <v>Escalera madera pintor 8 escalones</v>
      </c>
      <c r="F1588" s="129"/>
      <c r="G1588" s="119">
        <v>1</v>
      </c>
      <c r="H1588" s="120">
        <v>0</v>
      </c>
      <c r="I1588" s="96">
        <f>IFERROR(VLOOKUP(D1588,EQUIPOS!A:F,6,FALSE()),0)</f>
        <v>217.65359719478195</v>
      </c>
      <c r="J1588" s="31">
        <f t="shared" si="543"/>
        <v>217.65359719478195</v>
      </c>
      <c r="K1588" s="32" t="str">
        <f t="shared" si="544"/>
        <v>PTO-1505|EQ</v>
      </c>
      <c r="L1588" s="32">
        <f>COUNTIFS($K$2:K1588,K1588)</f>
        <v>2</v>
      </c>
      <c r="M1588" s="32" t="str">
        <f t="shared" si="539"/>
        <v>PTO-1505|EQ|2</v>
      </c>
      <c r="N1588" s="121">
        <f>IFERROR(VLOOKUP(A1588,PARTIDAS!A:F,6,FALSE()),0)</f>
        <v>20</v>
      </c>
      <c r="O1588" s="123">
        <f t="shared" si="541"/>
        <v>0</v>
      </c>
      <c r="P1588" s="123">
        <f>+_xlfn.XLOOKUP(A1588,PPTO_GENERADOR!Q:Q,PPTO_GENERADOR!E:E,"-",0)</f>
        <v>668</v>
      </c>
      <c r="Q1588" s="123">
        <f t="shared" si="542"/>
        <v>0</v>
      </c>
      <c r="R1588" s="125">
        <f>+_xlfn.XLOOKUP(A1588,PPTO_GENERADOR!$Q:$Q,PPTO_GENERADOR!A:A,"-",0)</f>
        <v>15.05</v>
      </c>
    </row>
    <row r="1589" spans="1:18" ht="14.25" customHeight="1" x14ac:dyDescent="0.35">
      <c r="A1589" s="105" t="s">
        <v>254</v>
      </c>
      <c r="B1589" s="105" t="s">
        <v>1983</v>
      </c>
      <c r="C1589" s="105"/>
      <c r="D1589" s="105" t="s">
        <v>1509</v>
      </c>
      <c r="E1589" s="95" t="str">
        <f>IFERROR(VLOOKUP(D1589,EQUIPOS!A:B,2,FALSE()),"?")</f>
        <v>Escalera madera pintor 8 escalones</v>
      </c>
      <c r="F1589" s="129"/>
      <c r="G1589" s="119">
        <v>1</v>
      </c>
      <c r="H1589" s="120">
        <v>0</v>
      </c>
      <c r="I1589" s="96">
        <f>IFERROR(VLOOKUP(D1589,EQUIPOS!A:F,6,FALSE()),0)</f>
        <v>217.65359719478195</v>
      </c>
      <c r="J1589" s="31">
        <f t="shared" si="543"/>
        <v>217.65359719478195</v>
      </c>
      <c r="K1589" s="32" t="str">
        <f t="shared" si="544"/>
        <v>PTO-1506|EQ</v>
      </c>
      <c r="L1589" s="32">
        <f>COUNTIFS($K$2:K1589,K1589)</f>
        <v>2</v>
      </c>
      <c r="M1589" s="32" t="str">
        <f t="shared" si="539"/>
        <v>PTO-1506|EQ|2</v>
      </c>
      <c r="N1589" s="121">
        <f>IFERROR(VLOOKUP(A1589,PARTIDAS!A:F,6,FALSE()),0)</f>
        <v>25</v>
      </c>
      <c r="O1589" s="123">
        <f t="shared" si="541"/>
        <v>0</v>
      </c>
      <c r="P1589" s="123">
        <f>+_xlfn.XLOOKUP(A1589,PPTO_GENERADOR!Q:Q,PPTO_GENERADOR!E:E,"-",0)</f>
        <v>281</v>
      </c>
      <c r="Q1589" s="123">
        <f t="shared" si="542"/>
        <v>0</v>
      </c>
      <c r="R1589" s="125">
        <f>+_xlfn.XLOOKUP(A1589,PPTO_GENERADOR!$Q:$Q,PPTO_GENERADOR!A:A,"-",0)</f>
        <v>15.06</v>
      </c>
    </row>
    <row r="1590" spans="1:18" ht="14.25" customHeight="1" x14ac:dyDescent="0.35">
      <c r="A1590" s="105" t="s">
        <v>1861</v>
      </c>
      <c r="B1590" s="105" t="s">
        <v>1981</v>
      </c>
      <c r="C1590" s="105" t="s">
        <v>1982</v>
      </c>
      <c r="D1590" s="105" t="s">
        <v>1021</v>
      </c>
      <c r="E1590" s="95" t="str">
        <f>IFERROR(VLOOKUP(D1590,MATERIALES!A:B,2,FALSE()),"?")</f>
        <v>Pastina Klaukol x 1kg - Alta performance</v>
      </c>
      <c r="F1590" s="129" t="str">
        <f>IFERROR(VLOOKUP(D1590,MATERIALES!A:C,3,FALSE()),"?")</f>
        <v>bol</v>
      </c>
      <c r="G1590" s="119">
        <v>0.2</v>
      </c>
      <c r="H1590" s="120">
        <v>0.05</v>
      </c>
      <c r="I1590" s="96">
        <f>IFERROR(VLOOKUP(D1590,MATERIALES!A:D,4,FALSE()),0)</f>
        <v>3720.15</v>
      </c>
      <c r="J1590" s="31">
        <f t="shared" ref="J1590:J1603" si="545">G1590*I1590*(1+H1590)</f>
        <v>781.2315000000001</v>
      </c>
      <c r="K1590" s="32" t="str">
        <f t="shared" si="544"/>
        <v>PIR-056|MAT</v>
      </c>
      <c r="L1590" s="32">
        <f>COUNTIFS($K$2:K1590,K1590)</f>
        <v>5</v>
      </c>
      <c r="M1590" s="32" t="str">
        <f t="shared" si="539"/>
        <v>PIR-056|MAT|5</v>
      </c>
      <c r="N1590" s="121">
        <f>IFERROR(VLOOKUP(A1590,PARTIDAS!A:F,6,FALSE()),0)</f>
        <v>13</v>
      </c>
      <c r="O1590" s="123">
        <f t="shared" si="541"/>
        <v>0</v>
      </c>
      <c r="P1590" s="123" t="str">
        <f>+_xlfn.XLOOKUP(A1590,PPTO_GENERADOR!Q:Q,PPTO_GENERADOR!E:E,"-",0)</f>
        <v>-</v>
      </c>
      <c r="Q1590" s="123">
        <f t="shared" si="542"/>
        <v>0</v>
      </c>
      <c r="R1590" s="125" t="str">
        <f>+_xlfn.XLOOKUP(A1590,PPTO_GENERADOR!$Q:$Q,PPTO_GENERADOR!A:A,"-",0)</f>
        <v>-</v>
      </c>
    </row>
    <row r="1591" spans="1:18" ht="14.25" customHeight="1" x14ac:dyDescent="0.35">
      <c r="A1591" s="105" t="s">
        <v>1865</v>
      </c>
      <c r="B1591" s="105" t="s">
        <v>1981</v>
      </c>
      <c r="C1591" s="105" t="s">
        <v>1982</v>
      </c>
      <c r="D1591" s="105" t="s">
        <v>1021</v>
      </c>
      <c r="E1591" s="95" t="str">
        <f>IFERROR(VLOOKUP(D1591,MATERIALES!A:B,2,FALSE()),"?")</f>
        <v>Pastina Klaukol x 1kg - Alta performance</v>
      </c>
      <c r="F1591" s="129" t="str">
        <f>IFERROR(VLOOKUP(D1591,MATERIALES!A:C,3,FALSE()),"?")</f>
        <v>bol</v>
      </c>
      <c r="G1591" s="119">
        <v>0.2</v>
      </c>
      <c r="H1591" s="120">
        <v>0.05</v>
      </c>
      <c r="I1591" s="96">
        <f>IFERROR(VLOOKUP(D1591,MATERIALES!A:D,4,FALSE()),0)</f>
        <v>3720.15</v>
      </c>
      <c r="J1591" s="31">
        <f t="shared" si="545"/>
        <v>781.2315000000001</v>
      </c>
      <c r="K1591" s="32" t="str">
        <f t="shared" si="544"/>
        <v>PIR-057|MAT</v>
      </c>
      <c r="L1591" s="32">
        <f>COUNTIFS($K$2:K1591,K1591)</f>
        <v>5</v>
      </c>
      <c r="M1591" s="32" t="str">
        <f t="shared" si="539"/>
        <v>PIR-057|MAT|5</v>
      </c>
      <c r="N1591" s="121">
        <f>IFERROR(VLOOKUP(A1591,PARTIDAS!A:F,6,FALSE()),0)</f>
        <v>10</v>
      </c>
      <c r="O1591" s="123">
        <f t="shared" si="541"/>
        <v>0</v>
      </c>
      <c r="P1591" s="123" t="str">
        <f>+_xlfn.XLOOKUP(A1591,PPTO_GENERADOR!Q:Q,PPTO_GENERADOR!E:E,"-",0)</f>
        <v>-</v>
      </c>
      <c r="Q1591" s="123">
        <f t="shared" si="542"/>
        <v>0</v>
      </c>
      <c r="R1591" s="125" t="str">
        <f>+_xlfn.XLOOKUP(A1591,PPTO_GENERADOR!$Q:$Q,PPTO_GENERADOR!A:A,"-",0)</f>
        <v>-</v>
      </c>
    </row>
    <row r="1592" spans="1:18" ht="14.25" customHeight="1" x14ac:dyDescent="0.35">
      <c r="A1592" s="105" t="s">
        <v>189</v>
      </c>
      <c r="B1592" s="105" t="s">
        <v>1981</v>
      </c>
      <c r="C1592" s="105" t="s">
        <v>1982</v>
      </c>
      <c r="D1592" s="105" t="s">
        <v>1021</v>
      </c>
      <c r="E1592" s="95" t="str">
        <f>IFERROR(VLOOKUP(D1592,MATERIALES!A:B,2,FALSE()),"?")</f>
        <v>Pastina Klaukol x 1kg - Alta performance</v>
      </c>
      <c r="F1592" s="129" t="str">
        <f>IFERROR(VLOOKUP(D1592,MATERIALES!A:C,3,FALSE()),"?")</f>
        <v>bol</v>
      </c>
      <c r="G1592" s="119">
        <v>0.2</v>
      </c>
      <c r="H1592" s="120">
        <v>0.05</v>
      </c>
      <c r="I1592" s="96">
        <f>IFERROR(VLOOKUP(D1592,MATERIALES!A:D,4,FALSE()),0)</f>
        <v>3720.15</v>
      </c>
      <c r="J1592" s="31">
        <f t="shared" si="545"/>
        <v>781.2315000000001</v>
      </c>
      <c r="K1592" s="32" t="str">
        <f t="shared" si="544"/>
        <v>PTO-1101|MAT</v>
      </c>
      <c r="L1592" s="32">
        <f>COUNTIFS($K$2:K1592,K1592)</f>
        <v>5</v>
      </c>
      <c r="M1592" s="32" t="str">
        <f t="shared" si="539"/>
        <v>PTO-1101|MAT|5</v>
      </c>
      <c r="N1592" s="121">
        <f>IFERROR(VLOOKUP(A1592,PARTIDAS!A:F,6,FALSE()),0)</f>
        <v>13</v>
      </c>
      <c r="O1592" s="123">
        <f t="shared" si="541"/>
        <v>0</v>
      </c>
      <c r="P1592" s="123">
        <f>+_xlfn.XLOOKUP(A1592,PPTO_GENERADOR!Q:Q,PPTO_GENERADOR!E:E,"-",0)</f>
        <v>101</v>
      </c>
      <c r="Q1592" s="123">
        <f t="shared" si="542"/>
        <v>0</v>
      </c>
      <c r="R1592" s="125">
        <f>+_xlfn.XLOOKUP(A1592,PPTO_GENERADOR!$Q:$Q,PPTO_GENERADOR!A:A,"-",0)</f>
        <v>11.01</v>
      </c>
    </row>
    <row r="1593" spans="1:18" ht="14.25" customHeight="1" x14ac:dyDescent="0.35">
      <c r="A1593" s="105" t="s">
        <v>192</v>
      </c>
      <c r="B1593" s="105" t="s">
        <v>1981</v>
      </c>
      <c r="C1593" s="105" t="s">
        <v>1982</v>
      </c>
      <c r="D1593" s="105" t="s">
        <v>1021</v>
      </c>
      <c r="E1593" s="95" t="str">
        <f>IFERROR(VLOOKUP(D1593,MATERIALES!A:B,2,FALSE()),"?")</f>
        <v>Pastina Klaukol x 1kg - Alta performance</v>
      </c>
      <c r="F1593" s="129" t="str">
        <f>IFERROR(VLOOKUP(D1593,MATERIALES!A:C,3,FALSE()),"?")</f>
        <v>bol</v>
      </c>
      <c r="G1593" s="119">
        <v>0.2</v>
      </c>
      <c r="H1593" s="120">
        <v>0.05</v>
      </c>
      <c r="I1593" s="96">
        <f>IFERROR(VLOOKUP(D1593,MATERIALES!A:D,4,FALSE()),0)</f>
        <v>3720.15</v>
      </c>
      <c r="J1593" s="31">
        <f t="shared" si="545"/>
        <v>781.2315000000001</v>
      </c>
      <c r="K1593" s="32" t="str">
        <f t="shared" si="544"/>
        <v>PTO-1102|MAT</v>
      </c>
      <c r="L1593" s="32">
        <f>COUNTIFS($K$2:K1593,K1593)</f>
        <v>5</v>
      </c>
      <c r="M1593" s="32" t="str">
        <f t="shared" si="539"/>
        <v>PTO-1102|MAT|5</v>
      </c>
      <c r="N1593" s="121">
        <f>IFERROR(VLOOKUP(A1593,PARTIDAS!A:F,6,FALSE()),0)</f>
        <v>13</v>
      </c>
      <c r="O1593" s="123">
        <f t="shared" si="541"/>
        <v>0</v>
      </c>
      <c r="P1593" s="123">
        <f>+_xlfn.XLOOKUP(A1593,PPTO_GENERADOR!Q:Q,PPTO_GENERADOR!E:E,"-",0)</f>
        <v>898</v>
      </c>
      <c r="Q1593" s="123">
        <f t="shared" si="542"/>
        <v>0</v>
      </c>
      <c r="R1593" s="125">
        <f>+_xlfn.XLOOKUP(A1593,PPTO_GENERADOR!$Q:$Q,PPTO_GENERADOR!A:A,"-",0)</f>
        <v>11.02</v>
      </c>
    </row>
    <row r="1594" spans="1:18" ht="14.25" customHeight="1" x14ac:dyDescent="0.35">
      <c r="A1594" s="105" t="s">
        <v>194</v>
      </c>
      <c r="B1594" s="105" t="s">
        <v>1981</v>
      </c>
      <c r="C1594" s="105" t="s">
        <v>1982</v>
      </c>
      <c r="D1594" s="105" t="s">
        <v>1021</v>
      </c>
      <c r="E1594" s="95" t="str">
        <f>IFERROR(VLOOKUP(D1594,MATERIALES!A:B,2,FALSE()),"?")</f>
        <v>Pastina Klaukol x 1kg - Alta performance</v>
      </c>
      <c r="F1594" s="129" t="str">
        <f>IFERROR(VLOOKUP(D1594,MATERIALES!A:C,3,FALSE()),"?")</f>
        <v>bol</v>
      </c>
      <c r="G1594" s="119">
        <v>0.2</v>
      </c>
      <c r="H1594" s="120">
        <v>0.05</v>
      </c>
      <c r="I1594" s="96">
        <f>IFERROR(VLOOKUP(D1594,MATERIALES!A:D,4,FALSE()),0)</f>
        <v>3720.15</v>
      </c>
      <c r="J1594" s="31">
        <f t="shared" si="545"/>
        <v>781.2315000000001</v>
      </c>
      <c r="K1594" s="32" t="str">
        <f t="shared" si="544"/>
        <v>PTO-1103|MAT</v>
      </c>
      <c r="L1594" s="32">
        <f>COUNTIFS($K$2:K1594,K1594)</f>
        <v>5</v>
      </c>
      <c r="M1594" s="32" t="str">
        <f t="shared" ref="M1594:M1603" si="546">K1594&amp;"|"&amp;L1594</f>
        <v>PTO-1103|MAT|5</v>
      </c>
      <c r="N1594" s="121">
        <f>IFERROR(VLOOKUP(A1594,PARTIDAS!A:F,6,FALSE()),0)</f>
        <v>10</v>
      </c>
      <c r="O1594" s="123">
        <f t="shared" si="541"/>
        <v>0</v>
      </c>
      <c r="P1594" s="123">
        <f>+_xlfn.XLOOKUP(A1594,PPTO_GENERADOR!Q:Q,PPTO_GENERADOR!E:E,"-",0)</f>
        <v>88</v>
      </c>
      <c r="Q1594" s="123">
        <f t="shared" si="542"/>
        <v>0</v>
      </c>
      <c r="R1594" s="125">
        <f>+_xlfn.XLOOKUP(A1594,PPTO_GENERADOR!$Q:$Q,PPTO_GENERADOR!A:A,"-",0)</f>
        <v>11.03</v>
      </c>
    </row>
    <row r="1595" spans="1:18" ht="14.25" customHeight="1" x14ac:dyDescent="0.35">
      <c r="A1595" s="105" t="s">
        <v>197</v>
      </c>
      <c r="B1595" s="105" t="s">
        <v>1981</v>
      </c>
      <c r="C1595" s="105" t="s">
        <v>1982</v>
      </c>
      <c r="D1595" s="105" t="s">
        <v>1021</v>
      </c>
      <c r="E1595" s="95" t="str">
        <f>IFERROR(VLOOKUP(D1595,MATERIALES!A:B,2,FALSE()),"?")</f>
        <v>Pastina Klaukol x 1kg - Alta performance</v>
      </c>
      <c r="F1595" s="129" t="str">
        <f>IFERROR(VLOOKUP(D1595,MATERIALES!A:C,3,FALSE()),"?")</f>
        <v>bol</v>
      </c>
      <c r="G1595" s="119">
        <v>0.2</v>
      </c>
      <c r="H1595" s="120">
        <v>0.05</v>
      </c>
      <c r="I1595" s="96">
        <f>IFERROR(VLOOKUP(D1595,MATERIALES!A:D,4,FALSE()),0)</f>
        <v>3720.15</v>
      </c>
      <c r="J1595" s="31">
        <f t="shared" si="545"/>
        <v>781.2315000000001</v>
      </c>
      <c r="K1595" s="32" t="str">
        <f t="shared" si="544"/>
        <v>PTO-1104|MAT</v>
      </c>
      <c r="L1595" s="32">
        <f>COUNTIFS($K$2:K1595,K1595)</f>
        <v>5</v>
      </c>
      <c r="M1595" s="32" t="str">
        <f t="shared" si="546"/>
        <v>PTO-1104|MAT|5</v>
      </c>
      <c r="N1595" s="121">
        <f>IFERROR(VLOOKUP(A1595,PARTIDAS!A:F,6,FALSE()),0)</f>
        <v>13</v>
      </c>
      <c r="O1595" s="123">
        <f t="shared" si="541"/>
        <v>0</v>
      </c>
      <c r="P1595" s="123">
        <f>+_xlfn.XLOOKUP(A1595,PPTO_GENERADOR!Q:Q,PPTO_GENERADOR!E:E,"-",0)</f>
        <v>63</v>
      </c>
      <c r="Q1595" s="123">
        <f t="shared" si="542"/>
        <v>0</v>
      </c>
      <c r="R1595" s="125">
        <f>+_xlfn.XLOOKUP(A1595,PPTO_GENERADOR!$Q:$Q,PPTO_GENERADOR!A:A,"-",0)</f>
        <v>11.04</v>
      </c>
    </row>
    <row r="1596" spans="1:18" ht="14.25" customHeight="1" x14ac:dyDescent="0.35">
      <c r="A1596" s="105" t="s">
        <v>204</v>
      </c>
      <c r="B1596" s="105" t="s">
        <v>1981</v>
      </c>
      <c r="C1596" s="105" t="s">
        <v>1982</v>
      </c>
      <c r="D1596" s="105" t="s">
        <v>1021</v>
      </c>
      <c r="E1596" s="95" t="str">
        <f>IFERROR(VLOOKUP(D1596,MATERIALES!A:B,2,FALSE()),"?")</f>
        <v>Pastina Klaukol x 1kg - Alta performance</v>
      </c>
      <c r="F1596" s="129" t="str">
        <f>IFERROR(VLOOKUP(D1596,MATERIALES!A:C,3,FALSE()),"?")</f>
        <v>bol</v>
      </c>
      <c r="G1596" s="119">
        <v>0.2</v>
      </c>
      <c r="H1596" s="120">
        <v>0.05</v>
      </c>
      <c r="I1596" s="96">
        <f>IFERROR(VLOOKUP(D1596,MATERIALES!A:D,4,FALSE()),0)</f>
        <v>3720.15</v>
      </c>
      <c r="J1596" s="31">
        <f t="shared" si="545"/>
        <v>781.2315000000001</v>
      </c>
      <c r="K1596" s="32" t="str">
        <f t="shared" si="544"/>
        <v>PTO-1107|MAT</v>
      </c>
      <c r="L1596" s="32">
        <f>COUNTIFS($K$2:K1596,K1596)</f>
        <v>5</v>
      </c>
      <c r="M1596" s="32" t="str">
        <f t="shared" si="546"/>
        <v>PTO-1107|MAT|5</v>
      </c>
      <c r="N1596" s="121">
        <f>IFERROR(VLOOKUP(A1596,PARTIDAS!A:F,6,FALSE()),0)</f>
        <v>13</v>
      </c>
      <c r="O1596" s="123">
        <f t="shared" si="541"/>
        <v>0</v>
      </c>
      <c r="P1596" s="123">
        <f>+_xlfn.XLOOKUP(A1596,PPTO_GENERADOR!Q:Q,PPTO_GENERADOR!E:E,"-",0)</f>
        <v>180</v>
      </c>
      <c r="Q1596" s="123">
        <f t="shared" si="542"/>
        <v>0</v>
      </c>
      <c r="R1596" s="125">
        <f>+_xlfn.XLOOKUP(A1596,PPTO_GENERADOR!$Q:$Q,PPTO_GENERADOR!A:A,"-",0)</f>
        <v>11.07</v>
      </c>
    </row>
    <row r="1597" spans="1:18" ht="14.25" customHeight="1" x14ac:dyDescent="0.35">
      <c r="A1597" s="105" t="s">
        <v>1739</v>
      </c>
      <c r="B1597" s="105" t="s">
        <v>1981</v>
      </c>
      <c r="C1597" s="105" t="s">
        <v>1982</v>
      </c>
      <c r="D1597" s="105" t="s">
        <v>542</v>
      </c>
      <c r="E1597" s="95" t="str">
        <f>IFERROR(VLOOKUP(D1597,MATERIALES!A:B,2,FALSE()),"?")</f>
        <v>Cal Comun x 25kg</v>
      </c>
      <c r="F1597" s="129">
        <f>IFERROR(VLOOKUP(D1597,MATERIALES!A:C,3,FALSE()),"?")</f>
        <v>0</v>
      </c>
      <c r="G1597" s="119">
        <v>0.1</v>
      </c>
      <c r="H1597" s="120">
        <v>0.1</v>
      </c>
      <c r="I1597" s="96">
        <f>IFERROR(VLOOKUP(D1597,MATERIALES!A:D,4,FALSE()),0)</f>
        <v>3927.28</v>
      </c>
      <c r="J1597" s="31">
        <f t="shared" si="545"/>
        <v>432.00080000000008</v>
      </c>
      <c r="K1597" s="32" t="str">
        <f t="shared" si="544"/>
        <v>YES-118|MAT</v>
      </c>
      <c r="L1597" s="32">
        <f>COUNTIFS($K$2:K1597,K1597)</f>
        <v>6</v>
      </c>
      <c r="M1597" s="32" t="str">
        <f t="shared" si="546"/>
        <v>YES-118|MAT|6</v>
      </c>
      <c r="N1597" s="121">
        <f>IFERROR(VLOOKUP(A1597,PARTIDAS!A:F,6,FALSE()),0)</f>
        <v>11.5</v>
      </c>
      <c r="O1597" s="123">
        <f t="shared" si="541"/>
        <v>0</v>
      </c>
      <c r="P1597" s="123" t="str">
        <f>+_xlfn.XLOOKUP(A1597,PPTO_GENERADOR!Q:Q,PPTO_GENERADOR!E:E,"-",0)</f>
        <v>-</v>
      </c>
      <c r="Q1597" s="123">
        <f t="shared" si="542"/>
        <v>0</v>
      </c>
      <c r="R1597" s="125" t="str">
        <f>+_xlfn.XLOOKUP(A1597,PPTO_GENERADOR!$Q:$Q,PPTO_GENERADOR!A:A,"-",0)</f>
        <v>-</v>
      </c>
    </row>
    <row r="1598" spans="1:18" ht="14.25" customHeight="1" x14ac:dyDescent="0.35">
      <c r="A1598" s="105" t="s">
        <v>1743</v>
      </c>
      <c r="B1598" s="105" t="s">
        <v>1981</v>
      </c>
      <c r="C1598" s="105" t="s">
        <v>1982</v>
      </c>
      <c r="D1598" s="105" t="s">
        <v>542</v>
      </c>
      <c r="E1598" s="95" t="str">
        <f>IFERROR(VLOOKUP(D1598,MATERIALES!A:B,2,FALSE()),"?")</f>
        <v>Cal Comun x 25kg</v>
      </c>
      <c r="F1598" s="129">
        <f>IFERROR(VLOOKUP(D1598,MATERIALES!A:C,3,FALSE()),"?")</f>
        <v>0</v>
      </c>
      <c r="G1598" s="119">
        <v>0.12</v>
      </c>
      <c r="H1598" s="120">
        <v>0.1</v>
      </c>
      <c r="I1598" s="96">
        <f>IFERROR(VLOOKUP(D1598,MATERIALES!A:D,4,FALSE()),0)</f>
        <v>3927.28</v>
      </c>
      <c r="J1598" s="31">
        <f t="shared" si="545"/>
        <v>518.40096000000005</v>
      </c>
      <c r="K1598" s="32" t="str">
        <f t="shared" si="544"/>
        <v>PIN-119|MAT</v>
      </c>
      <c r="L1598" s="32">
        <f>COUNTIFS($K$2:K1598,K1598)</f>
        <v>6</v>
      </c>
      <c r="M1598" s="32" t="str">
        <f t="shared" si="546"/>
        <v>PIN-119|MAT|6</v>
      </c>
      <c r="N1598" s="121">
        <f>IFERROR(VLOOKUP(A1598,PARTIDAS!A:F,6,FALSE()),0)</f>
        <v>11.5</v>
      </c>
      <c r="O1598" s="123">
        <f t="shared" si="541"/>
        <v>0</v>
      </c>
      <c r="P1598" s="123" t="str">
        <f>+_xlfn.XLOOKUP(A1598,PPTO_GENERADOR!Q:Q,PPTO_GENERADOR!E:E,"-",0)</f>
        <v>-</v>
      </c>
      <c r="Q1598" s="123">
        <f t="shared" si="542"/>
        <v>0</v>
      </c>
      <c r="R1598" s="125" t="str">
        <f>+_xlfn.XLOOKUP(A1598,PPTO_GENERADOR!$Q:$Q,PPTO_GENERADOR!A:A,"-",0)</f>
        <v>-</v>
      </c>
    </row>
    <row r="1599" spans="1:18" ht="14.25" customHeight="1" x14ac:dyDescent="0.35">
      <c r="A1599" s="105" t="s">
        <v>1815</v>
      </c>
      <c r="B1599" s="105" t="s">
        <v>1981</v>
      </c>
      <c r="C1599" s="105" t="s">
        <v>1982</v>
      </c>
      <c r="D1599" s="105" t="s">
        <v>1035</v>
      </c>
      <c r="E1599" s="95" t="str">
        <f>IFERROR(VLOOKUP(D1599,MATERIALES!A:B,2,FALSE()),"?")</f>
        <v>Cal Milagro x 25kg (Cal Hidráulica)</v>
      </c>
      <c r="F1599" s="129" t="str">
        <f>IFERROR(VLOOKUP(D1599,MATERIALES!A:C,3,FALSE()),"?")</f>
        <v>bol</v>
      </c>
      <c r="G1599" s="119">
        <v>6.4000000000000001E-2</v>
      </c>
      <c r="H1599" s="120">
        <v>0.1</v>
      </c>
      <c r="I1599" s="96">
        <f>IFERROR(VLOOKUP(D1599,MATERIALES!A:D,4,FALSE()),0)</f>
        <v>12798.14</v>
      </c>
      <c r="J1599" s="31">
        <f t="shared" si="545"/>
        <v>900.98905600000012</v>
      </c>
      <c r="K1599" s="32" t="str">
        <f t="shared" si="544"/>
        <v>REV-043|MAT</v>
      </c>
      <c r="L1599" s="32">
        <f>COUNTIFS($K$2:K1599,K1599)</f>
        <v>4</v>
      </c>
      <c r="M1599" s="32" t="str">
        <f t="shared" si="546"/>
        <v>REV-043|MAT|4</v>
      </c>
      <c r="N1599" s="121">
        <f>IFERROR(VLOOKUP(A1599,PARTIDAS!A:F,6,FALSE()),0)</f>
        <v>6</v>
      </c>
      <c r="O1599" s="123">
        <f t="shared" si="541"/>
        <v>0</v>
      </c>
      <c r="P1599" s="123" t="str">
        <f>+_xlfn.XLOOKUP(A1599,PPTO_GENERADOR!Q:Q,PPTO_GENERADOR!E:E,"-",0)</f>
        <v>-</v>
      </c>
      <c r="Q1599" s="123">
        <f t="shared" si="542"/>
        <v>0</v>
      </c>
      <c r="R1599" s="125" t="str">
        <f>+_xlfn.XLOOKUP(A1599,PPTO_GENERADOR!$Q:$Q,PPTO_GENERADOR!A:A,"-",0)</f>
        <v>-</v>
      </c>
    </row>
    <row r="1600" spans="1:18" ht="14.25" customHeight="1" x14ac:dyDescent="0.35">
      <c r="A1600" s="105" t="s">
        <v>146</v>
      </c>
      <c r="B1600" s="105" t="s">
        <v>1981</v>
      </c>
      <c r="C1600" s="105" t="s">
        <v>1982</v>
      </c>
      <c r="D1600" s="105" t="s">
        <v>1035</v>
      </c>
      <c r="E1600" s="95" t="str">
        <f>IFERROR(VLOOKUP(D1600,MATERIALES!A:B,2,FALSE()),"?")</f>
        <v>Cal Milagro x 25kg (Cal Hidráulica)</v>
      </c>
      <c r="F1600" s="129" t="str">
        <f>IFERROR(VLOOKUP(D1600,MATERIALES!A:C,3,FALSE()),"?")</f>
        <v>bol</v>
      </c>
      <c r="G1600" s="119">
        <v>6.4000000000000001E-2</v>
      </c>
      <c r="H1600" s="120">
        <v>0.1</v>
      </c>
      <c r="I1600" s="96">
        <f>IFERROR(VLOOKUP(D1600,MATERIALES!A:D,4,FALSE()),0)</f>
        <v>12798.14</v>
      </c>
      <c r="J1600" s="31">
        <f t="shared" si="545"/>
        <v>900.98905600000012</v>
      </c>
      <c r="K1600" s="32" t="str">
        <f t="shared" si="544"/>
        <v>PTO-0704|MAT</v>
      </c>
      <c r="L1600" s="32">
        <f>COUNTIFS($K$2:K1600,K1600)</f>
        <v>4</v>
      </c>
      <c r="M1600" s="32" t="str">
        <f t="shared" si="546"/>
        <v>PTO-0704|MAT|4</v>
      </c>
      <c r="N1600" s="121">
        <f>IFERROR(VLOOKUP(A1600,PARTIDAS!A:F,6,FALSE()),0)</f>
        <v>6</v>
      </c>
      <c r="O1600" s="123">
        <f t="shared" si="541"/>
        <v>0</v>
      </c>
      <c r="P1600" s="123">
        <f>+_xlfn.XLOOKUP(A1600,PPTO_GENERADOR!Q:Q,PPTO_GENERADOR!E:E,"-",0)</f>
        <v>521</v>
      </c>
      <c r="Q1600" s="123">
        <f t="shared" si="542"/>
        <v>0</v>
      </c>
      <c r="R1600" s="125">
        <f>+_xlfn.XLOOKUP(A1600,PPTO_GENERADOR!$Q:$Q,PPTO_GENERADOR!A:A,"-",0)</f>
        <v>7.04</v>
      </c>
    </row>
    <row r="1601" spans="1:18" ht="14.25" customHeight="1" x14ac:dyDescent="0.35">
      <c r="A1601" s="105" t="s">
        <v>1847</v>
      </c>
      <c r="B1601" s="105" t="s">
        <v>1981</v>
      </c>
      <c r="C1601" s="105" t="s">
        <v>1982</v>
      </c>
      <c r="D1601" s="105" t="s">
        <v>922</v>
      </c>
      <c r="E1601" s="95" t="str">
        <f>IFERROR(VLOOKUP(D1601,MATERIALES!A:B,2,FALSE()),"?")</f>
        <v>Rodillo de lana pelo largo N°22 - El Galgo</v>
      </c>
      <c r="F1601" s="129" t="str">
        <f>IFERROR(VLOOKUP(D1601,MATERIALES!A:C,3,FALSE()),"?")</f>
        <v>u</v>
      </c>
      <c r="G1601" s="119">
        <v>5.0000000000000001E-3</v>
      </c>
      <c r="H1601" s="120">
        <v>0.05</v>
      </c>
      <c r="I1601" s="96">
        <f>IFERROR(VLOOKUP(D1601,MATERIALES!A:D,4,FALSE()),0)</f>
        <v>6442.15</v>
      </c>
      <c r="J1601" s="31">
        <f t="shared" si="545"/>
        <v>33.821287499999997</v>
      </c>
      <c r="K1601" s="32" t="str">
        <f t="shared" si="544"/>
        <v>CON-053|MAT</v>
      </c>
      <c r="L1601" s="32">
        <f>COUNTIFS($K$2:K1601,K1601)</f>
        <v>6</v>
      </c>
      <c r="M1601" s="32" t="str">
        <f t="shared" si="546"/>
        <v>CON-053|MAT|6</v>
      </c>
      <c r="N1601" s="121">
        <f>IFERROR(VLOOKUP(A1601,PARTIDAS!A:F,6,FALSE()),0)</f>
        <v>15.5</v>
      </c>
      <c r="O1601" s="123">
        <f t="shared" si="541"/>
        <v>0</v>
      </c>
      <c r="P1601" s="123" t="str">
        <f>+_xlfn.XLOOKUP(A1601,PPTO_GENERADOR!Q:Q,PPTO_GENERADOR!E:E,"-",0)</f>
        <v>-</v>
      </c>
      <c r="Q1601" s="123">
        <f t="shared" si="542"/>
        <v>0</v>
      </c>
      <c r="R1601" s="125" t="str">
        <f>+_xlfn.XLOOKUP(A1601,PPTO_GENERADOR!$Q:$Q,PPTO_GENERADOR!A:A,"-",0)</f>
        <v>-</v>
      </c>
    </row>
    <row r="1602" spans="1:18" ht="14.25" customHeight="1" x14ac:dyDescent="0.35">
      <c r="A1602" s="105" t="s">
        <v>1847</v>
      </c>
      <c r="B1602" s="105" t="s">
        <v>1981</v>
      </c>
      <c r="C1602" s="105" t="s">
        <v>1982</v>
      </c>
      <c r="D1602" s="105" t="s">
        <v>1007</v>
      </c>
      <c r="E1602" s="95" t="str">
        <f>IFERROR(VLOOKUP(D1602,MATERIALES!A:B,2,FALSE()),"?")</f>
        <v>Pincel N° 20 - El Galgo</v>
      </c>
      <c r="F1602" s="129" t="str">
        <f>IFERROR(VLOOKUP(D1602,MATERIALES!A:C,3,FALSE()),"?")</f>
        <v>u</v>
      </c>
      <c r="G1602" s="119">
        <v>5.0000000000000001E-3</v>
      </c>
      <c r="H1602" s="120">
        <v>0.05</v>
      </c>
      <c r="I1602" s="96">
        <f>IFERROR(VLOOKUP(D1602,MATERIALES!A:D,4,FALSE()),0)</f>
        <v>4418.1818181818198</v>
      </c>
      <c r="J1602" s="31">
        <f t="shared" si="545"/>
        <v>23.195454545454556</v>
      </c>
      <c r="K1602" s="32" t="str">
        <f t="shared" si="544"/>
        <v>CON-053|MAT</v>
      </c>
      <c r="L1602" s="32">
        <f>COUNTIFS($K$2:K1602,K1602)</f>
        <v>7</v>
      </c>
      <c r="M1602" s="32" t="str">
        <f t="shared" si="546"/>
        <v>CON-053|MAT|7</v>
      </c>
      <c r="N1602" s="121">
        <f>IFERROR(VLOOKUP(A1602,PARTIDAS!A:F,6,FALSE()),0)</f>
        <v>15.5</v>
      </c>
      <c r="O1602" s="123">
        <f t="shared" si="541"/>
        <v>0</v>
      </c>
      <c r="P1602" s="123" t="str">
        <f>+_xlfn.XLOOKUP(A1602,PPTO_GENERADOR!Q:Q,PPTO_GENERADOR!E:E,"-",0)</f>
        <v>-</v>
      </c>
      <c r="Q1602" s="123">
        <f t="shared" si="542"/>
        <v>0</v>
      </c>
      <c r="R1602" s="125" t="str">
        <f>+_xlfn.XLOOKUP(A1602,PPTO_GENERADOR!$Q:$Q,PPTO_GENERADOR!A:A,"-",0)</f>
        <v>-</v>
      </c>
    </row>
    <row r="1603" spans="1:18" ht="14.25" customHeight="1" x14ac:dyDescent="0.35">
      <c r="A1603" s="105" t="s">
        <v>1847</v>
      </c>
      <c r="B1603" s="105" t="s">
        <v>1981</v>
      </c>
      <c r="C1603" s="105" t="s">
        <v>1982</v>
      </c>
      <c r="D1603" s="105" t="s">
        <v>1033</v>
      </c>
      <c r="E1603" s="95" t="str">
        <f>IFERROR(VLOOKUP(D1603,MATERIALES!A:B,2,FALSE()),"?")</f>
        <v>Rollo de cartón corrugado 0,90 x 25 mts</v>
      </c>
      <c r="F1603" s="129" t="str">
        <f>IFERROR(VLOOKUP(D1603,MATERIALES!A:C,3,FALSE()),"?")</f>
        <v>u</v>
      </c>
      <c r="G1603" s="119">
        <v>0.01</v>
      </c>
      <c r="H1603" s="120">
        <v>0.05</v>
      </c>
      <c r="I1603" s="96">
        <f>IFERROR(VLOOKUP(D1603,MATERIALES!A:D,4,FALSE()),0)</f>
        <v>8173.5537190082696</v>
      </c>
      <c r="J1603" s="31">
        <f t="shared" si="545"/>
        <v>85.822314049586836</v>
      </c>
      <c r="K1603" s="32" t="str">
        <f t="shared" si="544"/>
        <v>CON-053|MAT</v>
      </c>
      <c r="L1603" s="32">
        <f>COUNTIFS($K$2:K1603,K1603)</f>
        <v>8</v>
      </c>
      <c r="M1603" s="32" t="str">
        <f t="shared" si="546"/>
        <v>CON-053|MAT|8</v>
      </c>
      <c r="N1603" s="121">
        <f>IFERROR(VLOOKUP(A1603,PARTIDAS!A:F,6,FALSE()),0)</f>
        <v>15.5</v>
      </c>
      <c r="O1603" s="123">
        <f t="shared" ref="O1603:O1666" si="547">+IF(C1603="ALB",G1603/N1603,0)</f>
        <v>0</v>
      </c>
      <c r="P1603" s="123" t="str">
        <f>+_xlfn.XLOOKUP(A1603,PPTO_GENERADOR!Q:Q,PPTO_GENERADOR!E:E,"-",0)</f>
        <v>-</v>
      </c>
      <c r="Q1603" s="123">
        <f t="shared" ref="Q1603:Q1666" si="548">IFERROR(P1603*O1603,0)</f>
        <v>0</v>
      </c>
      <c r="R1603" s="125" t="str">
        <f>+_xlfn.XLOOKUP(A1603,PPTO_GENERADOR!$Q:$Q,PPTO_GENERADOR!A:A,"-",0)</f>
        <v>-</v>
      </c>
    </row>
    <row r="1604" spans="1:18" ht="14.25" customHeight="1" x14ac:dyDescent="0.35">
      <c r="A1604" s="105" t="s">
        <v>116</v>
      </c>
      <c r="B1604" s="105" t="s">
        <v>1979</v>
      </c>
      <c r="C1604" s="105" t="s">
        <v>1980</v>
      </c>
      <c r="D1604" s="105" t="s">
        <v>1292</v>
      </c>
      <c r="E1604" s="95" t="str">
        <f>IFERROR(VLOOKUP(D1604,MANO_DE_OBRA!A:B,2,FALSE()),"?")</f>
        <v>ESPECIALIZADO</v>
      </c>
      <c r="F1604" s="129" t="s">
        <v>2042</v>
      </c>
      <c r="G1604" s="119">
        <v>1</v>
      </c>
      <c r="H1604" s="120">
        <v>0</v>
      </c>
      <c r="I1604" s="96">
        <f>IFERROR(VLOOKUP(D1604,MANO_DE_OBRA!A:C,3,FALSE()),0)</f>
        <v>94177.137883538904</v>
      </c>
      <c r="J1604" s="31">
        <f t="shared" ref="J1604:J1662" si="549">G1604*I1604</f>
        <v>94177.137883538904</v>
      </c>
      <c r="K1604" s="32" t="str">
        <f t="shared" ref="K1604:K1641" si="550">A1604&amp;"|"&amp;B1604</f>
        <v>PTO-0405|MO</v>
      </c>
      <c r="L1604" s="32">
        <f>COUNTIFS($K$2:K1604,K1604)</f>
        <v>1</v>
      </c>
      <c r="M1604" s="32" t="str">
        <f t="shared" ref="M1604:M1657" si="551">K1604&amp;"|"&amp;L1604</f>
        <v>PTO-0405|MO|1</v>
      </c>
      <c r="N1604" s="121">
        <f>IFERROR(VLOOKUP(A1604,PARTIDAS!A:F,6,FALSE()),0)</f>
        <v>6</v>
      </c>
      <c r="O1604" s="123">
        <f t="shared" si="547"/>
        <v>0.16666666666666666</v>
      </c>
      <c r="P1604" s="123">
        <f>+_xlfn.XLOOKUP(A1604,PPTO_GENERADOR!Q:Q,PPTO_GENERADOR!E:E,"-",0)</f>
        <v>34</v>
      </c>
      <c r="Q1604" s="123">
        <f t="shared" si="548"/>
        <v>5.6666666666666661</v>
      </c>
      <c r="R1604" s="125">
        <f>+_xlfn.XLOOKUP(A1604,PPTO_GENERADOR!$Q:$Q,PPTO_GENERADOR!A:A,"-",0)</f>
        <v>4.05</v>
      </c>
    </row>
    <row r="1605" spans="1:18" ht="14.25" customHeight="1" x14ac:dyDescent="0.35">
      <c r="A1605" s="105" t="s">
        <v>116</v>
      </c>
      <c r="B1605" s="105" t="s">
        <v>1979</v>
      </c>
      <c r="C1605" s="105" t="s">
        <v>1980</v>
      </c>
      <c r="D1605" s="105" t="s">
        <v>1288</v>
      </c>
      <c r="E1605" s="95" t="str">
        <f>IFERROR(VLOOKUP(D1605,MANO_DE_OBRA!A:B,2,FALSE()),"?")</f>
        <v>MEDIO OFICIAL</v>
      </c>
      <c r="F1605" s="129" t="s">
        <v>2042</v>
      </c>
      <c r="G1605" s="119">
        <v>1</v>
      </c>
      <c r="H1605" s="120">
        <v>0</v>
      </c>
      <c r="I1605" s="96">
        <f>IFERROR(VLOOKUP(D1605,MANO_DE_OBRA!A:C,3,FALSE()),0)</f>
        <v>72132.138365590101</v>
      </c>
      <c r="J1605" s="31">
        <f t="shared" si="549"/>
        <v>72132.138365590101</v>
      </c>
      <c r="K1605" s="32" t="str">
        <f t="shared" si="550"/>
        <v>PTO-0405|MO</v>
      </c>
      <c r="L1605" s="32">
        <f>COUNTIFS($K$2:K1605,K1605)</f>
        <v>2</v>
      </c>
      <c r="M1605" s="32" t="str">
        <f t="shared" si="551"/>
        <v>PTO-0405|MO|2</v>
      </c>
      <c r="N1605" s="121">
        <f>IFERROR(VLOOKUP(A1605,PARTIDAS!A:F,6,FALSE()),0)</f>
        <v>6</v>
      </c>
      <c r="O1605" s="123">
        <f t="shared" si="547"/>
        <v>0.16666666666666666</v>
      </c>
      <c r="P1605" s="123">
        <f>+_xlfn.XLOOKUP(A1605,PPTO_GENERADOR!Q:Q,PPTO_GENERADOR!E:E,"-",0)</f>
        <v>34</v>
      </c>
      <c r="Q1605" s="123">
        <f t="shared" si="548"/>
        <v>5.6666666666666661</v>
      </c>
      <c r="R1605" s="125">
        <f>+_xlfn.XLOOKUP(A1605,PPTO_GENERADOR!$Q:$Q,PPTO_GENERADOR!A:A,"-",0)</f>
        <v>4.05</v>
      </c>
    </row>
    <row r="1606" spans="1:18" ht="14.25" customHeight="1" x14ac:dyDescent="0.35">
      <c r="A1606" s="105" t="s">
        <v>222</v>
      </c>
      <c r="B1606" s="105" t="s">
        <v>1979</v>
      </c>
      <c r="C1606" s="105" t="s">
        <v>1980</v>
      </c>
      <c r="D1606" s="105" t="s">
        <v>1292</v>
      </c>
      <c r="E1606" s="95" t="str">
        <f>IFERROR(VLOOKUP(D1606,MANO_DE_OBRA!A:B,2,FALSE()),"?")</f>
        <v>ESPECIALIZADO</v>
      </c>
      <c r="F1606" s="129" t="s">
        <v>2042</v>
      </c>
      <c r="G1606" s="119">
        <v>1</v>
      </c>
      <c r="H1606" s="120">
        <v>0</v>
      </c>
      <c r="I1606" s="96">
        <f>IFERROR(VLOOKUP(D1606,MANO_DE_OBRA!A:C,3,FALSE()),0)</f>
        <v>94177.137883538904</v>
      </c>
      <c r="J1606" s="31">
        <f t="shared" si="549"/>
        <v>94177.137883538904</v>
      </c>
      <c r="K1606" s="32" t="str">
        <f t="shared" si="550"/>
        <v>PTO-1401|MO</v>
      </c>
      <c r="L1606" s="32">
        <f>COUNTIFS($K$2:K1606,K1606)</f>
        <v>1</v>
      </c>
      <c r="M1606" s="32" t="str">
        <f t="shared" si="551"/>
        <v>PTO-1401|MO|1</v>
      </c>
      <c r="N1606" s="121">
        <f>IFERROR(VLOOKUP(A1606,PARTIDAS!A:F,6,FALSE()),0)</f>
        <v>9.5</v>
      </c>
      <c r="O1606" s="123">
        <f t="shared" si="547"/>
        <v>0.10526315789473684</v>
      </c>
      <c r="P1606" s="123">
        <f>+_xlfn.XLOOKUP(A1606,PPTO_GENERADOR!Q:Q,PPTO_GENERADOR!E:E,"-",0)</f>
        <v>146</v>
      </c>
      <c r="Q1606" s="123">
        <f t="shared" si="548"/>
        <v>15.368421052631579</v>
      </c>
      <c r="R1606" s="125">
        <f>+_xlfn.XLOOKUP(A1606,PPTO_GENERADOR!$Q:$Q,PPTO_GENERADOR!A:A,"-",0)</f>
        <v>14.01</v>
      </c>
    </row>
    <row r="1607" spans="1:18" ht="14.25" customHeight="1" x14ac:dyDescent="0.35">
      <c r="A1607" s="105" t="s">
        <v>222</v>
      </c>
      <c r="B1607" s="105" t="s">
        <v>1979</v>
      </c>
      <c r="C1607" s="105" t="s">
        <v>1980</v>
      </c>
      <c r="D1607" s="105" t="s">
        <v>1288</v>
      </c>
      <c r="E1607" s="95" t="str">
        <f>IFERROR(VLOOKUP(D1607,MANO_DE_OBRA!A:B,2,FALSE()),"?")</f>
        <v>MEDIO OFICIAL</v>
      </c>
      <c r="F1607" s="129" t="s">
        <v>2042</v>
      </c>
      <c r="G1607" s="119">
        <v>1</v>
      </c>
      <c r="H1607" s="120">
        <v>0</v>
      </c>
      <c r="I1607" s="96">
        <f>IFERROR(VLOOKUP(D1607,MANO_DE_OBRA!A:C,3,FALSE()),0)</f>
        <v>72132.138365590101</v>
      </c>
      <c r="J1607" s="31">
        <f t="shared" si="549"/>
        <v>72132.138365590101</v>
      </c>
      <c r="K1607" s="32" t="str">
        <f t="shared" si="550"/>
        <v>PTO-1401|MO</v>
      </c>
      <c r="L1607" s="32">
        <f>COUNTIFS($K$2:K1607,K1607)</f>
        <v>2</v>
      </c>
      <c r="M1607" s="32" t="str">
        <f t="shared" si="551"/>
        <v>PTO-1401|MO|2</v>
      </c>
      <c r="N1607" s="121">
        <f>IFERROR(VLOOKUP(A1607,PARTIDAS!A:F,6,FALSE()),0)</f>
        <v>9.5</v>
      </c>
      <c r="O1607" s="123">
        <f t="shared" si="547"/>
        <v>0.10526315789473684</v>
      </c>
      <c r="P1607" s="123">
        <f>+_xlfn.XLOOKUP(A1607,PPTO_GENERADOR!Q:Q,PPTO_GENERADOR!E:E,"-",0)</f>
        <v>146</v>
      </c>
      <c r="Q1607" s="123">
        <f t="shared" si="548"/>
        <v>15.368421052631579</v>
      </c>
      <c r="R1607" s="125">
        <f>+_xlfn.XLOOKUP(A1607,PPTO_GENERADOR!$Q:$Q,PPTO_GENERADOR!A:A,"-",0)</f>
        <v>14.01</v>
      </c>
    </row>
    <row r="1608" spans="1:18" ht="14.25" customHeight="1" x14ac:dyDescent="0.35">
      <c r="A1608" s="105" t="s">
        <v>225</v>
      </c>
      <c r="B1608" s="105" t="s">
        <v>1979</v>
      </c>
      <c r="C1608" s="105" t="s">
        <v>1980</v>
      </c>
      <c r="D1608" s="105" t="s">
        <v>1292</v>
      </c>
      <c r="E1608" s="95" t="str">
        <f>IFERROR(VLOOKUP(D1608,MANO_DE_OBRA!A:B,2,FALSE()),"?")</f>
        <v>ESPECIALIZADO</v>
      </c>
      <c r="F1608" s="129" t="s">
        <v>2042</v>
      </c>
      <c r="G1608" s="119">
        <v>1</v>
      </c>
      <c r="H1608" s="120">
        <v>0</v>
      </c>
      <c r="I1608" s="96">
        <f>IFERROR(VLOOKUP(D1608,MANO_DE_OBRA!A:C,3,FALSE()),0)</f>
        <v>94177.137883538904</v>
      </c>
      <c r="J1608" s="31">
        <f t="shared" si="549"/>
        <v>94177.137883538904</v>
      </c>
      <c r="K1608" s="32" t="str">
        <f t="shared" si="550"/>
        <v>PTO-1402|MO</v>
      </c>
      <c r="L1608" s="32">
        <f>COUNTIFS($K$2:K1608,K1608)</f>
        <v>1</v>
      </c>
      <c r="M1608" s="32" t="str">
        <f t="shared" si="551"/>
        <v>PTO-1402|MO|1</v>
      </c>
      <c r="N1608" s="121">
        <f>IFERROR(VLOOKUP(A1608,PARTIDAS!A:F,6,FALSE()),0)</f>
        <v>9.5</v>
      </c>
      <c r="O1608" s="123">
        <f t="shared" si="547"/>
        <v>0.10526315789473684</v>
      </c>
      <c r="P1608" s="123">
        <f>+_xlfn.XLOOKUP(A1608,PPTO_GENERADOR!Q:Q,PPTO_GENERADOR!E:E,"-",0)</f>
        <v>89</v>
      </c>
      <c r="Q1608" s="123">
        <f t="shared" si="548"/>
        <v>9.3684210526315788</v>
      </c>
      <c r="R1608" s="125">
        <f>+_xlfn.XLOOKUP(A1608,PPTO_GENERADOR!$Q:$Q,PPTO_GENERADOR!A:A,"-",0)</f>
        <v>14.02</v>
      </c>
    </row>
    <row r="1609" spans="1:18" ht="14.25" customHeight="1" x14ac:dyDescent="0.35">
      <c r="A1609" s="105" t="s">
        <v>225</v>
      </c>
      <c r="B1609" s="105" t="s">
        <v>1979</v>
      </c>
      <c r="C1609" s="105" t="s">
        <v>1980</v>
      </c>
      <c r="D1609" s="105" t="s">
        <v>1288</v>
      </c>
      <c r="E1609" s="95" t="str">
        <f>IFERROR(VLOOKUP(D1609,MANO_DE_OBRA!A:B,2,FALSE()),"?")</f>
        <v>MEDIO OFICIAL</v>
      </c>
      <c r="F1609" s="129" t="s">
        <v>2042</v>
      </c>
      <c r="G1609" s="119">
        <v>1</v>
      </c>
      <c r="H1609" s="120">
        <v>0</v>
      </c>
      <c r="I1609" s="96">
        <f>IFERROR(VLOOKUP(D1609,MANO_DE_OBRA!A:C,3,FALSE()),0)</f>
        <v>72132.138365590101</v>
      </c>
      <c r="J1609" s="31">
        <f t="shared" si="549"/>
        <v>72132.138365590101</v>
      </c>
      <c r="K1609" s="32" t="str">
        <f t="shared" si="550"/>
        <v>PTO-1402|MO</v>
      </c>
      <c r="L1609" s="32">
        <f>COUNTIFS($K$2:K1609,K1609)</f>
        <v>2</v>
      </c>
      <c r="M1609" s="32" t="str">
        <f t="shared" si="551"/>
        <v>PTO-1402|MO|2</v>
      </c>
      <c r="N1609" s="121">
        <f>IFERROR(VLOOKUP(A1609,PARTIDAS!A:F,6,FALSE()),0)</f>
        <v>9.5</v>
      </c>
      <c r="O1609" s="123">
        <f t="shared" si="547"/>
        <v>0.10526315789473684</v>
      </c>
      <c r="P1609" s="123">
        <f>+_xlfn.XLOOKUP(A1609,PPTO_GENERADOR!Q:Q,PPTO_GENERADOR!E:E,"-",0)</f>
        <v>89</v>
      </c>
      <c r="Q1609" s="123">
        <f t="shared" si="548"/>
        <v>9.3684210526315788</v>
      </c>
      <c r="R1609" s="125">
        <f>+_xlfn.XLOOKUP(A1609,PPTO_GENERADOR!$Q:$Q,PPTO_GENERADOR!A:A,"-",0)</f>
        <v>14.02</v>
      </c>
    </row>
    <row r="1610" spans="1:18" ht="14.25" customHeight="1" x14ac:dyDescent="0.35">
      <c r="A1610" s="105" t="s">
        <v>228</v>
      </c>
      <c r="B1610" s="105" t="s">
        <v>1979</v>
      </c>
      <c r="C1610" s="105" t="s">
        <v>1980</v>
      </c>
      <c r="D1610" s="105" t="s">
        <v>1292</v>
      </c>
      <c r="E1610" s="95" t="str">
        <f>IFERROR(VLOOKUP(D1610,MANO_DE_OBRA!A:B,2,FALSE()),"?")</f>
        <v>ESPECIALIZADO</v>
      </c>
      <c r="F1610" s="129" t="s">
        <v>2042</v>
      </c>
      <c r="G1610" s="119">
        <v>1</v>
      </c>
      <c r="H1610" s="120">
        <v>0</v>
      </c>
      <c r="I1610" s="96">
        <f>IFERROR(VLOOKUP(D1610,MANO_DE_OBRA!A:C,3,FALSE()),0)</f>
        <v>94177.137883538904</v>
      </c>
      <c r="J1610" s="31">
        <f t="shared" si="549"/>
        <v>94177.137883538904</v>
      </c>
      <c r="K1610" s="32" t="str">
        <f t="shared" si="550"/>
        <v>PTO-1403|MO</v>
      </c>
      <c r="L1610" s="32">
        <f>COUNTIFS($K$2:K1610,K1610)</f>
        <v>1</v>
      </c>
      <c r="M1610" s="32" t="str">
        <f t="shared" si="551"/>
        <v>PTO-1403|MO|1</v>
      </c>
      <c r="N1610" s="121">
        <f>IFERROR(VLOOKUP(A1610,PARTIDAS!A:F,6,FALSE()),0)</f>
        <v>9.5</v>
      </c>
      <c r="O1610" s="123">
        <f t="shared" si="547"/>
        <v>0.10526315789473684</v>
      </c>
      <c r="P1610" s="123">
        <f>+_xlfn.XLOOKUP(A1610,PPTO_GENERADOR!Q:Q,PPTO_GENERADOR!E:E,"-",0)</f>
        <v>62</v>
      </c>
      <c r="Q1610" s="123">
        <f t="shared" si="548"/>
        <v>6.5263157894736841</v>
      </c>
      <c r="R1610" s="125">
        <f>+_xlfn.XLOOKUP(A1610,PPTO_GENERADOR!$Q:$Q,PPTO_GENERADOR!A:A,"-",0)</f>
        <v>14.03</v>
      </c>
    </row>
    <row r="1611" spans="1:18" ht="14.25" customHeight="1" x14ac:dyDescent="0.35">
      <c r="A1611" s="105" t="s">
        <v>228</v>
      </c>
      <c r="B1611" s="105" t="s">
        <v>1979</v>
      </c>
      <c r="C1611" s="105" t="s">
        <v>1980</v>
      </c>
      <c r="D1611" s="105" t="s">
        <v>1292</v>
      </c>
      <c r="E1611" s="95" t="str">
        <f>IFERROR(VLOOKUP(D1611,MANO_DE_OBRA!A:B,2,FALSE()),"?")</f>
        <v>ESPECIALIZADO</v>
      </c>
      <c r="F1611" s="129" t="s">
        <v>2042</v>
      </c>
      <c r="G1611" s="119">
        <v>1</v>
      </c>
      <c r="H1611" s="120">
        <v>0</v>
      </c>
      <c r="I1611" s="96">
        <f>IFERROR(VLOOKUP(D1611,MANO_DE_OBRA!A:C,3,FALSE()),0)</f>
        <v>94177.137883538904</v>
      </c>
      <c r="J1611" s="31">
        <f t="shared" si="549"/>
        <v>94177.137883538904</v>
      </c>
      <c r="K1611" s="32" t="str">
        <f t="shared" si="550"/>
        <v>PTO-1403|MO</v>
      </c>
      <c r="L1611" s="32">
        <f>COUNTIFS($K$2:K1611,K1611)</f>
        <v>2</v>
      </c>
      <c r="M1611" s="32" t="str">
        <f t="shared" si="551"/>
        <v>PTO-1403|MO|2</v>
      </c>
      <c r="N1611" s="121">
        <f>IFERROR(VLOOKUP(A1611,PARTIDAS!A:F,6,FALSE()),0)</f>
        <v>9.5</v>
      </c>
      <c r="O1611" s="123">
        <f t="shared" si="547"/>
        <v>0.10526315789473684</v>
      </c>
      <c r="P1611" s="123">
        <f>+_xlfn.XLOOKUP(A1611,PPTO_GENERADOR!Q:Q,PPTO_GENERADOR!E:E,"-",0)</f>
        <v>62</v>
      </c>
      <c r="Q1611" s="123">
        <f t="shared" si="548"/>
        <v>6.5263157894736841</v>
      </c>
      <c r="R1611" s="125">
        <f>+_xlfn.XLOOKUP(A1611,PPTO_GENERADOR!$Q:$Q,PPTO_GENERADOR!A:A,"-",0)</f>
        <v>14.03</v>
      </c>
    </row>
    <row r="1612" spans="1:18" ht="14.25" customHeight="1" x14ac:dyDescent="0.35">
      <c r="A1612" s="105" t="s">
        <v>228</v>
      </c>
      <c r="B1612" s="105" t="s">
        <v>1979</v>
      </c>
      <c r="C1612" s="105" t="s">
        <v>1980</v>
      </c>
      <c r="D1612" s="105" t="s">
        <v>1288</v>
      </c>
      <c r="E1612" s="95" t="str">
        <f>IFERROR(VLOOKUP(D1612,MANO_DE_OBRA!A:B,2,FALSE()),"?")</f>
        <v>MEDIO OFICIAL</v>
      </c>
      <c r="F1612" s="129" t="s">
        <v>2042</v>
      </c>
      <c r="G1612" s="119">
        <v>1</v>
      </c>
      <c r="H1612" s="120">
        <v>0</v>
      </c>
      <c r="I1612" s="96">
        <f>IFERROR(VLOOKUP(D1612,MANO_DE_OBRA!A:C,3,FALSE()),0)</f>
        <v>72132.138365590101</v>
      </c>
      <c r="J1612" s="31">
        <f t="shared" si="549"/>
        <v>72132.138365590101</v>
      </c>
      <c r="K1612" s="32" t="str">
        <f t="shared" si="550"/>
        <v>PTO-1403|MO</v>
      </c>
      <c r="L1612" s="32">
        <f>COUNTIFS($K$2:K1612,K1612)</f>
        <v>3</v>
      </c>
      <c r="M1612" s="32" t="str">
        <f t="shared" si="551"/>
        <v>PTO-1403|MO|3</v>
      </c>
      <c r="N1612" s="121">
        <f>IFERROR(VLOOKUP(A1612,PARTIDAS!A:F,6,FALSE()),0)</f>
        <v>9.5</v>
      </c>
      <c r="O1612" s="123">
        <f t="shared" si="547"/>
        <v>0.10526315789473684</v>
      </c>
      <c r="P1612" s="123">
        <f>+_xlfn.XLOOKUP(A1612,PPTO_GENERADOR!Q:Q,PPTO_GENERADOR!E:E,"-",0)</f>
        <v>62</v>
      </c>
      <c r="Q1612" s="123">
        <f t="shared" si="548"/>
        <v>6.5263157894736841</v>
      </c>
      <c r="R1612" s="125">
        <f>+_xlfn.XLOOKUP(A1612,PPTO_GENERADOR!$Q:$Q,PPTO_GENERADOR!A:A,"-",0)</f>
        <v>14.03</v>
      </c>
    </row>
    <row r="1613" spans="1:18" ht="14.25" customHeight="1" x14ac:dyDescent="0.35">
      <c r="A1613" s="105" t="s">
        <v>231</v>
      </c>
      <c r="B1613" s="105" t="s">
        <v>1979</v>
      </c>
      <c r="C1613" s="105" t="s">
        <v>1980</v>
      </c>
      <c r="D1613" s="105" t="s">
        <v>1292</v>
      </c>
      <c r="E1613" s="95" t="str">
        <f>IFERROR(VLOOKUP(D1613,MANO_DE_OBRA!A:B,2,FALSE()),"?")</f>
        <v>ESPECIALIZADO</v>
      </c>
      <c r="F1613" s="129" t="s">
        <v>2042</v>
      </c>
      <c r="G1613" s="119">
        <v>1</v>
      </c>
      <c r="H1613" s="120">
        <v>0</v>
      </c>
      <c r="I1613" s="96">
        <f>IFERROR(VLOOKUP(D1613,MANO_DE_OBRA!A:C,3,FALSE()),0)</f>
        <v>94177.137883538904</v>
      </c>
      <c r="J1613" s="31">
        <f t="shared" si="549"/>
        <v>94177.137883538904</v>
      </c>
      <c r="K1613" s="32" t="str">
        <f t="shared" si="550"/>
        <v>PTO-1404|MO</v>
      </c>
      <c r="L1613" s="32">
        <f>COUNTIFS($K$2:K1613,K1613)</f>
        <v>1</v>
      </c>
      <c r="M1613" s="32" t="str">
        <f t="shared" si="551"/>
        <v>PTO-1404|MO|1</v>
      </c>
      <c r="N1613" s="121">
        <f>IFERROR(VLOOKUP(A1613,PARTIDAS!A:F,6,FALSE()),0)</f>
        <v>15</v>
      </c>
      <c r="O1613" s="123">
        <f t="shared" si="547"/>
        <v>6.6666666666666666E-2</v>
      </c>
      <c r="P1613" s="123">
        <f>+_xlfn.XLOOKUP(A1613,PPTO_GENERADOR!Q:Q,PPTO_GENERADOR!E:E,"-",0)</f>
        <v>689</v>
      </c>
      <c r="Q1613" s="123">
        <f t="shared" si="548"/>
        <v>45.93333333333333</v>
      </c>
      <c r="R1613" s="125">
        <f>+_xlfn.XLOOKUP(A1613,PPTO_GENERADOR!$Q:$Q,PPTO_GENERADOR!A:A,"-",0)</f>
        <v>14.04</v>
      </c>
    </row>
    <row r="1614" spans="1:18" ht="14.25" customHeight="1" x14ac:dyDescent="0.35">
      <c r="A1614" s="105" t="s">
        <v>241</v>
      </c>
      <c r="B1614" s="105" t="s">
        <v>1979</v>
      </c>
      <c r="C1614" s="105" t="s">
        <v>1980</v>
      </c>
      <c r="D1614" s="105" t="s">
        <v>1292</v>
      </c>
      <c r="E1614" s="95" t="str">
        <f>IFERROR(VLOOKUP(D1614,MANO_DE_OBRA!A:B,2,FALSE()),"?")</f>
        <v>ESPECIALIZADO</v>
      </c>
      <c r="F1614" s="129" t="s">
        <v>2042</v>
      </c>
      <c r="G1614" s="119">
        <v>1</v>
      </c>
      <c r="H1614" s="120">
        <v>0</v>
      </c>
      <c r="I1614" s="96">
        <f>IFERROR(VLOOKUP(D1614,MANO_DE_OBRA!A:C,3,FALSE()),0)</f>
        <v>94177.137883538904</v>
      </c>
      <c r="J1614" s="31">
        <f t="shared" si="549"/>
        <v>94177.137883538904</v>
      </c>
      <c r="K1614" s="32" t="str">
        <f t="shared" si="550"/>
        <v>PTO-1501|MO</v>
      </c>
      <c r="L1614" s="32">
        <f>COUNTIFS($K$2:K1614,K1614)</f>
        <v>1</v>
      </c>
      <c r="M1614" s="32" t="str">
        <f t="shared" si="551"/>
        <v>PTO-1501|MO|1</v>
      </c>
      <c r="N1614" s="121">
        <f>IFERROR(VLOOKUP(A1614,PARTIDAS!A:F,6,FALSE()),0)</f>
        <v>20</v>
      </c>
      <c r="O1614" s="123">
        <f t="shared" si="547"/>
        <v>0.05</v>
      </c>
      <c r="P1614" s="123">
        <f>+_xlfn.XLOOKUP(A1614,PPTO_GENERADOR!Q:Q,PPTO_GENERADOR!E:E,"-",0)</f>
        <v>2180</v>
      </c>
      <c r="Q1614" s="123">
        <f t="shared" si="548"/>
        <v>109</v>
      </c>
      <c r="R1614" s="125">
        <f>+_xlfn.XLOOKUP(A1614,PPTO_GENERADOR!$Q:$Q,PPTO_GENERADOR!A:A,"-",0)</f>
        <v>15.01</v>
      </c>
    </row>
    <row r="1615" spans="1:18" ht="14.25" customHeight="1" x14ac:dyDescent="0.35">
      <c r="A1615" s="105" t="s">
        <v>244</v>
      </c>
      <c r="B1615" s="105" t="s">
        <v>1979</v>
      </c>
      <c r="C1615" s="105" t="s">
        <v>1980</v>
      </c>
      <c r="D1615" s="105" t="s">
        <v>1292</v>
      </c>
      <c r="E1615" s="95" t="str">
        <f>IFERROR(VLOOKUP(D1615,MANO_DE_OBRA!A:B,2,FALSE()),"?")</f>
        <v>ESPECIALIZADO</v>
      </c>
      <c r="F1615" s="129" t="s">
        <v>2042</v>
      </c>
      <c r="G1615" s="119">
        <v>1</v>
      </c>
      <c r="H1615" s="120">
        <v>0</v>
      </c>
      <c r="I1615" s="96">
        <f>IFERROR(VLOOKUP(D1615,MANO_DE_OBRA!A:C,3,FALSE()),0)</f>
        <v>94177.137883538904</v>
      </c>
      <c r="J1615" s="31">
        <f t="shared" si="549"/>
        <v>94177.137883538904</v>
      </c>
      <c r="K1615" s="32" t="str">
        <f t="shared" si="550"/>
        <v>PTO-1502|MO</v>
      </c>
      <c r="L1615" s="32">
        <f>COUNTIFS($K$2:K1615,K1615)</f>
        <v>1</v>
      </c>
      <c r="M1615" s="32" t="str">
        <f t="shared" si="551"/>
        <v>PTO-1502|MO|1</v>
      </c>
      <c r="N1615" s="121">
        <f>IFERROR(VLOOKUP(A1615,PARTIDAS!A:F,6,FALSE()),0)</f>
        <v>25</v>
      </c>
      <c r="O1615" s="123">
        <f t="shared" si="547"/>
        <v>0.04</v>
      </c>
      <c r="P1615" s="123">
        <f>+_xlfn.XLOOKUP(A1615,PPTO_GENERADOR!Q:Q,PPTO_GENERADOR!E:E,"-",0)</f>
        <v>525</v>
      </c>
      <c r="Q1615" s="123">
        <f t="shared" si="548"/>
        <v>21</v>
      </c>
      <c r="R1615" s="125">
        <f>+_xlfn.XLOOKUP(A1615,PPTO_GENERADOR!$Q:$Q,PPTO_GENERADOR!A:A,"-",0)</f>
        <v>15.02</v>
      </c>
    </row>
    <row r="1616" spans="1:18" ht="14.25" customHeight="1" x14ac:dyDescent="0.35">
      <c r="A1616" s="105" t="s">
        <v>247</v>
      </c>
      <c r="B1616" s="105" t="s">
        <v>1979</v>
      </c>
      <c r="C1616" s="105" t="s">
        <v>1980</v>
      </c>
      <c r="D1616" s="105" t="s">
        <v>1288</v>
      </c>
      <c r="E1616" s="95" t="str">
        <f>IFERROR(VLOOKUP(D1616,MANO_DE_OBRA!A:B,2,FALSE()),"?")</f>
        <v>MEDIO OFICIAL</v>
      </c>
      <c r="F1616" s="129" t="s">
        <v>2042</v>
      </c>
      <c r="G1616" s="119">
        <v>1</v>
      </c>
      <c r="H1616" s="120">
        <v>0</v>
      </c>
      <c r="I1616" s="96">
        <f>IFERROR(VLOOKUP(D1616,MANO_DE_OBRA!A:C,3,FALSE()),0)</f>
        <v>72132.138365590101</v>
      </c>
      <c r="J1616" s="31">
        <f t="shared" si="549"/>
        <v>72132.138365590101</v>
      </c>
      <c r="K1616" s="32" t="str">
        <f t="shared" si="550"/>
        <v>PTO-1503|MO</v>
      </c>
      <c r="L1616" s="32">
        <f>COUNTIFS($K$2:K1616,K1616)</f>
        <v>1</v>
      </c>
      <c r="M1616" s="32" t="str">
        <f t="shared" si="551"/>
        <v>PTO-1503|MO|1</v>
      </c>
      <c r="N1616" s="121">
        <f>IFERROR(VLOOKUP(A1616,PARTIDAS!A:F,6,FALSE()),0)</f>
        <v>17.5</v>
      </c>
      <c r="O1616" s="123">
        <f t="shared" si="547"/>
        <v>5.7142857142857141E-2</v>
      </c>
      <c r="P1616" s="123">
        <f>+_xlfn.XLOOKUP(A1616,PPTO_GENERADOR!Q:Q,PPTO_GENERADOR!E:E,"-",0)</f>
        <v>136</v>
      </c>
      <c r="Q1616" s="123">
        <f t="shared" si="548"/>
        <v>7.7714285714285714</v>
      </c>
      <c r="R1616" s="125">
        <f>+_xlfn.XLOOKUP(A1616,PPTO_GENERADOR!$Q:$Q,PPTO_GENERADOR!A:A,"-",0)</f>
        <v>15.03</v>
      </c>
    </row>
    <row r="1617" spans="1:18" ht="14.25" customHeight="1" x14ac:dyDescent="0.35">
      <c r="A1617" s="105" t="s">
        <v>247</v>
      </c>
      <c r="B1617" s="105" t="s">
        <v>1979</v>
      </c>
      <c r="C1617" s="105" t="s">
        <v>1980</v>
      </c>
      <c r="D1617" s="105" t="s">
        <v>1292</v>
      </c>
      <c r="E1617" s="95" t="str">
        <f>IFERROR(VLOOKUP(D1617,MANO_DE_OBRA!A:B,2,FALSE()),"?")</f>
        <v>ESPECIALIZADO</v>
      </c>
      <c r="F1617" s="129" t="s">
        <v>2042</v>
      </c>
      <c r="G1617" s="119">
        <v>1</v>
      </c>
      <c r="H1617" s="120">
        <v>0</v>
      </c>
      <c r="I1617" s="96">
        <f>IFERROR(VLOOKUP(D1617,MANO_DE_OBRA!A:C,3,FALSE()),0)</f>
        <v>94177.137883538904</v>
      </c>
      <c r="J1617" s="31">
        <f t="shared" si="549"/>
        <v>94177.137883538904</v>
      </c>
      <c r="K1617" s="32" t="str">
        <f t="shared" si="550"/>
        <v>PTO-1503|MO</v>
      </c>
      <c r="L1617" s="32">
        <f>COUNTIFS($K$2:K1617,K1617)</f>
        <v>2</v>
      </c>
      <c r="M1617" s="32" t="str">
        <f t="shared" si="551"/>
        <v>PTO-1503|MO|2</v>
      </c>
      <c r="N1617" s="121">
        <f>IFERROR(VLOOKUP(A1617,PARTIDAS!A:F,6,FALSE()),0)</f>
        <v>17.5</v>
      </c>
      <c r="O1617" s="123">
        <f t="shared" si="547"/>
        <v>5.7142857142857141E-2</v>
      </c>
      <c r="P1617" s="123">
        <f>+_xlfn.XLOOKUP(A1617,PPTO_GENERADOR!Q:Q,PPTO_GENERADOR!E:E,"-",0)</f>
        <v>136</v>
      </c>
      <c r="Q1617" s="123">
        <f t="shared" si="548"/>
        <v>7.7714285714285714</v>
      </c>
      <c r="R1617" s="125">
        <f>+_xlfn.XLOOKUP(A1617,PPTO_GENERADOR!$Q:$Q,PPTO_GENERADOR!A:A,"-",0)</f>
        <v>15.03</v>
      </c>
    </row>
    <row r="1618" spans="1:18" ht="14.25" customHeight="1" x14ac:dyDescent="0.35">
      <c r="A1618" s="105" t="s">
        <v>250</v>
      </c>
      <c r="B1618" s="105" t="s">
        <v>1979</v>
      </c>
      <c r="C1618" s="105" t="s">
        <v>1980</v>
      </c>
      <c r="D1618" s="105" t="s">
        <v>1288</v>
      </c>
      <c r="E1618" s="95" t="str">
        <f>IFERROR(VLOOKUP(D1618,MANO_DE_OBRA!A:B,2,FALSE()),"?")</f>
        <v>MEDIO OFICIAL</v>
      </c>
      <c r="F1618" s="129" t="s">
        <v>2042</v>
      </c>
      <c r="G1618" s="119">
        <v>1</v>
      </c>
      <c r="H1618" s="120">
        <v>0</v>
      </c>
      <c r="I1618" s="96">
        <f>IFERROR(VLOOKUP(D1618,MANO_DE_OBRA!A:C,3,FALSE()),0)</f>
        <v>72132.138365590101</v>
      </c>
      <c r="J1618" s="31">
        <f t="shared" si="549"/>
        <v>72132.138365590101</v>
      </c>
      <c r="K1618" s="32" t="str">
        <f t="shared" si="550"/>
        <v>PTO-1504|MO</v>
      </c>
      <c r="L1618" s="32">
        <f>COUNTIFS($K$2:K1618,K1618)</f>
        <v>1</v>
      </c>
      <c r="M1618" s="32" t="str">
        <f t="shared" si="551"/>
        <v>PTO-1504|MO|1</v>
      </c>
      <c r="N1618" s="121">
        <f>IFERROR(VLOOKUP(A1618,PARTIDAS!A:F,6,FALSE()),0)</f>
        <v>17.5</v>
      </c>
      <c r="O1618" s="123">
        <f t="shared" si="547"/>
        <v>5.7142857142857141E-2</v>
      </c>
      <c r="P1618" s="123">
        <f>+_xlfn.XLOOKUP(A1618,PPTO_GENERADOR!Q:Q,PPTO_GENERADOR!E:E,"-",0)</f>
        <v>296</v>
      </c>
      <c r="Q1618" s="123">
        <f t="shared" si="548"/>
        <v>16.914285714285715</v>
      </c>
      <c r="R1618" s="125">
        <f>+_xlfn.XLOOKUP(A1618,PPTO_GENERADOR!$Q:$Q,PPTO_GENERADOR!A:A,"-",0)</f>
        <v>15.04</v>
      </c>
    </row>
    <row r="1619" spans="1:18" ht="14.25" customHeight="1" x14ac:dyDescent="0.35">
      <c r="A1619" s="105" t="s">
        <v>250</v>
      </c>
      <c r="B1619" s="105" t="s">
        <v>1979</v>
      </c>
      <c r="C1619" s="105" t="s">
        <v>1980</v>
      </c>
      <c r="D1619" s="105" t="s">
        <v>1292</v>
      </c>
      <c r="E1619" s="95" t="str">
        <f>IFERROR(VLOOKUP(D1619,MANO_DE_OBRA!A:B,2,FALSE()),"?")</f>
        <v>ESPECIALIZADO</v>
      </c>
      <c r="F1619" s="129" t="s">
        <v>2042</v>
      </c>
      <c r="G1619" s="119">
        <v>1</v>
      </c>
      <c r="H1619" s="120">
        <v>0</v>
      </c>
      <c r="I1619" s="96">
        <f>IFERROR(VLOOKUP(D1619,MANO_DE_OBRA!A:C,3,FALSE()),0)</f>
        <v>94177.137883538904</v>
      </c>
      <c r="J1619" s="31">
        <f t="shared" si="549"/>
        <v>94177.137883538904</v>
      </c>
      <c r="K1619" s="32" t="str">
        <f t="shared" si="550"/>
        <v>PTO-1504|MO</v>
      </c>
      <c r="L1619" s="32">
        <f>COUNTIFS($K$2:K1619,K1619)</f>
        <v>2</v>
      </c>
      <c r="M1619" s="32" t="str">
        <f t="shared" si="551"/>
        <v>PTO-1504|MO|2</v>
      </c>
      <c r="N1619" s="121">
        <f>IFERROR(VLOOKUP(A1619,PARTIDAS!A:F,6,FALSE()),0)</f>
        <v>17.5</v>
      </c>
      <c r="O1619" s="123">
        <f t="shared" si="547"/>
        <v>5.7142857142857141E-2</v>
      </c>
      <c r="P1619" s="123">
        <f>+_xlfn.XLOOKUP(A1619,PPTO_GENERADOR!Q:Q,PPTO_GENERADOR!E:E,"-",0)</f>
        <v>296</v>
      </c>
      <c r="Q1619" s="123">
        <f t="shared" si="548"/>
        <v>16.914285714285715</v>
      </c>
      <c r="R1619" s="125">
        <f>+_xlfn.XLOOKUP(A1619,PPTO_GENERADOR!$Q:$Q,PPTO_GENERADOR!A:A,"-",0)</f>
        <v>15.04</v>
      </c>
    </row>
    <row r="1620" spans="1:18" ht="14.25" customHeight="1" x14ac:dyDescent="0.35">
      <c r="A1620" s="105" t="s">
        <v>252</v>
      </c>
      <c r="B1620" s="105" t="s">
        <v>1979</v>
      </c>
      <c r="C1620" s="105" t="s">
        <v>1980</v>
      </c>
      <c r="D1620" s="105" t="s">
        <v>1292</v>
      </c>
      <c r="E1620" s="95" t="str">
        <f>IFERROR(VLOOKUP(D1620,MANO_DE_OBRA!A:B,2,FALSE()),"?")</f>
        <v>ESPECIALIZADO</v>
      </c>
      <c r="F1620" s="129" t="s">
        <v>2042</v>
      </c>
      <c r="G1620" s="119">
        <v>1</v>
      </c>
      <c r="H1620" s="120">
        <v>0</v>
      </c>
      <c r="I1620" s="96">
        <f>IFERROR(VLOOKUP(D1620,MANO_DE_OBRA!A:C,3,FALSE()),0)</f>
        <v>94177.137883538904</v>
      </c>
      <c r="J1620" s="31">
        <f t="shared" si="549"/>
        <v>94177.137883538904</v>
      </c>
      <c r="K1620" s="32" t="str">
        <f t="shared" si="550"/>
        <v>PTO-1505|MO</v>
      </c>
      <c r="L1620" s="32">
        <f>COUNTIFS($K$2:K1620,K1620)</f>
        <v>1</v>
      </c>
      <c r="M1620" s="32" t="str">
        <f t="shared" si="551"/>
        <v>PTO-1505|MO|1</v>
      </c>
      <c r="N1620" s="121">
        <f>IFERROR(VLOOKUP(A1620,PARTIDAS!A:F,6,FALSE()),0)</f>
        <v>20</v>
      </c>
      <c r="O1620" s="123">
        <f t="shared" si="547"/>
        <v>0.05</v>
      </c>
      <c r="P1620" s="123">
        <f>+_xlfn.XLOOKUP(A1620,PPTO_GENERADOR!Q:Q,PPTO_GENERADOR!E:E,"-",0)</f>
        <v>668</v>
      </c>
      <c r="Q1620" s="123">
        <f t="shared" si="548"/>
        <v>33.4</v>
      </c>
      <c r="R1620" s="125">
        <f>+_xlfn.XLOOKUP(A1620,PPTO_GENERADOR!$Q:$Q,PPTO_GENERADOR!A:A,"-",0)</f>
        <v>15.05</v>
      </c>
    </row>
    <row r="1621" spans="1:18" ht="14.25" customHeight="1" x14ac:dyDescent="0.35">
      <c r="A1621" s="105" t="s">
        <v>254</v>
      </c>
      <c r="B1621" s="105" t="s">
        <v>1979</v>
      </c>
      <c r="C1621" s="105" t="s">
        <v>1980</v>
      </c>
      <c r="D1621" s="105" t="s">
        <v>1292</v>
      </c>
      <c r="E1621" s="95" t="str">
        <f>IFERROR(VLOOKUP(D1621,MANO_DE_OBRA!A:B,2,FALSE()),"?")</f>
        <v>ESPECIALIZADO</v>
      </c>
      <c r="F1621" s="129" t="s">
        <v>2042</v>
      </c>
      <c r="G1621" s="119">
        <v>1</v>
      </c>
      <c r="H1621" s="120">
        <v>0</v>
      </c>
      <c r="I1621" s="96">
        <f>IFERROR(VLOOKUP(D1621,MANO_DE_OBRA!A:C,3,FALSE()),0)</f>
        <v>94177.137883538904</v>
      </c>
      <c r="J1621" s="31">
        <f t="shared" si="549"/>
        <v>94177.137883538904</v>
      </c>
      <c r="K1621" s="32" t="str">
        <f t="shared" si="550"/>
        <v>PTO-1506|MO</v>
      </c>
      <c r="L1621" s="32">
        <f>COUNTIFS($K$2:K1621,K1621)</f>
        <v>1</v>
      </c>
      <c r="M1621" s="32" t="str">
        <f t="shared" si="551"/>
        <v>PTO-1506|MO|1</v>
      </c>
      <c r="N1621" s="121">
        <f>IFERROR(VLOOKUP(A1621,PARTIDAS!A:F,6,FALSE()),0)</f>
        <v>25</v>
      </c>
      <c r="O1621" s="123">
        <f t="shared" si="547"/>
        <v>0.04</v>
      </c>
      <c r="P1621" s="123">
        <f>+_xlfn.XLOOKUP(A1621,PPTO_GENERADOR!Q:Q,PPTO_GENERADOR!E:E,"-",0)</f>
        <v>281</v>
      </c>
      <c r="Q1621" s="123">
        <f t="shared" si="548"/>
        <v>11.24</v>
      </c>
      <c r="R1621" s="125">
        <f>+_xlfn.XLOOKUP(A1621,PPTO_GENERADOR!$Q:$Q,PPTO_GENERADOR!A:A,"-",0)</f>
        <v>15.06</v>
      </c>
    </row>
    <row r="1622" spans="1:18" ht="14.25" customHeight="1" x14ac:dyDescent="0.35">
      <c r="A1622" s="105" t="s">
        <v>256</v>
      </c>
      <c r="B1622" s="105" t="s">
        <v>1979</v>
      </c>
      <c r="C1622" s="105" t="s">
        <v>1980</v>
      </c>
      <c r="D1622" s="105" t="s">
        <v>1288</v>
      </c>
      <c r="E1622" s="95" t="str">
        <f>IFERROR(VLOOKUP(D1622,MANO_DE_OBRA!A:B,2,FALSE()),"?")</f>
        <v>MEDIO OFICIAL</v>
      </c>
      <c r="F1622" s="129" t="s">
        <v>2042</v>
      </c>
      <c r="G1622" s="119">
        <v>1</v>
      </c>
      <c r="H1622" s="120">
        <v>0</v>
      </c>
      <c r="I1622" s="96">
        <f>IFERROR(VLOOKUP(D1622,MANO_DE_OBRA!A:C,3,FALSE()),0)</f>
        <v>72132.138365590101</v>
      </c>
      <c r="J1622" s="31">
        <f t="shared" si="549"/>
        <v>72132.138365590101</v>
      </c>
      <c r="K1622" s="32" t="str">
        <f t="shared" si="550"/>
        <v>PTO-1507|MO</v>
      </c>
      <c r="L1622" s="32">
        <f>COUNTIFS($K$2:K1622,K1622)</f>
        <v>1</v>
      </c>
      <c r="M1622" s="32" t="str">
        <f t="shared" si="551"/>
        <v>PTO-1507|MO|1</v>
      </c>
      <c r="N1622" s="121">
        <f>IFERROR(VLOOKUP(A1622,PARTIDAS!A:F,6,FALSE()),0)</f>
        <v>20</v>
      </c>
      <c r="O1622" s="123">
        <f t="shared" si="547"/>
        <v>0.05</v>
      </c>
      <c r="P1622" s="123">
        <f>+_xlfn.XLOOKUP(A1622,PPTO_GENERADOR!Q:Q,PPTO_GENERADOR!E:E,"-",0)</f>
        <v>752</v>
      </c>
      <c r="Q1622" s="123">
        <f t="shared" si="548"/>
        <v>37.6</v>
      </c>
      <c r="R1622" s="125">
        <f>+_xlfn.XLOOKUP(A1622,PPTO_GENERADOR!$Q:$Q,PPTO_GENERADOR!A:A,"-",0)</f>
        <v>15.07</v>
      </c>
    </row>
    <row r="1623" spans="1:18" ht="14.25" customHeight="1" x14ac:dyDescent="0.35">
      <c r="A1623" s="105" t="s">
        <v>256</v>
      </c>
      <c r="B1623" s="105" t="s">
        <v>1979</v>
      </c>
      <c r="C1623" s="105" t="s">
        <v>1980</v>
      </c>
      <c r="D1623" s="105" t="s">
        <v>1292</v>
      </c>
      <c r="E1623" s="95" t="str">
        <f>IFERROR(VLOOKUP(D1623,MANO_DE_OBRA!A:B,2,FALSE()),"?")</f>
        <v>ESPECIALIZADO</v>
      </c>
      <c r="F1623" s="129" t="s">
        <v>2042</v>
      </c>
      <c r="G1623" s="119">
        <v>1.5</v>
      </c>
      <c r="H1623" s="120">
        <v>0</v>
      </c>
      <c r="I1623" s="96">
        <f>IFERROR(VLOOKUP(D1623,MANO_DE_OBRA!A:C,3,FALSE()),0)</f>
        <v>94177.137883538904</v>
      </c>
      <c r="J1623" s="31">
        <f t="shared" si="549"/>
        <v>141265.70682530836</v>
      </c>
      <c r="K1623" s="32" t="str">
        <f t="shared" si="550"/>
        <v>PTO-1507|MO</v>
      </c>
      <c r="L1623" s="32">
        <f>COUNTIFS($K$2:K1623,K1623)</f>
        <v>2</v>
      </c>
      <c r="M1623" s="32" t="str">
        <f t="shared" si="551"/>
        <v>PTO-1507|MO|2</v>
      </c>
      <c r="N1623" s="121">
        <f>IFERROR(VLOOKUP(A1623,PARTIDAS!A:F,6,FALSE()),0)</f>
        <v>20</v>
      </c>
      <c r="O1623" s="123">
        <f t="shared" si="547"/>
        <v>7.4999999999999997E-2</v>
      </c>
      <c r="P1623" s="123">
        <f>+_xlfn.XLOOKUP(A1623,PPTO_GENERADOR!Q:Q,PPTO_GENERADOR!E:E,"-",0)</f>
        <v>752</v>
      </c>
      <c r="Q1623" s="123">
        <f t="shared" si="548"/>
        <v>56.4</v>
      </c>
      <c r="R1623" s="125">
        <f>+_xlfn.XLOOKUP(A1623,PPTO_GENERADOR!$Q:$Q,PPTO_GENERADOR!A:A,"-",0)</f>
        <v>15.07</v>
      </c>
    </row>
    <row r="1624" spans="1:18" ht="14.25" customHeight="1" x14ac:dyDescent="0.35">
      <c r="A1624" s="105" t="s">
        <v>256</v>
      </c>
      <c r="B1624" s="105" t="s">
        <v>1979</v>
      </c>
      <c r="C1624" s="105" t="s">
        <v>1980</v>
      </c>
      <c r="D1624" s="105" t="s">
        <v>2038</v>
      </c>
      <c r="E1624" s="95" t="str">
        <f>IFERROR(VLOOKUP(D1624,MANO_DE_OBRA!A:B,2,FALSE()),"?")</f>
        <v>AYUDANTE</v>
      </c>
      <c r="F1624" s="129" t="s">
        <v>2042</v>
      </c>
      <c r="G1624" s="119">
        <v>0.5</v>
      </c>
      <c r="H1624" s="120">
        <v>0</v>
      </c>
      <c r="I1624" s="96">
        <f>IFERROR(VLOOKUP(D1624,MANO_DE_OBRA!A:C,3,FALSE()),0)</f>
        <v>67240.498860267602</v>
      </c>
      <c r="J1624" s="31">
        <f t="shared" si="549"/>
        <v>33620.249430133801</v>
      </c>
      <c r="K1624" s="32" t="str">
        <f t="shared" si="550"/>
        <v>PTO-1507|MO</v>
      </c>
      <c r="L1624" s="32">
        <f>COUNTIFS($K$2:K1624,K1624)</f>
        <v>3</v>
      </c>
      <c r="M1624" s="32" t="str">
        <f t="shared" si="551"/>
        <v>PTO-1507|MO|3</v>
      </c>
      <c r="N1624" s="121">
        <f>IFERROR(VLOOKUP(A1624,PARTIDAS!A:F,6,FALSE()),0)</f>
        <v>20</v>
      </c>
      <c r="O1624" s="123">
        <f t="shared" si="547"/>
        <v>2.5000000000000001E-2</v>
      </c>
      <c r="P1624" s="123">
        <f>+_xlfn.XLOOKUP(A1624,PPTO_GENERADOR!Q:Q,PPTO_GENERADOR!E:E,"-",0)</f>
        <v>752</v>
      </c>
      <c r="Q1624" s="123">
        <f t="shared" si="548"/>
        <v>18.8</v>
      </c>
      <c r="R1624" s="125">
        <f>+_xlfn.XLOOKUP(A1624,PPTO_GENERADOR!$Q:$Q,PPTO_GENERADOR!A:A,"-",0)</f>
        <v>15.07</v>
      </c>
    </row>
    <row r="1625" spans="1:18" ht="14.25" customHeight="1" x14ac:dyDescent="0.35">
      <c r="A1625" s="105" t="s">
        <v>259</v>
      </c>
      <c r="B1625" s="105" t="s">
        <v>1979</v>
      </c>
      <c r="C1625" s="105" t="s">
        <v>1980</v>
      </c>
      <c r="D1625" s="105" t="s">
        <v>1288</v>
      </c>
      <c r="E1625" s="95" t="str">
        <f>IFERROR(VLOOKUP(D1625,MANO_DE_OBRA!A:B,2,FALSE()),"?")</f>
        <v>MEDIO OFICIAL</v>
      </c>
      <c r="F1625" s="129" t="s">
        <v>2042</v>
      </c>
      <c r="G1625" s="119">
        <v>1</v>
      </c>
      <c r="H1625" s="120">
        <v>0</v>
      </c>
      <c r="I1625" s="96">
        <f>IFERROR(VLOOKUP(D1625,MANO_DE_OBRA!A:C,3,FALSE()),0)</f>
        <v>72132.138365590101</v>
      </c>
      <c r="J1625" s="31">
        <f t="shared" si="549"/>
        <v>72132.138365590101</v>
      </c>
      <c r="K1625" s="32" t="str">
        <f t="shared" si="550"/>
        <v>PTO-1508|MO</v>
      </c>
      <c r="L1625" s="32">
        <f>COUNTIFS($K$2:K1625,K1625)</f>
        <v>1</v>
      </c>
      <c r="M1625" s="32" t="str">
        <f t="shared" si="551"/>
        <v>PTO-1508|MO|1</v>
      </c>
      <c r="N1625" s="121">
        <f>IFERROR(VLOOKUP(A1625,PARTIDAS!A:F,6,FALSE()),0)</f>
        <v>20</v>
      </c>
      <c r="O1625" s="123">
        <f t="shared" si="547"/>
        <v>0.05</v>
      </c>
      <c r="P1625" s="123">
        <f>+_xlfn.XLOOKUP(A1625,PPTO_GENERADOR!Q:Q,PPTO_GENERADOR!E:E,"-",0)</f>
        <v>433</v>
      </c>
      <c r="Q1625" s="123">
        <f t="shared" si="548"/>
        <v>21.650000000000002</v>
      </c>
      <c r="R1625" s="125">
        <f>+_xlfn.XLOOKUP(A1625,PPTO_GENERADOR!$Q:$Q,PPTO_GENERADOR!A:A,"-",0)</f>
        <v>15.08</v>
      </c>
    </row>
    <row r="1626" spans="1:18" ht="14.25" customHeight="1" x14ac:dyDescent="0.35">
      <c r="A1626" s="105" t="s">
        <v>259</v>
      </c>
      <c r="B1626" s="105" t="s">
        <v>1979</v>
      </c>
      <c r="C1626" s="105" t="s">
        <v>1980</v>
      </c>
      <c r="D1626" s="105" t="s">
        <v>1292</v>
      </c>
      <c r="E1626" s="95" t="str">
        <f>IFERROR(VLOOKUP(D1626,MANO_DE_OBRA!A:B,2,FALSE()),"?")</f>
        <v>ESPECIALIZADO</v>
      </c>
      <c r="F1626" s="129" t="s">
        <v>2042</v>
      </c>
      <c r="G1626" s="119">
        <v>1.5</v>
      </c>
      <c r="H1626" s="120">
        <v>0</v>
      </c>
      <c r="I1626" s="96">
        <f>IFERROR(VLOOKUP(D1626,MANO_DE_OBRA!A:C,3,FALSE()),0)</f>
        <v>94177.137883538904</v>
      </c>
      <c r="J1626" s="31">
        <f t="shared" si="549"/>
        <v>141265.70682530836</v>
      </c>
      <c r="K1626" s="32" t="str">
        <f t="shared" si="550"/>
        <v>PTO-1508|MO</v>
      </c>
      <c r="L1626" s="32">
        <f>COUNTIFS($K$2:K1626,K1626)</f>
        <v>2</v>
      </c>
      <c r="M1626" s="32" t="str">
        <f t="shared" si="551"/>
        <v>PTO-1508|MO|2</v>
      </c>
      <c r="N1626" s="121">
        <f>IFERROR(VLOOKUP(A1626,PARTIDAS!A:F,6,FALSE()),0)</f>
        <v>20</v>
      </c>
      <c r="O1626" s="123">
        <f t="shared" si="547"/>
        <v>7.4999999999999997E-2</v>
      </c>
      <c r="P1626" s="123">
        <f>+_xlfn.XLOOKUP(A1626,PPTO_GENERADOR!Q:Q,PPTO_GENERADOR!E:E,"-",0)</f>
        <v>433</v>
      </c>
      <c r="Q1626" s="123">
        <f t="shared" si="548"/>
        <v>32.475000000000001</v>
      </c>
      <c r="R1626" s="125">
        <f>+_xlfn.XLOOKUP(A1626,PPTO_GENERADOR!$Q:$Q,PPTO_GENERADOR!A:A,"-",0)</f>
        <v>15.08</v>
      </c>
    </row>
    <row r="1627" spans="1:18" ht="14.25" customHeight="1" x14ac:dyDescent="0.35">
      <c r="A1627" s="105" t="s">
        <v>259</v>
      </c>
      <c r="B1627" s="105" t="s">
        <v>1979</v>
      </c>
      <c r="C1627" s="105" t="s">
        <v>1980</v>
      </c>
      <c r="D1627" s="105" t="s">
        <v>2038</v>
      </c>
      <c r="E1627" s="95" t="str">
        <f>IFERROR(VLOOKUP(D1627,MANO_DE_OBRA!A:B,2,FALSE()),"?")</f>
        <v>AYUDANTE</v>
      </c>
      <c r="F1627" s="129" t="s">
        <v>2042</v>
      </c>
      <c r="G1627" s="119">
        <v>0.5</v>
      </c>
      <c r="H1627" s="120">
        <v>0</v>
      </c>
      <c r="I1627" s="96">
        <f>IFERROR(VLOOKUP(D1627,MANO_DE_OBRA!A:C,3,FALSE()),0)</f>
        <v>67240.498860267602</v>
      </c>
      <c r="J1627" s="31">
        <f t="shared" si="549"/>
        <v>33620.249430133801</v>
      </c>
      <c r="K1627" s="32" t="str">
        <f t="shared" si="550"/>
        <v>PTO-1508|MO</v>
      </c>
      <c r="L1627" s="32">
        <f>COUNTIFS($K$2:K1627,K1627)</f>
        <v>3</v>
      </c>
      <c r="M1627" s="32" t="str">
        <f t="shared" si="551"/>
        <v>PTO-1508|MO|3</v>
      </c>
      <c r="N1627" s="121">
        <f>IFERROR(VLOOKUP(A1627,PARTIDAS!A:F,6,FALSE()),0)</f>
        <v>20</v>
      </c>
      <c r="O1627" s="123">
        <f t="shared" si="547"/>
        <v>2.5000000000000001E-2</v>
      </c>
      <c r="P1627" s="123">
        <f>+_xlfn.XLOOKUP(A1627,PPTO_GENERADOR!Q:Q,PPTO_GENERADOR!E:E,"-",0)</f>
        <v>433</v>
      </c>
      <c r="Q1627" s="123">
        <f t="shared" si="548"/>
        <v>10.825000000000001</v>
      </c>
      <c r="R1627" s="125">
        <f>+_xlfn.XLOOKUP(A1627,PPTO_GENERADOR!$Q:$Q,PPTO_GENERADOR!A:A,"-",0)</f>
        <v>15.08</v>
      </c>
    </row>
    <row r="1628" spans="1:18" ht="14.25" customHeight="1" x14ac:dyDescent="0.35">
      <c r="A1628" s="105" t="s">
        <v>279</v>
      </c>
      <c r="B1628" s="105" t="s">
        <v>1979</v>
      </c>
      <c r="C1628" s="105" t="s">
        <v>1980</v>
      </c>
      <c r="D1628" s="105" t="s">
        <v>1292</v>
      </c>
      <c r="E1628" s="95" t="str">
        <f>IFERROR(VLOOKUP(D1628,MANO_DE_OBRA!A:B,2,FALSE()),"?")</f>
        <v>ESPECIALIZADO</v>
      </c>
      <c r="F1628" s="129" t="s">
        <v>2042</v>
      </c>
      <c r="G1628" s="119">
        <v>1</v>
      </c>
      <c r="H1628" s="120">
        <v>0</v>
      </c>
      <c r="I1628" s="96">
        <f>IFERROR(VLOOKUP(D1628,MANO_DE_OBRA!A:C,3,FALSE()),0)</f>
        <v>94177.137883538904</v>
      </c>
      <c r="J1628" s="31">
        <f t="shared" si="549"/>
        <v>94177.137883538904</v>
      </c>
      <c r="K1628" s="32" t="str">
        <f t="shared" si="550"/>
        <v>PTO-1801|MO</v>
      </c>
      <c r="L1628" s="32">
        <f>COUNTIFS($K$2:K1628,K1628)</f>
        <v>1</v>
      </c>
      <c r="M1628" s="32" t="str">
        <f t="shared" si="551"/>
        <v>PTO-1801|MO|1</v>
      </c>
      <c r="N1628" s="121">
        <f>IFERROR(VLOOKUP(A1628,PARTIDAS!A:F,6,FALSE()),0)</f>
        <v>3.25</v>
      </c>
      <c r="O1628" s="123">
        <f t="shared" si="547"/>
        <v>0.30769230769230771</v>
      </c>
      <c r="P1628" s="123">
        <f>+_xlfn.XLOOKUP(A1628,PPTO_GENERADOR!Q:Q,PPTO_GENERADOR!E:E,"-",0)</f>
        <v>222</v>
      </c>
      <c r="Q1628" s="123">
        <f t="shared" si="548"/>
        <v>68.307692307692307</v>
      </c>
      <c r="R1628" s="125">
        <f>+_xlfn.XLOOKUP(A1628,PPTO_GENERADOR!$Q:$Q,PPTO_GENERADOR!A:A,"-",0)</f>
        <v>18.010000000000002</v>
      </c>
    </row>
    <row r="1629" spans="1:18" ht="14.25" customHeight="1" x14ac:dyDescent="0.35">
      <c r="A1629" s="105" t="s">
        <v>279</v>
      </c>
      <c r="B1629" s="105" t="s">
        <v>1979</v>
      </c>
      <c r="C1629" s="105" t="s">
        <v>1980</v>
      </c>
      <c r="D1629" s="105" t="s">
        <v>2038</v>
      </c>
      <c r="E1629" s="95" t="str">
        <f>IFERROR(VLOOKUP(D1629,MANO_DE_OBRA!A:B,2,FALSE()),"?")</f>
        <v>AYUDANTE</v>
      </c>
      <c r="F1629" s="129" t="s">
        <v>2042</v>
      </c>
      <c r="G1629" s="119">
        <v>1</v>
      </c>
      <c r="H1629" s="120">
        <v>0</v>
      </c>
      <c r="I1629" s="96">
        <f>IFERROR(VLOOKUP(D1629,MANO_DE_OBRA!A:C,3,FALSE()),0)</f>
        <v>67240.498860267602</v>
      </c>
      <c r="J1629" s="31">
        <f t="shared" si="549"/>
        <v>67240.498860267602</v>
      </c>
      <c r="K1629" s="32" t="str">
        <f t="shared" si="550"/>
        <v>PTO-1801|MO</v>
      </c>
      <c r="L1629" s="32">
        <f>COUNTIFS($K$2:K1629,K1629)</f>
        <v>2</v>
      </c>
      <c r="M1629" s="32" t="str">
        <f t="shared" si="551"/>
        <v>PTO-1801|MO|2</v>
      </c>
      <c r="N1629" s="121">
        <f>IFERROR(VLOOKUP(A1629,PARTIDAS!A:F,6,FALSE()),0)</f>
        <v>3.25</v>
      </c>
      <c r="O1629" s="123">
        <f t="shared" si="547"/>
        <v>0.30769230769230771</v>
      </c>
      <c r="P1629" s="123">
        <f>+_xlfn.XLOOKUP(A1629,PPTO_GENERADOR!Q:Q,PPTO_GENERADOR!E:E,"-",0)</f>
        <v>222</v>
      </c>
      <c r="Q1629" s="123">
        <f t="shared" si="548"/>
        <v>68.307692307692307</v>
      </c>
      <c r="R1629" s="125">
        <f>+_xlfn.XLOOKUP(A1629,PPTO_GENERADOR!$Q:$Q,PPTO_GENERADOR!A:A,"-",0)</f>
        <v>18.010000000000002</v>
      </c>
    </row>
    <row r="1630" spans="1:18" ht="14.25" customHeight="1" x14ac:dyDescent="0.35">
      <c r="A1630" s="105" t="s">
        <v>282</v>
      </c>
      <c r="B1630" s="105" t="s">
        <v>1979</v>
      </c>
      <c r="C1630" s="105" t="s">
        <v>1980</v>
      </c>
      <c r="D1630" s="105" t="s">
        <v>1292</v>
      </c>
      <c r="E1630" s="95" t="str">
        <f>IFERROR(VLOOKUP(D1630,MANO_DE_OBRA!A:B,2,FALSE()),"?")</f>
        <v>ESPECIALIZADO</v>
      </c>
      <c r="F1630" s="129" t="s">
        <v>2042</v>
      </c>
      <c r="G1630" s="119">
        <v>1</v>
      </c>
      <c r="H1630" s="120">
        <v>0</v>
      </c>
      <c r="I1630" s="96">
        <f>IFERROR(VLOOKUP(D1630,MANO_DE_OBRA!A:C,3,FALSE()),0)</f>
        <v>94177.137883538904</v>
      </c>
      <c r="J1630" s="31">
        <f t="shared" si="549"/>
        <v>94177.137883538904</v>
      </c>
      <c r="K1630" s="32" t="str">
        <f t="shared" si="550"/>
        <v>PTO-1802|MO</v>
      </c>
      <c r="L1630" s="32">
        <f>COUNTIFS($K$2:K1630,K1630)</f>
        <v>1</v>
      </c>
      <c r="M1630" s="32" t="str">
        <f t="shared" si="551"/>
        <v>PTO-1802|MO|1</v>
      </c>
      <c r="N1630" s="121">
        <f>IFERROR(VLOOKUP(A1630,PARTIDAS!A:F,6,FALSE()),0)</f>
        <v>3.25</v>
      </c>
      <c r="O1630" s="123">
        <f t="shared" si="547"/>
        <v>0.30769230769230771</v>
      </c>
      <c r="P1630" s="123">
        <f>+_xlfn.XLOOKUP(A1630,PPTO_GENERADOR!Q:Q,PPTO_GENERADOR!E:E,"-",0)</f>
        <v>67</v>
      </c>
      <c r="Q1630" s="123">
        <f t="shared" si="548"/>
        <v>20.615384615384617</v>
      </c>
      <c r="R1630" s="125">
        <f>+_xlfn.XLOOKUP(A1630,PPTO_GENERADOR!$Q:$Q,PPTO_GENERADOR!A:A,"-",0)</f>
        <v>18.02</v>
      </c>
    </row>
    <row r="1631" spans="1:18" ht="14.25" customHeight="1" x14ac:dyDescent="0.35">
      <c r="A1631" s="105" t="s">
        <v>282</v>
      </c>
      <c r="B1631" s="105" t="s">
        <v>1979</v>
      </c>
      <c r="C1631" s="105" t="s">
        <v>1980</v>
      </c>
      <c r="D1631" s="105" t="s">
        <v>2038</v>
      </c>
      <c r="E1631" s="95" t="str">
        <f>IFERROR(VLOOKUP(D1631,MANO_DE_OBRA!A:B,2,FALSE()),"?")</f>
        <v>AYUDANTE</v>
      </c>
      <c r="F1631" s="129" t="s">
        <v>2042</v>
      </c>
      <c r="G1631" s="119">
        <v>1</v>
      </c>
      <c r="H1631" s="120">
        <v>0</v>
      </c>
      <c r="I1631" s="96">
        <f>IFERROR(VLOOKUP(D1631,MANO_DE_OBRA!A:C,3,FALSE()),0)</f>
        <v>67240.498860267602</v>
      </c>
      <c r="J1631" s="31">
        <f t="shared" si="549"/>
        <v>67240.498860267602</v>
      </c>
      <c r="K1631" s="32" t="str">
        <f t="shared" si="550"/>
        <v>PTO-1802|MO</v>
      </c>
      <c r="L1631" s="32">
        <f>COUNTIFS($K$2:K1631,K1631)</f>
        <v>2</v>
      </c>
      <c r="M1631" s="32" t="str">
        <f t="shared" si="551"/>
        <v>PTO-1802|MO|2</v>
      </c>
      <c r="N1631" s="121">
        <f>IFERROR(VLOOKUP(A1631,PARTIDAS!A:F,6,FALSE()),0)</f>
        <v>3.25</v>
      </c>
      <c r="O1631" s="123">
        <f t="shared" si="547"/>
        <v>0.30769230769230771</v>
      </c>
      <c r="P1631" s="123">
        <f>+_xlfn.XLOOKUP(A1631,PPTO_GENERADOR!Q:Q,PPTO_GENERADOR!E:E,"-",0)</f>
        <v>67</v>
      </c>
      <c r="Q1631" s="123">
        <f t="shared" si="548"/>
        <v>20.615384615384617</v>
      </c>
      <c r="R1631" s="125">
        <f>+_xlfn.XLOOKUP(A1631,PPTO_GENERADOR!$Q:$Q,PPTO_GENERADOR!A:A,"-",0)</f>
        <v>18.02</v>
      </c>
    </row>
    <row r="1632" spans="1:18" ht="14.25" customHeight="1" x14ac:dyDescent="0.35">
      <c r="A1632" s="105" t="s">
        <v>285</v>
      </c>
      <c r="B1632" s="105" t="s">
        <v>1979</v>
      </c>
      <c r="C1632" s="105" t="s">
        <v>1980</v>
      </c>
      <c r="D1632" s="105" t="s">
        <v>1292</v>
      </c>
      <c r="E1632" s="95" t="str">
        <f>IFERROR(VLOOKUP(D1632,MANO_DE_OBRA!A:B,2,FALSE()),"?")</f>
        <v>ESPECIALIZADO</v>
      </c>
      <c r="F1632" s="129" t="s">
        <v>2042</v>
      </c>
      <c r="G1632" s="119">
        <v>1</v>
      </c>
      <c r="H1632" s="120">
        <v>0</v>
      </c>
      <c r="I1632" s="96">
        <f>IFERROR(VLOOKUP(D1632,MANO_DE_OBRA!A:C,3,FALSE()),0)</f>
        <v>94177.137883538904</v>
      </c>
      <c r="J1632" s="31">
        <f t="shared" si="549"/>
        <v>94177.137883538904</v>
      </c>
      <c r="K1632" s="32" t="str">
        <f t="shared" si="550"/>
        <v>PTO-1803|MO</v>
      </c>
      <c r="L1632" s="32">
        <f>COUNTIFS($K$2:K1632,K1632)</f>
        <v>1</v>
      </c>
      <c r="M1632" s="32" t="str">
        <f t="shared" si="551"/>
        <v>PTO-1803|MO|1</v>
      </c>
      <c r="N1632" s="121">
        <f>IFERROR(VLOOKUP(A1632,PARTIDAS!A:F,6,FALSE()),0)</f>
        <v>3.25</v>
      </c>
      <c r="O1632" s="123">
        <f t="shared" si="547"/>
        <v>0.30769230769230771</v>
      </c>
      <c r="P1632" s="123">
        <f>+_xlfn.XLOOKUP(A1632,PPTO_GENERADOR!Q:Q,PPTO_GENERADOR!E:E,"-",0)</f>
        <v>23</v>
      </c>
      <c r="Q1632" s="123">
        <f t="shared" si="548"/>
        <v>7.0769230769230775</v>
      </c>
      <c r="R1632" s="125">
        <f>+_xlfn.XLOOKUP(A1632,PPTO_GENERADOR!$Q:$Q,PPTO_GENERADOR!A:A,"-",0)</f>
        <v>18.03</v>
      </c>
    </row>
    <row r="1633" spans="1:18" ht="14.25" customHeight="1" x14ac:dyDescent="0.35">
      <c r="A1633" s="105" t="s">
        <v>285</v>
      </c>
      <c r="B1633" s="105" t="s">
        <v>1979</v>
      </c>
      <c r="C1633" s="105" t="s">
        <v>1980</v>
      </c>
      <c r="D1633" s="105" t="s">
        <v>2038</v>
      </c>
      <c r="E1633" s="95" t="str">
        <f>IFERROR(VLOOKUP(D1633,MANO_DE_OBRA!A:B,2,FALSE()),"?")</f>
        <v>AYUDANTE</v>
      </c>
      <c r="F1633" s="129" t="s">
        <v>2042</v>
      </c>
      <c r="G1633" s="119">
        <v>1</v>
      </c>
      <c r="H1633" s="120">
        <v>0</v>
      </c>
      <c r="I1633" s="96">
        <f>IFERROR(VLOOKUP(D1633,MANO_DE_OBRA!A:C,3,FALSE()),0)</f>
        <v>67240.498860267602</v>
      </c>
      <c r="J1633" s="31">
        <f t="shared" si="549"/>
        <v>67240.498860267602</v>
      </c>
      <c r="K1633" s="32" t="str">
        <f t="shared" si="550"/>
        <v>PTO-1803|MO</v>
      </c>
      <c r="L1633" s="32">
        <f>COUNTIFS($K$2:K1633,K1633)</f>
        <v>2</v>
      </c>
      <c r="M1633" s="32" t="str">
        <f t="shared" si="551"/>
        <v>PTO-1803|MO|2</v>
      </c>
      <c r="N1633" s="121">
        <f>IFERROR(VLOOKUP(A1633,PARTIDAS!A:F,6,FALSE()),0)</f>
        <v>3.25</v>
      </c>
      <c r="O1633" s="123">
        <f t="shared" si="547"/>
        <v>0.30769230769230771</v>
      </c>
      <c r="P1633" s="123">
        <f>+_xlfn.XLOOKUP(A1633,PPTO_GENERADOR!Q:Q,PPTO_GENERADOR!E:E,"-",0)</f>
        <v>23</v>
      </c>
      <c r="Q1633" s="123">
        <f t="shared" si="548"/>
        <v>7.0769230769230775</v>
      </c>
      <c r="R1633" s="125">
        <f>+_xlfn.XLOOKUP(A1633,PPTO_GENERADOR!$Q:$Q,PPTO_GENERADOR!A:A,"-",0)</f>
        <v>18.03</v>
      </c>
    </row>
    <row r="1634" spans="1:18" ht="14.25" customHeight="1" x14ac:dyDescent="0.35">
      <c r="A1634" s="105" t="s">
        <v>287</v>
      </c>
      <c r="B1634" s="105" t="s">
        <v>1979</v>
      </c>
      <c r="C1634" s="105" t="s">
        <v>1980</v>
      </c>
      <c r="D1634" s="105" t="s">
        <v>1292</v>
      </c>
      <c r="E1634" s="95" t="str">
        <f>IFERROR(VLOOKUP(D1634,MANO_DE_OBRA!A:B,2,FALSE()),"?")</f>
        <v>ESPECIALIZADO</v>
      </c>
      <c r="F1634" s="129" t="s">
        <v>2042</v>
      </c>
      <c r="G1634" s="119">
        <v>1</v>
      </c>
      <c r="H1634" s="120">
        <v>0</v>
      </c>
      <c r="I1634" s="96">
        <f>IFERROR(VLOOKUP(D1634,MANO_DE_OBRA!A:C,3,FALSE()),0)</f>
        <v>94177.137883538904</v>
      </c>
      <c r="J1634" s="31">
        <f t="shared" si="549"/>
        <v>94177.137883538904</v>
      </c>
      <c r="K1634" s="32" t="str">
        <f t="shared" si="550"/>
        <v>PTO-1804|MO</v>
      </c>
      <c r="L1634" s="32">
        <f>COUNTIFS($K$2:K1634,K1634)</f>
        <v>1</v>
      </c>
      <c r="M1634" s="32" t="str">
        <f t="shared" si="551"/>
        <v>PTO-1804|MO|1</v>
      </c>
      <c r="N1634" s="121">
        <f>IFERROR(VLOOKUP(A1634,PARTIDAS!A:F,6,FALSE()),0)</f>
        <v>3.25</v>
      </c>
      <c r="O1634" s="123">
        <f t="shared" si="547"/>
        <v>0.30769230769230771</v>
      </c>
      <c r="P1634" s="123">
        <f>+_xlfn.XLOOKUP(A1634,PPTO_GENERADOR!Q:Q,PPTO_GENERADOR!E:E,"-",0)</f>
        <v>11</v>
      </c>
      <c r="Q1634" s="123">
        <f t="shared" si="548"/>
        <v>3.384615384615385</v>
      </c>
      <c r="R1634" s="125">
        <f>+_xlfn.XLOOKUP(A1634,PPTO_GENERADOR!$Q:$Q,PPTO_GENERADOR!A:A,"-",0)</f>
        <v>18.04</v>
      </c>
    </row>
    <row r="1635" spans="1:18" ht="14.25" customHeight="1" x14ac:dyDescent="0.35">
      <c r="A1635" s="105" t="s">
        <v>287</v>
      </c>
      <c r="B1635" s="105" t="s">
        <v>1979</v>
      </c>
      <c r="C1635" s="105" t="s">
        <v>1980</v>
      </c>
      <c r="D1635" s="105" t="s">
        <v>2038</v>
      </c>
      <c r="E1635" s="95" t="str">
        <f>IFERROR(VLOOKUP(D1635,MANO_DE_OBRA!A:B,2,FALSE()),"?")</f>
        <v>AYUDANTE</v>
      </c>
      <c r="F1635" s="129" t="s">
        <v>2042</v>
      </c>
      <c r="G1635" s="119">
        <v>1</v>
      </c>
      <c r="H1635" s="120">
        <v>0</v>
      </c>
      <c r="I1635" s="96">
        <f>IFERROR(VLOOKUP(D1635,MANO_DE_OBRA!A:C,3,FALSE()),0)</f>
        <v>67240.498860267602</v>
      </c>
      <c r="J1635" s="31">
        <f t="shared" si="549"/>
        <v>67240.498860267602</v>
      </c>
      <c r="K1635" s="32" t="str">
        <f t="shared" si="550"/>
        <v>PTO-1804|MO</v>
      </c>
      <c r="L1635" s="32">
        <f>COUNTIFS($K$2:K1635,K1635)</f>
        <v>2</v>
      </c>
      <c r="M1635" s="32" t="str">
        <f t="shared" si="551"/>
        <v>PTO-1804|MO|2</v>
      </c>
      <c r="N1635" s="121">
        <f>IFERROR(VLOOKUP(A1635,PARTIDAS!A:F,6,FALSE()),0)</f>
        <v>3.25</v>
      </c>
      <c r="O1635" s="123">
        <f t="shared" si="547"/>
        <v>0.30769230769230771</v>
      </c>
      <c r="P1635" s="123">
        <f>+_xlfn.XLOOKUP(A1635,PPTO_GENERADOR!Q:Q,PPTO_GENERADOR!E:E,"-",0)</f>
        <v>11</v>
      </c>
      <c r="Q1635" s="123">
        <f t="shared" si="548"/>
        <v>3.384615384615385</v>
      </c>
      <c r="R1635" s="125">
        <f>+_xlfn.XLOOKUP(A1635,PPTO_GENERADOR!$Q:$Q,PPTO_GENERADOR!A:A,"-",0)</f>
        <v>18.04</v>
      </c>
    </row>
    <row r="1636" spans="1:18" ht="14.25" customHeight="1" x14ac:dyDescent="0.35">
      <c r="A1636" s="105" t="s">
        <v>289</v>
      </c>
      <c r="B1636" s="105" t="s">
        <v>1979</v>
      </c>
      <c r="C1636" s="105" t="s">
        <v>1980</v>
      </c>
      <c r="D1636" s="105" t="s">
        <v>1292</v>
      </c>
      <c r="E1636" s="95" t="str">
        <f>IFERROR(VLOOKUP(D1636,MANO_DE_OBRA!A:B,2,FALSE()),"?")</f>
        <v>ESPECIALIZADO</v>
      </c>
      <c r="F1636" s="129" t="s">
        <v>2042</v>
      </c>
      <c r="G1636" s="119">
        <v>1</v>
      </c>
      <c r="H1636" s="120">
        <v>0</v>
      </c>
      <c r="I1636" s="96">
        <f>IFERROR(VLOOKUP(D1636,MANO_DE_OBRA!A:C,3,FALSE()),0)</f>
        <v>94177.137883538904</v>
      </c>
      <c r="J1636" s="31">
        <f t="shared" si="549"/>
        <v>94177.137883538904</v>
      </c>
      <c r="K1636" s="32" t="str">
        <f t="shared" si="550"/>
        <v>PTO-1805|MO</v>
      </c>
      <c r="L1636" s="32">
        <f>COUNTIFS($K$2:K1636,K1636)</f>
        <v>1</v>
      </c>
      <c r="M1636" s="32" t="str">
        <f t="shared" si="551"/>
        <v>PTO-1805|MO|1</v>
      </c>
      <c r="N1636" s="121">
        <f>IFERROR(VLOOKUP(A1636,PARTIDAS!A:F,6,FALSE()),0)</f>
        <v>3.25</v>
      </c>
      <c r="O1636" s="123">
        <f t="shared" si="547"/>
        <v>0.30769230769230771</v>
      </c>
      <c r="P1636" s="123">
        <f>+_xlfn.XLOOKUP(A1636,PPTO_GENERADOR!Q:Q,PPTO_GENERADOR!E:E,"-",0)</f>
        <v>313</v>
      </c>
      <c r="Q1636" s="123">
        <f t="shared" si="548"/>
        <v>96.307692307692307</v>
      </c>
      <c r="R1636" s="125">
        <f>+_xlfn.XLOOKUP(A1636,PPTO_GENERADOR!$Q:$Q,PPTO_GENERADOR!A:A,"-",0)</f>
        <v>18.05</v>
      </c>
    </row>
    <row r="1637" spans="1:18" ht="14.25" customHeight="1" x14ac:dyDescent="0.35">
      <c r="A1637" s="105" t="s">
        <v>289</v>
      </c>
      <c r="B1637" s="105" t="s">
        <v>1979</v>
      </c>
      <c r="C1637" s="105" t="s">
        <v>1980</v>
      </c>
      <c r="D1637" s="105" t="s">
        <v>2038</v>
      </c>
      <c r="E1637" s="95" t="str">
        <f>IFERROR(VLOOKUP(D1637,MANO_DE_OBRA!A:B,2,FALSE()),"?")</f>
        <v>AYUDANTE</v>
      </c>
      <c r="F1637" s="129" t="s">
        <v>2042</v>
      </c>
      <c r="G1637" s="119">
        <v>1</v>
      </c>
      <c r="H1637" s="120">
        <v>0</v>
      </c>
      <c r="I1637" s="96">
        <f>IFERROR(VLOOKUP(D1637,MANO_DE_OBRA!A:C,3,FALSE()),0)</f>
        <v>67240.498860267602</v>
      </c>
      <c r="J1637" s="31">
        <f t="shared" si="549"/>
        <v>67240.498860267602</v>
      </c>
      <c r="K1637" s="32" t="str">
        <f t="shared" si="550"/>
        <v>PTO-1805|MO</v>
      </c>
      <c r="L1637" s="32">
        <f>COUNTIFS($K$2:K1637,K1637)</f>
        <v>2</v>
      </c>
      <c r="M1637" s="32" t="str">
        <f t="shared" si="551"/>
        <v>PTO-1805|MO|2</v>
      </c>
      <c r="N1637" s="121">
        <f>IFERROR(VLOOKUP(A1637,PARTIDAS!A:F,6,FALSE()),0)</f>
        <v>3.25</v>
      </c>
      <c r="O1637" s="123">
        <f t="shared" si="547"/>
        <v>0.30769230769230771</v>
      </c>
      <c r="P1637" s="123">
        <f>+_xlfn.XLOOKUP(A1637,PPTO_GENERADOR!Q:Q,PPTO_GENERADOR!E:E,"-",0)</f>
        <v>313</v>
      </c>
      <c r="Q1637" s="123">
        <f t="shared" si="548"/>
        <v>96.307692307692307</v>
      </c>
      <c r="R1637" s="125">
        <f>+_xlfn.XLOOKUP(A1637,PPTO_GENERADOR!$Q:$Q,PPTO_GENERADOR!A:A,"-",0)</f>
        <v>18.05</v>
      </c>
    </row>
    <row r="1638" spans="1:18" ht="14.25" customHeight="1" x14ac:dyDescent="0.35">
      <c r="A1638" s="105" t="s">
        <v>292</v>
      </c>
      <c r="B1638" s="105" t="s">
        <v>1979</v>
      </c>
      <c r="C1638" s="105" t="s">
        <v>1980</v>
      </c>
      <c r="D1638" s="105" t="s">
        <v>1292</v>
      </c>
      <c r="E1638" s="95" t="str">
        <f>IFERROR(VLOOKUP(D1638,MANO_DE_OBRA!A:B,2,FALSE()),"?")</f>
        <v>ESPECIALIZADO</v>
      </c>
      <c r="F1638" s="129" t="s">
        <v>2042</v>
      </c>
      <c r="G1638" s="119">
        <v>1</v>
      </c>
      <c r="H1638" s="120">
        <v>0</v>
      </c>
      <c r="I1638" s="96">
        <f>IFERROR(VLOOKUP(D1638,MANO_DE_OBRA!A:C,3,FALSE()),0)</f>
        <v>94177.137883538904</v>
      </c>
      <c r="J1638" s="31">
        <f t="shared" si="549"/>
        <v>94177.137883538904</v>
      </c>
      <c r="K1638" s="32" t="str">
        <f t="shared" si="550"/>
        <v>PTO-1806|MO</v>
      </c>
      <c r="L1638" s="32">
        <f>COUNTIFS($K$2:K1638,K1638)</f>
        <v>1</v>
      </c>
      <c r="M1638" s="32" t="str">
        <f t="shared" si="551"/>
        <v>PTO-1806|MO|1</v>
      </c>
      <c r="N1638" s="121">
        <f>IFERROR(VLOOKUP(A1638,PARTIDAS!A:F,6,FALSE()),0)</f>
        <v>3.25</v>
      </c>
      <c r="O1638" s="123">
        <f t="shared" si="547"/>
        <v>0.30769230769230771</v>
      </c>
      <c r="P1638" s="123">
        <f>+_xlfn.XLOOKUP(A1638,PPTO_GENERADOR!Q:Q,PPTO_GENERADOR!E:E,"-",0)</f>
        <v>40</v>
      </c>
      <c r="Q1638" s="123">
        <f t="shared" si="548"/>
        <v>12.307692307692308</v>
      </c>
      <c r="R1638" s="125">
        <f>+_xlfn.XLOOKUP(A1638,PPTO_GENERADOR!$Q:$Q,PPTO_GENERADOR!A:A,"-",0)</f>
        <v>18.059999999999999</v>
      </c>
    </row>
    <row r="1639" spans="1:18" ht="14.25" customHeight="1" x14ac:dyDescent="0.35">
      <c r="A1639" s="105" t="s">
        <v>292</v>
      </c>
      <c r="B1639" s="105" t="s">
        <v>1979</v>
      </c>
      <c r="C1639" s="105" t="s">
        <v>1980</v>
      </c>
      <c r="D1639" s="105" t="s">
        <v>2038</v>
      </c>
      <c r="E1639" s="95" t="str">
        <f>IFERROR(VLOOKUP(D1639,MANO_DE_OBRA!A:B,2,FALSE()),"?")</f>
        <v>AYUDANTE</v>
      </c>
      <c r="F1639" s="129" t="s">
        <v>2042</v>
      </c>
      <c r="G1639" s="119">
        <v>1</v>
      </c>
      <c r="H1639" s="120">
        <v>0</v>
      </c>
      <c r="I1639" s="96">
        <f>IFERROR(VLOOKUP(D1639,MANO_DE_OBRA!A:C,3,FALSE()),0)</f>
        <v>67240.498860267602</v>
      </c>
      <c r="J1639" s="31">
        <f t="shared" si="549"/>
        <v>67240.498860267602</v>
      </c>
      <c r="K1639" s="32" t="str">
        <f t="shared" si="550"/>
        <v>PTO-1806|MO</v>
      </c>
      <c r="L1639" s="32">
        <f>COUNTIFS($K$2:K1639,K1639)</f>
        <v>2</v>
      </c>
      <c r="M1639" s="32" t="str">
        <f t="shared" si="551"/>
        <v>PTO-1806|MO|2</v>
      </c>
      <c r="N1639" s="121">
        <f>IFERROR(VLOOKUP(A1639,PARTIDAS!A:F,6,FALSE()),0)</f>
        <v>3.25</v>
      </c>
      <c r="O1639" s="123">
        <f t="shared" si="547"/>
        <v>0.30769230769230771</v>
      </c>
      <c r="P1639" s="123">
        <f>+_xlfn.XLOOKUP(A1639,PPTO_GENERADOR!Q:Q,PPTO_GENERADOR!E:E,"-",0)</f>
        <v>40</v>
      </c>
      <c r="Q1639" s="123">
        <f t="shared" si="548"/>
        <v>12.307692307692308</v>
      </c>
      <c r="R1639" s="125">
        <f>+_xlfn.XLOOKUP(A1639,PPTO_GENERADOR!$Q:$Q,PPTO_GENERADOR!A:A,"-",0)</f>
        <v>18.059999999999999</v>
      </c>
    </row>
    <row r="1640" spans="1:18" ht="14.25" customHeight="1" x14ac:dyDescent="0.35">
      <c r="A1640" s="105" t="s">
        <v>295</v>
      </c>
      <c r="B1640" s="105" t="s">
        <v>1979</v>
      </c>
      <c r="C1640" s="105" t="s">
        <v>1980</v>
      </c>
      <c r="D1640" s="105" t="s">
        <v>1292</v>
      </c>
      <c r="E1640" s="95" t="str">
        <f>IFERROR(VLOOKUP(D1640,MANO_DE_OBRA!A:B,2,FALSE()),"?")</f>
        <v>ESPECIALIZADO</v>
      </c>
      <c r="F1640" s="129" t="s">
        <v>2042</v>
      </c>
      <c r="G1640" s="119">
        <v>1</v>
      </c>
      <c r="H1640" s="120">
        <v>0</v>
      </c>
      <c r="I1640" s="96">
        <f>IFERROR(VLOOKUP(D1640,MANO_DE_OBRA!A:C,3,FALSE()),0)</f>
        <v>94177.137883538904</v>
      </c>
      <c r="J1640" s="31">
        <f t="shared" si="549"/>
        <v>94177.137883538904</v>
      </c>
      <c r="K1640" s="32" t="str">
        <f t="shared" si="550"/>
        <v>PTO-1807|MO</v>
      </c>
      <c r="L1640" s="32">
        <f>COUNTIFS($K$2:K1640,K1640)</f>
        <v>1</v>
      </c>
      <c r="M1640" s="32" t="str">
        <f t="shared" si="551"/>
        <v>PTO-1807|MO|1</v>
      </c>
      <c r="N1640" s="121">
        <f>IFERROR(VLOOKUP(A1640,PARTIDAS!A:F,6,FALSE()),0)</f>
        <v>3.25</v>
      </c>
      <c r="O1640" s="123">
        <f t="shared" si="547"/>
        <v>0.30769230769230771</v>
      </c>
      <c r="P1640" s="123">
        <f>+_xlfn.XLOOKUP(A1640,PPTO_GENERADOR!Q:Q,PPTO_GENERADOR!E:E,"-",0)</f>
        <v>50</v>
      </c>
      <c r="Q1640" s="123">
        <f t="shared" si="548"/>
        <v>15.384615384615385</v>
      </c>
      <c r="R1640" s="125">
        <f>+_xlfn.XLOOKUP(A1640,PPTO_GENERADOR!$Q:$Q,PPTO_GENERADOR!A:A,"-",0)</f>
        <v>18.07</v>
      </c>
    </row>
    <row r="1641" spans="1:18" ht="14.25" customHeight="1" x14ac:dyDescent="0.35">
      <c r="A1641" s="105" t="s">
        <v>295</v>
      </c>
      <c r="B1641" s="105" t="s">
        <v>1979</v>
      </c>
      <c r="C1641" s="105" t="s">
        <v>1980</v>
      </c>
      <c r="D1641" s="105" t="s">
        <v>2038</v>
      </c>
      <c r="E1641" s="95" t="str">
        <f>IFERROR(VLOOKUP(D1641,MANO_DE_OBRA!A:B,2,FALSE()),"?")</f>
        <v>AYUDANTE</v>
      </c>
      <c r="F1641" s="129" t="s">
        <v>2042</v>
      </c>
      <c r="G1641" s="119">
        <v>1</v>
      </c>
      <c r="H1641" s="120">
        <v>0</v>
      </c>
      <c r="I1641" s="96">
        <f>IFERROR(VLOOKUP(D1641,MANO_DE_OBRA!A:C,3,FALSE()),0)</f>
        <v>67240.498860267602</v>
      </c>
      <c r="J1641" s="31">
        <f t="shared" si="549"/>
        <v>67240.498860267602</v>
      </c>
      <c r="K1641" s="32" t="str">
        <f t="shared" si="550"/>
        <v>PTO-1807|MO</v>
      </c>
      <c r="L1641" s="32">
        <f>COUNTIFS($K$2:K1641,K1641)</f>
        <v>2</v>
      </c>
      <c r="M1641" s="32" t="str">
        <f t="shared" si="551"/>
        <v>PTO-1807|MO|2</v>
      </c>
      <c r="N1641" s="121">
        <f>IFERROR(VLOOKUP(A1641,PARTIDAS!A:F,6,FALSE()),0)</f>
        <v>3.25</v>
      </c>
      <c r="O1641" s="123">
        <f t="shared" si="547"/>
        <v>0.30769230769230771</v>
      </c>
      <c r="P1641" s="123">
        <f>+_xlfn.XLOOKUP(A1641,PPTO_GENERADOR!Q:Q,PPTO_GENERADOR!E:E,"-",0)</f>
        <v>50</v>
      </c>
      <c r="Q1641" s="123">
        <f t="shared" si="548"/>
        <v>15.384615384615385</v>
      </c>
      <c r="R1641" s="125">
        <f>+_xlfn.XLOOKUP(A1641,PPTO_GENERADOR!$Q:$Q,PPTO_GENERADOR!A:A,"-",0)</f>
        <v>18.07</v>
      </c>
    </row>
    <row r="1642" spans="1:18" ht="14.25" customHeight="1" x14ac:dyDescent="0.35">
      <c r="A1642" s="105" t="s">
        <v>297</v>
      </c>
      <c r="B1642" s="105" t="s">
        <v>1979</v>
      </c>
      <c r="C1642" s="105" t="s">
        <v>1980</v>
      </c>
      <c r="D1642" s="105" t="s">
        <v>1292</v>
      </c>
      <c r="E1642" s="95" t="str">
        <f>IFERROR(VLOOKUP(D1642,MANO_DE_OBRA!A:B,2,FALSE()),"?")</f>
        <v>ESPECIALIZADO</v>
      </c>
      <c r="F1642" s="129" t="s">
        <v>2042</v>
      </c>
      <c r="G1642" s="119">
        <v>1</v>
      </c>
      <c r="H1642" s="120">
        <v>0</v>
      </c>
      <c r="I1642" s="96">
        <f>IFERROR(VLOOKUP(D1642,MANO_DE_OBRA!A:C,3,FALSE()),0)</f>
        <v>94177.137883538904</v>
      </c>
      <c r="J1642" s="31">
        <f t="shared" si="549"/>
        <v>94177.137883538904</v>
      </c>
      <c r="K1642" s="32" t="str">
        <f t="shared" ref="K1642:K1664" si="552">A1642&amp;"|"&amp;B1642</f>
        <v>PTO-1808|MO</v>
      </c>
      <c r="L1642" s="32">
        <f>COUNTIFS($K$2:K1642,K1642)</f>
        <v>1</v>
      </c>
      <c r="M1642" s="32" t="str">
        <f t="shared" si="551"/>
        <v>PTO-1808|MO|1</v>
      </c>
      <c r="N1642" s="121">
        <f>IFERROR(VLOOKUP(A1642,PARTIDAS!A:F,6,FALSE()),0)</f>
        <v>3.25</v>
      </c>
      <c r="O1642" s="123">
        <f t="shared" si="547"/>
        <v>0.30769230769230771</v>
      </c>
      <c r="P1642" s="123">
        <f>+_xlfn.XLOOKUP(A1642,PPTO_GENERADOR!Q:Q,PPTO_GENERADOR!E:E,"-",0)</f>
        <v>0</v>
      </c>
      <c r="Q1642" s="123">
        <f t="shared" si="548"/>
        <v>0</v>
      </c>
      <c r="R1642" s="125">
        <f>+_xlfn.XLOOKUP(A1642,PPTO_GENERADOR!$Q:$Q,PPTO_GENERADOR!A:A,"-",0)</f>
        <v>18.079999999999998</v>
      </c>
    </row>
    <row r="1643" spans="1:18" ht="14.25" customHeight="1" x14ac:dyDescent="0.35">
      <c r="A1643" s="105" t="s">
        <v>297</v>
      </c>
      <c r="B1643" s="105" t="s">
        <v>1979</v>
      </c>
      <c r="C1643" s="105" t="s">
        <v>1980</v>
      </c>
      <c r="D1643" s="105" t="s">
        <v>2038</v>
      </c>
      <c r="E1643" s="95" t="str">
        <f>IFERROR(VLOOKUP(D1643,MANO_DE_OBRA!A:B,2,FALSE()),"?")</f>
        <v>AYUDANTE</v>
      </c>
      <c r="F1643" s="129" t="s">
        <v>2042</v>
      </c>
      <c r="G1643" s="119">
        <v>1</v>
      </c>
      <c r="H1643" s="120">
        <v>0</v>
      </c>
      <c r="I1643" s="96">
        <f>IFERROR(VLOOKUP(D1643,MANO_DE_OBRA!A:C,3,FALSE()),0)</f>
        <v>67240.498860267602</v>
      </c>
      <c r="J1643" s="31">
        <f t="shared" si="549"/>
        <v>67240.498860267602</v>
      </c>
      <c r="K1643" s="32" t="str">
        <f t="shared" si="552"/>
        <v>PTO-1808|MO</v>
      </c>
      <c r="L1643" s="32">
        <f>COUNTIFS($K$2:K1643,K1643)</f>
        <v>2</v>
      </c>
      <c r="M1643" s="32" t="str">
        <f t="shared" si="551"/>
        <v>PTO-1808|MO|2</v>
      </c>
      <c r="N1643" s="121">
        <f>IFERROR(VLOOKUP(A1643,PARTIDAS!A:F,6,FALSE()),0)</f>
        <v>3.25</v>
      </c>
      <c r="O1643" s="123">
        <f t="shared" si="547"/>
        <v>0.30769230769230771</v>
      </c>
      <c r="P1643" s="123">
        <f>+_xlfn.XLOOKUP(A1643,PPTO_GENERADOR!Q:Q,PPTO_GENERADOR!E:E,"-",0)</f>
        <v>0</v>
      </c>
      <c r="Q1643" s="123">
        <f t="shared" si="548"/>
        <v>0</v>
      </c>
      <c r="R1643" s="125">
        <f>+_xlfn.XLOOKUP(A1643,PPTO_GENERADOR!$Q:$Q,PPTO_GENERADOR!A:A,"-",0)</f>
        <v>18.079999999999998</v>
      </c>
    </row>
    <row r="1644" spans="1:18" ht="14.25" customHeight="1" x14ac:dyDescent="0.35">
      <c r="A1644" s="105" t="s">
        <v>299</v>
      </c>
      <c r="B1644" s="105" t="s">
        <v>1979</v>
      </c>
      <c r="C1644" s="105" t="s">
        <v>1980</v>
      </c>
      <c r="D1644" s="105" t="s">
        <v>1292</v>
      </c>
      <c r="E1644" s="95" t="str">
        <f>IFERROR(VLOOKUP(D1644,MANO_DE_OBRA!A:B,2,FALSE()),"?")</f>
        <v>ESPECIALIZADO</v>
      </c>
      <c r="F1644" s="129" t="s">
        <v>2042</v>
      </c>
      <c r="G1644" s="119">
        <v>1</v>
      </c>
      <c r="H1644" s="120">
        <v>0</v>
      </c>
      <c r="I1644" s="96">
        <f>IFERROR(VLOOKUP(D1644,MANO_DE_OBRA!A:C,3,FALSE()),0)</f>
        <v>94177.137883538904</v>
      </c>
      <c r="J1644" s="31">
        <f t="shared" si="549"/>
        <v>94177.137883538904</v>
      </c>
      <c r="K1644" s="32" t="str">
        <f t="shared" si="552"/>
        <v>PTO-1809|MO</v>
      </c>
      <c r="L1644" s="32">
        <f>COUNTIFS($K$2:K1644,K1644)</f>
        <v>1</v>
      </c>
      <c r="M1644" s="32" t="str">
        <f t="shared" si="551"/>
        <v>PTO-1809|MO|1</v>
      </c>
      <c r="N1644" s="121">
        <f>IFERROR(VLOOKUP(A1644,PARTIDAS!A:F,6,FALSE()),0)</f>
        <v>5</v>
      </c>
      <c r="O1644" s="123">
        <f t="shared" si="547"/>
        <v>0.2</v>
      </c>
      <c r="P1644" s="123">
        <f>+_xlfn.XLOOKUP(A1644,PPTO_GENERADOR!Q:Q,PPTO_GENERADOR!E:E,"-",0)</f>
        <v>40</v>
      </c>
      <c r="Q1644" s="123">
        <f t="shared" si="548"/>
        <v>8</v>
      </c>
      <c r="R1644" s="125">
        <f>+_xlfn.XLOOKUP(A1644,PPTO_GENERADOR!$Q:$Q,PPTO_GENERADOR!A:A,"-",0)</f>
        <v>18.09</v>
      </c>
    </row>
    <row r="1645" spans="1:18" ht="14.25" customHeight="1" x14ac:dyDescent="0.35">
      <c r="A1645" s="105" t="s">
        <v>299</v>
      </c>
      <c r="B1645" s="105" t="s">
        <v>1979</v>
      </c>
      <c r="C1645" s="105" t="s">
        <v>1980</v>
      </c>
      <c r="D1645" s="105" t="s">
        <v>2038</v>
      </c>
      <c r="E1645" s="95" t="str">
        <f>IFERROR(VLOOKUP(D1645,MANO_DE_OBRA!A:B,2,FALSE()),"?")</f>
        <v>AYUDANTE</v>
      </c>
      <c r="F1645" s="129" t="s">
        <v>2042</v>
      </c>
      <c r="G1645" s="119">
        <v>1</v>
      </c>
      <c r="H1645" s="120">
        <v>0</v>
      </c>
      <c r="I1645" s="96">
        <f>IFERROR(VLOOKUP(D1645,MANO_DE_OBRA!A:C,3,FALSE()),0)</f>
        <v>67240.498860267602</v>
      </c>
      <c r="J1645" s="31">
        <f t="shared" si="549"/>
        <v>67240.498860267602</v>
      </c>
      <c r="K1645" s="32" t="str">
        <f t="shared" si="552"/>
        <v>PTO-1809|MO</v>
      </c>
      <c r="L1645" s="32">
        <f>COUNTIFS($K$2:K1645,K1645)</f>
        <v>2</v>
      </c>
      <c r="M1645" s="32" t="str">
        <f t="shared" si="551"/>
        <v>PTO-1809|MO|2</v>
      </c>
      <c r="N1645" s="121">
        <f>IFERROR(VLOOKUP(A1645,PARTIDAS!A:F,6,FALSE()),0)</f>
        <v>5</v>
      </c>
      <c r="O1645" s="123">
        <f t="shared" si="547"/>
        <v>0.2</v>
      </c>
      <c r="P1645" s="123">
        <f>+_xlfn.XLOOKUP(A1645,PPTO_GENERADOR!Q:Q,PPTO_GENERADOR!E:E,"-",0)</f>
        <v>40</v>
      </c>
      <c r="Q1645" s="123">
        <f t="shared" si="548"/>
        <v>8</v>
      </c>
      <c r="R1645" s="125">
        <f>+_xlfn.XLOOKUP(A1645,PPTO_GENERADOR!$Q:$Q,PPTO_GENERADOR!A:A,"-",0)</f>
        <v>18.09</v>
      </c>
    </row>
    <row r="1646" spans="1:18" ht="14.25" customHeight="1" x14ac:dyDescent="0.35">
      <c r="A1646" s="105" t="s">
        <v>301</v>
      </c>
      <c r="B1646" s="105" t="s">
        <v>1979</v>
      </c>
      <c r="C1646" s="105" t="s">
        <v>1980</v>
      </c>
      <c r="D1646" s="105" t="s">
        <v>1292</v>
      </c>
      <c r="E1646" s="95" t="str">
        <f>IFERROR(VLOOKUP(D1646,MANO_DE_OBRA!A:B,2,FALSE()),"?")</f>
        <v>ESPECIALIZADO</v>
      </c>
      <c r="F1646" s="129" t="s">
        <v>2042</v>
      </c>
      <c r="G1646" s="119">
        <v>1</v>
      </c>
      <c r="H1646" s="120">
        <v>0</v>
      </c>
      <c r="I1646" s="96">
        <f>IFERROR(VLOOKUP(D1646,MANO_DE_OBRA!A:C,3,FALSE()),0)</f>
        <v>94177.137883538904</v>
      </c>
      <c r="J1646" s="31">
        <f t="shared" si="549"/>
        <v>94177.137883538904</v>
      </c>
      <c r="K1646" s="32" t="str">
        <f t="shared" si="552"/>
        <v>PTO-0181|MO</v>
      </c>
      <c r="L1646" s="32">
        <f>COUNTIFS($K$2:K1646,K1646)</f>
        <v>1</v>
      </c>
      <c r="M1646" s="32" t="str">
        <f t="shared" si="551"/>
        <v>PTO-0181|MO|1</v>
      </c>
      <c r="N1646" s="121">
        <f>IFERROR(VLOOKUP(A1646,PARTIDAS!A:F,6,FALSE()),0)</f>
        <v>3.25</v>
      </c>
      <c r="O1646" s="123">
        <f t="shared" si="547"/>
        <v>0.30769230769230771</v>
      </c>
      <c r="P1646" s="123">
        <f>+_xlfn.XLOOKUP(A1646,PPTO_GENERADOR!Q:Q,PPTO_GENERADOR!E:E,"-",0)</f>
        <v>0</v>
      </c>
      <c r="Q1646" s="123">
        <f t="shared" si="548"/>
        <v>0</v>
      </c>
      <c r="R1646" s="125">
        <f>+_xlfn.XLOOKUP(A1646,PPTO_GENERADOR!$Q:$Q,PPTO_GENERADOR!A:A,"-",0)</f>
        <v>18.100000000000001</v>
      </c>
    </row>
    <row r="1647" spans="1:18" ht="14.25" customHeight="1" x14ac:dyDescent="0.35">
      <c r="A1647" s="105" t="s">
        <v>301</v>
      </c>
      <c r="B1647" s="105" t="s">
        <v>1979</v>
      </c>
      <c r="C1647" s="105" t="s">
        <v>1980</v>
      </c>
      <c r="D1647" s="105" t="s">
        <v>2038</v>
      </c>
      <c r="E1647" s="95" t="str">
        <f>IFERROR(VLOOKUP(D1647,MANO_DE_OBRA!A:B,2,FALSE()),"?")</f>
        <v>AYUDANTE</v>
      </c>
      <c r="F1647" s="129" t="s">
        <v>2042</v>
      </c>
      <c r="G1647" s="119">
        <v>1</v>
      </c>
      <c r="H1647" s="120">
        <v>0</v>
      </c>
      <c r="I1647" s="96">
        <f>IFERROR(VLOOKUP(D1647,MANO_DE_OBRA!A:C,3,FALSE()),0)</f>
        <v>67240.498860267602</v>
      </c>
      <c r="J1647" s="31">
        <f t="shared" si="549"/>
        <v>67240.498860267602</v>
      </c>
      <c r="K1647" s="32" t="str">
        <f t="shared" si="552"/>
        <v>PTO-0181|MO</v>
      </c>
      <c r="L1647" s="32">
        <f>COUNTIFS($K$2:K1647,K1647)</f>
        <v>2</v>
      </c>
      <c r="M1647" s="32" t="str">
        <f t="shared" si="551"/>
        <v>PTO-0181|MO|2</v>
      </c>
      <c r="N1647" s="121">
        <f>IFERROR(VLOOKUP(A1647,PARTIDAS!A:F,6,FALSE()),0)</f>
        <v>3.25</v>
      </c>
      <c r="O1647" s="123">
        <f t="shared" si="547"/>
        <v>0.30769230769230771</v>
      </c>
      <c r="P1647" s="123">
        <f>+_xlfn.XLOOKUP(A1647,PPTO_GENERADOR!Q:Q,PPTO_GENERADOR!E:E,"-",0)</f>
        <v>0</v>
      </c>
      <c r="Q1647" s="123">
        <f t="shared" si="548"/>
        <v>0</v>
      </c>
      <c r="R1647" s="125">
        <f>+_xlfn.XLOOKUP(A1647,PPTO_GENERADOR!$Q:$Q,PPTO_GENERADOR!A:A,"-",0)</f>
        <v>18.100000000000001</v>
      </c>
    </row>
    <row r="1648" spans="1:18" ht="14.25" customHeight="1" x14ac:dyDescent="0.35">
      <c r="A1648" s="105" t="s">
        <v>338</v>
      </c>
      <c r="B1648" s="105" t="s">
        <v>1979</v>
      </c>
      <c r="C1648" s="105" t="s">
        <v>1982</v>
      </c>
      <c r="D1648" s="105" t="s">
        <v>1656</v>
      </c>
      <c r="E1648" s="95" t="str">
        <f>IFERROR(VLOOKUP(D1648,SUBCONTRATOS_PRY!A:B,2,FALSE()),"?")</f>
        <v>MO — Tendido cloacal PB</v>
      </c>
      <c r="F1648" s="129" t="s">
        <v>2042</v>
      </c>
      <c r="G1648" s="119">
        <v>1</v>
      </c>
      <c r="H1648" s="120">
        <v>0</v>
      </c>
      <c r="I1648" s="96">
        <f>IFERROR(VLOOKUP(D1648,SUBCONTRATOS_PRY!A:D,4,FALSE()),0)</f>
        <v>931720.65894092806</v>
      </c>
      <c r="J1648" s="31">
        <f t="shared" si="549"/>
        <v>931720.65894092806</v>
      </c>
      <c r="K1648" s="32" t="str">
        <f t="shared" si="552"/>
        <v>PTO-1901|MO</v>
      </c>
      <c r="L1648" s="32">
        <f>COUNTIFS($K$2:K1648,K1648)</f>
        <v>1</v>
      </c>
      <c r="M1648" s="32" t="str">
        <f t="shared" si="551"/>
        <v>PTO-1901|MO|1</v>
      </c>
      <c r="N1648" s="121">
        <f>IFERROR(VLOOKUP(A1648,PARTIDAS!A:F,6,FALSE()),0)</f>
        <v>1</v>
      </c>
      <c r="O1648" s="123">
        <f t="shared" si="547"/>
        <v>0</v>
      </c>
      <c r="P1648" s="123">
        <f>+_xlfn.XLOOKUP(A1648,PPTO_GENERADOR!Q:Q,PPTO_GENERADOR!E:E,"-",0)</f>
        <v>1</v>
      </c>
      <c r="Q1648" s="123">
        <f t="shared" si="548"/>
        <v>0</v>
      </c>
      <c r="R1648" s="125">
        <f>+_xlfn.XLOOKUP(A1648,PPTO_GENERADOR!$Q:$Q,PPTO_GENERADOR!A:A,"-",0)</f>
        <v>19.010000000000002</v>
      </c>
    </row>
    <row r="1649" spans="1:18" ht="14.25" customHeight="1" x14ac:dyDescent="0.35">
      <c r="A1649" s="105" t="s">
        <v>341</v>
      </c>
      <c r="B1649" s="105" t="s">
        <v>1979</v>
      </c>
      <c r="C1649" s="105" t="s">
        <v>1982</v>
      </c>
      <c r="D1649" s="105" t="s">
        <v>1658</v>
      </c>
      <c r="E1649" s="95" t="str">
        <f>IFERROR(VLOOKUP(D1649,SUBCONTRATOS_PRY!A:B,2,FALSE()),"?")</f>
        <v>MO — Cloacal armado CDV en UF</v>
      </c>
      <c r="F1649" s="129" t="s">
        <v>2042</v>
      </c>
      <c r="G1649" s="119">
        <v>1</v>
      </c>
      <c r="H1649" s="120">
        <v>0</v>
      </c>
      <c r="I1649" s="96">
        <f>IFERROR(VLOOKUP(D1649,SUBCONTRATOS_PRY!A:D,4,FALSE()),0)</f>
        <v>7439542.8720526099</v>
      </c>
      <c r="J1649" s="31">
        <f t="shared" si="549"/>
        <v>7439542.8720526099</v>
      </c>
      <c r="K1649" s="32" t="str">
        <f t="shared" si="552"/>
        <v>PTO-1902|MO</v>
      </c>
      <c r="L1649" s="32">
        <f>COUNTIFS($K$2:K1649,K1649)</f>
        <v>1</v>
      </c>
      <c r="M1649" s="32" t="str">
        <f t="shared" si="551"/>
        <v>PTO-1902|MO|1</v>
      </c>
      <c r="N1649" s="121">
        <f>IFERROR(VLOOKUP(A1649,PARTIDAS!A:F,6,FALSE()),0)</f>
        <v>1</v>
      </c>
      <c r="O1649" s="123">
        <f t="shared" si="547"/>
        <v>0</v>
      </c>
      <c r="P1649" s="123">
        <f>+_xlfn.XLOOKUP(A1649,PPTO_GENERADOR!Q:Q,PPTO_GENERADOR!E:E,"-",0)</f>
        <v>1</v>
      </c>
      <c r="Q1649" s="123">
        <f t="shared" si="548"/>
        <v>0</v>
      </c>
      <c r="R1649" s="125">
        <f>+_xlfn.XLOOKUP(A1649,PPTO_GENERADOR!$Q:$Q,PPTO_GENERADOR!A:A,"-",0)</f>
        <v>19.02</v>
      </c>
    </row>
    <row r="1650" spans="1:18" ht="14.25" customHeight="1" x14ac:dyDescent="0.35">
      <c r="A1650" s="105" t="s">
        <v>343</v>
      </c>
      <c r="B1650" s="105" t="s">
        <v>1979</v>
      </c>
      <c r="C1650" s="105" t="s">
        <v>1982</v>
      </c>
      <c r="D1650" s="105" t="s">
        <v>1660</v>
      </c>
      <c r="E1650" s="95" t="str">
        <f>IFERROR(VLOOKUP(D1650,SUBCONTRATOS_PRY!A:B,2,FALSE()),"?")</f>
        <v>MO — Cloacal montantes/ventilación</v>
      </c>
      <c r="F1650" s="129" t="s">
        <v>2042</v>
      </c>
      <c r="G1650" s="119">
        <v>1</v>
      </c>
      <c r="H1650" s="120">
        <v>0</v>
      </c>
      <c r="I1650" s="96">
        <f>IFERROR(VLOOKUP(D1650,SUBCONTRATOS_PRY!A:D,4,FALSE()),0)</f>
        <v>2179040.2308093999</v>
      </c>
      <c r="J1650" s="31">
        <f t="shared" si="549"/>
        <v>2179040.2308093999</v>
      </c>
      <c r="K1650" s="32" t="str">
        <f t="shared" si="552"/>
        <v>PTO-1903|MO</v>
      </c>
      <c r="L1650" s="32">
        <f>COUNTIFS($K$2:K1650,K1650)</f>
        <v>1</v>
      </c>
      <c r="M1650" s="32" t="str">
        <f t="shared" si="551"/>
        <v>PTO-1903|MO|1</v>
      </c>
      <c r="N1650" s="121">
        <f>IFERROR(VLOOKUP(A1650,PARTIDAS!A:F,6,FALSE()),0)</f>
        <v>1</v>
      </c>
      <c r="O1650" s="123">
        <f t="shared" si="547"/>
        <v>0</v>
      </c>
      <c r="P1650" s="123">
        <f>+_xlfn.XLOOKUP(A1650,PPTO_GENERADOR!Q:Q,PPTO_GENERADOR!E:E,"-",0)</f>
        <v>1</v>
      </c>
      <c r="Q1650" s="123">
        <f t="shared" si="548"/>
        <v>0</v>
      </c>
      <c r="R1650" s="125">
        <f>+_xlfn.XLOOKUP(A1650,PPTO_GENERADOR!$Q:$Q,PPTO_GENERADOR!A:A,"-",0)</f>
        <v>19.03</v>
      </c>
    </row>
    <row r="1651" spans="1:18" ht="14.25" customHeight="1" x14ac:dyDescent="0.35">
      <c r="A1651" s="105" t="s">
        <v>345</v>
      </c>
      <c r="B1651" s="105" t="s">
        <v>1979</v>
      </c>
      <c r="C1651" s="105" t="s">
        <v>1982</v>
      </c>
      <c r="D1651" s="105" t="s">
        <v>1662</v>
      </c>
      <c r="E1651" s="95" t="str">
        <f>IFERROR(VLOOKUP(D1651,SUBCONTRATOS_PRY!A:B,2,FALSE()),"?")</f>
        <v>MO — Tendido pluvial PB</v>
      </c>
      <c r="F1651" s="129" t="s">
        <v>2042</v>
      </c>
      <c r="G1651" s="119">
        <v>1</v>
      </c>
      <c r="H1651" s="120">
        <v>0</v>
      </c>
      <c r="I1651" s="96">
        <f>IFERROR(VLOOKUP(D1651,SUBCONTRATOS_PRY!A:D,4,FALSE()),0)</f>
        <v>931720.65894092806</v>
      </c>
      <c r="J1651" s="31">
        <f t="shared" si="549"/>
        <v>931720.65894092806</v>
      </c>
      <c r="K1651" s="32" t="str">
        <f t="shared" si="552"/>
        <v>PTO-1904|MO</v>
      </c>
      <c r="L1651" s="32">
        <f>COUNTIFS($K$2:K1651,K1651)</f>
        <v>1</v>
      </c>
      <c r="M1651" s="32" t="str">
        <f t="shared" si="551"/>
        <v>PTO-1904|MO|1</v>
      </c>
      <c r="N1651" s="121">
        <f>IFERROR(VLOOKUP(A1651,PARTIDAS!A:F,6,FALSE()),0)</f>
        <v>1</v>
      </c>
      <c r="O1651" s="123">
        <f t="shared" si="547"/>
        <v>0</v>
      </c>
      <c r="P1651" s="123">
        <f>+_xlfn.XLOOKUP(A1651,PPTO_GENERADOR!Q:Q,PPTO_GENERADOR!E:E,"-",0)</f>
        <v>1</v>
      </c>
      <c r="Q1651" s="123">
        <f t="shared" si="548"/>
        <v>0</v>
      </c>
      <c r="R1651" s="125">
        <f>+_xlfn.XLOOKUP(A1651,PPTO_GENERADOR!$Q:$Q,PPTO_GENERADOR!A:A,"-",0)</f>
        <v>19.04</v>
      </c>
    </row>
    <row r="1652" spans="1:18" ht="14.25" customHeight="1" x14ac:dyDescent="0.35">
      <c r="A1652" s="105" t="s">
        <v>348</v>
      </c>
      <c r="B1652" s="105" t="s">
        <v>1979</v>
      </c>
      <c r="C1652" s="105" t="s">
        <v>1982</v>
      </c>
      <c r="D1652" s="105" t="s">
        <v>1664</v>
      </c>
      <c r="E1652" s="95" t="str">
        <f>IFERROR(VLOOKUP(D1652,SUBCONTRATOS_PRY!A:B,2,FALSE()),"?")</f>
        <v>MO — Tendido pluvial balcones/azoteas</v>
      </c>
      <c r="F1652" s="129" t="s">
        <v>2042</v>
      </c>
      <c r="G1652" s="119">
        <v>1</v>
      </c>
      <c r="H1652" s="120">
        <v>0</v>
      </c>
      <c r="I1652" s="96">
        <f>IFERROR(VLOOKUP(D1652,SUBCONTRATOS_PRY!A:D,4,FALSE()),0)</f>
        <v>3537598.1952882898</v>
      </c>
      <c r="J1652" s="31">
        <f t="shared" si="549"/>
        <v>3537598.1952882898</v>
      </c>
      <c r="K1652" s="32" t="str">
        <f t="shared" si="552"/>
        <v>PTO-1905|MO</v>
      </c>
      <c r="L1652" s="32">
        <f>COUNTIFS($K$2:K1652,K1652)</f>
        <v>1</v>
      </c>
      <c r="M1652" s="32" t="str">
        <f t="shared" si="551"/>
        <v>PTO-1905|MO|1</v>
      </c>
      <c r="N1652" s="121">
        <f>IFERROR(VLOOKUP(A1652,PARTIDAS!A:F,6,FALSE()),0)</f>
        <v>1</v>
      </c>
      <c r="O1652" s="123">
        <f t="shared" si="547"/>
        <v>0</v>
      </c>
      <c r="P1652" s="123">
        <f>+_xlfn.XLOOKUP(A1652,PPTO_GENERADOR!Q:Q,PPTO_GENERADOR!E:E,"-",0)</f>
        <v>1</v>
      </c>
      <c r="Q1652" s="123">
        <f t="shared" si="548"/>
        <v>0</v>
      </c>
      <c r="R1652" s="125">
        <f>+_xlfn.XLOOKUP(A1652,PPTO_GENERADOR!$Q:$Q,PPTO_GENERADOR!A:A,"-",0)</f>
        <v>19.05</v>
      </c>
    </row>
    <row r="1653" spans="1:18" ht="14.25" customHeight="1" x14ac:dyDescent="0.35">
      <c r="A1653" s="105" t="s">
        <v>350</v>
      </c>
      <c r="B1653" s="105" t="s">
        <v>1979</v>
      </c>
      <c r="C1653" s="105" t="s">
        <v>1982</v>
      </c>
      <c r="D1653" s="105" t="s">
        <v>1666</v>
      </c>
      <c r="E1653" s="95" t="str">
        <f>IFERROR(VLOOKUP(D1653,SUBCONTRATOS_PRY!A:B,2,FALSE()),"?")</f>
        <v>MO — AF/AC tendido PB y armado bombas</v>
      </c>
      <c r="F1653" s="129" t="s">
        <v>2042</v>
      </c>
      <c r="G1653" s="119">
        <v>1</v>
      </c>
      <c r="H1653" s="120">
        <v>0</v>
      </c>
      <c r="I1653" s="96">
        <f>IFERROR(VLOOKUP(D1653,SUBCONTRATOS_PRY!A:D,4,FALSE()),0)</f>
        <v>1746247.40061585</v>
      </c>
      <c r="J1653" s="31">
        <f t="shared" si="549"/>
        <v>1746247.40061585</v>
      </c>
      <c r="K1653" s="32" t="str">
        <f t="shared" si="552"/>
        <v>PTO-1906|MO</v>
      </c>
      <c r="L1653" s="32">
        <f>COUNTIFS($K$2:K1653,K1653)</f>
        <v>1</v>
      </c>
      <c r="M1653" s="32" t="str">
        <f t="shared" si="551"/>
        <v>PTO-1906|MO|1</v>
      </c>
      <c r="N1653" s="121">
        <f>IFERROR(VLOOKUP(A1653,PARTIDAS!A:F,6,FALSE()),0)</f>
        <v>1</v>
      </c>
      <c r="O1653" s="123">
        <f t="shared" si="547"/>
        <v>0</v>
      </c>
      <c r="P1653" s="123">
        <f>+_xlfn.XLOOKUP(A1653,PPTO_GENERADOR!Q:Q,PPTO_GENERADOR!E:E,"-",0)</f>
        <v>1</v>
      </c>
      <c r="Q1653" s="123">
        <f t="shared" si="548"/>
        <v>0</v>
      </c>
      <c r="R1653" s="125">
        <f>+_xlfn.XLOOKUP(A1653,PPTO_GENERADOR!$Q:$Q,PPTO_GENERADOR!A:A,"-",0)</f>
        <v>19.059999999999999</v>
      </c>
    </row>
    <row r="1654" spans="1:18" ht="14.25" customHeight="1" x14ac:dyDescent="0.35">
      <c r="A1654" s="105" t="s">
        <v>353</v>
      </c>
      <c r="B1654" s="105" t="s">
        <v>1979</v>
      </c>
      <c r="C1654" s="105" t="s">
        <v>1982</v>
      </c>
      <c r="D1654" s="105" t="s">
        <v>1668</v>
      </c>
      <c r="E1654" s="95" t="str">
        <f>IFERROR(VLOOKUP(D1654,SUBCONTRATOS_PRY!A:B,2,FALSE()),"?")</f>
        <v>MO — AF/AC colector TR y montantes</v>
      </c>
      <c r="F1654" s="129" t="s">
        <v>2042</v>
      </c>
      <c r="G1654" s="119">
        <v>1</v>
      </c>
      <c r="H1654" s="120">
        <v>0</v>
      </c>
      <c r="I1654" s="96">
        <f>IFERROR(VLOOKUP(D1654,SUBCONTRATOS_PRY!A:D,4,FALSE()),0)</f>
        <v>3598731.4622267298</v>
      </c>
      <c r="J1654" s="31">
        <f t="shared" si="549"/>
        <v>3598731.4622267298</v>
      </c>
      <c r="K1654" s="32" t="str">
        <f t="shared" si="552"/>
        <v>PTO-1907|MO</v>
      </c>
      <c r="L1654" s="32">
        <f>COUNTIFS($K$2:K1654,K1654)</f>
        <v>1</v>
      </c>
      <c r="M1654" s="32" t="str">
        <f t="shared" si="551"/>
        <v>PTO-1907|MO|1</v>
      </c>
      <c r="N1654" s="121">
        <f>IFERROR(VLOOKUP(A1654,PARTIDAS!A:F,6,FALSE()),0)</f>
        <v>1</v>
      </c>
      <c r="O1654" s="123">
        <f t="shared" si="547"/>
        <v>0</v>
      </c>
      <c r="P1654" s="123">
        <f>+_xlfn.XLOOKUP(A1654,PPTO_GENERADOR!Q:Q,PPTO_GENERADOR!E:E,"-",0)</f>
        <v>1</v>
      </c>
      <c r="Q1654" s="123">
        <f t="shared" si="548"/>
        <v>0</v>
      </c>
      <c r="R1654" s="125">
        <f>+_xlfn.XLOOKUP(A1654,PPTO_GENERADOR!$Q:$Q,PPTO_GENERADOR!A:A,"-",0)</f>
        <v>19.07</v>
      </c>
    </row>
    <row r="1655" spans="1:18" ht="14.25" customHeight="1" x14ac:dyDescent="0.35">
      <c r="A1655" s="105" t="s">
        <v>355</v>
      </c>
      <c r="B1655" s="105" t="s">
        <v>1979</v>
      </c>
      <c r="C1655" s="105" t="s">
        <v>1982</v>
      </c>
      <c r="D1655" s="105" t="s">
        <v>1670</v>
      </c>
      <c r="E1655" s="95" t="str">
        <f>IFERROR(VLOOKUP(D1655,SUBCONTRATOS_PRY!A:B,2,FALSE()),"?")</f>
        <v>MO — AF/AC colector TAR y bajadas ACS</v>
      </c>
      <c r="F1655" s="129" t="s">
        <v>2042</v>
      </c>
      <c r="G1655" s="119">
        <v>1</v>
      </c>
      <c r="H1655" s="120">
        <v>0</v>
      </c>
      <c r="I1655" s="96">
        <f>IFERROR(VLOOKUP(D1655,SUBCONTRATOS_PRY!A:D,4,FALSE()),0)</f>
        <v>2500015.0564415599</v>
      </c>
      <c r="J1655" s="31">
        <f t="shared" si="549"/>
        <v>2500015.0564415599</v>
      </c>
      <c r="K1655" s="32" t="str">
        <f t="shared" si="552"/>
        <v>PTO-1908|MO</v>
      </c>
      <c r="L1655" s="32">
        <f>COUNTIFS($K$2:K1655,K1655)</f>
        <v>1</v>
      </c>
      <c r="M1655" s="32" t="str">
        <f t="shared" si="551"/>
        <v>PTO-1908|MO|1</v>
      </c>
      <c r="N1655" s="121">
        <f>IFERROR(VLOOKUP(A1655,PARTIDAS!A:F,6,FALSE()),0)</f>
        <v>1</v>
      </c>
      <c r="O1655" s="123">
        <f t="shared" si="547"/>
        <v>0</v>
      </c>
      <c r="P1655" s="123">
        <f>+_xlfn.XLOOKUP(A1655,PPTO_GENERADOR!Q:Q,PPTO_GENERADOR!E:E,"-",0)</f>
        <v>1</v>
      </c>
      <c r="Q1655" s="123">
        <f t="shared" si="548"/>
        <v>0</v>
      </c>
      <c r="R1655" s="125">
        <f>+_xlfn.XLOOKUP(A1655,PPTO_GENERADOR!$Q:$Q,PPTO_GENERADOR!A:A,"-",0)</f>
        <v>19.079999999999998</v>
      </c>
    </row>
    <row r="1656" spans="1:18" ht="14.25" customHeight="1" x14ac:dyDescent="0.35">
      <c r="A1656" s="105" t="s">
        <v>357</v>
      </c>
      <c r="B1656" s="105" t="s">
        <v>1979</v>
      </c>
      <c r="C1656" s="105" t="s">
        <v>1982</v>
      </c>
      <c r="D1656" s="105" t="s">
        <v>1672</v>
      </c>
      <c r="E1656" s="95" t="str">
        <f>IFERROR(VLOOKUP(D1656,SUBCONTRATOS_PRY!A:B,2,FALSE()),"?")</f>
        <v>MO — AF/AC bomba presurizadora</v>
      </c>
      <c r="F1656" s="129" t="s">
        <v>2042</v>
      </c>
      <c r="G1656" s="119">
        <v>1</v>
      </c>
      <c r="H1656" s="120">
        <v>0</v>
      </c>
      <c r="I1656" s="96">
        <f>IFERROR(VLOOKUP(D1656,SUBCONTRATOS_PRY!A:D,4,FALSE()),0)</f>
        <v>1199577.15407558</v>
      </c>
      <c r="J1656" s="31">
        <f t="shared" si="549"/>
        <v>1199577.15407558</v>
      </c>
      <c r="K1656" s="32" t="str">
        <f t="shared" si="552"/>
        <v>PTO-1909|MO</v>
      </c>
      <c r="L1656" s="32">
        <f>COUNTIFS($K$2:K1656,K1656)</f>
        <v>1</v>
      </c>
      <c r="M1656" s="32" t="str">
        <f t="shared" si="551"/>
        <v>PTO-1909|MO|1</v>
      </c>
      <c r="N1656" s="121">
        <f>IFERROR(VLOOKUP(A1656,PARTIDAS!A:F,6,FALSE()),0)</f>
        <v>1</v>
      </c>
      <c r="O1656" s="123">
        <f t="shared" si="547"/>
        <v>0</v>
      </c>
      <c r="P1656" s="123">
        <f>+_xlfn.XLOOKUP(A1656,PPTO_GENERADOR!Q:Q,PPTO_GENERADOR!E:E,"-",0)</f>
        <v>1</v>
      </c>
      <c r="Q1656" s="123">
        <f t="shared" si="548"/>
        <v>0</v>
      </c>
      <c r="R1656" s="125">
        <f>+_xlfn.XLOOKUP(A1656,PPTO_GENERADOR!$Q:$Q,PPTO_GENERADOR!A:A,"-",0)</f>
        <v>19.09</v>
      </c>
    </row>
    <row r="1657" spans="1:18" ht="14.25" customHeight="1" x14ac:dyDescent="0.35">
      <c r="A1657" s="105" t="s">
        <v>2036</v>
      </c>
      <c r="B1657" s="105" t="s">
        <v>1979</v>
      </c>
      <c r="C1657" s="105" t="s">
        <v>1982</v>
      </c>
      <c r="D1657" s="105" t="s">
        <v>1674</v>
      </c>
      <c r="E1657" s="95" t="str">
        <f>IFERROR(VLOOKUP(D1657,SUBCONTRATOS_PRY!A:B,2,FALSE()),"?")</f>
        <v>MO — AF/AC distribución planta tipo</v>
      </c>
      <c r="F1657" s="129" t="s">
        <v>2042</v>
      </c>
      <c r="G1657" s="119">
        <v>1</v>
      </c>
      <c r="H1657" s="120">
        <v>0</v>
      </c>
      <c r="I1657" s="96">
        <f>IFERROR(VLOOKUP(D1657,SUBCONTRATOS_PRY!A:D,4,FALSE()),0)</f>
        <v>9188039.2000978701</v>
      </c>
      <c r="J1657" s="31">
        <f t="shared" si="549"/>
        <v>9188039.2000978701</v>
      </c>
      <c r="K1657" s="32" t="str">
        <f t="shared" si="552"/>
        <v>PTO-1910|MO</v>
      </c>
      <c r="L1657" s="32">
        <f>COUNTIFS($K$2:K1657,K1657)</f>
        <v>1</v>
      </c>
      <c r="M1657" s="32" t="str">
        <f t="shared" si="551"/>
        <v>PTO-1910|MO|1</v>
      </c>
      <c r="N1657" s="121">
        <f>IFERROR(VLOOKUP(A1657,PARTIDAS!A:F,6,FALSE()),0)</f>
        <v>1</v>
      </c>
      <c r="O1657" s="123">
        <f t="shared" si="547"/>
        <v>0</v>
      </c>
      <c r="P1657" s="123">
        <f>+_xlfn.XLOOKUP(A1657,PPTO_GENERADOR!Q:Q,PPTO_GENERADOR!E:E,"-",0)</f>
        <v>1</v>
      </c>
      <c r="Q1657" s="123">
        <f t="shared" si="548"/>
        <v>0</v>
      </c>
      <c r="R1657" s="125">
        <f>+_xlfn.XLOOKUP(A1657,PPTO_GENERADOR!$Q:$Q,PPTO_GENERADOR!A:A,"-",0)</f>
        <v>19.100000000000001</v>
      </c>
    </row>
    <row r="1658" spans="1:18" ht="14.25" customHeight="1" x14ac:dyDescent="0.35">
      <c r="A1658" s="105" t="s">
        <v>362</v>
      </c>
      <c r="B1658" s="105" t="s">
        <v>1979</v>
      </c>
      <c r="C1658" s="105" t="s">
        <v>1982</v>
      </c>
      <c r="D1658" s="105" t="s">
        <v>1676</v>
      </c>
      <c r="E1658" s="95" t="str">
        <f>IFERROR(VLOOKUP(D1658,SUBCONTRATOS_PRY!A:B,2,FALSE()),"?")</f>
        <v>MO — Artefactos y griferías</v>
      </c>
      <c r="F1658" s="129" t="s">
        <v>2042</v>
      </c>
      <c r="G1658" s="119">
        <v>1</v>
      </c>
      <c r="H1658" s="120">
        <v>0</v>
      </c>
      <c r="I1658" s="96">
        <f>IFERROR(VLOOKUP(D1658,SUBCONTRATOS_PRY!A:D,4,FALSE()),0)</f>
        <v>5079485.0755870203</v>
      </c>
      <c r="J1658" s="31">
        <f t="shared" si="549"/>
        <v>5079485.0755870203</v>
      </c>
      <c r="K1658" s="32" t="str">
        <f t="shared" si="552"/>
        <v>PTO-1912|MO</v>
      </c>
      <c r="L1658" s="32">
        <f>COUNTIFS($K$2:K1658,K1658)</f>
        <v>1</v>
      </c>
      <c r="M1658" s="32" t="str">
        <f t="shared" ref="M1658:M1664" si="553">K1658&amp;"|"&amp;L1658</f>
        <v>PTO-1912|MO|1</v>
      </c>
      <c r="N1658" s="121">
        <f>IFERROR(VLOOKUP(A1658,PARTIDAS!A:F,6,FALSE()),0)</f>
        <v>1</v>
      </c>
      <c r="O1658" s="123">
        <f t="shared" si="547"/>
        <v>0</v>
      </c>
      <c r="P1658" s="123">
        <f>+_xlfn.XLOOKUP(A1658,PPTO_GENERADOR!Q:Q,PPTO_GENERADOR!E:E,"-",0)</f>
        <v>1</v>
      </c>
      <c r="Q1658" s="123">
        <f t="shared" si="548"/>
        <v>0</v>
      </c>
      <c r="R1658" s="125">
        <f>+_xlfn.XLOOKUP(A1658,PPTO_GENERADOR!$Q:$Q,PPTO_GENERADOR!A:A,"-",0)</f>
        <v>19.12</v>
      </c>
    </row>
    <row r="1659" spans="1:18" ht="14.25" customHeight="1" x14ac:dyDescent="0.35">
      <c r="A1659" s="105" t="s">
        <v>366</v>
      </c>
      <c r="B1659" s="105" t="s">
        <v>1979</v>
      </c>
      <c r="C1659" s="105" t="s">
        <v>1982</v>
      </c>
      <c r="D1659" s="105" t="s">
        <v>1678</v>
      </c>
      <c r="E1659" s="95" t="str">
        <f>IFERROR(VLOOKUP(D1659,SUBCONTRATOS_PRY!A:B,2,FALSE()),"?")</f>
        <v>MO — Desagües AA.CC</v>
      </c>
      <c r="F1659" s="129" t="s">
        <v>2042</v>
      </c>
      <c r="G1659" s="119">
        <v>1</v>
      </c>
      <c r="H1659" s="120">
        <v>0</v>
      </c>
      <c r="I1659" s="96">
        <f>IFERROR(VLOOKUP(D1659,SUBCONTRATOS_PRY!A:D,4,FALSE()),0)</f>
        <v>1746247.40061585</v>
      </c>
      <c r="J1659" s="31">
        <f t="shared" si="549"/>
        <v>1746247.40061585</v>
      </c>
      <c r="K1659" s="32" t="str">
        <f t="shared" si="552"/>
        <v>PTO-1914|MO</v>
      </c>
      <c r="L1659" s="32">
        <f>COUNTIFS($K$2:K1659,K1659)</f>
        <v>1</v>
      </c>
      <c r="M1659" s="32" t="str">
        <f t="shared" si="553"/>
        <v>PTO-1914|MO|1</v>
      </c>
      <c r="N1659" s="121">
        <f>IFERROR(VLOOKUP(A1659,PARTIDAS!A:F,6,FALSE()),0)</f>
        <v>1</v>
      </c>
      <c r="O1659" s="123">
        <f t="shared" si="547"/>
        <v>0</v>
      </c>
      <c r="P1659" s="123">
        <f>+_xlfn.XLOOKUP(A1659,PPTO_GENERADOR!Q:Q,PPTO_GENERADOR!E:E,"-",0)</f>
        <v>1</v>
      </c>
      <c r="Q1659" s="123">
        <f t="shared" si="548"/>
        <v>0</v>
      </c>
      <c r="R1659" s="125">
        <f>+_xlfn.XLOOKUP(A1659,PPTO_GENERADOR!$Q:$Q,PPTO_GENERADOR!A:A,"-",0)</f>
        <v>19.14</v>
      </c>
    </row>
    <row r="1660" spans="1:18" ht="14.25" customHeight="1" x14ac:dyDescent="0.35">
      <c r="A1660" s="105" t="s">
        <v>369</v>
      </c>
      <c r="B1660" s="105" t="s">
        <v>1979</v>
      </c>
      <c r="C1660" s="105" t="s">
        <v>1982</v>
      </c>
      <c r="D1660" s="105" t="s">
        <v>1680</v>
      </c>
      <c r="E1660" s="95" t="str">
        <f>IFERROR(VLOOKUP(D1660,SUBCONTRATOS_PRY!A:B,2,FALSE()),"?")</f>
        <v>MO — Tendido cañería incendio</v>
      </c>
      <c r="F1660" s="129" t="s">
        <v>2042</v>
      </c>
      <c r="G1660" s="119">
        <v>1</v>
      </c>
      <c r="H1660" s="120">
        <v>0</v>
      </c>
      <c r="I1660" s="96">
        <f>IFERROR(VLOOKUP(D1660,SUBCONTRATOS_PRY!A:D,4,FALSE()),0)</f>
        <v>3490533.2546783499</v>
      </c>
      <c r="J1660" s="31">
        <f t="shared" si="549"/>
        <v>3490533.2546783499</v>
      </c>
      <c r="K1660" s="32" t="str">
        <f t="shared" si="552"/>
        <v>PTO-1915|MO</v>
      </c>
      <c r="L1660" s="32">
        <f>COUNTIFS($K$2:K1660,K1660)</f>
        <v>1</v>
      </c>
      <c r="M1660" s="32" t="str">
        <f t="shared" si="553"/>
        <v>PTO-1915|MO|1</v>
      </c>
      <c r="N1660" s="121">
        <f>IFERROR(VLOOKUP(A1660,PARTIDAS!A:F,6,FALSE()),0)</f>
        <v>1</v>
      </c>
      <c r="O1660" s="123">
        <f t="shared" si="547"/>
        <v>0</v>
      </c>
      <c r="P1660" s="123">
        <f>+_xlfn.XLOOKUP(A1660,PPTO_GENERADOR!Q:Q,PPTO_GENERADOR!E:E,"-",0)</f>
        <v>1</v>
      </c>
      <c r="Q1660" s="123">
        <f t="shared" si="548"/>
        <v>0</v>
      </c>
      <c r="R1660" s="125">
        <f>+_xlfn.XLOOKUP(A1660,PPTO_GENERADOR!$Q:$Q,PPTO_GENERADOR!A:A,"-",0)</f>
        <v>19.149999999999999</v>
      </c>
    </row>
    <row r="1661" spans="1:18" ht="14.25" customHeight="1" x14ac:dyDescent="0.35">
      <c r="A1661" s="105" t="s">
        <v>372</v>
      </c>
      <c r="B1661" s="105" t="s">
        <v>1979</v>
      </c>
      <c r="C1661" s="105" t="s">
        <v>1982</v>
      </c>
      <c r="D1661" s="105" t="s">
        <v>1682</v>
      </c>
      <c r="E1661" s="95" t="str">
        <f>IFERROR(VLOOKUP(D1661,SUBCONTRATOS_PRY!A:B,2,FALSE()),"?")</f>
        <v>MO — Tendido cañerías de gas</v>
      </c>
      <c r="F1661" s="129" t="s">
        <v>2042</v>
      </c>
      <c r="G1661" s="119">
        <v>1</v>
      </c>
      <c r="H1661" s="120">
        <v>0</v>
      </c>
      <c r="I1661" s="96">
        <f>IFERROR(VLOOKUP(D1661,SUBCONTRATOS_PRY!A:D,4,FALSE()),0)</f>
        <v>4970416.6359473299</v>
      </c>
      <c r="J1661" s="31">
        <f t="shared" si="549"/>
        <v>4970416.6359473299</v>
      </c>
      <c r="K1661" s="32" t="str">
        <f t="shared" si="552"/>
        <v>PTO-1916|MO</v>
      </c>
      <c r="L1661" s="32">
        <f>COUNTIFS($K$2:K1661,K1661)</f>
        <v>1</v>
      </c>
      <c r="M1661" s="32" t="str">
        <f t="shared" si="553"/>
        <v>PTO-1916|MO|1</v>
      </c>
      <c r="N1661" s="121">
        <f>IFERROR(VLOOKUP(A1661,PARTIDAS!A:F,6,FALSE()),0)</f>
        <v>1</v>
      </c>
      <c r="O1661" s="123">
        <f t="shared" si="547"/>
        <v>0</v>
      </c>
      <c r="P1661" s="123">
        <f>+_xlfn.XLOOKUP(A1661,PPTO_GENERADOR!Q:Q,PPTO_GENERADOR!E:E,"-",0)</f>
        <v>1</v>
      </c>
      <c r="Q1661" s="123">
        <f t="shared" si="548"/>
        <v>0</v>
      </c>
      <c r="R1661" s="125">
        <f>+_xlfn.XLOOKUP(A1661,PPTO_GENERADOR!$Q:$Q,PPTO_GENERADOR!A:A,"-",0)</f>
        <v>19.16</v>
      </c>
    </row>
    <row r="1662" spans="1:18" ht="14.25" customHeight="1" x14ac:dyDescent="0.35">
      <c r="A1662" s="105" t="s">
        <v>375</v>
      </c>
      <c r="B1662" s="105" t="s">
        <v>1979</v>
      </c>
      <c r="C1662" s="105" t="s">
        <v>1982</v>
      </c>
      <c r="D1662" s="105" t="s">
        <v>1684</v>
      </c>
      <c r="E1662" s="95" t="str">
        <f>IFERROR(VLOOKUP(D1662,SUBCONTRATOS_PRY!A:B,2,FALSE()),"?")</f>
        <v>MO — Colocación artefactos gas</v>
      </c>
      <c r="F1662" s="129" t="s">
        <v>2042</v>
      </c>
      <c r="G1662" s="119">
        <v>1</v>
      </c>
      <c r="H1662" s="120">
        <v>0</v>
      </c>
      <c r="I1662" s="96">
        <f>IFERROR(VLOOKUP(D1662,SUBCONTRATOS_PRY!A:D,4,FALSE()),0)</f>
        <v>498927.82874738699</v>
      </c>
      <c r="J1662" s="31">
        <f t="shared" si="549"/>
        <v>498927.82874738699</v>
      </c>
      <c r="K1662" s="32" t="str">
        <f t="shared" si="552"/>
        <v>PTO-1917|MO</v>
      </c>
      <c r="L1662" s="32">
        <f>COUNTIFS($K$2:K1662,K1662)</f>
        <v>1</v>
      </c>
      <c r="M1662" s="32" t="str">
        <f t="shared" si="553"/>
        <v>PTO-1917|MO|1</v>
      </c>
      <c r="N1662" s="121">
        <f>IFERROR(VLOOKUP(A1662,PARTIDAS!A:F,6,FALSE()),0)</f>
        <v>1</v>
      </c>
      <c r="O1662" s="123">
        <f t="shared" si="547"/>
        <v>0</v>
      </c>
      <c r="P1662" s="123">
        <f>+_xlfn.XLOOKUP(A1662,PPTO_GENERADOR!Q:Q,PPTO_GENERADOR!E:E,"-",0)</f>
        <v>1</v>
      </c>
      <c r="Q1662" s="123">
        <f t="shared" si="548"/>
        <v>0</v>
      </c>
      <c r="R1662" s="125">
        <f>+_xlfn.XLOOKUP(A1662,PPTO_GENERADOR!$Q:$Q,PPTO_GENERADOR!A:A,"-",0)</f>
        <v>19.170000000000002</v>
      </c>
    </row>
    <row r="1663" spans="1:18" ht="14.25" customHeight="1" x14ac:dyDescent="0.35">
      <c r="A1663" s="105" t="s">
        <v>1780</v>
      </c>
      <c r="B1663" s="105" t="s">
        <v>1983</v>
      </c>
      <c r="C1663" s="105"/>
      <c r="D1663" s="105" t="s">
        <v>1511</v>
      </c>
      <c r="E1663" s="95" t="str">
        <f>IFERROR(VLOOKUP(D1663,EQUIPOS!A:B,2,FALSE()),"?")</f>
        <v>Equipos viales — Pala/retro 310J + Camión volcador 170E22 + Compactador pata cabra 612H</v>
      </c>
      <c r="F1663" s="129"/>
      <c r="G1663" s="119">
        <v>1</v>
      </c>
      <c r="H1663" s="120">
        <v>0</v>
      </c>
      <c r="I1663" s="96">
        <f>IFERROR(VLOOKUP(D1663,EQUIPOS!A:F,6,FALSE()),0)</f>
        <v>1004999.99196</v>
      </c>
      <c r="J1663" s="31">
        <f>G1663*I1663</f>
        <v>1004999.99196</v>
      </c>
      <c r="K1663" s="32" t="str">
        <f t="shared" si="552"/>
        <v>PRE-032|EQ</v>
      </c>
      <c r="L1663" s="32">
        <f>COUNTIFS($K$2:K1663,K1663)</f>
        <v>1</v>
      </c>
      <c r="M1663" s="32" t="str">
        <f t="shared" si="553"/>
        <v>PRE-032|EQ|1</v>
      </c>
      <c r="N1663" s="121">
        <f>IFERROR(VLOOKUP(A1663,PARTIDAS!A:F,6,FALSE()),0)</f>
        <v>25</v>
      </c>
      <c r="O1663" s="123">
        <f t="shared" si="547"/>
        <v>0</v>
      </c>
      <c r="P1663" s="123" t="str">
        <f>+_xlfn.XLOOKUP(A1663,PPTO_GENERADOR!Q:Q,PPTO_GENERADOR!E:E,"-",0)</f>
        <v>-</v>
      </c>
      <c r="Q1663" s="123">
        <f t="shared" si="548"/>
        <v>0</v>
      </c>
      <c r="R1663" s="125" t="str">
        <f>+_xlfn.XLOOKUP(A1663,PPTO_GENERADOR!$Q:$Q,PPTO_GENERADOR!A:A,"-",0)</f>
        <v>-</v>
      </c>
    </row>
    <row r="1664" spans="1:18" ht="14.25" customHeight="1" x14ac:dyDescent="0.35">
      <c r="A1664" s="105" t="s">
        <v>381</v>
      </c>
      <c r="B1664" s="105" t="s">
        <v>1981</v>
      </c>
      <c r="C1664" s="105" t="s">
        <v>1982</v>
      </c>
      <c r="D1664" s="105" t="s">
        <v>1686</v>
      </c>
      <c r="E1664" s="95" t="str">
        <f>IFERROR(VLOOKUP(D1664,MATERIALES!A:B,2,FALSE()),"?")</f>
        <v>?</v>
      </c>
      <c r="F1664" s="129" t="str">
        <f>IFERROR(VLOOKUP(D1664,MATERIALES!A:C,3,FALSE()),"?")</f>
        <v>?</v>
      </c>
      <c r="G1664" s="119">
        <v>1</v>
      </c>
      <c r="H1664" s="120">
        <v>0</v>
      </c>
      <c r="I1664" s="96">
        <f>IFERROR(VLOOKUP(D1664,MATERIALES!A:D,4,FALSE()),0)</f>
        <v>0</v>
      </c>
      <c r="J1664" s="31">
        <f>G1664*I1664*(1+H1664)</f>
        <v>0</v>
      </c>
      <c r="K1664" s="32" t="str">
        <f t="shared" si="552"/>
        <v>PTO-2001|MAT</v>
      </c>
      <c r="L1664" s="32">
        <f>COUNTIFS($K$2:K1664,K1664)</f>
        <v>1</v>
      </c>
      <c r="M1664" s="32" t="str">
        <f t="shared" si="553"/>
        <v>PTO-2001|MAT|1</v>
      </c>
      <c r="N1664" s="121">
        <f>IFERROR(VLOOKUP(A1664,PARTIDAS!A:F,6,FALSE()),0)</f>
        <v>1</v>
      </c>
      <c r="O1664" s="123">
        <f t="shared" si="547"/>
        <v>0</v>
      </c>
      <c r="P1664" s="123">
        <f>+_xlfn.XLOOKUP(A1664,PPTO_GENERADOR!Q:Q,PPTO_GENERADOR!E:E,"-",0)</f>
        <v>40</v>
      </c>
      <c r="Q1664" s="123">
        <f t="shared" si="548"/>
        <v>0</v>
      </c>
      <c r="R1664" s="125">
        <f>+_xlfn.XLOOKUP(A1664,PPTO_GENERADOR!$Q:$Q,PPTO_GENERADOR!A:A,"-",0)</f>
        <v>20.010000000000002</v>
      </c>
    </row>
    <row r="1665" spans="1:18" ht="14.25" customHeight="1" x14ac:dyDescent="0.35">
      <c r="A1665" s="105" t="s">
        <v>82</v>
      </c>
      <c r="B1665" s="105" t="s">
        <v>1979</v>
      </c>
      <c r="C1665" s="105" t="s">
        <v>1980</v>
      </c>
      <c r="D1665" s="105" t="s">
        <v>1304</v>
      </c>
      <c r="E1665" s="95" t="str">
        <f>IFERROR(VLOOKUP(D1665,MANO_DE_OBRA!A:B,2,FALSE()),"?")</f>
        <v>MO Albañilería complementaria — Viga H°V (25% MO H°A°)</v>
      </c>
      <c r="F1665" s="129" t="s">
        <v>2042</v>
      </c>
      <c r="G1665" s="119">
        <v>1</v>
      </c>
      <c r="H1665" s="120">
        <v>0</v>
      </c>
      <c r="I1665" s="96">
        <f>IFERROR(VLOOKUP(D1665,MANO_DE_OBRA!A:C,3,FALSE()),0)</f>
        <v>157396.08904101301</v>
      </c>
      <c r="J1665" s="31">
        <f t="shared" ref="J1665:J1674" si="554">G1665*I1665</f>
        <v>157396.08904101301</v>
      </c>
      <c r="K1665" s="32" t="str">
        <f t="shared" ref="K1665:K1705" si="555">A1665&amp;"|"&amp;B1665</f>
        <v>PTO-0312|MO</v>
      </c>
      <c r="L1665" s="32">
        <f>COUNTIFS($K$2:K1665,K1665)</f>
        <v>2</v>
      </c>
      <c r="M1665" s="32" t="str">
        <f t="shared" ref="M1665:M1721" si="556">K1665&amp;"|"&amp;L1665</f>
        <v>PTO-0312|MO|2</v>
      </c>
      <c r="N1665" s="121">
        <f>IFERROR(VLOOKUP(A1665,PARTIDAS!A:F,6,FALSE()),0)</f>
        <v>1</v>
      </c>
      <c r="O1665" s="123">
        <f t="shared" si="547"/>
        <v>1</v>
      </c>
      <c r="P1665" s="123">
        <f>+_xlfn.XLOOKUP(A1665,PPTO_GENERADOR!Q:Q,PPTO_GENERADOR!E:E,"-",0)</f>
        <v>7</v>
      </c>
      <c r="Q1665" s="123">
        <f t="shared" si="548"/>
        <v>7</v>
      </c>
      <c r="R1665" s="125">
        <f>+_xlfn.XLOOKUP(A1665,PPTO_GENERADOR!$Q:$Q,PPTO_GENERADOR!A:A,"-",0)</f>
        <v>3.12</v>
      </c>
    </row>
    <row r="1666" spans="1:18" ht="14.25" customHeight="1" x14ac:dyDescent="0.35">
      <c r="A1666" s="105" t="s">
        <v>84</v>
      </c>
      <c r="B1666" s="105" t="s">
        <v>1979</v>
      </c>
      <c r="C1666" s="105" t="s">
        <v>1980</v>
      </c>
      <c r="D1666" s="105" t="s">
        <v>1304</v>
      </c>
      <c r="E1666" s="95" t="str">
        <f>IFERROR(VLOOKUP(D1666,MANO_DE_OBRA!A:B,2,FALSE()),"?")</f>
        <v>MO Albañilería complementaria — Viga H°V (25% MO H°A°)</v>
      </c>
      <c r="F1666" s="129" t="s">
        <v>2042</v>
      </c>
      <c r="G1666" s="119">
        <v>1</v>
      </c>
      <c r="H1666" s="120">
        <v>0</v>
      </c>
      <c r="I1666" s="96">
        <f>IFERROR(VLOOKUP(D1666,MANO_DE_OBRA!A:C,3,FALSE()),0)</f>
        <v>157396.08904101301</v>
      </c>
      <c r="J1666" s="31">
        <f t="shared" si="554"/>
        <v>157396.08904101301</v>
      </c>
      <c r="K1666" s="32" t="str">
        <f t="shared" si="555"/>
        <v>PTO-0313|MO</v>
      </c>
      <c r="L1666" s="32">
        <f>COUNTIFS($K$2:K1666,K1666)</f>
        <v>2</v>
      </c>
      <c r="M1666" s="32" t="str">
        <f t="shared" si="556"/>
        <v>PTO-0313|MO|2</v>
      </c>
      <c r="N1666" s="121">
        <f>IFERROR(VLOOKUP(A1666,PARTIDAS!A:F,6,FALSE()),0)</f>
        <v>1</v>
      </c>
      <c r="O1666" s="123">
        <f t="shared" si="547"/>
        <v>1</v>
      </c>
      <c r="P1666" s="123">
        <f>+_xlfn.XLOOKUP(A1666,PPTO_GENERADOR!Q:Q,PPTO_GENERADOR!E:E,"-",0)</f>
        <v>12</v>
      </c>
      <c r="Q1666" s="123">
        <f t="shared" si="548"/>
        <v>12</v>
      </c>
      <c r="R1666" s="125">
        <f>+_xlfn.XLOOKUP(A1666,PPTO_GENERADOR!$Q:$Q,PPTO_GENERADOR!A:A,"-",0)</f>
        <v>3.13</v>
      </c>
    </row>
    <row r="1667" spans="1:18" ht="14.25" customHeight="1" x14ac:dyDescent="0.35">
      <c r="A1667" s="105" t="s">
        <v>90</v>
      </c>
      <c r="B1667" s="105" t="s">
        <v>1979</v>
      </c>
      <c r="C1667" s="105" t="s">
        <v>1980</v>
      </c>
      <c r="D1667" s="105" t="s">
        <v>1306</v>
      </c>
      <c r="E1667" s="95" t="str">
        <f>IFERROR(VLOOKUP(D1667,MANO_DE_OBRA!A:B,2,FALSE()),"?")</f>
        <v>MO Albañilería complementaria — Losa H°V (25% MO H°A°)</v>
      </c>
      <c r="F1667" s="129" t="s">
        <v>2042</v>
      </c>
      <c r="G1667" s="119">
        <v>1</v>
      </c>
      <c r="H1667" s="120">
        <v>0</v>
      </c>
      <c r="I1667" s="96">
        <f>IFERROR(VLOOKUP(D1667,MANO_DE_OBRA!A:C,3,FALSE()),0)</f>
        <v>63408.112649279799</v>
      </c>
      <c r="J1667" s="31">
        <f t="shared" si="554"/>
        <v>63408.112649279799</v>
      </c>
      <c r="K1667" s="32" t="str">
        <f t="shared" si="555"/>
        <v>PTO-0316|MO</v>
      </c>
      <c r="L1667" s="32">
        <f>COUNTIFS($K$2:K1667,K1667)</f>
        <v>2</v>
      </c>
      <c r="M1667" s="32" t="str">
        <f t="shared" si="556"/>
        <v>PTO-0316|MO|2</v>
      </c>
      <c r="N1667" s="121">
        <f>IFERROR(VLOOKUP(A1667,PARTIDAS!A:F,6,FALSE()),0)</f>
        <v>1</v>
      </c>
      <c r="O1667" s="123">
        <f t="shared" ref="O1667:O1730" si="557">+IF(C1667="ALB",G1667/N1667,0)</f>
        <v>1</v>
      </c>
      <c r="P1667" s="123">
        <f>+_xlfn.XLOOKUP(A1667,PPTO_GENERADOR!Q:Q,PPTO_GENERADOR!E:E,"-",0)</f>
        <v>13</v>
      </c>
      <c r="Q1667" s="123">
        <f t="shared" ref="Q1667:Q1730" si="558">IFERROR(P1667*O1667,0)</f>
        <v>13</v>
      </c>
      <c r="R1667" s="125">
        <f>+_xlfn.XLOOKUP(A1667,PPTO_GENERADOR!$Q:$Q,PPTO_GENERADOR!A:A,"-",0)</f>
        <v>3.16</v>
      </c>
    </row>
    <row r="1668" spans="1:18" ht="14.25" customHeight="1" x14ac:dyDescent="0.35">
      <c r="A1668" s="105" t="s">
        <v>94</v>
      </c>
      <c r="B1668" s="105" t="s">
        <v>1979</v>
      </c>
      <c r="C1668" s="105" t="s">
        <v>1980</v>
      </c>
      <c r="D1668" s="105" t="s">
        <v>1304</v>
      </c>
      <c r="E1668" s="95" t="str">
        <f>IFERROR(VLOOKUP(D1668,MANO_DE_OBRA!A:B,2,FALSE()),"?")</f>
        <v>MO Albañilería complementaria — Viga H°V (25% MO H°A°)</v>
      </c>
      <c r="F1668" s="129" t="s">
        <v>2042</v>
      </c>
      <c r="G1668" s="119">
        <v>1</v>
      </c>
      <c r="H1668" s="120">
        <v>0</v>
      </c>
      <c r="I1668" s="96">
        <f>IFERROR(VLOOKUP(D1668,MANO_DE_OBRA!A:C,3,FALSE()),0)</f>
        <v>157396.08904101301</v>
      </c>
      <c r="J1668" s="31">
        <f t="shared" si="554"/>
        <v>157396.08904101301</v>
      </c>
      <c r="K1668" s="32" t="str">
        <f t="shared" si="555"/>
        <v>PTO-0318|MO</v>
      </c>
      <c r="L1668" s="32">
        <f>COUNTIFS($K$2:K1668,K1668)</f>
        <v>2</v>
      </c>
      <c r="M1668" s="32" t="str">
        <f t="shared" si="556"/>
        <v>PTO-0318|MO|2</v>
      </c>
      <c r="N1668" s="121">
        <f>IFERROR(VLOOKUP(A1668,PARTIDAS!A:F,6,FALSE()),0)</f>
        <v>1</v>
      </c>
      <c r="O1668" s="123">
        <f t="shared" si="557"/>
        <v>1</v>
      </c>
      <c r="P1668" s="123">
        <f>+_xlfn.XLOOKUP(A1668,PPTO_GENERADOR!Q:Q,PPTO_GENERADOR!E:E,"-",0)</f>
        <v>2</v>
      </c>
      <c r="Q1668" s="123">
        <f t="shared" si="558"/>
        <v>2</v>
      </c>
      <c r="R1668" s="125">
        <f>+_xlfn.XLOOKUP(A1668,PPTO_GENERADOR!$Q:$Q,PPTO_GENERADOR!A:A,"-",0)</f>
        <v>3.18</v>
      </c>
    </row>
    <row r="1669" spans="1:18" ht="14.25" customHeight="1" x14ac:dyDescent="0.35">
      <c r="A1669" s="105" t="s">
        <v>1736</v>
      </c>
      <c r="B1669" s="105" t="s">
        <v>1983</v>
      </c>
      <c r="C1669" s="105"/>
      <c r="D1669" s="105" t="s">
        <v>1311</v>
      </c>
      <c r="E1669" s="95" t="str">
        <f>IFERROR(VLOOKUP(D1669,EQUIPOS!A:B,2,FALSE()),"?")</f>
        <v>ESCALERA GLOSS ALUMINIO ARTICULADA 4 X 4 ESCALONES HASTA 150KG</v>
      </c>
      <c r="F1669" s="129"/>
      <c r="G1669" s="119">
        <v>1</v>
      </c>
      <c r="H1669" s="120">
        <v>0</v>
      </c>
      <c r="I1669" s="96">
        <f>IFERROR(VLOOKUP(D1669,EQUIPOS!A:F,6,FALSE()),0)</f>
        <v>152.38027427373819</v>
      </c>
      <c r="J1669" s="31">
        <f t="shared" si="554"/>
        <v>152.38027427373819</v>
      </c>
      <c r="K1669" s="32" t="str">
        <f t="shared" si="555"/>
        <v>YES-117|EQ</v>
      </c>
      <c r="L1669" s="32">
        <f>COUNTIFS($K$2:K1669,K1669)</f>
        <v>1</v>
      </c>
      <c r="M1669" s="32" t="str">
        <f t="shared" si="556"/>
        <v>YES-117|EQ|1</v>
      </c>
      <c r="N1669" s="121">
        <f>IFERROR(VLOOKUP(A1669,PARTIDAS!A:F,6,FALSE()),0)</f>
        <v>15</v>
      </c>
      <c r="O1669" s="123">
        <f t="shared" si="557"/>
        <v>0</v>
      </c>
      <c r="P1669" s="123" t="str">
        <f>+_xlfn.XLOOKUP(A1669,PPTO_GENERADOR!Q:Q,PPTO_GENERADOR!E:E,"-",0)</f>
        <v>-</v>
      </c>
      <c r="Q1669" s="123">
        <f t="shared" si="558"/>
        <v>0</v>
      </c>
      <c r="R1669" s="125" t="str">
        <f>+_xlfn.XLOOKUP(A1669,PPTO_GENERADOR!$Q:$Q,PPTO_GENERADOR!A:A,"-",0)</f>
        <v>-</v>
      </c>
    </row>
    <row r="1670" spans="1:18" ht="14.25" customHeight="1" x14ac:dyDescent="0.35">
      <c r="A1670" s="105" t="s">
        <v>1878</v>
      </c>
      <c r="B1670" s="105" t="s">
        <v>1983</v>
      </c>
      <c r="C1670" s="105"/>
      <c r="D1670" s="105" t="s">
        <v>1513</v>
      </c>
      <c r="E1670" s="95" t="str">
        <f>IFERROR(VLOOKUP(D1670,EQUIPOS!A:B,2,FALSE()),"?")</f>
        <v>EQUIPO DE CONSTRUCCION EN SECO</v>
      </c>
      <c r="F1670" s="129"/>
      <c r="G1670" s="119">
        <v>1</v>
      </c>
      <c r="H1670" s="120">
        <v>0</v>
      </c>
      <c r="I1670" s="96">
        <f>IFERROR(VLOOKUP(D1670,EQUIPOS!A:F,6,FALSE()),0)</f>
        <v>2570.7599166666664</v>
      </c>
      <c r="J1670" s="31">
        <f t="shared" si="554"/>
        <v>2570.7599166666664</v>
      </c>
      <c r="K1670" s="32" t="str">
        <f t="shared" si="555"/>
        <v>CER-061|EQ</v>
      </c>
      <c r="L1670" s="32">
        <f>COUNTIFS($K$2:K1670,K1670)</f>
        <v>2</v>
      </c>
      <c r="M1670" s="32" t="str">
        <f t="shared" si="556"/>
        <v>CER-061|EQ|2</v>
      </c>
      <c r="N1670" s="121">
        <f>IFERROR(VLOOKUP(A1670,PARTIDAS!A:F,6,FALSE()),0)</f>
        <v>9.5</v>
      </c>
      <c r="O1670" s="123">
        <f t="shared" si="557"/>
        <v>0</v>
      </c>
      <c r="P1670" s="123" t="str">
        <f>+_xlfn.XLOOKUP(A1670,PPTO_GENERADOR!Q:Q,PPTO_GENERADOR!E:E,"-",0)</f>
        <v>-</v>
      </c>
      <c r="Q1670" s="123">
        <f t="shared" si="558"/>
        <v>0</v>
      </c>
      <c r="R1670" s="125" t="str">
        <f>+_xlfn.XLOOKUP(A1670,PPTO_GENERADOR!$Q:$Q,PPTO_GENERADOR!A:A,"-",0)</f>
        <v>-</v>
      </c>
    </row>
    <row r="1671" spans="1:18" ht="14.25" customHeight="1" x14ac:dyDescent="0.35">
      <c r="A1671" s="105" t="s">
        <v>1884</v>
      </c>
      <c r="B1671" s="105" t="s">
        <v>1983</v>
      </c>
      <c r="C1671" s="105"/>
      <c r="D1671" s="105" t="s">
        <v>1513</v>
      </c>
      <c r="E1671" s="95" t="str">
        <f>IFERROR(VLOOKUP(D1671,EQUIPOS!A:B,2,FALSE()),"?")</f>
        <v>EQUIPO DE CONSTRUCCION EN SECO</v>
      </c>
      <c r="F1671" s="129"/>
      <c r="G1671" s="119">
        <v>1</v>
      </c>
      <c r="H1671" s="120">
        <v>0</v>
      </c>
      <c r="I1671" s="96">
        <f>IFERROR(VLOOKUP(D1671,EQUIPOS!A:F,6,FALSE()),0)</f>
        <v>2570.7599166666664</v>
      </c>
      <c r="J1671" s="31">
        <f t="shared" si="554"/>
        <v>2570.7599166666664</v>
      </c>
      <c r="K1671" s="32" t="str">
        <f t="shared" si="555"/>
        <v>CER-063|EQ</v>
      </c>
      <c r="L1671" s="32">
        <f>COUNTIFS($K$2:K1671,K1671)</f>
        <v>2</v>
      </c>
      <c r="M1671" s="32" t="str">
        <f t="shared" si="556"/>
        <v>CER-063|EQ|2</v>
      </c>
      <c r="N1671" s="121">
        <f>IFERROR(VLOOKUP(A1671,PARTIDAS!A:F,6,FALSE()),0)</f>
        <v>10</v>
      </c>
      <c r="O1671" s="123">
        <f t="shared" si="557"/>
        <v>0</v>
      </c>
      <c r="P1671" s="123" t="str">
        <f>+_xlfn.XLOOKUP(A1671,PPTO_GENERADOR!Q:Q,PPTO_GENERADOR!E:E,"-",0)</f>
        <v>-</v>
      </c>
      <c r="Q1671" s="123">
        <f t="shared" si="558"/>
        <v>0</v>
      </c>
      <c r="R1671" s="125" t="str">
        <f>+_xlfn.XLOOKUP(A1671,PPTO_GENERADOR!$Q:$Q,PPTO_GENERADOR!A:A,"-",0)</f>
        <v>-</v>
      </c>
    </row>
    <row r="1672" spans="1:18" ht="14.25" customHeight="1" x14ac:dyDescent="0.35">
      <c r="A1672" s="105" t="s">
        <v>222</v>
      </c>
      <c r="B1672" s="105" t="s">
        <v>1983</v>
      </c>
      <c r="C1672" s="105"/>
      <c r="D1672" s="105" t="s">
        <v>1513</v>
      </c>
      <c r="E1672" s="95" t="str">
        <f>IFERROR(VLOOKUP(D1672,EQUIPOS!A:B,2,FALSE()),"?")</f>
        <v>EQUIPO DE CONSTRUCCION EN SECO</v>
      </c>
      <c r="F1672" s="129"/>
      <c r="G1672" s="119">
        <v>1</v>
      </c>
      <c r="H1672" s="120">
        <v>0</v>
      </c>
      <c r="I1672" s="96">
        <f>IFERROR(VLOOKUP(D1672,EQUIPOS!A:F,6,FALSE()),0)</f>
        <v>2570.7599166666664</v>
      </c>
      <c r="J1672" s="31">
        <f t="shared" si="554"/>
        <v>2570.7599166666664</v>
      </c>
      <c r="K1672" s="32" t="str">
        <f t="shared" si="555"/>
        <v>PTO-1401|EQ</v>
      </c>
      <c r="L1672" s="32">
        <f>COUNTIFS($K$2:K1672,K1672)</f>
        <v>2</v>
      </c>
      <c r="M1672" s="32" t="str">
        <f t="shared" si="556"/>
        <v>PTO-1401|EQ|2</v>
      </c>
      <c r="N1672" s="121">
        <f>IFERROR(VLOOKUP(A1672,PARTIDAS!A:F,6,FALSE()),0)</f>
        <v>9.5</v>
      </c>
      <c r="O1672" s="123">
        <f t="shared" si="557"/>
        <v>0</v>
      </c>
      <c r="P1672" s="123">
        <f>+_xlfn.XLOOKUP(A1672,PPTO_GENERADOR!Q:Q,PPTO_GENERADOR!E:E,"-",0)</f>
        <v>146</v>
      </c>
      <c r="Q1672" s="123">
        <f t="shared" si="558"/>
        <v>0</v>
      </c>
      <c r="R1672" s="125">
        <f>+_xlfn.XLOOKUP(A1672,PPTO_GENERADOR!$Q:$Q,PPTO_GENERADOR!A:A,"-",0)</f>
        <v>14.01</v>
      </c>
    </row>
    <row r="1673" spans="1:18" ht="14.25" customHeight="1" x14ac:dyDescent="0.35">
      <c r="A1673" s="105" t="s">
        <v>225</v>
      </c>
      <c r="B1673" s="105" t="s">
        <v>1983</v>
      </c>
      <c r="C1673" s="105"/>
      <c r="D1673" s="105" t="s">
        <v>1513</v>
      </c>
      <c r="E1673" s="95" t="str">
        <f>IFERROR(VLOOKUP(D1673,EQUIPOS!A:B,2,FALSE()),"?")</f>
        <v>EQUIPO DE CONSTRUCCION EN SECO</v>
      </c>
      <c r="F1673" s="129"/>
      <c r="G1673" s="119">
        <v>1</v>
      </c>
      <c r="H1673" s="120">
        <v>0</v>
      </c>
      <c r="I1673" s="96">
        <f>IFERROR(VLOOKUP(D1673,EQUIPOS!A:F,6,FALSE()),0)</f>
        <v>2570.7599166666664</v>
      </c>
      <c r="J1673" s="31">
        <f t="shared" si="554"/>
        <v>2570.7599166666664</v>
      </c>
      <c r="K1673" s="32" t="str">
        <f t="shared" si="555"/>
        <v>PTO-1402|EQ</v>
      </c>
      <c r="L1673" s="32">
        <f>COUNTIFS($K$2:K1673,K1673)</f>
        <v>2</v>
      </c>
      <c r="M1673" s="32" t="str">
        <f t="shared" si="556"/>
        <v>PTO-1402|EQ|2</v>
      </c>
      <c r="N1673" s="121">
        <f>IFERROR(VLOOKUP(A1673,PARTIDAS!A:F,6,FALSE()),0)</f>
        <v>9.5</v>
      </c>
      <c r="O1673" s="123">
        <f t="shared" si="557"/>
        <v>0</v>
      </c>
      <c r="P1673" s="123">
        <f>+_xlfn.XLOOKUP(A1673,PPTO_GENERADOR!Q:Q,PPTO_GENERADOR!E:E,"-",0)</f>
        <v>89</v>
      </c>
      <c r="Q1673" s="123">
        <f t="shared" si="558"/>
        <v>0</v>
      </c>
      <c r="R1673" s="125">
        <f>+_xlfn.XLOOKUP(A1673,PPTO_GENERADOR!$Q:$Q,PPTO_GENERADOR!A:A,"-",0)</f>
        <v>14.02</v>
      </c>
    </row>
    <row r="1674" spans="1:18" ht="14.25" customHeight="1" x14ac:dyDescent="0.35">
      <c r="A1674" s="105" t="s">
        <v>1736</v>
      </c>
      <c r="B1674" s="105" t="s">
        <v>1983</v>
      </c>
      <c r="C1674" s="105"/>
      <c r="D1674" s="105" t="s">
        <v>1513</v>
      </c>
      <c r="E1674" s="95" t="str">
        <f>IFERROR(VLOOKUP(D1674,EQUIPOS!A:B,2,FALSE()),"?")</f>
        <v>EQUIPO DE CONSTRUCCION EN SECO</v>
      </c>
      <c r="F1674" s="129"/>
      <c r="G1674" s="119">
        <v>1</v>
      </c>
      <c r="H1674" s="120">
        <v>0</v>
      </c>
      <c r="I1674" s="96">
        <f>IFERROR(VLOOKUP(D1674,EQUIPOS!A:F,6,FALSE()),0)</f>
        <v>2570.7599166666664</v>
      </c>
      <c r="J1674" s="31">
        <f t="shared" si="554"/>
        <v>2570.7599166666664</v>
      </c>
      <c r="K1674" s="32" t="str">
        <f t="shared" si="555"/>
        <v>YES-117|EQ</v>
      </c>
      <c r="L1674" s="32">
        <f>COUNTIFS($K$2:K1674,K1674)</f>
        <v>2</v>
      </c>
      <c r="M1674" s="32" t="str">
        <f t="shared" si="556"/>
        <v>YES-117|EQ|2</v>
      </c>
      <c r="N1674" s="121">
        <f>IFERROR(VLOOKUP(A1674,PARTIDAS!A:F,6,FALSE()),0)</f>
        <v>15</v>
      </c>
      <c r="O1674" s="123">
        <f t="shared" si="557"/>
        <v>0</v>
      </c>
      <c r="P1674" s="123" t="str">
        <f>+_xlfn.XLOOKUP(A1674,PPTO_GENERADOR!Q:Q,PPTO_GENERADOR!E:E,"-",0)</f>
        <v>-</v>
      </c>
      <c r="Q1674" s="123">
        <f t="shared" si="558"/>
        <v>0</v>
      </c>
      <c r="R1674" s="125" t="str">
        <f>+_xlfn.XLOOKUP(A1674,PPTO_GENERADOR!$Q:$Q,PPTO_GENERADOR!A:A,"-",0)</f>
        <v>-</v>
      </c>
    </row>
    <row r="1675" spans="1:18" ht="14.25" customHeight="1" x14ac:dyDescent="0.35">
      <c r="A1675" s="105" t="s">
        <v>215</v>
      </c>
      <c r="B1675" s="105" t="s">
        <v>1981</v>
      </c>
      <c r="C1675" s="105" t="s">
        <v>1982</v>
      </c>
      <c r="D1675" s="105" t="s">
        <v>1025</v>
      </c>
      <c r="E1675" s="95" t="str">
        <f>IFERROR(VLOOKUP(D1675,MATERIALES!A:B,2,FALSE()),"?")</f>
        <v>Arco y cuña niveladores porcelanatos x 150un</v>
      </c>
      <c r="F1675" s="129" t="str">
        <f>IFERROR(VLOOKUP(D1675,MATERIALES!A:C,3,FALSE()),"?")</f>
        <v>bol</v>
      </c>
      <c r="G1675" s="119">
        <v>0.04</v>
      </c>
      <c r="H1675" s="120">
        <v>0.05</v>
      </c>
      <c r="I1675" s="96">
        <f>IFERROR(VLOOKUP(D1675,MATERIALES!A:D,4,FALSE()),0)</f>
        <v>47272.727272727301</v>
      </c>
      <c r="J1675" s="31">
        <f t="shared" ref="J1675:J1678" si="559">G1675*I1675*(1+H1675)</f>
        <v>1985.4545454545469</v>
      </c>
      <c r="K1675" s="32" t="str">
        <f t="shared" si="555"/>
        <v>PTO-1301|MAT</v>
      </c>
      <c r="L1675" s="32">
        <f>COUNTIFS($K$2:K1675,K1675)</f>
        <v>5</v>
      </c>
      <c r="M1675" s="32" t="str">
        <f t="shared" si="556"/>
        <v>PTO-1301|MAT|5</v>
      </c>
      <c r="N1675" s="121">
        <f>IFERROR(VLOOKUP(A1675,PARTIDAS!A:F,6,FALSE()),0)</f>
        <v>10</v>
      </c>
      <c r="O1675" s="123">
        <f t="shared" si="557"/>
        <v>0</v>
      </c>
      <c r="P1675" s="123">
        <f>+_xlfn.XLOOKUP(A1675,PPTO_GENERADOR!Q:Q,PPTO_GENERADOR!E:E,"-",0)</f>
        <v>493</v>
      </c>
      <c r="Q1675" s="123">
        <f t="shared" si="558"/>
        <v>0</v>
      </c>
      <c r="R1675" s="125">
        <f>+_xlfn.XLOOKUP(A1675,PPTO_GENERADOR!$Q:$Q,PPTO_GENERADOR!A:A,"-",0)</f>
        <v>13.01</v>
      </c>
    </row>
    <row r="1676" spans="1:18" ht="14.25" customHeight="1" x14ac:dyDescent="0.35">
      <c r="A1676" s="105" t="s">
        <v>215</v>
      </c>
      <c r="B1676" s="105" t="s">
        <v>1981</v>
      </c>
      <c r="C1676" s="105" t="s">
        <v>1982</v>
      </c>
      <c r="D1676" s="105" t="s">
        <v>1091</v>
      </c>
      <c r="E1676" s="95" t="str">
        <f>IFERROR(VLOOKUP(D1676,MATERIALES!A:B,2,FALSE()),"?")</f>
        <v>Arco y cuña niveladores porcelanatos x100</v>
      </c>
      <c r="F1676" s="129" t="str">
        <f>IFERROR(VLOOKUP(D1676,MATERIALES!A:C,3,FALSE()),"?")</f>
        <v>bol</v>
      </c>
      <c r="G1676" s="119">
        <v>0</v>
      </c>
      <c r="H1676" s="120">
        <v>0.05</v>
      </c>
      <c r="I1676" s="96">
        <f>IFERROR(VLOOKUP(D1676,MATERIALES!A:D,4,FALSE()),0)</f>
        <v>47272.73</v>
      </c>
      <c r="J1676" s="31">
        <f t="shared" si="559"/>
        <v>0</v>
      </c>
      <c r="K1676" s="32" t="str">
        <f t="shared" si="555"/>
        <v>PTO-1301|MAT</v>
      </c>
      <c r="L1676" s="32">
        <f>COUNTIFS($K$2:K1676,K1676)</f>
        <v>6</v>
      </c>
      <c r="M1676" s="32" t="str">
        <f t="shared" si="556"/>
        <v>PTO-1301|MAT|6</v>
      </c>
      <c r="N1676" s="121">
        <f>IFERROR(VLOOKUP(A1676,PARTIDAS!A:F,6,FALSE()),0)</f>
        <v>10</v>
      </c>
      <c r="O1676" s="123">
        <f t="shared" si="557"/>
        <v>0</v>
      </c>
      <c r="P1676" s="123">
        <f>+_xlfn.XLOOKUP(A1676,PPTO_GENERADOR!Q:Q,PPTO_GENERADOR!E:E,"-",0)</f>
        <v>493</v>
      </c>
      <c r="Q1676" s="123">
        <f t="shared" si="558"/>
        <v>0</v>
      </c>
      <c r="R1676" s="125">
        <f>+_xlfn.XLOOKUP(A1676,PPTO_GENERADOR!$Q:$Q,PPTO_GENERADOR!A:A,"-",0)</f>
        <v>13.01</v>
      </c>
    </row>
    <row r="1677" spans="1:18" ht="14.25" customHeight="1" x14ac:dyDescent="0.35">
      <c r="A1677" s="105" t="s">
        <v>217</v>
      </c>
      <c r="B1677" s="105" t="s">
        <v>1981</v>
      </c>
      <c r="C1677" s="105" t="s">
        <v>1982</v>
      </c>
      <c r="D1677" s="105" t="s">
        <v>1025</v>
      </c>
      <c r="E1677" s="95" t="str">
        <f>IFERROR(VLOOKUP(D1677,MATERIALES!A:B,2,FALSE()),"?")</f>
        <v>Arco y cuña niveladores porcelanatos x 150un</v>
      </c>
      <c r="F1677" s="129" t="str">
        <f>IFERROR(VLOOKUP(D1677,MATERIALES!A:C,3,FALSE()),"?")</f>
        <v>bol</v>
      </c>
      <c r="G1677" s="119">
        <v>0.04</v>
      </c>
      <c r="H1677" s="120">
        <v>0.05</v>
      </c>
      <c r="I1677" s="96">
        <f>IFERROR(VLOOKUP(D1677,MATERIALES!A:D,4,FALSE()),0)</f>
        <v>47272.727272727301</v>
      </c>
      <c r="J1677" s="31">
        <f t="shared" si="559"/>
        <v>1985.4545454545469</v>
      </c>
      <c r="K1677" s="32" t="str">
        <f t="shared" si="555"/>
        <v>PTO-1302|MAT</v>
      </c>
      <c r="L1677" s="32">
        <f>COUNTIFS($K$2:K1677,K1677)</f>
        <v>5</v>
      </c>
      <c r="M1677" s="32" t="str">
        <f t="shared" si="556"/>
        <v>PTO-1302|MAT|5</v>
      </c>
      <c r="N1677" s="121">
        <f>IFERROR(VLOOKUP(A1677,PARTIDAS!A:F,6,FALSE()),0)</f>
        <v>10</v>
      </c>
      <c r="O1677" s="123">
        <f t="shared" si="557"/>
        <v>0</v>
      </c>
      <c r="P1677" s="123">
        <f>+_xlfn.XLOOKUP(A1677,PPTO_GENERADOR!Q:Q,PPTO_GENERADOR!E:E,"-",0)</f>
        <v>82</v>
      </c>
      <c r="Q1677" s="123">
        <f t="shared" si="558"/>
        <v>0</v>
      </c>
      <c r="R1677" s="125">
        <f>+_xlfn.XLOOKUP(A1677,PPTO_GENERADOR!$Q:$Q,PPTO_GENERADOR!A:A,"-",0)</f>
        <v>13.02</v>
      </c>
    </row>
    <row r="1678" spans="1:18" ht="14.25" customHeight="1" x14ac:dyDescent="0.35">
      <c r="A1678" s="105" t="s">
        <v>217</v>
      </c>
      <c r="B1678" s="105" t="s">
        <v>1981</v>
      </c>
      <c r="C1678" s="105" t="s">
        <v>1982</v>
      </c>
      <c r="D1678" s="105" t="s">
        <v>1091</v>
      </c>
      <c r="E1678" s="95" t="str">
        <f>IFERROR(VLOOKUP(D1678,MATERIALES!A:B,2,FALSE()),"?")</f>
        <v>Arco y cuña niveladores porcelanatos x100</v>
      </c>
      <c r="F1678" s="129" t="str">
        <f>IFERROR(VLOOKUP(D1678,MATERIALES!A:C,3,FALSE()),"?")</f>
        <v>bol</v>
      </c>
      <c r="G1678" s="119">
        <v>0</v>
      </c>
      <c r="H1678" s="120">
        <v>0.05</v>
      </c>
      <c r="I1678" s="96">
        <f>IFERROR(VLOOKUP(D1678,MATERIALES!A:D,4,FALSE()),0)</f>
        <v>47272.73</v>
      </c>
      <c r="J1678" s="31">
        <f t="shared" si="559"/>
        <v>0</v>
      </c>
      <c r="K1678" s="32" t="str">
        <f t="shared" si="555"/>
        <v>PTO-1302|MAT</v>
      </c>
      <c r="L1678" s="32">
        <f>COUNTIFS($K$2:K1678,K1678)</f>
        <v>6</v>
      </c>
      <c r="M1678" s="32" t="str">
        <f t="shared" si="556"/>
        <v>PTO-1302|MAT|6</v>
      </c>
      <c r="N1678" s="121">
        <f>IFERROR(VLOOKUP(A1678,PARTIDAS!A:F,6,FALSE()),0)</f>
        <v>10</v>
      </c>
      <c r="O1678" s="123">
        <f t="shared" si="557"/>
        <v>0</v>
      </c>
      <c r="P1678" s="123">
        <f>+_xlfn.XLOOKUP(A1678,PPTO_GENERADOR!Q:Q,PPTO_GENERADOR!E:E,"-",0)</f>
        <v>82</v>
      </c>
      <c r="Q1678" s="123">
        <f t="shared" si="558"/>
        <v>0</v>
      </c>
      <c r="R1678" s="125">
        <f>+_xlfn.XLOOKUP(A1678,PPTO_GENERADOR!$Q:$Q,PPTO_GENERADOR!A:A,"-",0)</f>
        <v>13.02</v>
      </c>
    </row>
    <row r="1679" spans="1:18" ht="14.25" customHeight="1" x14ac:dyDescent="0.35">
      <c r="A1679" s="105" t="s">
        <v>1865</v>
      </c>
      <c r="B1679" s="105" t="s">
        <v>1983</v>
      </c>
      <c r="C1679" s="105"/>
      <c r="D1679" s="105" t="s">
        <v>1317</v>
      </c>
      <c r="E1679" s="95" t="str">
        <f>IFERROR(VLOOKUP(D1679,EQUIPOS!A:B,2,FALSE()),"?")</f>
        <v>CORTADORA CERAMICA PROFESIONAL 1200MM (PORCELANATO HASTA 16MM)</v>
      </c>
      <c r="F1679" s="129"/>
      <c r="G1679" s="119">
        <v>1</v>
      </c>
      <c r="H1679" s="120">
        <v>0</v>
      </c>
      <c r="I1679" s="96">
        <f>IFERROR(VLOOKUP(D1679,EQUIPOS!A:F,6,FALSE()),0)</f>
        <v>324.35467767922836</v>
      </c>
      <c r="J1679" s="31">
        <f>G1679*I1679</f>
        <v>324.35467767922836</v>
      </c>
      <c r="K1679" s="32" t="str">
        <f t="shared" si="555"/>
        <v>PIR-057|EQ</v>
      </c>
      <c r="L1679" s="32">
        <f>COUNTIFS($K$2:K1679,K1679)</f>
        <v>2</v>
      </c>
      <c r="M1679" s="32" t="str">
        <f t="shared" si="556"/>
        <v>PIR-057|EQ|2</v>
      </c>
      <c r="N1679" s="121">
        <f>IFERROR(VLOOKUP(A1679,PARTIDAS!A:F,6,FALSE()),0)</f>
        <v>10</v>
      </c>
      <c r="O1679" s="123">
        <f t="shared" si="557"/>
        <v>0</v>
      </c>
      <c r="P1679" s="123" t="str">
        <f>+_xlfn.XLOOKUP(A1679,PPTO_GENERADOR!Q:Q,PPTO_GENERADOR!E:E,"-",0)</f>
        <v>-</v>
      </c>
      <c r="Q1679" s="123">
        <f t="shared" si="558"/>
        <v>0</v>
      </c>
      <c r="R1679" s="125" t="str">
        <f>+_xlfn.XLOOKUP(A1679,PPTO_GENERADOR!$Q:$Q,PPTO_GENERADOR!A:A,"-",0)</f>
        <v>-</v>
      </c>
    </row>
    <row r="1680" spans="1:18" ht="14.25" customHeight="1" x14ac:dyDescent="0.35">
      <c r="A1680" s="105" t="s">
        <v>377</v>
      </c>
      <c r="B1680" s="105" t="s">
        <v>1979</v>
      </c>
      <c r="C1680" s="105" t="s">
        <v>1982</v>
      </c>
      <c r="D1680" s="105" t="s">
        <v>1690</v>
      </c>
      <c r="E1680" s="95" t="str">
        <f>IFERROR(VLOOKUP(D1680,SUBCONTRATOS_PRY!A:B,2,FALSE()),"?")</f>
        <v>Gestor Gas — Parcial</v>
      </c>
      <c r="F1680" s="129" t="s">
        <v>2042</v>
      </c>
      <c r="G1680" s="119">
        <v>1</v>
      </c>
      <c r="H1680" s="120">
        <v>0</v>
      </c>
      <c r="I1680" s="96">
        <f>IFERROR(VLOOKUP(D1680,SUBCONTRATOS_PRY!A:D,4,FALSE()),0)</f>
        <v>550000</v>
      </c>
      <c r="J1680" s="31">
        <f t="shared" ref="J1680:J1687" si="560">G1680*I1680</f>
        <v>550000</v>
      </c>
      <c r="K1680" s="32" t="str">
        <f t="shared" si="555"/>
        <v>PTO-1918|MO</v>
      </c>
      <c r="L1680" s="32">
        <f>COUNTIFS($K$2:K1680,K1680)</f>
        <v>2</v>
      </c>
      <c r="M1680" s="32" t="str">
        <f t="shared" si="556"/>
        <v>PTO-1918|MO|2</v>
      </c>
      <c r="N1680" s="121">
        <f>IFERROR(VLOOKUP(A1680,PARTIDAS!A:F,6,FALSE()),0)</f>
        <v>1</v>
      </c>
      <c r="O1680" s="123">
        <f t="shared" si="557"/>
        <v>0</v>
      </c>
      <c r="P1680" s="123">
        <f>+_xlfn.XLOOKUP(A1680,PPTO_GENERADOR!Q:Q,PPTO_GENERADOR!E:E,"-",0)</f>
        <v>1</v>
      </c>
      <c r="Q1680" s="123">
        <f t="shared" si="558"/>
        <v>0</v>
      </c>
      <c r="R1680" s="125">
        <f>+_xlfn.XLOOKUP(A1680,PPTO_GENERADOR!$Q:$Q,PPTO_GENERADOR!A:A,"-",0)</f>
        <v>19.18</v>
      </c>
    </row>
    <row r="1681" spans="1:18" ht="14.25" customHeight="1" x14ac:dyDescent="0.35">
      <c r="A1681" s="105" t="s">
        <v>377</v>
      </c>
      <c r="B1681" s="105" t="s">
        <v>1979</v>
      </c>
      <c r="C1681" s="105" t="s">
        <v>1982</v>
      </c>
      <c r="D1681" s="105" t="s">
        <v>1692</v>
      </c>
      <c r="E1681" s="95" t="str">
        <f>IFERROR(VLOOKUP(D1681,SUBCONTRATOS_PRY!A:B,2,FALSE()),"?")</f>
        <v>Gestor Gas — Final</v>
      </c>
      <c r="F1681" s="129" t="s">
        <v>2042</v>
      </c>
      <c r="G1681" s="119">
        <v>1</v>
      </c>
      <c r="H1681" s="120">
        <v>0</v>
      </c>
      <c r="I1681" s="96">
        <f>IFERROR(VLOOKUP(D1681,SUBCONTRATOS_PRY!A:D,4,FALSE()),0)</f>
        <v>400000</v>
      </c>
      <c r="J1681" s="31">
        <f t="shared" si="560"/>
        <v>400000</v>
      </c>
      <c r="K1681" s="32" t="str">
        <f t="shared" si="555"/>
        <v>PTO-1918|MO</v>
      </c>
      <c r="L1681" s="32">
        <f>COUNTIFS($K$2:K1681,K1681)</f>
        <v>3</v>
      </c>
      <c r="M1681" s="32" t="str">
        <f t="shared" si="556"/>
        <v>PTO-1918|MO|3</v>
      </c>
      <c r="N1681" s="121">
        <f>IFERROR(VLOOKUP(A1681,PARTIDAS!A:F,6,FALSE()),0)</f>
        <v>1</v>
      </c>
      <c r="O1681" s="123">
        <f t="shared" si="557"/>
        <v>0</v>
      </c>
      <c r="P1681" s="123">
        <f>+_xlfn.XLOOKUP(A1681,PPTO_GENERADOR!Q:Q,PPTO_GENERADOR!E:E,"-",0)</f>
        <v>1</v>
      </c>
      <c r="Q1681" s="123">
        <f t="shared" si="558"/>
        <v>0</v>
      </c>
      <c r="R1681" s="125">
        <f>+_xlfn.XLOOKUP(A1681,PPTO_GENERADOR!$Q:$Q,PPTO_GENERADOR!A:A,"-",0)</f>
        <v>19.18</v>
      </c>
    </row>
    <row r="1682" spans="1:18" ht="14.25" customHeight="1" x14ac:dyDescent="0.35">
      <c r="A1682" s="105" t="s">
        <v>1772</v>
      </c>
      <c r="B1682" s="105" t="s">
        <v>1983</v>
      </c>
      <c r="C1682" s="105"/>
      <c r="D1682" s="105" t="s">
        <v>1509</v>
      </c>
      <c r="E1682" s="95" t="str">
        <f>IFERROR(VLOOKUP(D1682,EQUIPOS!A:B,2,FALSE()),"?")</f>
        <v>Escalera madera pintor 8 escalones</v>
      </c>
      <c r="F1682" s="129"/>
      <c r="G1682" s="119">
        <v>1</v>
      </c>
      <c r="H1682" s="120">
        <v>0</v>
      </c>
      <c r="I1682" s="96">
        <f>IFERROR(VLOOKUP(D1682,EQUIPOS!A:F,6,FALSE()),0)</f>
        <v>217.65359719478195</v>
      </c>
      <c r="J1682" s="31">
        <f t="shared" si="560"/>
        <v>217.65359719478195</v>
      </c>
      <c r="K1682" s="32" t="str">
        <f t="shared" si="555"/>
        <v>CER-137|EQ</v>
      </c>
      <c r="L1682" s="32">
        <f>COUNTIFS($K$2:K1682,K1682)</f>
        <v>2</v>
      </c>
      <c r="M1682" s="32" t="str">
        <f t="shared" si="556"/>
        <v>CER-137|EQ|2</v>
      </c>
      <c r="N1682" s="121">
        <f>IFERROR(VLOOKUP(A1682,PARTIDAS!A:F,6,FALSE()),0)</f>
        <v>20</v>
      </c>
      <c r="O1682" s="123">
        <f t="shared" si="557"/>
        <v>0</v>
      </c>
      <c r="P1682" s="123" t="str">
        <f>+_xlfn.XLOOKUP(A1682,PPTO_GENERADOR!Q:Q,PPTO_GENERADOR!E:E,"-",0)</f>
        <v>-</v>
      </c>
      <c r="Q1682" s="123">
        <f t="shared" si="558"/>
        <v>0</v>
      </c>
      <c r="R1682" s="125" t="str">
        <f>+_xlfn.XLOOKUP(A1682,PPTO_GENERADOR!$Q:$Q,PPTO_GENERADOR!A:A,"-",0)</f>
        <v>-</v>
      </c>
    </row>
    <row r="1683" spans="1:18" ht="14.25" customHeight="1" x14ac:dyDescent="0.35">
      <c r="A1683" s="105" t="s">
        <v>1776</v>
      </c>
      <c r="B1683" s="105" t="s">
        <v>1983</v>
      </c>
      <c r="C1683" s="105"/>
      <c r="D1683" s="105" t="s">
        <v>1509</v>
      </c>
      <c r="E1683" s="95" t="str">
        <f>IFERROR(VLOOKUP(D1683,EQUIPOS!A:B,2,FALSE()),"?")</f>
        <v>Escalera madera pintor 8 escalones</v>
      </c>
      <c r="F1683" s="129"/>
      <c r="G1683" s="119">
        <v>1</v>
      </c>
      <c r="H1683" s="120">
        <v>0</v>
      </c>
      <c r="I1683" s="96">
        <f>IFERROR(VLOOKUP(D1683,EQUIPOS!A:F,6,FALSE()),0)</f>
        <v>217.65359719478195</v>
      </c>
      <c r="J1683" s="31">
        <f t="shared" si="560"/>
        <v>217.65359719478195</v>
      </c>
      <c r="K1683" s="32" t="str">
        <f t="shared" si="555"/>
        <v>PIN-146|EQ</v>
      </c>
      <c r="L1683" s="32">
        <f>COUNTIFS($K$2:K1683,K1683)</f>
        <v>2</v>
      </c>
      <c r="M1683" s="32" t="str">
        <f t="shared" si="556"/>
        <v>PIN-146|EQ|2</v>
      </c>
      <c r="N1683" s="121">
        <f>IFERROR(VLOOKUP(A1683,PARTIDAS!A:F,6,FALSE()),0)</f>
        <v>25</v>
      </c>
      <c r="O1683" s="123">
        <f t="shared" si="557"/>
        <v>0</v>
      </c>
      <c r="P1683" s="123" t="str">
        <f>+_xlfn.XLOOKUP(A1683,PPTO_GENERADOR!Q:Q,PPTO_GENERADOR!E:E,"-",0)</f>
        <v>-</v>
      </c>
      <c r="Q1683" s="123">
        <f t="shared" si="558"/>
        <v>0</v>
      </c>
      <c r="R1683" s="125" t="str">
        <f>+_xlfn.XLOOKUP(A1683,PPTO_GENERADOR!$Q:$Q,PPTO_GENERADOR!A:A,"-",0)</f>
        <v>-</v>
      </c>
    </row>
    <row r="1684" spans="1:18" ht="14.25" customHeight="1" x14ac:dyDescent="0.35">
      <c r="A1684" s="105" t="s">
        <v>1843</v>
      </c>
      <c r="B1684" s="105" t="s">
        <v>1983</v>
      </c>
      <c r="C1684" s="105"/>
      <c r="D1684" s="105" t="s">
        <v>1509</v>
      </c>
      <c r="E1684" s="95" t="str">
        <f>IFERROR(VLOOKUP(D1684,EQUIPOS!A:B,2,FALSE()),"?")</f>
        <v>Escalera madera pintor 8 escalones</v>
      </c>
      <c r="F1684" s="129"/>
      <c r="G1684" s="119">
        <v>1</v>
      </c>
      <c r="H1684" s="120">
        <v>0</v>
      </c>
      <c r="I1684" s="96">
        <f>IFERROR(VLOOKUP(D1684,EQUIPOS!A:F,6,FALSE()),0)</f>
        <v>217.65359719478195</v>
      </c>
      <c r="J1684" s="31">
        <f t="shared" si="560"/>
        <v>217.65359719478195</v>
      </c>
      <c r="K1684" s="32" t="str">
        <f t="shared" si="555"/>
        <v>CON-052|EQ</v>
      </c>
      <c r="L1684" s="32">
        <f>COUNTIFS($K$2:K1684,K1684)</f>
        <v>3</v>
      </c>
      <c r="M1684" s="32" t="str">
        <f t="shared" si="556"/>
        <v>CON-052|EQ|3</v>
      </c>
      <c r="N1684" s="121">
        <f>IFERROR(VLOOKUP(A1684,PARTIDAS!A:F,6,FALSE()),0)</f>
        <v>17.5</v>
      </c>
      <c r="O1684" s="123">
        <f t="shared" si="557"/>
        <v>0</v>
      </c>
      <c r="P1684" s="123" t="str">
        <f>+_xlfn.XLOOKUP(A1684,PPTO_GENERADOR!Q:Q,PPTO_GENERADOR!E:E,"-",0)</f>
        <v>-</v>
      </c>
      <c r="Q1684" s="123">
        <f t="shared" si="558"/>
        <v>0</v>
      </c>
      <c r="R1684" s="125" t="str">
        <f>+_xlfn.XLOOKUP(A1684,PPTO_GENERADOR!$Q:$Q,PPTO_GENERADOR!A:A,"-",0)</f>
        <v>-</v>
      </c>
    </row>
    <row r="1685" spans="1:18" ht="14.25" customHeight="1" x14ac:dyDescent="0.35">
      <c r="A1685" s="105" t="s">
        <v>1861</v>
      </c>
      <c r="B1685" s="105" t="s">
        <v>1983</v>
      </c>
      <c r="C1685" s="105"/>
      <c r="D1685" s="105" t="s">
        <v>1317</v>
      </c>
      <c r="E1685" s="95" t="str">
        <f>IFERROR(VLOOKUP(D1685,EQUIPOS!A:B,2,FALSE()),"?")</f>
        <v>CORTADORA CERAMICA PROFESIONAL 1200MM (PORCELANATO HASTA 16MM)</v>
      </c>
      <c r="F1685" s="129"/>
      <c r="G1685" s="119">
        <v>1</v>
      </c>
      <c r="H1685" s="120">
        <v>0</v>
      </c>
      <c r="I1685" s="96">
        <f>IFERROR(VLOOKUP(D1685,EQUIPOS!A:F,6,FALSE()),0)</f>
        <v>324.35467767922836</v>
      </c>
      <c r="J1685" s="31">
        <f t="shared" si="560"/>
        <v>324.35467767922836</v>
      </c>
      <c r="K1685" s="32" t="str">
        <f t="shared" si="555"/>
        <v>PIR-056|EQ</v>
      </c>
      <c r="L1685" s="32">
        <f>COUNTIFS($K$2:K1685,K1685)</f>
        <v>2</v>
      </c>
      <c r="M1685" s="32" t="str">
        <f t="shared" si="556"/>
        <v>PIR-056|EQ|2</v>
      </c>
      <c r="N1685" s="121">
        <f>IFERROR(VLOOKUP(A1685,PARTIDAS!A:F,6,FALSE()),0)</f>
        <v>13</v>
      </c>
      <c r="O1685" s="123">
        <f t="shared" si="557"/>
        <v>0</v>
      </c>
      <c r="P1685" s="123" t="str">
        <f>+_xlfn.XLOOKUP(A1685,PPTO_GENERADOR!Q:Q,PPTO_GENERADOR!E:E,"-",0)</f>
        <v>-</v>
      </c>
      <c r="Q1685" s="123">
        <f t="shared" si="558"/>
        <v>0</v>
      </c>
      <c r="R1685" s="125" t="str">
        <f>+_xlfn.XLOOKUP(A1685,PPTO_GENERADOR!$Q:$Q,PPTO_GENERADOR!A:A,"-",0)</f>
        <v>-</v>
      </c>
    </row>
    <row r="1686" spans="1:18" ht="14.25" customHeight="1" x14ac:dyDescent="0.35">
      <c r="A1686" s="105" t="s">
        <v>1868</v>
      </c>
      <c r="B1686" s="105" t="s">
        <v>1983</v>
      </c>
      <c r="C1686" s="105"/>
      <c r="D1686" s="105" t="s">
        <v>1317</v>
      </c>
      <c r="E1686" s="95" t="str">
        <f>IFERROR(VLOOKUP(D1686,EQUIPOS!A:B,2,FALSE()),"?")</f>
        <v>CORTADORA CERAMICA PROFESIONAL 1200MM (PORCELANATO HASTA 16MM)</v>
      </c>
      <c r="F1686" s="129"/>
      <c r="G1686" s="119">
        <v>1</v>
      </c>
      <c r="H1686" s="120">
        <v>0</v>
      </c>
      <c r="I1686" s="96">
        <f>IFERROR(VLOOKUP(D1686,EQUIPOS!A:F,6,FALSE()),0)</f>
        <v>324.35467767922836</v>
      </c>
      <c r="J1686" s="31">
        <f t="shared" si="560"/>
        <v>324.35467767922836</v>
      </c>
      <c r="K1686" s="32" t="str">
        <f t="shared" si="555"/>
        <v>CER-058|EQ</v>
      </c>
      <c r="L1686" s="32">
        <f>COUNTIFS($K$2:K1686,K1686)</f>
        <v>2</v>
      </c>
      <c r="M1686" s="32" t="str">
        <f t="shared" si="556"/>
        <v>CER-058|EQ|2</v>
      </c>
      <c r="N1686" s="121">
        <f>IFERROR(VLOOKUP(A1686,PARTIDAS!A:F,6,FALSE()),0)</f>
        <v>30</v>
      </c>
      <c r="O1686" s="123">
        <f t="shared" si="557"/>
        <v>0</v>
      </c>
      <c r="P1686" s="123" t="str">
        <f>+_xlfn.XLOOKUP(A1686,PPTO_GENERADOR!Q:Q,PPTO_GENERADOR!E:E,"-",0)</f>
        <v>-</v>
      </c>
      <c r="Q1686" s="123">
        <f t="shared" si="558"/>
        <v>0</v>
      </c>
      <c r="R1686" s="125" t="str">
        <f>+_xlfn.XLOOKUP(A1686,PPTO_GENERADOR!$Q:$Q,PPTO_GENERADOR!A:A,"-",0)</f>
        <v>-</v>
      </c>
    </row>
    <row r="1687" spans="1:18" ht="14.25" customHeight="1" x14ac:dyDescent="0.35">
      <c r="A1687" s="105" t="s">
        <v>1839</v>
      </c>
      <c r="B1687" s="105" t="s">
        <v>1983</v>
      </c>
      <c r="C1687" s="105"/>
      <c r="D1687" s="105" t="s">
        <v>1509</v>
      </c>
      <c r="E1687" s="95" t="str">
        <f>IFERROR(VLOOKUP(D1687,EQUIPOS!A:B,2,FALSE()),"?")</f>
        <v>Escalera madera pintor 8 escalones</v>
      </c>
      <c r="F1687" s="129"/>
      <c r="G1687" s="119">
        <v>2</v>
      </c>
      <c r="H1687" s="120">
        <v>0</v>
      </c>
      <c r="I1687" s="96">
        <f>IFERROR(VLOOKUP(D1687,EQUIPOS!A:F,6,FALSE()),0)</f>
        <v>217.65359719478195</v>
      </c>
      <c r="J1687" s="31">
        <f t="shared" si="560"/>
        <v>435.3071943895639</v>
      </c>
      <c r="K1687" s="32" t="str">
        <f t="shared" si="555"/>
        <v>CON-051|EQ</v>
      </c>
      <c r="L1687" s="32">
        <f>COUNTIFS($K$2:K1687,K1687)</f>
        <v>2</v>
      </c>
      <c r="M1687" s="32" t="str">
        <f t="shared" si="556"/>
        <v>CON-051|EQ|2</v>
      </c>
      <c r="N1687" s="121">
        <f>IFERROR(VLOOKUP(A1687,PARTIDAS!A:F,6,FALSE()),0)</f>
        <v>22</v>
      </c>
      <c r="O1687" s="123">
        <f t="shared" si="557"/>
        <v>0</v>
      </c>
      <c r="P1687" s="123" t="str">
        <f>+_xlfn.XLOOKUP(A1687,PPTO_GENERADOR!Q:Q,PPTO_GENERADOR!E:E,"-",0)</f>
        <v>-</v>
      </c>
      <c r="Q1687" s="123">
        <f t="shared" si="558"/>
        <v>0</v>
      </c>
      <c r="R1687" s="125" t="str">
        <f>+_xlfn.XLOOKUP(A1687,PPTO_GENERADOR!$Q:$Q,PPTO_GENERADOR!A:A,"-",0)</f>
        <v>-</v>
      </c>
    </row>
    <row r="1688" spans="1:18" ht="14.25" customHeight="1" x14ac:dyDescent="0.35">
      <c r="A1688" s="105" t="s">
        <v>1839</v>
      </c>
      <c r="B1688" s="105" t="s">
        <v>1981</v>
      </c>
      <c r="C1688" s="105" t="s">
        <v>1982</v>
      </c>
      <c r="D1688" s="105" t="s">
        <v>1007</v>
      </c>
      <c r="E1688" s="95" t="str">
        <f>IFERROR(VLOOKUP(D1688,MATERIALES!A:B,2,FALSE()),"?")</f>
        <v>Pincel N° 20 - El Galgo</v>
      </c>
      <c r="F1688" s="129" t="str">
        <f>IFERROR(VLOOKUP(D1688,MATERIALES!A:C,3,FALSE()),"?")</f>
        <v>u</v>
      </c>
      <c r="G1688" s="119">
        <v>5.0000000000000001E-3</v>
      </c>
      <c r="H1688" s="120">
        <v>0.05</v>
      </c>
      <c r="I1688" s="96">
        <f>IFERROR(VLOOKUP(D1688,MATERIALES!A:D,4,FALSE()),0)</f>
        <v>4418.1818181818198</v>
      </c>
      <c r="J1688" s="31">
        <f t="shared" ref="J1688:J1693" si="561">G1688*I1688*(1+H1688)</f>
        <v>23.195454545454556</v>
      </c>
      <c r="K1688" s="32" t="str">
        <f t="shared" si="555"/>
        <v>CON-051|MAT</v>
      </c>
      <c r="L1688" s="32">
        <f>COUNTIFS($K$2:K1688,K1688)</f>
        <v>9</v>
      </c>
      <c r="M1688" s="32" t="str">
        <f t="shared" si="556"/>
        <v>CON-051|MAT|9</v>
      </c>
      <c r="N1688" s="121">
        <f>IFERROR(VLOOKUP(A1688,PARTIDAS!A:F,6,FALSE()),0)</f>
        <v>22</v>
      </c>
      <c r="O1688" s="123">
        <f t="shared" si="557"/>
        <v>0</v>
      </c>
      <c r="P1688" s="123" t="str">
        <f>+_xlfn.XLOOKUP(A1688,PPTO_GENERADOR!Q:Q,PPTO_GENERADOR!E:E,"-",0)</f>
        <v>-</v>
      </c>
      <c r="Q1688" s="123">
        <f t="shared" si="558"/>
        <v>0</v>
      </c>
      <c r="R1688" s="125" t="str">
        <f>+_xlfn.XLOOKUP(A1688,PPTO_GENERADOR!$Q:$Q,PPTO_GENERADOR!A:A,"-",0)</f>
        <v>-</v>
      </c>
    </row>
    <row r="1689" spans="1:18" ht="14.25" customHeight="1" x14ac:dyDescent="0.35">
      <c r="A1689" s="105" t="s">
        <v>1839</v>
      </c>
      <c r="B1689" s="105" t="s">
        <v>1981</v>
      </c>
      <c r="C1689" s="105" t="s">
        <v>1982</v>
      </c>
      <c r="D1689" s="105" t="s">
        <v>1033</v>
      </c>
      <c r="E1689" s="95" t="str">
        <f>IFERROR(VLOOKUP(D1689,MATERIALES!A:B,2,FALSE()),"?")</f>
        <v>Rollo de cartón corrugado 0,90 x 25 mts</v>
      </c>
      <c r="F1689" s="129" t="str">
        <f>IFERROR(VLOOKUP(D1689,MATERIALES!A:C,3,FALSE()),"?")</f>
        <v>u</v>
      </c>
      <c r="G1689" s="119">
        <v>0.01</v>
      </c>
      <c r="H1689" s="120">
        <v>0.05</v>
      </c>
      <c r="I1689" s="96">
        <f>IFERROR(VLOOKUP(D1689,MATERIALES!A:D,4,FALSE()),0)</f>
        <v>8173.5537190082696</v>
      </c>
      <c r="J1689" s="31">
        <f t="shared" si="561"/>
        <v>85.822314049586836</v>
      </c>
      <c r="K1689" s="32" t="str">
        <f t="shared" si="555"/>
        <v>CON-051|MAT</v>
      </c>
      <c r="L1689" s="32">
        <f>COUNTIFS($K$2:K1689,K1689)</f>
        <v>10</v>
      </c>
      <c r="M1689" s="32" t="str">
        <f t="shared" si="556"/>
        <v>CON-051|MAT|10</v>
      </c>
      <c r="N1689" s="121">
        <f>IFERROR(VLOOKUP(A1689,PARTIDAS!A:F,6,FALSE()),0)</f>
        <v>22</v>
      </c>
      <c r="O1689" s="123">
        <f t="shared" si="557"/>
        <v>0</v>
      </c>
      <c r="P1689" s="123" t="str">
        <f>+_xlfn.XLOOKUP(A1689,PPTO_GENERADOR!Q:Q,PPTO_GENERADOR!E:E,"-",0)</f>
        <v>-</v>
      </c>
      <c r="Q1689" s="123">
        <f t="shared" si="558"/>
        <v>0</v>
      </c>
      <c r="R1689" s="125" t="str">
        <f>+_xlfn.XLOOKUP(A1689,PPTO_GENERADOR!$Q:$Q,PPTO_GENERADOR!A:A,"-",0)</f>
        <v>-</v>
      </c>
    </row>
    <row r="1690" spans="1:18" ht="14.25" customHeight="1" x14ac:dyDescent="0.35">
      <c r="A1690" s="105" t="s">
        <v>1843</v>
      </c>
      <c r="B1690" s="105" t="s">
        <v>1981</v>
      </c>
      <c r="C1690" s="105" t="s">
        <v>1982</v>
      </c>
      <c r="D1690" s="105" t="s">
        <v>1007</v>
      </c>
      <c r="E1690" s="95" t="str">
        <f>IFERROR(VLOOKUP(D1690,MATERIALES!A:B,2,FALSE()),"?")</f>
        <v>Pincel N° 20 - El Galgo</v>
      </c>
      <c r="F1690" s="129" t="str">
        <f>IFERROR(VLOOKUP(D1690,MATERIALES!A:C,3,FALSE()),"?")</f>
        <v>u</v>
      </c>
      <c r="G1690" s="119">
        <v>5.0000000000000001E-3</v>
      </c>
      <c r="H1690" s="120">
        <v>0.05</v>
      </c>
      <c r="I1690" s="96">
        <f>IFERROR(VLOOKUP(D1690,MATERIALES!A:D,4,FALSE()),0)</f>
        <v>4418.1818181818198</v>
      </c>
      <c r="J1690" s="31">
        <f t="shared" si="561"/>
        <v>23.195454545454556</v>
      </c>
      <c r="K1690" s="32" t="str">
        <f t="shared" si="555"/>
        <v>CON-052|MAT</v>
      </c>
      <c r="L1690" s="32">
        <f>COUNTIFS($K$2:K1690,K1690)</f>
        <v>9</v>
      </c>
      <c r="M1690" s="32" t="str">
        <f t="shared" si="556"/>
        <v>CON-052|MAT|9</v>
      </c>
      <c r="N1690" s="121">
        <f>IFERROR(VLOOKUP(A1690,PARTIDAS!A:F,6,FALSE()),0)</f>
        <v>17.5</v>
      </c>
      <c r="O1690" s="123">
        <f t="shared" si="557"/>
        <v>0</v>
      </c>
      <c r="P1690" s="123" t="str">
        <f>+_xlfn.XLOOKUP(A1690,PPTO_GENERADOR!Q:Q,PPTO_GENERADOR!E:E,"-",0)</f>
        <v>-</v>
      </c>
      <c r="Q1690" s="123">
        <f t="shared" si="558"/>
        <v>0</v>
      </c>
      <c r="R1690" s="125" t="str">
        <f>+_xlfn.XLOOKUP(A1690,PPTO_GENERADOR!$Q:$Q,PPTO_GENERADOR!A:A,"-",0)</f>
        <v>-</v>
      </c>
    </row>
    <row r="1691" spans="1:18" ht="14.25" customHeight="1" x14ac:dyDescent="0.35">
      <c r="A1691" s="105" t="s">
        <v>1843</v>
      </c>
      <c r="B1691" s="105" t="s">
        <v>1981</v>
      </c>
      <c r="C1691" s="105" t="s">
        <v>1982</v>
      </c>
      <c r="D1691" s="105" t="s">
        <v>1033</v>
      </c>
      <c r="E1691" s="95" t="str">
        <f>IFERROR(VLOOKUP(D1691,MATERIALES!A:B,2,FALSE()),"?")</f>
        <v>Rollo de cartón corrugado 0,90 x 25 mts</v>
      </c>
      <c r="F1691" s="129" t="str">
        <f>IFERROR(VLOOKUP(D1691,MATERIALES!A:C,3,FALSE()),"?")</f>
        <v>u</v>
      </c>
      <c r="G1691" s="119">
        <v>0.01</v>
      </c>
      <c r="H1691" s="120">
        <v>0.05</v>
      </c>
      <c r="I1691" s="96">
        <f>IFERROR(VLOOKUP(D1691,MATERIALES!A:D,4,FALSE()),0)</f>
        <v>8173.5537190082696</v>
      </c>
      <c r="J1691" s="31">
        <f t="shared" si="561"/>
        <v>85.822314049586836</v>
      </c>
      <c r="K1691" s="32" t="str">
        <f t="shared" si="555"/>
        <v>CON-052|MAT</v>
      </c>
      <c r="L1691" s="32">
        <f>COUNTIFS($K$2:K1691,K1691)</f>
        <v>10</v>
      </c>
      <c r="M1691" s="32" t="str">
        <f t="shared" si="556"/>
        <v>CON-052|MAT|10</v>
      </c>
      <c r="N1691" s="121">
        <f>IFERROR(VLOOKUP(A1691,PARTIDAS!A:F,6,FALSE()),0)</f>
        <v>17.5</v>
      </c>
      <c r="O1691" s="123">
        <f t="shared" si="557"/>
        <v>0</v>
      </c>
      <c r="P1691" s="123" t="str">
        <f>+_xlfn.XLOOKUP(A1691,PPTO_GENERADOR!Q:Q,PPTO_GENERADOR!E:E,"-",0)</f>
        <v>-</v>
      </c>
      <c r="Q1691" s="123">
        <f t="shared" si="558"/>
        <v>0</v>
      </c>
      <c r="R1691" s="125" t="str">
        <f>+_xlfn.XLOOKUP(A1691,PPTO_GENERADOR!$Q:$Q,PPTO_GENERADOR!A:A,"-",0)</f>
        <v>-</v>
      </c>
    </row>
    <row r="1692" spans="1:18" ht="14.25" customHeight="1" x14ac:dyDescent="0.35">
      <c r="A1692" s="105" t="s">
        <v>1853</v>
      </c>
      <c r="B1692" s="105" t="s">
        <v>1981</v>
      </c>
      <c r="C1692" s="105" t="s">
        <v>1982</v>
      </c>
      <c r="D1692" s="105" t="s">
        <v>1007</v>
      </c>
      <c r="E1692" s="95" t="str">
        <f>IFERROR(VLOOKUP(D1692,MATERIALES!A:B,2,FALSE()),"?")</f>
        <v>Pincel N° 20 - El Galgo</v>
      </c>
      <c r="F1692" s="129" t="str">
        <f>IFERROR(VLOOKUP(D1692,MATERIALES!A:C,3,FALSE()),"?")</f>
        <v>u</v>
      </c>
      <c r="G1692" s="119">
        <v>0.01</v>
      </c>
      <c r="H1692" s="120">
        <v>0.05</v>
      </c>
      <c r="I1692" s="96">
        <f>IFERROR(VLOOKUP(D1692,MATERIALES!A:D,4,FALSE()),0)</f>
        <v>4418.1818181818198</v>
      </c>
      <c r="J1692" s="31">
        <f t="shared" si="561"/>
        <v>46.390909090909112</v>
      </c>
      <c r="K1692" s="32" t="str">
        <f t="shared" si="555"/>
        <v>CON-054|MAT</v>
      </c>
      <c r="L1692" s="32">
        <f>COUNTIFS($K$2:K1692,K1692)</f>
        <v>7</v>
      </c>
      <c r="M1692" s="32" t="str">
        <f t="shared" si="556"/>
        <v>CON-054|MAT|7</v>
      </c>
      <c r="N1692" s="121">
        <f>IFERROR(VLOOKUP(A1692,PARTIDAS!A:F,6,FALSE()),0)</f>
        <v>8</v>
      </c>
      <c r="O1692" s="123">
        <f t="shared" si="557"/>
        <v>0</v>
      </c>
      <c r="P1692" s="123" t="str">
        <f>+_xlfn.XLOOKUP(A1692,PPTO_GENERADOR!Q:Q,PPTO_GENERADOR!E:E,"-",0)</f>
        <v>-</v>
      </c>
      <c r="Q1692" s="123">
        <f t="shared" si="558"/>
        <v>0</v>
      </c>
      <c r="R1692" s="125" t="str">
        <f>+_xlfn.XLOOKUP(A1692,PPTO_GENERADOR!$Q:$Q,PPTO_GENERADOR!A:A,"-",0)</f>
        <v>-</v>
      </c>
    </row>
    <row r="1693" spans="1:18" ht="14.25" customHeight="1" x14ac:dyDescent="0.35">
      <c r="A1693" s="105" t="s">
        <v>1853</v>
      </c>
      <c r="B1693" s="105" t="s">
        <v>1981</v>
      </c>
      <c r="C1693" s="105" t="s">
        <v>1982</v>
      </c>
      <c r="D1693" s="105" t="s">
        <v>1033</v>
      </c>
      <c r="E1693" s="95" t="str">
        <f>IFERROR(VLOOKUP(D1693,MATERIALES!A:B,2,FALSE()),"?")</f>
        <v>Rollo de cartón corrugado 0,90 x 25 mts</v>
      </c>
      <c r="F1693" s="129" t="str">
        <f>IFERROR(VLOOKUP(D1693,MATERIALES!A:C,3,FALSE()),"?")</f>
        <v>u</v>
      </c>
      <c r="G1693" s="119">
        <v>0.01</v>
      </c>
      <c r="H1693" s="120">
        <v>0.05</v>
      </c>
      <c r="I1693" s="96">
        <f>IFERROR(VLOOKUP(D1693,MATERIALES!A:D,4,FALSE()),0)</f>
        <v>8173.5537190082696</v>
      </c>
      <c r="J1693" s="31">
        <f t="shared" si="561"/>
        <v>85.822314049586836</v>
      </c>
      <c r="K1693" s="32" t="str">
        <f t="shared" si="555"/>
        <v>CON-054|MAT</v>
      </c>
      <c r="L1693" s="32">
        <f>COUNTIFS($K$2:K1693,K1693)</f>
        <v>8</v>
      </c>
      <c r="M1693" s="32" t="str">
        <f t="shared" si="556"/>
        <v>CON-054|MAT|8</v>
      </c>
      <c r="N1693" s="121">
        <f>IFERROR(VLOOKUP(A1693,PARTIDAS!A:F,6,FALSE()),0)</f>
        <v>8</v>
      </c>
      <c r="O1693" s="123">
        <f t="shared" si="557"/>
        <v>0</v>
      </c>
      <c r="P1693" s="123" t="str">
        <f>+_xlfn.XLOOKUP(A1693,PPTO_GENERADOR!Q:Q,PPTO_GENERADOR!E:E,"-",0)</f>
        <v>-</v>
      </c>
      <c r="Q1693" s="123">
        <f t="shared" si="558"/>
        <v>0</v>
      </c>
      <c r="R1693" s="125" t="str">
        <f>+_xlfn.XLOOKUP(A1693,PPTO_GENERADOR!$Q:$Q,PPTO_GENERADOR!A:A,"-",0)</f>
        <v>-</v>
      </c>
    </row>
    <row r="1694" spans="1:18" ht="14.25" customHeight="1" x14ac:dyDescent="0.35">
      <c r="A1694" s="105" t="s">
        <v>259</v>
      </c>
      <c r="B1694" s="105" t="s">
        <v>1979</v>
      </c>
      <c r="C1694" s="105" t="s">
        <v>1982</v>
      </c>
      <c r="D1694" s="105" t="s">
        <v>1696</v>
      </c>
      <c r="E1694" s="95" t="str">
        <f>IFERROR(VLOOKUP(D1694,SUBCONTRATOS_PRY!A:B,2,FALSE()),"?")</f>
        <v>MO — Revestimiento plástico a llana tipo Quimtex en altura - Aire luz y balcones</v>
      </c>
      <c r="F1694" s="129" t="s">
        <v>2042</v>
      </c>
      <c r="G1694" s="119">
        <v>20</v>
      </c>
      <c r="H1694" s="120">
        <v>0</v>
      </c>
      <c r="I1694" s="96">
        <f>IFERROR(VLOOKUP(D1694,SUBCONTRATOS_PRY!A:D,4,FALSE()),0)</f>
        <v>4940.3618924206503</v>
      </c>
      <c r="J1694" s="31">
        <f>G1694*I1694</f>
        <v>98807.237848413002</v>
      </c>
      <c r="K1694" s="32" t="str">
        <f t="shared" si="555"/>
        <v>PTO-1508|MO</v>
      </c>
      <c r="L1694" s="32">
        <f>COUNTIFS($K$2:K1694,K1694)</f>
        <v>4</v>
      </c>
      <c r="M1694" s="32" t="str">
        <f t="shared" si="556"/>
        <v>PTO-1508|MO|4</v>
      </c>
      <c r="N1694" s="121">
        <f>IFERROR(VLOOKUP(A1694,PARTIDAS!A:F,6,FALSE()),0)</f>
        <v>20</v>
      </c>
      <c r="O1694" s="123">
        <f t="shared" si="557"/>
        <v>0</v>
      </c>
      <c r="P1694" s="123">
        <f>+_xlfn.XLOOKUP(A1694,PPTO_GENERADOR!Q:Q,PPTO_GENERADOR!E:E,"-",0)</f>
        <v>433</v>
      </c>
      <c r="Q1694" s="123">
        <f t="shared" si="558"/>
        <v>0</v>
      </c>
      <c r="R1694" s="125">
        <f>+_xlfn.XLOOKUP(A1694,PPTO_GENERADOR!$Q:$Q,PPTO_GENERADOR!A:A,"-",0)</f>
        <v>15.08</v>
      </c>
    </row>
    <row r="1695" spans="1:18" ht="14.25" customHeight="1" x14ac:dyDescent="0.35">
      <c r="A1695" s="105" t="s">
        <v>303</v>
      </c>
      <c r="B1695" s="105" t="s">
        <v>1981</v>
      </c>
      <c r="C1695" s="105" t="s">
        <v>1982</v>
      </c>
      <c r="D1695" s="105" t="s">
        <v>1095</v>
      </c>
      <c r="E1695" s="95" t="str">
        <f>IFERROR(VLOOKUP(D1695,MATERIALES!A:B,2,FALSE()),"?")</f>
        <v>STECK DIFERENCIAL 2X25A 30MA</v>
      </c>
      <c r="F1695" s="129" t="str">
        <f>IFERROR(VLOOKUP(D1695,MATERIALES!A:C,3,FALSE()),"?")</f>
        <v>u</v>
      </c>
      <c r="G1695" s="119">
        <v>1</v>
      </c>
      <c r="H1695" s="120">
        <v>0</v>
      </c>
      <c r="I1695" s="96">
        <f>IFERROR(VLOOKUP(D1695,MATERIALES!A:D,4,FALSE()),0)</f>
        <v>20196.092406751999</v>
      </c>
      <c r="J1695" s="31">
        <f t="shared" ref="J1695:J1758" si="562">G1695*I1695*(1+H1695)</f>
        <v>20196.092406751999</v>
      </c>
      <c r="K1695" s="32" t="str">
        <f t="shared" si="555"/>
        <v>PTO-1811|MAT</v>
      </c>
      <c r="L1695" s="32">
        <f>COUNTIFS($K$2:K1695,K1695)</f>
        <v>2</v>
      </c>
      <c r="M1695" s="32" t="str">
        <f t="shared" si="556"/>
        <v>PTO-1811|MAT|2</v>
      </c>
      <c r="N1695" s="121">
        <f>IFERROR(VLOOKUP(A1695,PARTIDAS!A:F,6,FALSE()),0)</f>
        <v>1</v>
      </c>
      <c r="O1695" s="123">
        <f t="shared" si="557"/>
        <v>0</v>
      </c>
      <c r="P1695" s="123">
        <f>+_xlfn.XLOOKUP(A1695,PPTO_GENERADOR!Q:Q,PPTO_GENERADOR!E:E,"-",0)</f>
        <v>1</v>
      </c>
      <c r="Q1695" s="123">
        <f t="shared" si="558"/>
        <v>0</v>
      </c>
      <c r="R1695" s="125">
        <f>+_xlfn.XLOOKUP(A1695,PPTO_GENERADOR!$Q:$Q,PPTO_GENERADOR!A:A,"-",0)</f>
        <v>18.11</v>
      </c>
    </row>
    <row r="1696" spans="1:18" ht="14.25" customHeight="1" x14ac:dyDescent="0.35">
      <c r="A1696" s="105" t="s">
        <v>303</v>
      </c>
      <c r="B1696" s="105" t="s">
        <v>1981</v>
      </c>
      <c r="C1696" s="105" t="s">
        <v>1982</v>
      </c>
      <c r="D1696" s="105" t="s">
        <v>1097</v>
      </c>
      <c r="E1696" s="95" t="str">
        <f>IFERROR(VLOOKUP(D1696,MATERIALES!A:B,2,FALSE()),"?")</f>
        <v>STECK DIFERENCIAL 4X40A 30MA</v>
      </c>
      <c r="F1696" s="129" t="str">
        <f>IFERROR(VLOOKUP(D1696,MATERIALES!A:C,3,FALSE()),"?")</f>
        <v>u</v>
      </c>
      <c r="G1696" s="119">
        <v>2</v>
      </c>
      <c r="H1696" s="120">
        <v>0</v>
      </c>
      <c r="I1696" s="96">
        <f>IFERROR(VLOOKUP(D1696,MATERIALES!A:D,4,FALSE()),0)</f>
        <v>38605.985559603403</v>
      </c>
      <c r="J1696" s="31">
        <f t="shared" si="562"/>
        <v>77211.971119206806</v>
      </c>
      <c r="K1696" s="32" t="str">
        <f t="shared" si="555"/>
        <v>PTO-1811|MAT</v>
      </c>
      <c r="L1696" s="32">
        <f>COUNTIFS($K$2:K1696,K1696)</f>
        <v>3</v>
      </c>
      <c r="M1696" s="32" t="str">
        <f t="shared" si="556"/>
        <v>PTO-1811|MAT|3</v>
      </c>
      <c r="N1696" s="121">
        <f>IFERROR(VLOOKUP(A1696,PARTIDAS!A:F,6,FALSE()),0)</f>
        <v>1</v>
      </c>
      <c r="O1696" s="123">
        <f t="shared" si="557"/>
        <v>0</v>
      </c>
      <c r="P1696" s="123">
        <f>+_xlfn.XLOOKUP(A1696,PPTO_GENERADOR!Q:Q,PPTO_GENERADOR!E:E,"-",0)</f>
        <v>1</v>
      </c>
      <c r="Q1696" s="123">
        <f t="shared" si="558"/>
        <v>0</v>
      </c>
      <c r="R1696" s="125">
        <f>+_xlfn.XLOOKUP(A1696,PPTO_GENERADOR!$Q:$Q,PPTO_GENERADOR!A:A,"-",0)</f>
        <v>18.11</v>
      </c>
    </row>
    <row r="1697" spans="1:18" ht="14.25" customHeight="1" x14ac:dyDescent="0.35">
      <c r="A1697" s="105" t="s">
        <v>303</v>
      </c>
      <c r="B1697" s="105" t="s">
        <v>1981</v>
      </c>
      <c r="C1697" s="105" t="s">
        <v>1982</v>
      </c>
      <c r="D1697" s="105" t="s">
        <v>1099</v>
      </c>
      <c r="E1697" s="95" t="str">
        <f>IFERROR(VLOOKUP(D1697,MATERIALES!A:B,2,FALSE()),"?")</f>
        <v>STECK DIFERENCIAL 4X63A 30MA</v>
      </c>
      <c r="F1697" s="129" t="str">
        <f>IFERROR(VLOOKUP(D1697,MATERIALES!A:C,3,FALSE()),"?")</f>
        <v>u</v>
      </c>
      <c r="G1697" s="119">
        <v>1</v>
      </c>
      <c r="H1697" s="120">
        <v>0</v>
      </c>
      <c r="I1697" s="96">
        <f>IFERROR(VLOOKUP(D1697,MATERIALES!A:D,4,FALSE()),0)</f>
        <v>46757.409946534499</v>
      </c>
      <c r="J1697" s="31">
        <f t="shared" si="562"/>
        <v>46757.409946534499</v>
      </c>
      <c r="K1697" s="32" t="str">
        <f t="shared" si="555"/>
        <v>PTO-1811|MAT</v>
      </c>
      <c r="L1697" s="32">
        <f>COUNTIFS($K$2:K1697,K1697)</f>
        <v>4</v>
      </c>
      <c r="M1697" s="32" t="str">
        <f t="shared" si="556"/>
        <v>PTO-1811|MAT|4</v>
      </c>
      <c r="N1697" s="121">
        <f>IFERROR(VLOOKUP(A1697,PARTIDAS!A:F,6,FALSE()),0)</f>
        <v>1</v>
      </c>
      <c r="O1697" s="123">
        <f t="shared" si="557"/>
        <v>0</v>
      </c>
      <c r="P1697" s="123">
        <f>+_xlfn.XLOOKUP(A1697,PPTO_GENERADOR!Q:Q,PPTO_GENERADOR!E:E,"-",0)</f>
        <v>1</v>
      </c>
      <c r="Q1697" s="123">
        <f t="shared" si="558"/>
        <v>0</v>
      </c>
      <c r="R1697" s="125">
        <f>+_xlfn.XLOOKUP(A1697,PPTO_GENERADOR!$Q:$Q,PPTO_GENERADOR!A:A,"-",0)</f>
        <v>18.11</v>
      </c>
    </row>
    <row r="1698" spans="1:18" ht="14.25" customHeight="1" x14ac:dyDescent="0.35">
      <c r="A1698" s="105" t="s">
        <v>303</v>
      </c>
      <c r="B1698" s="105" t="s">
        <v>1981</v>
      </c>
      <c r="C1698" s="105" t="s">
        <v>1982</v>
      </c>
      <c r="D1698" s="105" t="s">
        <v>1101</v>
      </c>
      <c r="E1698" s="95" t="str">
        <f>IFERROR(VLOOKUP(D1698,MATERIALES!A:B,2,FALSE()),"?")</f>
        <v>STECK TM BIPOLAR 10A 6KA</v>
      </c>
      <c r="F1698" s="129" t="str">
        <f>IFERROR(VLOOKUP(D1698,MATERIALES!A:C,3,FALSE()),"?")</f>
        <v>u</v>
      </c>
      <c r="G1698" s="119">
        <v>5</v>
      </c>
      <c r="H1698" s="120">
        <v>0</v>
      </c>
      <c r="I1698" s="96">
        <f>IFERROR(VLOOKUP(D1698,MATERIALES!A:D,4,FALSE()),0)</f>
        <v>5688.7390030904999</v>
      </c>
      <c r="J1698" s="31">
        <f t="shared" si="562"/>
        <v>28443.6950154525</v>
      </c>
      <c r="K1698" s="32" t="str">
        <f t="shared" si="555"/>
        <v>PTO-1811|MAT</v>
      </c>
      <c r="L1698" s="32">
        <f>COUNTIFS($K$2:K1698,K1698)</f>
        <v>5</v>
      </c>
      <c r="M1698" s="32" t="str">
        <f t="shared" si="556"/>
        <v>PTO-1811|MAT|5</v>
      </c>
      <c r="N1698" s="121">
        <f>IFERROR(VLOOKUP(A1698,PARTIDAS!A:F,6,FALSE()),0)</f>
        <v>1</v>
      </c>
      <c r="O1698" s="123">
        <f t="shared" si="557"/>
        <v>0</v>
      </c>
      <c r="P1698" s="123">
        <f>+_xlfn.XLOOKUP(A1698,PPTO_GENERADOR!Q:Q,PPTO_GENERADOR!E:E,"-",0)</f>
        <v>1</v>
      </c>
      <c r="Q1698" s="123">
        <f t="shared" si="558"/>
        <v>0</v>
      </c>
      <c r="R1698" s="125">
        <f>+_xlfn.XLOOKUP(A1698,PPTO_GENERADOR!$Q:$Q,PPTO_GENERADOR!A:A,"-",0)</f>
        <v>18.11</v>
      </c>
    </row>
    <row r="1699" spans="1:18" ht="14.25" customHeight="1" x14ac:dyDescent="0.35">
      <c r="A1699" s="105" t="s">
        <v>303</v>
      </c>
      <c r="B1699" s="105" t="s">
        <v>1981</v>
      </c>
      <c r="C1699" s="105" t="s">
        <v>1982</v>
      </c>
      <c r="D1699" s="105" t="s">
        <v>1103</v>
      </c>
      <c r="E1699" s="95" t="str">
        <f>IFERROR(VLOOKUP(D1699,MATERIALES!A:B,2,FALSE()),"?")</f>
        <v>STECK TM BIPOLAR 16A 6KA</v>
      </c>
      <c r="F1699" s="129" t="str">
        <f>IFERROR(VLOOKUP(D1699,MATERIALES!A:C,3,FALSE()),"?")</f>
        <v>u</v>
      </c>
      <c r="G1699" s="119">
        <v>4</v>
      </c>
      <c r="H1699" s="120">
        <v>0</v>
      </c>
      <c r="I1699" s="96">
        <f>IFERROR(VLOOKUP(D1699,MATERIALES!A:D,4,FALSE()),0)</f>
        <v>5688.7390030904999</v>
      </c>
      <c r="J1699" s="31">
        <f t="shared" si="562"/>
        <v>22754.956012361999</v>
      </c>
      <c r="K1699" s="32" t="str">
        <f t="shared" si="555"/>
        <v>PTO-1811|MAT</v>
      </c>
      <c r="L1699" s="32">
        <f>COUNTIFS($K$2:K1699,K1699)</f>
        <v>6</v>
      </c>
      <c r="M1699" s="32" t="str">
        <f t="shared" si="556"/>
        <v>PTO-1811|MAT|6</v>
      </c>
      <c r="N1699" s="121">
        <f>IFERROR(VLOOKUP(A1699,PARTIDAS!A:F,6,FALSE()),0)</f>
        <v>1</v>
      </c>
      <c r="O1699" s="123">
        <f t="shared" si="557"/>
        <v>0</v>
      </c>
      <c r="P1699" s="123">
        <f>+_xlfn.XLOOKUP(A1699,PPTO_GENERADOR!Q:Q,PPTO_GENERADOR!E:E,"-",0)</f>
        <v>1</v>
      </c>
      <c r="Q1699" s="123">
        <f t="shared" si="558"/>
        <v>0</v>
      </c>
      <c r="R1699" s="125">
        <f>+_xlfn.XLOOKUP(A1699,PPTO_GENERADOR!$Q:$Q,PPTO_GENERADOR!A:A,"-",0)</f>
        <v>18.11</v>
      </c>
    </row>
    <row r="1700" spans="1:18" ht="14.25" customHeight="1" x14ac:dyDescent="0.35">
      <c r="A1700" s="105" t="s">
        <v>303</v>
      </c>
      <c r="B1700" s="105" t="s">
        <v>1981</v>
      </c>
      <c r="C1700" s="105" t="s">
        <v>1982</v>
      </c>
      <c r="D1700" s="105" t="s">
        <v>1103</v>
      </c>
      <c r="E1700" s="95" t="str">
        <f>IFERROR(VLOOKUP(D1700,MATERIALES!A:B,2,FALSE()),"?")</f>
        <v>STECK TM BIPOLAR 16A 6KA</v>
      </c>
      <c r="F1700" s="129" t="str">
        <f>IFERROR(VLOOKUP(D1700,MATERIALES!A:C,3,FALSE()),"?")</f>
        <v>u</v>
      </c>
      <c r="G1700" s="119">
        <v>1</v>
      </c>
      <c r="H1700" s="120">
        <v>0</v>
      </c>
      <c r="I1700" s="96">
        <f>IFERROR(VLOOKUP(D1700,MATERIALES!A:D,4,FALSE()),0)</f>
        <v>5688.7390030904999</v>
      </c>
      <c r="J1700" s="31">
        <f t="shared" si="562"/>
        <v>5688.7390030904999</v>
      </c>
      <c r="K1700" s="32" t="str">
        <f t="shared" si="555"/>
        <v>PTO-1811|MAT</v>
      </c>
      <c r="L1700" s="32">
        <f>COUNTIFS($K$2:K1700,K1700)</f>
        <v>7</v>
      </c>
      <c r="M1700" s="32" t="str">
        <f t="shared" si="556"/>
        <v>PTO-1811|MAT|7</v>
      </c>
      <c r="N1700" s="121">
        <f>IFERROR(VLOOKUP(A1700,PARTIDAS!A:F,6,FALSE()),0)</f>
        <v>1</v>
      </c>
      <c r="O1700" s="123">
        <f t="shared" si="557"/>
        <v>0</v>
      </c>
      <c r="P1700" s="123">
        <f>+_xlfn.XLOOKUP(A1700,PPTO_GENERADOR!Q:Q,PPTO_GENERADOR!E:E,"-",0)</f>
        <v>1</v>
      </c>
      <c r="Q1700" s="123">
        <f t="shared" si="558"/>
        <v>0</v>
      </c>
      <c r="R1700" s="125">
        <f>+_xlfn.XLOOKUP(A1700,PPTO_GENERADOR!$Q:$Q,PPTO_GENERADOR!A:A,"-",0)</f>
        <v>18.11</v>
      </c>
    </row>
    <row r="1701" spans="1:18" ht="14.25" customHeight="1" x14ac:dyDescent="0.35">
      <c r="A1701" s="105" t="s">
        <v>303</v>
      </c>
      <c r="B1701" s="105" t="s">
        <v>1981</v>
      </c>
      <c r="C1701" s="105" t="s">
        <v>1982</v>
      </c>
      <c r="D1701" s="105" t="s">
        <v>1103</v>
      </c>
      <c r="E1701" s="95" t="str">
        <f>IFERROR(VLOOKUP(D1701,MATERIALES!A:B,2,FALSE()),"?")</f>
        <v>STECK TM BIPOLAR 16A 6KA</v>
      </c>
      <c r="F1701" s="129" t="str">
        <f>IFERROR(VLOOKUP(D1701,MATERIALES!A:C,3,FALSE()),"?")</f>
        <v>u</v>
      </c>
      <c r="G1701" s="119">
        <v>1</v>
      </c>
      <c r="H1701" s="120">
        <v>0</v>
      </c>
      <c r="I1701" s="96">
        <f>IFERROR(VLOOKUP(D1701,MATERIALES!A:D,4,FALSE()),0)</f>
        <v>5688.7390030904999</v>
      </c>
      <c r="J1701" s="31">
        <f t="shared" si="562"/>
        <v>5688.7390030904999</v>
      </c>
      <c r="K1701" s="32" t="str">
        <f t="shared" si="555"/>
        <v>PTO-1811|MAT</v>
      </c>
      <c r="L1701" s="32">
        <f>COUNTIFS($K$2:K1701,K1701)</f>
        <v>8</v>
      </c>
      <c r="M1701" s="32" t="str">
        <f t="shared" si="556"/>
        <v>PTO-1811|MAT|8</v>
      </c>
      <c r="N1701" s="121">
        <f>IFERROR(VLOOKUP(A1701,PARTIDAS!A:F,6,FALSE()),0)</f>
        <v>1</v>
      </c>
      <c r="O1701" s="123">
        <f t="shared" si="557"/>
        <v>0</v>
      </c>
      <c r="P1701" s="123">
        <f>+_xlfn.XLOOKUP(A1701,PPTO_GENERADOR!Q:Q,PPTO_GENERADOR!E:E,"-",0)</f>
        <v>1</v>
      </c>
      <c r="Q1701" s="123">
        <f t="shared" si="558"/>
        <v>0</v>
      </c>
      <c r="R1701" s="125">
        <f>+_xlfn.XLOOKUP(A1701,PPTO_GENERADOR!$Q:$Q,PPTO_GENERADOR!A:A,"-",0)</f>
        <v>18.11</v>
      </c>
    </row>
    <row r="1702" spans="1:18" ht="14.25" customHeight="1" x14ac:dyDescent="0.35">
      <c r="A1702" s="105" t="s">
        <v>303</v>
      </c>
      <c r="B1702" s="105" t="s">
        <v>1981</v>
      </c>
      <c r="C1702" s="105" t="s">
        <v>1982</v>
      </c>
      <c r="D1702" s="105" t="s">
        <v>1103</v>
      </c>
      <c r="E1702" s="95" t="str">
        <f>IFERROR(VLOOKUP(D1702,MATERIALES!A:B,2,FALSE()),"?")</f>
        <v>STECK TM BIPOLAR 16A 6KA</v>
      </c>
      <c r="F1702" s="129" t="str">
        <f>IFERROR(VLOOKUP(D1702,MATERIALES!A:C,3,FALSE()),"?")</f>
        <v>u</v>
      </c>
      <c r="G1702" s="119">
        <v>1</v>
      </c>
      <c r="H1702" s="120">
        <v>0</v>
      </c>
      <c r="I1702" s="96">
        <f>IFERROR(VLOOKUP(D1702,MATERIALES!A:D,4,FALSE()),0)</f>
        <v>5688.7390030904999</v>
      </c>
      <c r="J1702" s="31">
        <f t="shared" si="562"/>
        <v>5688.7390030904999</v>
      </c>
      <c r="K1702" s="32" t="str">
        <f t="shared" si="555"/>
        <v>PTO-1811|MAT</v>
      </c>
      <c r="L1702" s="32">
        <f>COUNTIFS($K$2:K1702,K1702)</f>
        <v>9</v>
      </c>
      <c r="M1702" s="32" t="str">
        <f t="shared" si="556"/>
        <v>PTO-1811|MAT|9</v>
      </c>
      <c r="N1702" s="121">
        <f>IFERROR(VLOOKUP(A1702,PARTIDAS!A:F,6,FALSE()),0)</f>
        <v>1</v>
      </c>
      <c r="O1702" s="123">
        <f t="shared" si="557"/>
        <v>0</v>
      </c>
      <c r="P1702" s="123">
        <f>+_xlfn.XLOOKUP(A1702,PPTO_GENERADOR!Q:Q,PPTO_GENERADOR!E:E,"-",0)</f>
        <v>1</v>
      </c>
      <c r="Q1702" s="123">
        <f t="shared" si="558"/>
        <v>0</v>
      </c>
      <c r="R1702" s="125">
        <f>+_xlfn.XLOOKUP(A1702,PPTO_GENERADOR!$Q:$Q,PPTO_GENERADOR!A:A,"-",0)</f>
        <v>18.11</v>
      </c>
    </row>
    <row r="1703" spans="1:18" ht="14.25" customHeight="1" x14ac:dyDescent="0.35">
      <c r="A1703" s="105" t="s">
        <v>303</v>
      </c>
      <c r="B1703" s="105" t="s">
        <v>1981</v>
      </c>
      <c r="C1703" s="105" t="s">
        <v>1982</v>
      </c>
      <c r="D1703" s="105" t="s">
        <v>1103</v>
      </c>
      <c r="E1703" s="95" t="str">
        <f>IFERROR(VLOOKUP(D1703,MATERIALES!A:B,2,FALSE()),"?")</f>
        <v>STECK TM BIPOLAR 16A 6KA</v>
      </c>
      <c r="F1703" s="129" t="str">
        <f>IFERROR(VLOOKUP(D1703,MATERIALES!A:C,3,FALSE()),"?")</f>
        <v>u</v>
      </c>
      <c r="G1703" s="119">
        <v>1</v>
      </c>
      <c r="H1703" s="120">
        <v>0</v>
      </c>
      <c r="I1703" s="96">
        <f>IFERROR(VLOOKUP(D1703,MATERIALES!A:D,4,FALSE()),0)</f>
        <v>5688.7390030904999</v>
      </c>
      <c r="J1703" s="31">
        <f t="shared" si="562"/>
        <v>5688.7390030904999</v>
      </c>
      <c r="K1703" s="32" t="str">
        <f t="shared" si="555"/>
        <v>PTO-1811|MAT</v>
      </c>
      <c r="L1703" s="32">
        <f>COUNTIFS($K$2:K1703,K1703)</f>
        <v>10</v>
      </c>
      <c r="M1703" s="32" t="str">
        <f t="shared" si="556"/>
        <v>PTO-1811|MAT|10</v>
      </c>
      <c r="N1703" s="121">
        <f>IFERROR(VLOOKUP(A1703,PARTIDAS!A:F,6,FALSE()),0)</f>
        <v>1</v>
      </c>
      <c r="O1703" s="123">
        <f t="shared" si="557"/>
        <v>0</v>
      </c>
      <c r="P1703" s="123">
        <f>+_xlfn.XLOOKUP(A1703,PPTO_GENERADOR!Q:Q,PPTO_GENERADOR!E:E,"-",0)</f>
        <v>1</v>
      </c>
      <c r="Q1703" s="123">
        <f t="shared" si="558"/>
        <v>0</v>
      </c>
      <c r="R1703" s="125">
        <f>+_xlfn.XLOOKUP(A1703,PPTO_GENERADOR!$Q:$Q,PPTO_GENERADOR!A:A,"-",0)</f>
        <v>18.11</v>
      </c>
    </row>
    <row r="1704" spans="1:18" ht="14.25" customHeight="1" x14ac:dyDescent="0.35">
      <c r="A1704" s="105" t="s">
        <v>303</v>
      </c>
      <c r="B1704" s="105" t="s">
        <v>1981</v>
      </c>
      <c r="C1704" s="105" t="s">
        <v>1982</v>
      </c>
      <c r="D1704" s="105" t="s">
        <v>1105</v>
      </c>
      <c r="E1704" s="95" t="str">
        <f>IFERROR(VLOOKUP(D1704,MATERIALES!A:B,2,FALSE()),"?")</f>
        <v>STECK TM TETRAPOLAR 32A 6KA</v>
      </c>
      <c r="F1704" s="129" t="str">
        <f>IFERROR(VLOOKUP(D1704,MATERIALES!A:C,3,FALSE()),"?")</f>
        <v>u</v>
      </c>
      <c r="G1704" s="119">
        <v>1</v>
      </c>
      <c r="H1704" s="120">
        <v>0</v>
      </c>
      <c r="I1704" s="96">
        <f>IFERROR(VLOOKUP(D1704,MATERIALES!A:D,4,FALSE()),0)</f>
        <v>12011.3461770173</v>
      </c>
      <c r="J1704" s="31">
        <f t="shared" si="562"/>
        <v>12011.3461770173</v>
      </c>
      <c r="K1704" s="32" t="str">
        <f t="shared" si="555"/>
        <v>PTO-1811|MAT</v>
      </c>
      <c r="L1704" s="32">
        <f>COUNTIFS($K$2:K1704,K1704)</f>
        <v>11</v>
      </c>
      <c r="M1704" s="32" t="str">
        <f t="shared" si="556"/>
        <v>PTO-1811|MAT|11</v>
      </c>
      <c r="N1704" s="121">
        <f>IFERROR(VLOOKUP(A1704,PARTIDAS!A:F,6,FALSE()),0)</f>
        <v>1</v>
      </c>
      <c r="O1704" s="123">
        <f t="shared" si="557"/>
        <v>0</v>
      </c>
      <c r="P1704" s="123">
        <f>+_xlfn.XLOOKUP(A1704,PPTO_GENERADOR!Q:Q,PPTO_GENERADOR!E:E,"-",0)</f>
        <v>1</v>
      </c>
      <c r="Q1704" s="123">
        <f t="shared" si="558"/>
        <v>0</v>
      </c>
      <c r="R1704" s="125">
        <f>+_xlfn.XLOOKUP(A1704,PPTO_GENERADOR!$Q:$Q,PPTO_GENERADOR!A:A,"-",0)</f>
        <v>18.11</v>
      </c>
    </row>
    <row r="1705" spans="1:18" ht="14.25" customHeight="1" x14ac:dyDescent="0.35">
      <c r="A1705" s="105" t="s">
        <v>303</v>
      </c>
      <c r="B1705" s="105" t="s">
        <v>1981</v>
      </c>
      <c r="C1705" s="105" t="s">
        <v>1982</v>
      </c>
      <c r="D1705" s="105" t="s">
        <v>1103</v>
      </c>
      <c r="E1705" s="95" t="str">
        <f>IFERROR(VLOOKUP(D1705,MATERIALES!A:B,2,FALSE()),"?")</f>
        <v>STECK TM BIPOLAR 16A 6KA</v>
      </c>
      <c r="F1705" s="129" t="str">
        <f>IFERROR(VLOOKUP(D1705,MATERIALES!A:C,3,FALSE()),"?")</f>
        <v>u</v>
      </c>
      <c r="G1705" s="119">
        <v>1</v>
      </c>
      <c r="H1705" s="120">
        <v>0</v>
      </c>
      <c r="I1705" s="96">
        <f>IFERROR(VLOOKUP(D1705,MATERIALES!A:D,4,FALSE()),0)</f>
        <v>5688.7390030904999</v>
      </c>
      <c r="J1705" s="31">
        <f t="shared" si="562"/>
        <v>5688.7390030904999</v>
      </c>
      <c r="K1705" s="32" t="str">
        <f t="shared" si="555"/>
        <v>PTO-1811|MAT</v>
      </c>
      <c r="L1705" s="32">
        <f>COUNTIFS($K$2:K1705,K1705)</f>
        <v>12</v>
      </c>
      <c r="M1705" s="32" t="str">
        <f t="shared" si="556"/>
        <v>PTO-1811|MAT|12</v>
      </c>
      <c r="N1705" s="121">
        <f>IFERROR(VLOOKUP(A1705,PARTIDAS!A:F,6,FALSE()),0)</f>
        <v>1</v>
      </c>
      <c r="O1705" s="123">
        <f t="shared" si="557"/>
        <v>0</v>
      </c>
      <c r="P1705" s="123">
        <f>+_xlfn.XLOOKUP(A1705,PPTO_GENERADOR!Q:Q,PPTO_GENERADOR!E:E,"-",0)</f>
        <v>1</v>
      </c>
      <c r="Q1705" s="123">
        <f t="shared" si="558"/>
        <v>0</v>
      </c>
      <c r="R1705" s="125">
        <f>+_xlfn.XLOOKUP(A1705,PPTO_GENERADOR!$Q:$Q,PPTO_GENERADOR!A:A,"-",0)</f>
        <v>18.11</v>
      </c>
    </row>
    <row r="1706" spans="1:18" ht="14.25" customHeight="1" x14ac:dyDescent="0.35">
      <c r="A1706" s="105" t="s">
        <v>303</v>
      </c>
      <c r="B1706" s="105" t="s">
        <v>1981</v>
      </c>
      <c r="C1706" s="105" t="s">
        <v>1982</v>
      </c>
      <c r="D1706" s="105" t="s">
        <v>1105</v>
      </c>
      <c r="E1706" s="95" t="str">
        <f>IFERROR(VLOOKUP(D1706,MATERIALES!A:B,2,FALSE()),"?")</f>
        <v>STECK TM TETRAPOLAR 32A 6KA</v>
      </c>
      <c r="F1706" s="129" t="str">
        <f>IFERROR(VLOOKUP(D1706,MATERIALES!A:C,3,FALSE()),"?")</f>
        <v>u</v>
      </c>
      <c r="G1706" s="119">
        <v>2</v>
      </c>
      <c r="H1706" s="120">
        <v>0</v>
      </c>
      <c r="I1706" s="96">
        <f>IFERROR(VLOOKUP(D1706,MATERIALES!A:D,4,FALSE()),0)</f>
        <v>12011.3461770173</v>
      </c>
      <c r="J1706" s="31">
        <f t="shared" si="562"/>
        <v>24022.6923540346</v>
      </c>
      <c r="K1706" s="32" t="str">
        <f t="shared" ref="K1706:K1769" si="563">A1706&amp;"|"&amp;B1706</f>
        <v>PTO-1811|MAT</v>
      </c>
      <c r="L1706" s="32">
        <f>COUNTIFS($K$2:K1706,K1706)</f>
        <v>13</v>
      </c>
      <c r="M1706" s="32" t="str">
        <f t="shared" si="556"/>
        <v>PTO-1811|MAT|13</v>
      </c>
      <c r="N1706" s="121">
        <f>IFERROR(VLOOKUP(A1706,PARTIDAS!A:F,6,FALSE()),0)</f>
        <v>1</v>
      </c>
      <c r="O1706" s="123">
        <f t="shared" si="557"/>
        <v>0</v>
      </c>
      <c r="P1706" s="123">
        <f>+_xlfn.XLOOKUP(A1706,PPTO_GENERADOR!Q:Q,PPTO_GENERADOR!E:E,"-",0)</f>
        <v>1</v>
      </c>
      <c r="Q1706" s="123">
        <f t="shared" si="558"/>
        <v>0</v>
      </c>
      <c r="R1706" s="125">
        <f>+_xlfn.XLOOKUP(A1706,PPTO_GENERADOR!$Q:$Q,PPTO_GENERADOR!A:A,"-",0)</f>
        <v>18.11</v>
      </c>
    </row>
    <row r="1707" spans="1:18" ht="14.25" customHeight="1" x14ac:dyDescent="0.35">
      <c r="A1707" s="105" t="s">
        <v>303</v>
      </c>
      <c r="B1707" s="105" t="s">
        <v>1981</v>
      </c>
      <c r="C1707" s="105" t="s">
        <v>1982</v>
      </c>
      <c r="D1707" s="105" t="s">
        <v>1107</v>
      </c>
      <c r="E1707" s="95" t="str">
        <f>IFERROR(VLOOKUP(D1707,MATERIALES!A:B,2,FALSE()),"?")</f>
        <v>STECK TM TETRAPOLAR 50A 6KA</v>
      </c>
      <c r="F1707" s="129" t="str">
        <f>IFERROR(VLOOKUP(D1707,MATERIALES!A:C,3,FALSE()),"?")</f>
        <v>u</v>
      </c>
      <c r="G1707" s="119">
        <v>1</v>
      </c>
      <c r="H1707" s="120">
        <v>0</v>
      </c>
      <c r="I1707" s="96">
        <f>IFERROR(VLOOKUP(D1707,MATERIALES!A:D,4,FALSE()),0)</f>
        <v>12869.106574814299</v>
      </c>
      <c r="J1707" s="31">
        <f t="shared" si="562"/>
        <v>12869.106574814299</v>
      </c>
      <c r="K1707" s="32" t="str">
        <f t="shared" si="563"/>
        <v>PTO-1811|MAT</v>
      </c>
      <c r="L1707" s="32">
        <f>COUNTIFS($K$2:K1707,K1707)</f>
        <v>14</v>
      </c>
      <c r="M1707" s="32" t="str">
        <f t="shared" si="556"/>
        <v>PTO-1811|MAT|14</v>
      </c>
      <c r="N1707" s="121">
        <f>IFERROR(VLOOKUP(A1707,PARTIDAS!A:F,6,FALSE()),0)</f>
        <v>1</v>
      </c>
      <c r="O1707" s="123">
        <f t="shared" si="557"/>
        <v>0</v>
      </c>
      <c r="P1707" s="123">
        <f>+_xlfn.XLOOKUP(A1707,PPTO_GENERADOR!Q:Q,PPTO_GENERADOR!E:E,"-",0)</f>
        <v>1</v>
      </c>
      <c r="Q1707" s="123">
        <f t="shared" si="558"/>
        <v>0</v>
      </c>
      <c r="R1707" s="125">
        <f>+_xlfn.XLOOKUP(A1707,PPTO_GENERADOR!$Q:$Q,PPTO_GENERADOR!A:A,"-",0)</f>
        <v>18.11</v>
      </c>
    </row>
    <row r="1708" spans="1:18" ht="14.25" customHeight="1" x14ac:dyDescent="0.35">
      <c r="A1708" s="105" t="s">
        <v>303</v>
      </c>
      <c r="B1708" s="105" t="s">
        <v>1981</v>
      </c>
      <c r="C1708" s="105" t="s">
        <v>1982</v>
      </c>
      <c r="D1708" s="105" t="s">
        <v>1109</v>
      </c>
      <c r="E1708" s="95" t="str">
        <f>IFERROR(VLOOKUP(D1708,MATERIALES!A:B,2,FALSE()),"?")</f>
        <v>GAB. IP65 SERIE 9000 600X900X225</v>
      </c>
      <c r="F1708" s="129" t="str">
        <f>IFERROR(VLOOKUP(D1708,MATERIALES!A:C,3,FALSE()),"?")</f>
        <v>u</v>
      </c>
      <c r="G1708" s="119">
        <v>1</v>
      </c>
      <c r="H1708" s="120">
        <v>0</v>
      </c>
      <c r="I1708" s="96">
        <f>IFERROR(VLOOKUP(D1708,MATERIALES!A:D,4,FALSE()),0)</f>
        <v>287817.56246666302</v>
      </c>
      <c r="J1708" s="31">
        <f t="shared" si="562"/>
        <v>287817.56246666302</v>
      </c>
      <c r="K1708" s="32" t="str">
        <f t="shared" si="563"/>
        <v>PTO-1811|MAT</v>
      </c>
      <c r="L1708" s="32">
        <f>COUNTIFS($K$2:K1708,K1708)</f>
        <v>15</v>
      </c>
      <c r="M1708" s="32" t="str">
        <f t="shared" si="556"/>
        <v>PTO-1811|MAT|15</v>
      </c>
      <c r="N1708" s="121">
        <f>IFERROR(VLOOKUP(A1708,PARTIDAS!A:F,6,FALSE()),0)</f>
        <v>1</v>
      </c>
      <c r="O1708" s="123">
        <f t="shared" si="557"/>
        <v>0</v>
      </c>
      <c r="P1708" s="123">
        <f>+_xlfn.XLOOKUP(A1708,PPTO_GENERADOR!Q:Q,PPTO_GENERADOR!E:E,"-",0)</f>
        <v>1</v>
      </c>
      <c r="Q1708" s="123">
        <f t="shared" si="558"/>
        <v>0</v>
      </c>
      <c r="R1708" s="125">
        <f>+_xlfn.XLOOKUP(A1708,PPTO_GENERADOR!$Q:$Q,PPTO_GENERADOR!A:A,"-",0)</f>
        <v>18.11</v>
      </c>
    </row>
    <row r="1709" spans="1:18" ht="14.25" customHeight="1" x14ac:dyDescent="0.35">
      <c r="A1709" s="105" t="s">
        <v>303</v>
      </c>
      <c r="B1709" s="105" t="s">
        <v>1981</v>
      </c>
      <c r="C1709" s="105" t="s">
        <v>1982</v>
      </c>
      <c r="D1709" s="105" t="s">
        <v>1111</v>
      </c>
      <c r="E1709" s="95" t="str">
        <f>IFERROR(VLOOKUP(D1709,MATERIALES!A:B,2,FALSE()),"?")</f>
        <v>CONTRAF ABISAG CALADO 60BIP S9000 600X900</v>
      </c>
      <c r="F1709" s="129" t="str">
        <f>IFERROR(VLOOKUP(D1709,MATERIALES!A:C,3,FALSE()),"?")</f>
        <v>u</v>
      </c>
      <c r="G1709" s="119">
        <v>1</v>
      </c>
      <c r="H1709" s="120">
        <v>0</v>
      </c>
      <c r="I1709" s="96">
        <f>IFERROR(VLOOKUP(D1709,MATERIALES!A:D,4,FALSE()),0)</f>
        <v>103423.565320764</v>
      </c>
      <c r="J1709" s="31">
        <f t="shared" si="562"/>
        <v>103423.565320764</v>
      </c>
      <c r="K1709" s="32" t="str">
        <f t="shared" si="563"/>
        <v>PTO-1811|MAT</v>
      </c>
      <c r="L1709" s="32">
        <f>COUNTIFS($K$2:K1709,K1709)</f>
        <v>16</v>
      </c>
      <c r="M1709" s="32" t="str">
        <f t="shared" si="556"/>
        <v>PTO-1811|MAT|16</v>
      </c>
      <c r="N1709" s="121">
        <f>IFERROR(VLOOKUP(A1709,PARTIDAS!A:F,6,FALSE()),0)</f>
        <v>1</v>
      </c>
      <c r="O1709" s="123">
        <f t="shared" si="557"/>
        <v>0</v>
      </c>
      <c r="P1709" s="123">
        <f>+_xlfn.XLOOKUP(A1709,PPTO_GENERADOR!Q:Q,PPTO_GENERADOR!E:E,"-",0)</f>
        <v>1</v>
      </c>
      <c r="Q1709" s="123">
        <f t="shared" si="558"/>
        <v>0</v>
      </c>
      <c r="R1709" s="125">
        <f>+_xlfn.XLOOKUP(A1709,PPTO_GENERADOR!$Q:$Q,PPTO_GENERADOR!A:A,"-",0)</f>
        <v>18.11</v>
      </c>
    </row>
    <row r="1710" spans="1:18" ht="14.25" customHeight="1" x14ac:dyDescent="0.35">
      <c r="A1710" s="105" t="s">
        <v>303</v>
      </c>
      <c r="B1710" s="105" t="s">
        <v>1981</v>
      </c>
      <c r="C1710" s="105" t="s">
        <v>1982</v>
      </c>
      <c r="D1710" s="105" t="s">
        <v>1113</v>
      </c>
      <c r="E1710" s="95" t="str">
        <f>IFERROR(VLOOKUP(D1710,MATERIALES!A:B,2,FALSE()),"?")</f>
        <v>RIEL DIN 35MM 1 METRO PERFOR.</v>
      </c>
      <c r="F1710" s="129" t="str">
        <f>IFERROR(VLOOKUP(D1710,MATERIALES!A:C,3,FALSE()),"?")</f>
        <v>u</v>
      </c>
      <c r="G1710" s="119">
        <v>4</v>
      </c>
      <c r="H1710" s="120">
        <v>0</v>
      </c>
      <c r="I1710" s="96">
        <f>IFERROR(VLOOKUP(D1710,MATERIALES!A:D,4,FALSE()),0)</f>
        <v>5486.8604959800005</v>
      </c>
      <c r="J1710" s="31">
        <f t="shared" si="562"/>
        <v>21947.441983920002</v>
      </c>
      <c r="K1710" s="32" t="str">
        <f t="shared" si="563"/>
        <v>PTO-1811|MAT</v>
      </c>
      <c r="L1710" s="32">
        <f>COUNTIFS($K$2:K1710,K1710)</f>
        <v>17</v>
      </c>
      <c r="M1710" s="32" t="str">
        <f t="shared" si="556"/>
        <v>PTO-1811|MAT|17</v>
      </c>
      <c r="N1710" s="121">
        <f>IFERROR(VLOOKUP(A1710,PARTIDAS!A:F,6,FALSE()),0)</f>
        <v>1</v>
      </c>
      <c r="O1710" s="123">
        <f t="shared" si="557"/>
        <v>0</v>
      </c>
      <c r="P1710" s="123">
        <f>+_xlfn.XLOOKUP(A1710,PPTO_GENERADOR!Q:Q,PPTO_GENERADOR!E:E,"-",0)</f>
        <v>1</v>
      </c>
      <c r="Q1710" s="123">
        <f t="shared" si="558"/>
        <v>0</v>
      </c>
      <c r="R1710" s="125">
        <f>+_xlfn.XLOOKUP(A1710,PPTO_GENERADOR!$Q:$Q,PPTO_GENERADOR!A:A,"-",0)</f>
        <v>18.11</v>
      </c>
    </row>
    <row r="1711" spans="1:18" ht="14.25" customHeight="1" x14ac:dyDescent="0.35">
      <c r="A1711" s="105" t="s">
        <v>303</v>
      </c>
      <c r="B1711" s="105" t="s">
        <v>1981</v>
      </c>
      <c r="C1711" s="105" t="s">
        <v>1982</v>
      </c>
      <c r="D1711" s="105" t="s">
        <v>1115</v>
      </c>
      <c r="E1711" s="95" t="str">
        <f>IFERROR(VLOOKUP(D1711,MATERIALES!A:B,2,FALSE()),"?")</f>
        <v>RIEL PORTA ELEMENTOS X 1 METRO</v>
      </c>
      <c r="F1711" s="129" t="str">
        <f>IFERROR(VLOOKUP(D1711,MATERIALES!A:C,3,FALSE()),"?")</f>
        <v>u</v>
      </c>
      <c r="G1711" s="119">
        <v>4</v>
      </c>
      <c r="H1711" s="120">
        <v>0</v>
      </c>
      <c r="I1711" s="96">
        <f>IFERROR(VLOOKUP(D1711,MATERIALES!A:D,4,FALSE()),0)</f>
        <v>15819.5260420012</v>
      </c>
      <c r="J1711" s="31">
        <f t="shared" si="562"/>
        <v>63278.1041680048</v>
      </c>
      <c r="K1711" s="32" t="str">
        <f t="shared" si="563"/>
        <v>PTO-1811|MAT</v>
      </c>
      <c r="L1711" s="32">
        <f>COUNTIFS($K$2:K1711,K1711)</f>
        <v>18</v>
      </c>
      <c r="M1711" s="32" t="str">
        <f t="shared" si="556"/>
        <v>PTO-1811|MAT|18</v>
      </c>
      <c r="N1711" s="121">
        <f>IFERROR(VLOOKUP(A1711,PARTIDAS!A:F,6,FALSE()),0)</f>
        <v>1</v>
      </c>
      <c r="O1711" s="123">
        <f t="shared" si="557"/>
        <v>0</v>
      </c>
      <c r="P1711" s="123">
        <f>+_xlfn.XLOOKUP(A1711,PPTO_GENERADOR!Q:Q,PPTO_GENERADOR!E:E,"-",0)</f>
        <v>1</v>
      </c>
      <c r="Q1711" s="123">
        <f t="shared" si="558"/>
        <v>0</v>
      </c>
      <c r="R1711" s="125">
        <f>+_xlfn.XLOOKUP(A1711,PPTO_GENERADOR!$Q:$Q,PPTO_GENERADOR!A:A,"-",0)</f>
        <v>18.11</v>
      </c>
    </row>
    <row r="1712" spans="1:18" ht="14.25" customHeight="1" x14ac:dyDescent="0.35">
      <c r="A1712" s="105" t="s">
        <v>303</v>
      </c>
      <c r="B1712" s="105" t="s">
        <v>1981</v>
      </c>
      <c r="C1712" s="105" t="s">
        <v>1982</v>
      </c>
      <c r="D1712" s="105" t="s">
        <v>1117</v>
      </c>
      <c r="E1712" s="95" t="str">
        <f>IFERROR(VLOOKUP(D1712,MATERIALES!A:B,2,FALSE()),"?")</f>
        <v>SOP REG P/CONTRAFRENTE PROF 225 X1</v>
      </c>
      <c r="F1712" s="129" t="str">
        <f>IFERROR(VLOOKUP(D1712,MATERIALES!A:C,3,FALSE()),"?")</f>
        <v>u</v>
      </c>
      <c r="G1712" s="119">
        <v>12</v>
      </c>
      <c r="H1712" s="120">
        <v>0</v>
      </c>
      <c r="I1712" s="96">
        <f>IFERROR(VLOOKUP(D1712,MATERIALES!A:D,4,FALSE()),0)</f>
        <v>10003.040755537901</v>
      </c>
      <c r="J1712" s="31">
        <f t="shared" si="562"/>
        <v>120036.48906645481</v>
      </c>
      <c r="K1712" s="32" t="str">
        <f t="shared" si="563"/>
        <v>PTO-1811|MAT</v>
      </c>
      <c r="L1712" s="32">
        <f>COUNTIFS($K$2:K1712,K1712)</f>
        <v>19</v>
      </c>
      <c r="M1712" s="32" t="str">
        <f t="shared" si="556"/>
        <v>PTO-1811|MAT|19</v>
      </c>
      <c r="N1712" s="121">
        <f>IFERROR(VLOOKUP(A1712,PARTIDAS!A:F,6,FALSE()),0)</f>
        <v>1</v>
      </c>
      <c r="O1712" s="123">
        <f t="shared" si="557"/>
        <v>0</v>
      </c>
      <c r="P1712" s="123">
        <f>+_xlfn.XLOOKUP(A1712,PPTO_GENERADOR!Q:Q,PPTO_GENERADOR!E:E,"-",0)</f>
        <v>1</v>
      </c>
      <c r="Q1712" s="123">
        <f t="shared" si="558"/>
        <v>0</v>
      </c>
      <c r="R1712" s="125">
        <f>+_xlfn.XLOOKUP(A1712,PPTO_GENERADOR!$Q:$Q,PPTO_GENERADOR!A:A,"-",0)</f>
        <v>18.11</v>
      </c>
    </row>
    <row r="1713" spans="1:18" ht="14.25" customHeight="1" x14ac:dyDescent="0.35">
      <c r="A1713" s="105" t="s">
        <v>303</v>
      </c>
      <c r="B1713" s="105" t="s">
        <v>1981</v>
      </c>
      <c r="C1713" s="105" t="s">
        <v>1982</v>
      </c>
      <c r="D1713" s="105" t="s">
        <v>1119</v>
      </c>
      <c r="E1713" s="95" t="str">
        <f>IFERROR(VLOOKUP(D1713,MATERIALES!A:B,2,FALSE()),"?")</f>
        <v>INTERRUPTOR COMPACTO 4X125A S250</v>
      </c>
      <c r="F1713" s="129" t="str">
        <f>IFERROR(VLOOKUP(D1713,MATERIALES!A:C,3,FALSE()),"?")</f>
        <v>u</v>
      </c>
      <c r="G1713" s="119">
        <v>1</v>
      </c>
      <c r="H1713" s="120">
        <v>0</v>
      </c>
      <c r="I1713" s="96">
        <f>IFERROR(VLOOKUP(D1713,MATERIALES!A:D,4,FALSE()),0)</f>
        <v>130403.91821405799</v>
      </c>
      <c r="J1713" s="31">
        <f t="shared" si="562"/>
        <v>130403.91821405799</v>
      </c>
      <c r="K1713" s="32" t="str">
        <f t="shared" si="563"/>
        <v>PTO-1811|MAT</v>
      </c>
      <c r="L1713" s="32">
        <f>COUNTIFS($K$2:K1713,K1713)</f>
        <v>20</v>
      </c>
      <c r="M1713" s="32" t="str">
        <f t="shared" si="556"/>
        <v>PTO-1811|MAT|20</v>
      </c>
      <c r="N1713" s="121">
        <f>IFERROR(VLOOKUP(A1713,PARTIDAS!A:F,6,FALSE()),0)</f>
        <v>1</v>
      </c>
      <c r="O1713" s="123">
        <f t="shared" si="557"/>
        <v>0</v>
      </c>
      <c r="P1713" s="123">
        <f>+_xlfn.XLOOKUP(A1713,PPTO_GENERADOR!Q:Q,PPTO_GENERADOR!E:E,"-",0)</f>
        <v>1</v>
      </c>
      <c r="Q1713" s="123">
        <f t="shared" si="558"/>
        <v>0</v>
      </c>
      <c r="R1713" s="125">
        <f>+_xlfn.XLOOKUP(A1713,PPTO_GENERADOR!$Q:$Q,PPTO_GENERADOR!A:A,"-",0)</f>
        <v>18.11</v>
      </c>
    </row>
    <row r="1714" spans="1:18" ht="14.25" customHeight="1" x14ac:dyDescent="0.35">
      <c r="A1714" s="105" t="s">
        <v>303</v>
      </c>
      <c r="B1714" s="105" t="s">
        <v>1981</v>
      </c>
      <c r="C1714" s="105" t="s">
        <v>1982</v>
      </c>
      <c r="D1714" s="105" t="s">
        <v>1121</v>
      </c>
      <c r="E1714" s="95" t="str">
        <f>IFERROR(VLOOKUP(D1714,MATERIALES!A:B,2,FALSE()),"?")</f>
        <v>DISTRIBUIDOR TETRAP.160A 15 STD</v>
      </c>
      <c r="F1714" s="129" t="str">
        <f>IFERROR(VLOOKUP(D1714,MATERIALES!A:C,3,FALSE()),"?")</f>
        <v>u</v>
      </c>
      <c r="G1714" s="119">
        <v>1</v>
      </c>
      <c r="H1714" s="120">
        <v>0</v>
      </c>
      <c r="I1714" s="96">
        <f>IFERROR(VLOOKUP(D1714,MATERIALES!A:D,4,FALSE()),0)</f>
        <v>122237.774976318</v>
      </c>
      <c r="J1714" s="31">
        <f t="shared" si="562"/>
        <v>122237.774976318</v>
      </c>
      <c r="K1714" s="32" t="str">
        <f t="shared" si="563"/>
        <v>PTO-1811|MAT</v>
      </c>
      <c r="L1714" s="32">
        <f>COUNTIFS($K$2:K1714,K1714)</f>
        <v>21</v>
      </c>
      <c r="M1714" s="32" t="str">
        <f t="shared" si="556"/>
        <v>PTO-1811|MAT|21</v>
      </c>
      <c r="N1714" s="121">
        <f>IFERROR(VLOOKUP(A1714,PARTIDAS!A:F,6,FALSE()),0)</f>
        <v>1</v>
      </c>
      <c r="O1714" s="123">
        <f t="shared" si="557"/>
        <v>0</v>
      </c>
      <c r="P1714" s="123">
        <f>+_xlfn.XLOOKUP(A1714,PPTO_GENERADOR!Q:Q,PPTO_GENERADOR!E:E,"-",0)</f>
        <v>1</v>
      </c>
      <c r="Q1714" s="123">
        <f t="shared" si="558"/>
        <v>0</v>
      </c>
      <c r="R1714" s="125">
        <f>+_xlfn.XLOOKUP(A1714,PPTO_GENERADOR!$Q:$Q,PPTO_GENERADOR!A:A,"-",0)</f>
        <v>18.11</v>
      </c>
    </row>
    <row r="1715" spans="1:18" ht="14.25" customHeight="1" x14ac:dyDescent="0.35">
      <c r="A1715" s="105" t="s">
        <v>303</v>
      </c>
      <c r="B1715" s="105" t="s">
        <v>1981</v>
      </c>
      <c r="C1715" s="105" t="s">
        <v>1982</v>
      </c>
      <c r="D1715" s="105" t="s">
        <v>1123</v>
      </c>
      <c r="E1715" s="95" t="str">
        <f>IFERROR(VLOOKUP(D1715,MATERIALES!A:B,2,FALSE()),"?")</f>
        <v>TERMINAL COBRE SCC 120-2 (5/8)</v>
      </c>
      <c r="F1715" s="129" t="str">
        <f>IFERROR(VLOOKUP(D1715,MATERIALES!A:C,3,FALSE()),"?")</f>
        <v>u</v>
      </c>
      <c r="G1715" s="119">
        <v>10</v>
      </c>
      <c r="H1715" s="120">
        <v>0</v>
      </c>
      <c r="I1715" s="96">
        <f>IFERROR(VLOOKUP(D1715,MATERIALES!A:D,4,FALSE()),0)</f>
        <v>5542.2928931783999</v>
      </c>
      <c r="J1715" s="31">
        <f t="shared" si="562"/>
        <v>55422.928931784001</v>
      </c>
      <c r="K1715" s="32" t="str">
        <f t="shared" si="563"/>
        <v>PTO-1811|MAT</v>
      </c>
      <c r="L1715" s="32">
        <f>COUNTIFS($K$2:K1715,K1715)</f>
        <v>22</v>
      </c>
      <c r="M1715" s="32" t="str">
        <f t="shared" si="556"/>
        <v>PTO-1811|MAT|22</v>
      </c>
      <c r="N1715" s="121">
        <f>IFERROR(VLOOKUP(A1715,PARTIDAS!A:F,6,FALSE()),0)</f>
        <v>1</v>
      </c>
      <c r="O1715" s="123">
        <f t="shared" si="557"/>
        <v>0</v>
      </c>
      <c r="P1715" s="123">
        <f>+_xlfn.XLOOKUP(A1715,PPTO_GENERADOR!Q:Q,PPTO_GENERADOR!E:E,"-",0)</f>
        <v>1</v>
      </c>
      <c r="Q1715" s="123">
        <f t="shared" si="558"/>
        <v>0</v>
      </c>
      <c r="R1715" s="125">
        <f>+_xlfn.XLOOKUP(A1715,PPTO_GENERADOR!$Q:$Q,PPTO_GENERADOR!A:A,"-",0)</f>
        <v>18.11</v>
      </c>
    </row>
    <row r="1716" spans="1:18" ht="14.25" customHeight="1" x14ac:dyDescent="0.35">
      <c r="A1716" s="105" t="s">
        <v>303</v>
      </c>
      <c r="B1716" s="105" t="s">
        <v>1981</v>
      </c>
      <c r="C1716" s="105" t="s">
        <v>1982</v>
      </c>
      <c r="D1716" s="105" t="s">
        <v>1125</v>
      </c>
      <c r="E1716" s="95" t="str">
        <f>IFERROR(VLOOKUP(D1716,MATERIALES!A:B,2,FALSE()),"?")</f>
        <v>VOLTIMETRO DISPLAY OJO DE BUEY 22MM</v>
      </c>
      <c r="F1716" s="129" t="str">
        <f>IFERROR(VLOOKUP(D1716,MATERIALES!A:C,3,FALSE()),"?")</f>
        <v>u</v>
      </c>
      <c r="G1716" s="119">
        <v>3</v>
      </c>
      <c r="H1716" s="120">
        <v>0</v>
      </c>
      <c r="I1716" s="96">
        <f>IFERROR(VLOOKUP(D1716,MATERIALES!A:D,4,FALSE()),0)</f>
        <v>3933.8478069282</v>
      </c>
      <c r="J1716" s="31">
        <f t="shared" si="562"/>
        <v>11801.543420784601</v>
      </c>
      <c r="K1716" s="32" t="str">
        <f t="shared" si="563"/>
        <v>PTO-1811|MAT</v>
      </c>
      <c r="L1716" s="32">
        <f>COUNTIFS($K$2:K1716,K1716)</f>
        <v>23</v>
      </c>
      <c r="M1716" s="32" t="str">
        <f t="shared" si="556"/>
        <v>PTO-1811|MAT|23</v>
      </c>
      <c r="N1716" s="121">
        <f>IFERROR(VLOOKUP(A1716,PARTIDAS!A:F,6,FALSE()),0)</f>
        <v>1</v>
      </c>
      <c r="O1716" s="123">
        <f t="shared" si="557"/>
        <v>0</v>
      </c>
      <c r="P1716" s="123">
        <f>+_xlfn.XLOOKUP(A1716,PPTO_GENERADOR!Q:Q,PPTO_GENERADOR!E:E,"-",0)</f>
        <v>1</v>
      </c>
      <c r="Q1716" s="123">
        <f t="shared" si="558"/>
        <v>0</v>
      </c>
      <c r="R1716" s="125">
        <f>+_xlfn.XLOOKUP(A1716,PPTO_GENERADOR!$Q:$Q,PPTO_GENERADOR!A:A,"-",0)</f>
        <v>18.11</v>
      </c>
    </row>
    <row r="1717" spans="1:18" ht="14.25" customHeight="1" x14ac:dyDescent="0.35">
      <c r="A1717" s="105" t="s">
        <v>303</v>
      </c>
      <c r="B1717" s="105" t="s">
        <v>1981</v>
      </c>
      <c r="C1717" s="105" t="s">
        <v>1982</v>
      </c>
      <c r="D1717" s="105" t="s">
        <v>1127</v>
      </c>
      <c r="E1717" s="95" t="str">
        <f>IFERROR(VLOOKUP(D1717,MATERIALES!A:B,2,FALSE()),"?")</f>
        <v>RLLOX100M 1X 6,0MM NEGRO N.IRAM</v>
      </c>
      <c r="F1717" s="129" t="str">
        <f>IFERROR(VLOOKUP(D1717,MATERIALES!A:C,3,FALSE()),"?")</f>
        <v>u</v>
      </c>
      <c r="G1717" s="119">
        <v>0.5</v>
      </c>
      <c r="H1717" s="120">
        <v>0</v>
      </c>
      <c r="I1717" s="96">
        <f>IFERROR(VLOOKUP(D1717,MATERIALES!A:D,4,FALSE()),0)</f>
        <v>103147.908138263</v>
      </c>
      <c r="J1717" s="31">
        <f t="shared" si="562"/>
        <v>51573.954069131498</v>
      </c>
      <c r="K1717" s="32" t="str">
        <f t="shared" si="563"/>
        <v>PTO-1811|MAT</v>
      </c>
      <c r="L1717" s="32">
        <f>COUNTIFS($K$2:K1717,K1717)</f>
        <v>24</v>
      </c>
      <c r="M1717" s="32" t="str">
        <f t="shared" si="556"/>
        <v>PTO-1811|MAT|24</v>
      </c>
      <c r="N1717" s="121">
        <f>IFERROR(VLOOKUP(A1717,PARTIDAS!A:F,6,FALSE()),0)</f>
        <v>1</v>
      </c>
      <c r="O1717" s="123">
        <f t="shared" si="557"/>
        <v>0</v>
      </c>
      <c r="P1717" s="123">
        <f>+_xlfn.XLOOKUP(A1717,PPTO_GENERADOR!Q:Q,PPTO_GENERADOR!E:E,"-",0)</f>
        <v>1</v>
      </c>
      <c r="Q1717" s="123">
        <f t="shared" si="558"/>
        <v>0</v>
      </c>
      <c r="R1717" s="125">
        <f>+_xlfn.XLOOKUP(A1717,PPTO_GENERADOR!$Q:$Q,PPTO_GENERADOR!A:A,"-",0)</f>
        <v>18.11</v>
      </c>
    </row>
    <row r="1718" spans="1:18" ht="14.25" customHeight="1" x14ac:dyDescent="0.35">
      <c r="A1718" s="105" t="s">
        <v>303</v>
      </c>
      <c r="B1718" s="105" t="s">
        <v>1981</v>
      </c>
      <c r="C1718" s="105" t="s">
        <v>1982</v>
      </c>
      <c r="D1718" s="105" t="s">
        <v>559</v>
      </c>
      <c r="E1718" s="95" t="str">
        <f>IFERROR(VLOOKUP(D1718,MATERIALES!A:B,2,FALSE()),"?")</f>
        <v>CONSUMIBLES (varios)</v>
      </c>
      <c r="F1718" s="129" t="str">
        <f>IFERROR(VLOOKUP(D1718,MATERIALES!A:C,3,FALSE()),"?")</f>
        <v>gl</v>
      </c>
      <c r="G1718" s="119">
        <v>128104.64</v>
      </c>
      <c r="H1718" s="120">
        <v>0</v>
      </c>
      <c r="I1718" s="96">
        <f>IFERROR(VLOOKUP(D1718,MATERIALES!A:D,4,FALSE()),0)</f>
        <v>1</v>
      </c>
      <c r="J1718" s="31">
        <f t="shared" si="562"/>
        <v>128104.64</v>
      </c>
      <c r="K1718" s="32" t="str">
        <f t="shared" si="563"/>
        <v>PTO-1811|MAT</v>
      </c>
      <c r="L1718" s="32">
        <f>COUNTIFS($K$2:K1718,K1718)</f>
        <v>25</v>
      </c>
      <c r="M1718" s="32" t="str">
        <f t="shared" si="556"/>
        <v>PTO-1811|MAT|25</v>
      </c>
      <c r="N1718" s="121">
        <f>IFERROR(VLOOKUP(A1718,PARTIDAS!A:F,6,FALSE()),0)</f>
        <v>1</v>
      </c>
      <c r="O1718" s="123">
        <f t="shared" si="557"/>
        <v>0</v>
      </c>
      <c r="P1718" s="123">
        <f>+_xlfn.XLOOKUP(A1718,PPTO_GENERADOR!Q:Q,PPTO_GENERADOR!E:E,"-",0)</f>
        <v>1</v>
      </c>
      <c r="Q1718" s="123">
        <f t="shared" si="558"/>
        <v>0</v>
      </c>
      <c r="R1718" s="125">
        <f>+_xlfn.XLOOKUP(A1718,PPTO_GENERADOR!$Q:$Q,PPTO_GENERADOR!A:A,"-",0)</f>
        <v>18.11</v>
      </c>
    </row>
    <row r="1719" spans="1:18" ht="14.25" customHeight="1" x14ac:dyDescent="0.35">
      <c r="A1719" s="105" t="s">
        <v>306</v>
      </c>
      <c r="B1719" s="105" t="s">
        <v>1981</v>
      </c>
      <c r="C1719" s="105" t="s">
        <v>1982</v>
      </c>
      <c r="D1719" s="105" t="s">
        <v>1103</v>
      </c>
      <c r="E1719" s="95" t="str">
        <f>IFERROR(VLOOKUP(D1719,MATERIALES!A:B,2,FALSE()),"?")</f>
        <v>STECK TM BIPOLAR 16A 6KA</v>
      </c>
      <c r="F1719" s="129" t="str">
        <f>IFERROR(VLOOKUP(D1719,MATERIALES!A:C,3,FALSE()),"?")</f>
        <v>u</v>
      </c>
      <c r="G1719" s="119">
        <v>2</v>
      </c>
      <c r="H1719" s="120">
        <v>0</v>
      </c>
      <c r="I1719" s="96">
        <f>IFERROR(VLOOKUP(D1719,MATERIALES!A:D,4,FALSE()),0)</f>
        <v>5688.7390030904999</v>
      </c>
      <c r="J1719" s="31">
        <f t="shared" si="562"/>
        <v>11377.478006181</v>
      </c>
      <c r="K1719" s="32" t="str">
        <f t="shared" si="563"/>
        <v>PTO-1812|MAT</v>
      </c>
      <c r="L1719" s="32">
        <f>COUNTIFS($K$2:K1719,K1719)</f>
        <v>2</v>
      </c>
      <c r="M1719" s="32" t="str">
        <f t="shared" si="556"/>
        <v>PTO-1812|MAT|2</v>
      </c>
      <c r="N1719" s="121">
        <f>IFERROR(VLOOKUP(A1719,PARTIDAS!A:F,6,FALSE()),0)</f>
        <v>1</v>
      </c>
      <c r="O1719" s="123">
        <f t="shared" si="557"/>
        <v>0</v>
      </c>
      <c r="P1719" s="123">
        <f>+_xlfn.XLOOKUP(A1719,PPTO_GENERADOR!Q:Q,PPTO_GENERADOR!E:E,"-",0)</f>
        <v>1</v>
      </c>
      <c r="Q1719" s="123">
        <f t="shared" si="558"/>
        <v>0</v>
      </c>
      <c r="R1719" s="125">
        <f>+_xlfn.XLOOKUP(A1719,PPTO_GENERADOR!$Q:$Q,PPTO_GENERADOR!A:A,"-",0)</f>
        <v>18.12</v>
      </c>
    </row>
    <row r="1720" spans="1:18" ht="14.25" customHeight="1" x14ac:dyDescent="0.35">
      <c r="A1720" s="105" t="s">
        <v>306</v>
      </c>
      <c r="B1720" s="105" t="s">
        <v>1981</v>
      </c>
      <c r="C1720" s="105" t="s">
        <v>1982</v>
      </c>
      <c r="D1720" s="105" t="s">
        <v>1101</v>
      </c>
      <c r="E1720" s="95" t="str">
        <f>IFERROR(VLOOKUP(D1720,MATERIALES!A:B,2,FALSE()),"?")</f>
        <v>STECK TM BIPOLAR 10A 6KA</v>
      </c>
      <c r="F1720" s="129" t="str">
        <f>IFERROR(VLOOKUP(D1720,MATERIALES!A:C,3,FALSE()),"?")</f>
        <v>u</v>
      </c>
      <c r="G1720" s="119">
        <v>1</v>
      </c>
      <c r="H1720" s="120">
        <v>0</v>
      </c>
      <c r="I1720" s="96">
        <f>IFERROR(VLOOKUP(D1720,MATERIALES!A:D,4,FALSE()),0)</f>
        <v>5688.7390030904999</v>
      </c>
      <c r="J1720" s="31">
        <f t="shared" si="562"/>
        <v>5688.7390030904999</v>
      </c>
      <c r="K1720" s="32" t="str">
        <f t="shared" si="563"/>
        <v>PTO-1812|MAT</v>
      </c>
      <c r="L1720" s="32">
        <f>COUNTIFS($K$2:K1720,K1720)</f>
        <v>3</v>
      </c>
      <c r="M1720" s="32" t="str">
        <f t="shared" si="556"/>
        <v>PTO-1812|MAT|3</v>
      </c>
      <c r="N1720" s="121">
        <f>IFERROR(VLOOKUP(A1720,PARTIDAS!A:F,6,FALSE()),0)</f>
        <v>1</v>
      </c>
      <c r="O1720" s="123">
        <f t="shared" si="557"/>
        <v>0</v>
      </c>
      <c r="P1720" s="123">
        <f>+_xlfn.XLOOKUP(A1720,PPTO_GENERADOR!Q:Q,PPTO_GENERADOR!E:E,"-",0)</f>
        <v>1</v>
      </c>
      <c r="Q1720" s="123">
        <f t="shared" si="558"/>
        <v>0</v>
      </c>
      <c r="R1720" s="125">
        <f>+_xlfn.XLOOKUP(A1720,PPTO_GENERADOR!$Q:$Q,PPTO_GENERADOR!A:A,"-",0)</f>
        <v>18.12</v>
      </c>
    </row>
    <row r="1721" spans="1:18" ht="14.25" customHeight="1" x14ac:dyDescent="0.35">
      <c r="A1721" s="105" t="s">
        <v>306</v>
      </c>
      <c r="B1721" s="105" t="s">
        <v>1981</v>
      </c>
      <c r="C1721" s="105" t="s">
        <v>1982</v>
      </c>
      <c r="D1721" s="105" t="s">
        <v>1129</v>
      </c>
      <c r="E1721" s="95" t="str">
        <f>IFERROR(VLOOKUP(D1721,MATERIALES!A:B,2,FALSE()),"?")</f>
        <v>LC1D18M7 18A 7,5KW 1+1 220V</v>
      </c>
      <c r="F1721" s="129" t="str">
        <f>IFERROR(VLOOKUP(D1721,MATERIALES!A:C,3,FALSE()),"?")</f>
        <v>u</v>
      </c>
      <c r="G1721" s="119">
        <v>2</v>
      </c>
      <c r="H1721" s="120">
        <v>0</v>
      </c>
      <c r="I1721" s="96">
        <f>IFERROR(VLOOKUP(D1721,MATERIALES!A:D,4,FALSE()),0)</f>
        <v>92416.985139936805</v>
      </c>
      <c r="J1721" s="31">
        <f t="shared" si="562"/>
        <v>184833.97027987361</v>
      </c>
      <c r="K1721" s="32" t="str">
        <f t="shared" si="563"/>
        <v>PTO-1812|MAT</v>
      </c>
      <c r="L1721" s="32">
        <f>COUNTIFS($K$2:K1721,K1721)</f>
        <v>4</v>
      </c>
      <c r="M1721" s="32" t="str">
        <f t="shared" si="556"/>
        <v>PTO-1812|MAT|4</v>
      </c>
      <c r="N1721" s="121">
        <f>IFERROR(VLOOKUP(A1721,PARTIDAS!A:F,6,FALSE()),0)</f>
        <v>1</v>
      </c>
      <c r="O1721" s="123">
        <f t="shared" si="557"/>
        <v>0</v>
      </c>
      <c r="P1721" s="123">
        <f>+_xlfn.XLOOKUP(A1721,PPTO_GENERADOR!Q:Q,PPTO_GENERADOR!E:E,"-",0)</f>
        <v>1</v>
      </c>
      <c r="Q1721" s="123">
        <f t="shared" si="558"/>
        <v>0</v>
      </c>
      <c r="R1721" s="125">
        <f>+_xlfn.XLOOKUP(A1721,PPTO_GENERADOR!$Q:$Q,PPTO_GENERADOR!A:A,"-",0)</f>
        <v>18.12</v>
      </c>
    </row>
    <row r="1722" spans="1:18" ht="14.25" customHeight="1" x14ac:dyDescent="0.35">
      <c r="A1722" s="105" t="s">
        <v>306</v>
      </c>
      <c r="B1722" s="105" t="s">
        <v>1981</v>
      </c>
      <c r="C1722" s="105" t="s">
        <v>1982</v>
      </c>
      <c r="D1722" s="105" t="s">
        <v>1131</v>
      </c>
      <c r="E1722" s="95" t="str">
        <f>IFERROR(VLOOKUP(D1722,MATERIALES!A:B,2,FALSE()),"?")</f>
        <v>ALTERNADOR 2 BOMBA DIGITAL 24/110/220VCA</v>
      </c>
      <c r="F1722" s="129" t="str">
        <f>IFERROR(VLOOKUP(D1722,MATERIALES!A:C,3,FALSE()),"?")</f>
        <v>u</v>
      </c>
      <c r="G1722" s="119">
        <v>1</v>
      </c>
      <c r="H1722" s="120">
        <v>0</v>
      </c>
      <c r="I1722" s="96">
        <f>IFERROR(VLOOKUP(D1722,MATERIALES!A:D,4,FALSE()),0)</f>
        <v>139000.404928262</v>
      </c>
      <c r="J1722" s="31">
        <f t="shared" si="562"/>
        <v>139000.404928262</v>
      </c>
      <c r="K1722" s="32" t="str">
        <f t="shared" si="563"/>
        <v>PTO-1812|MAT</v>
      </c>
      <c r="L1722" s="32">
        <f>COUNTIFS($K$2:K1722,K1722)</f>
        <v>5</v>
      </c>
      <c r="M1722" s="32" t="str">
        <f t="shared" ref="M1722:M1785" si="564">K1722&amp;"|"&amp;L1722</f>
        <v>PTO-1812|MAT|5</v>
      </c>
      <c r="N1722" s="121">
        <f>IFERROR(VLOOKUP(A1722,PARTIDAS!A:F,6,FALSE()),0)</f>
        <v>1</v>
      </c>
      <c r="O1722" s="123">
        <f t="shared" si="557"/>
        <v>0</v>
      </c>
      <c r="P1722" s="123">
        <f>+_xlfn.XLOOKUP(A1722,PPTO_GENERADOR!Q:Q,PPTO_GENERADOR!E:E,"-",0)</f>
        <v>1</v>
      </c>
      <c r="Q1722" s="123">
        <f t="shared" si="558"/>
        <v>0</v>
      </c>
      <c r="R1722" s="125">
        <f>+_xlfn.XLOOKUP(A1722,PPTO_GENERADOR!$Q:$Q,PPTO_GENERADOR!A:A,"-",0)</f>
        <v>18.12</v>
      </c>
    </row>
    <row r="1723" spans="1:18" ht="14.25" customHeight="1" x14ac:dyDescent="0.35">
      <c r="A1723" s="105" t="s">
        <v>306</v>
      </c>
      <c r="B1723" s="105" t="s">
        <v>1981</v>
      </c>
      <c r="C1723" s="105" t="s">
        <v>1982</v>
      </c>
      <c r="D1723" s="105" t="s">
        <v>1125</v>
      </c>
      <c r="E1723" s="95" t="str">
        <f>IFERROR(VLOOKUP(D1723,MATERIALES!A:B,2,FALSE()),"?")</f>
        <v>VOLTIMETRO DISPLAY OJO DE BUEY 22MM</v>
      </c>
      <c r="F1723" s="129" t="str">
        <f>IFERROR(VLOOKUP(D1723,MATERIALES!A:C,3,FALSE()),"?")</f>
        <v>u</v>
      </c>
      <c r="G1723" s="119">
        <v>1</v>
      </c>
      <c r="H1723" s="120">
        <v>0</v>
      </c>
      <c r="I1723" s="96">
        <f>IFERROR(VLOOKUP(D1723,MATERIALES!A:D,4,FALSE()),0)</f>
        <v>3933.8478069282</v>
      </c>
      <c r="J1723" s="31">
        <f t="shared" si="562"/>
        <v>3933.8478069282</v>
      </c>
      <c r="K1723" s="32" t="str">
        <f t="shared" si="563"/>
        <v>PTO-1812|MAT</v>
      </c>
      <c r="L1723" s="32">
        <f>COUNTIFS($K$2:K1723,K1723)</f>
        <v>6</v>
      </c>
      <c r="M1723" s="32" t="str">
        <f t="shared" si="564"/>
        <v>PTO-1812|MAT|6</v>
      </c>
      <c r="N1723" s="121">
        <f>IFERROR(VLOOKUP(A1723,PARTIDAS!A:F,6,FALSE()),0)</f>
        <v>1</v>
      </c>
      <c r="O1723" s="123">
        <f t="shared" si="557"/>
        <v>0</v>
      </c>
      <c r="P1723" s="123">
        <f>+_xlfn.XLOOKUP(A1723,PPTO_GENERADOR!Q:Q,PPTO_GENERADOR!E:E,"-",0)</f>
        <v>1</v>
      </c>
      <c r="Q1723" s="123">
        <f t="shared" si="558"/>
        <v>0</v>
      </c>
      <c r="R1723" s="125">
        <f>+_xlfn.XLOOKUP(A1723,PPTO_GENERADOR!$Q:$Q,PPTO_GENERADOR!A:A,"-",0)</f>
        <v>18.12</v>
      </c>
    </row>
    <row r="1724" spans="1:18" ht="14.25" customHeight="1" x14ac:dyDescent="0.35">
      <c r="A1724" s="105" t="s">
        <v>306</v>
      </c>
      <c r="B1724" s="105" t="s">
        <v>1981</v>
      </c>
      <c r="C1724" s="105" t="s">
        <v>1982</v>
      </c>
      <c r="D1724" s="105" t="s">
        <v>1133</v>
      </c>
      <c r="E1724" s="95" t="str">
        <f>IFERROR(VLOOKUP(D1724,MATERIALES!A:B,2,FALSE()),"?")</f>
        <v>GAB. IP65 SERIE 9000 450X450X225</v>
      </c>
      <c r="F1724" s="129" t="str">
        <f>IFERROR(VLOOKUP(D1724,MATERIALES!A:C,3,FALSE()),"?")</f>
        <v>u</v>
      </c>
      <c r="G1724" s="119">
        <v>1</v>
      </c>
      <c r="H1724" s="120">
        <v>0</v>
      </c>
      <c r="I1724" s="96">
        <f>IFERROR(VLOOKUP(D1724,MATERIALES!A:D,4,FALSE()),0)</f>
        <v>127056.057496849</v>
      </c>
      <c r="J1724" s="31">
        <f t="shared" si="562"/>
        <v>127056.057496849</v>
      </c>
      <c r="K1724" s="32" t="str">
        <f t="shared" si="563"/>
        <v>PTO-1812|MAT</v>
      </c>
      <c r="L1724" s="32">
        <f>COUNTIFS($K$2:K1724,K1724)</f>
        <v>7</v>
      </c>
      <c r="M1724" s="32" t="str">
        <f t="shared" si="564"/>
        <v>PTO-1812|MAT|7</v>
      </c>
      <c r="N1724" s="121">
        <f>IFERROR(VLOOKUP(A1724,PARTIDAS!A:F,6,FALSE()),0)</f>
        <v>1</v>
      </c>
      <c r="O1724" s="123">
        <f t="shared" si="557"/>
        <v>0</v>
      </c>
      <c r="P1724" s="123">
        <f>+_xlfn.XLOOKUP(A1724,PPTO_GENERADOR!Q:Q,PPTO_GENERADOR!E:E,"-",0)</f>
        <v>1</v>
      </c>
      <c r="Q1724" s="123">
        <f t="shared" si="558"/>
        <v>0</v>
      </c>
      <c r="R1724" s="125">
        <f>+_xlfn.XLOOKUP(A1724,PPTO_GENERADOR!$Q:$Q,PPTO_GENERADOR!A:A,"-",0)</f>
        <v>18.12</v>
      </c>
    </row>
    <row r="1725" spans="1:18" ht="14.25" customHeight="1" x14ac:dyDescent="0.35">
      <c r="A1725" s="105" t="s">
        <v>306</v>
      </c>
      <c r="B1725" s="105" t="s">
        <v>1981</v>
      </c>
      <c r="C1725" s="105" t="s">
        <v>1982</v>
      </c>
      <c r="D1725" s="105" t="s">
        <v>1135</v>
      </c>
      <c r="E1725" s="95" t="str">
        <f>IFERROR(VLOOKUP(D1725,MATERIALES!A:B,2,FALSE()),"?")</f>
        <v>CONTRAF ABISAG.CALADO 18BIP S9000 450X450</v>
      </c>
      <c r="F1725" s="129" t="str">
        <f>IFERROR(VLOOKUP(D1725,MATERIALES!A:C,3,FALSE()),"?")</f>
        <v>u</v>
      </c>
      <c r="G1725" s="119">
        <v>1</v>
      </c>
      <c r="H1725" s="120">
        <v>0</v>
      </c>
      <c r="I1725" s="96">
        <f>IFERROR(VLOOKUP(D1725,MATERIALES!A:D,4,FALSE()),0)</f>
        <v>62950.082527207502</v>
      </c>
      <c r="J1725" s="31">
        <f t="shared" si="562"/>
        <v>62950.082527207502</v>
      </c>
      <c r="K1725" s="32" t="str">
        <f t="shared" si="563"/>
        <v>PTO-1812|MAT</v>
      </c>
      <c r="L1725" s="32">
        <f>COUNTIFS($K$2:K1725,K1725)</f>
        <v>8</v>
      </c>
      <c r="M1725" s="32" t="str">
        <f t="shared" si="564"/>
        <v>PTO-1812|MAT|8</v>
      </c>
      <c r="N1725" s="121">
        <f>IFERROR(VLOOKUP(A1725,PARTIDAS!A:F,6,FALSE()),0)</f>
        <v>1</v>
      </c>
      <c r="O1725" s="123">
        <f t="shared" si="557"/>
        <v>0</v>
      </c>
      <c r="P1725" s="123">
        <f>+_xlfn.XLOOKUP(A1725,PPTO_GENERADOR!Q:Q,PPTO_GENERADOR!E:E,"-",0)</f>
        <v>1</v>
      </c>
      <c r="Q1725" s="123">
        <f t="shared" si="558"/>
        <v>0</v>
      </c>
      <c r="R1725" s="125">
        <f>+_xlfn.XLOOKUP(A1725,PPTO_GENERADOR!$Q:$Q,PPTO_GENERADOR!A:A,"-",0)</f>
        <v>18.12</v>
      </c>
    </row>
    <row r="1726" spans="1:18" ht="14.25" customHeight="1" x14ac:dyDescent="0.35">
      <c r="A1726" s="105" t="s">
        <v>306</v>
      </c>
      <c r="B1726" s="105" t="s">
        <v>1981</v>
      </c>
      <c r="C1726" s="105" t="s">
        <v>1982</v>
      </c>
      <c r="D1726" s="105" t="s">
        <v>559</v>
      </c>
      <c r="E1726" s="95" t="str">
        <f>IFERROR(VLOOKUP(D1726,MATERIALES!A:B,2,FALSE()),"?")</f>
        <v>CONSUMIBLES (varios)</v>
      </c>
      <c r="F1726" s="129" t="str">
        <f>IFERROR(VLOOKUP(D1726,MATERIALES!A:C,3,FALSE()),"?")</f>
        <v>gl</v>
      </c>
      <c r="G1726" s="119">
        <v>55503.67</v>
      </c>
      <c r="H1726" s="120">
        <v>0</v>
      </c>
      <c r="I1726" s="96">
        <f>IFERROR(VLOOKUP(D1726,MATERIALES!A:D,4,FALSE()),0)</f>
        <v>1</v>
      </c>
      <c r="J1726" s="31">
        <f t="shared" si="562"/>
        <v>55503.67</v>
      </c>
      <c r="K1726" s="32" t="str">
        <f t="shared" si="563"/>
        <v>PTO-1812|MAT</v>
      </c>
      <c r="L1726" s="32">
        <f>COUNTIFS($K$2:K1726,K1726)</f>
        <v>9</v>
      </c>
      <c r="M1726" s="32" t="str">
        <f t="shared" si="564"/>
        <v>PTO-1812|MAT|9</v>
      </c>
      <c r="N1726" s="121">
        <f>IFERROR(VLOOKUP(A1726,PARTIDAS!A:F,6,FALSE()),0)</f>
        <v>1</v>
      </c>
      <c r="O1726" s="123">
        <f t="shared" si="557"/>
        <v>0</v>
      </c>
      <c r="P1726" s="123">
        <f>+_xlfn.XLOOKUP(A1726,PPTO_GENERADOR!Q:Q,PPTO_GENERADOR!E:E,"-",0)</f>
        <v>1</v>
      </c>
      <c r="Q1726" s="123">
        <f t="shared" si="558"/>
        <v>0</v>
      </c>
      <c r="R1726" s="125">
        <f>+_xlfn.XLOOKUP(A1726,PPTO_GENERADOR!$Q:$Q,PPTO_GENERADOR!A:A,"-",0)</f>
        <v>18.12</v>
      </c>
    </row>
    <row r="1727" spans="1:18" ht="14.25" customHeight="1" x14ac:dyDescent="0.35">
      <c r="A1727" s="105" t="s">
        <v>308</v>
      </c>
      <c r="B1727" s="105" t="s">
        <v>1981</v>
      </c>
      <c r="C1727" s="105" t="s">
        <v>1982</v>
      </c>
      <c r="D1727" s="105" t="s">
        <v>1097</v>
      </c>
      <c r="E1727" s="95" t="str">
        <f>IFERROR(VLOOKUP(D1727,MATERIALES!A:B,2,FALSE()),"?")</f>
        <v>STECK DIFERENCIAL 4X40A 30MA</v>
      </c>
      <c r="F1727" s="129" t="str">
        <f>IFERROR(VLOOKUP(D1727,MATERIALES!A:C,3,FALSE()),"?")</f>
        <v>u</v>
      </c>
      <c r="G1727" s="119">
        <v>1</v>
      </c>
      <c r="H1727" s="120">
        <v>0</v>
      </c>
      <c r="I1727" s="96">
        <f>IFERROR(VLOOKUP(D1727,MATERIALES!A:D,4,FALSE()),0)</f>
        <v>38605.985559603403</v>
      </c>
      <c r="J1727" s="31">
        <f t="shared" si="562"/>
        <v>38605.985559603403</v>
      </c>
      <c r="K1727" s="32" t="str">
        <f t="shared" si="563"/>
        <v>PTO-1813|MAT</v>
      </c>
      <c r="L1727" s="32">
        <f>COUNTIFS($K$2:K1727,K1727)</f>
        <v>2</v>
      </c>
      <c r="M1727" s="32" t="str">
        <f t="shared" si="564"/>
        <v>PTO-1813|MAT|2</v>
      </c>
      <c r="N1727" s="121">
        <f>IFERROR(VLOOKUP(A1727,PARTIDAS!A:F,6,FALSE()),0)</f>
        <v>1</v>
      </c>
      <c r="O1727" s="123">
        <f t="shared" si="557"/>
        <v>0</v>
      </c>
      <c r="P1727" s="123">
        <f>+_xlfn.XLOOKUP(A1727,PPTO_GENERADOR!Q:Q,PPTO_GENERADOR!E:E,"-",0)</f>
        <v>1</v>
      </c>
      <c r="Q1727" s="123">
        <f t="shared" si="558"/>
        <v>0</v>
      </c>
      <c r="R1727" s="125">
        <f>+_xlfn.XLOOKUP(A1727,PPTO_GENERADOR!$Q:$Q,PPTO_GENERADOR!A:A,"-",0)</f>
        <v>18.13</v>
      </c>
    </row>
    <row r="1728" spans="1:18" ht="14.25" customHeight="1" x14ac:dyDescent="0.35">
      <c r="A1728" s="105" t="s">
        <v>308</v>
      </c>
      <c r="B1728" s="105" t="s">
        <v>1981</v>
      </c>
      <c r="C1728" s="105" t="s">
        <v>1982</v>
      </c>
      <c r="D1728" s="105" t="s">
        <v>1125</v>
      </c>
      <c r="E1728" s="95" t="str">
        <f>IFERROR(VLOOKUP(D1728,MATERIALES!A:B,2,FALSE()),"?")</f>
        <v>VOLTIMETRO DISPLAY OJO DE BUEY 22MM</v>
      </c>
      <c r="F1728" s="129" t="str">
        <f>IFERROR(VLOOKUP(D1728,MATERIALES!A:C,3,FALSE()),"?")</f>
        <v>u</v>
      </c>
      <c r="G1728" s="119">
        <v>3</v>
      </c>
      <c r="H1728" s="120">
        <v>0</v>
      </c>
      <c r="I1728" s="96">
        <f>IFERROR(VLOOKUP(D1728,MATERIALES!A:D,4,FALSE()),0)</f>
        <v>3933.8478069282</v>
      </c>
      <c r="J1728" s="31">
        <f t="shared" si="562"/>
        <v>11801.543420784601</v>
      </c>
      <c r="K1728" s="32" t="str">
        <f t="shared" si="563"/>
        <v>PTO-1813|MAT</v>
      </c>
      <c r="L1728" s="32">
        <f>COUNTIFS($K$2:K1728,K1728)</f>
        <v>3</v>
      </c>
      <c r="M1728" s="32" t="str">
        <f t="shared" si="564"/>
        <v>PTO-1813|MAT|3</v>
      </c>
      <c r="N1728" s="121">
        <f>IFERROR(VLOOKUP(A1728,PARTIDAS!A:F,6,FALSE()),0)</f>
        <v>1</v>
      </c>
      <c r="O1728" s="123">
        <f t="shared" si="557"/>
        <v>0</v>
      </c>
      <c r="P1728" s="123">
        <f>+_xlfn.XLOOKUP(A1728,PPTO_GENERADOR!Q:Q,PPTO_GENERADOR!E:E,"-",0)</f>
        <v>1</v>
      </c>
      <c r="Q1728" s="123">
        <f t="shared" si="558"/>
        <v>0</v>
      </c>
      <c r="R1728" s="125">
        <f>+_xlfn.XLOOKUP(A1728,PPTO_GENERADOR!$Q:$Q,PPTO_GENERADOR!A:A,"-",0)</f>
        <v>18.13</v>
      </c>
    </row>
    <row r="1729" spans="1:18" ht="14.25" customHeight="1" x14ac:dyDescent="0.35">
      <c r="A1729" s="105" t="s">
        <v>308</v>
      </c>
      <c r="B1729" s="105" t="s">
        <v>1981</v>
      </c>
      <c r="C1729" s="105" t="s">
        <v>1982</v>
      </c>
      <c r="D1729" s="105" t="s">
        <v>1133</v>
      </c>
      <c r="E1729" s="95" t="str">
        <f>IFERROR(VLOOKUP(D1729,MATERIALES!A:B,2,FALSE()),"?")</f>
        <v>GAB. IP65 SERIE 9000 450X450X225</v>
      </c>
      <c r="F1729" s="129" t="str">
        <f>IFERROR(VLOOKUP(D1729,MATERIALES!A:C,3,FALSE()),"?")</f>
        <v>u</v>
      </c>
      <c r="G1729" s="119">
        <v>1</v>
      </c>
      <c r="H1729" s="120">
        <v>0</v>
      </c>
      <c r="I1729" s="96">
        <f>IFERROR(VLOOKUP(D1729,MATERIALES!A:D,4,FALSE()),0)</f>
        <v>127056.057496849</v>
      </c>
      <c r="J1729" s="31">
        <f t="shared" si="562"/>
        <v>127056.057496849</v>
      </c>
      <c r="K1729" s="32" t="str">
        <f t="shared" si="563"/>
        <v>PTO-1813|MAT</v>
      </c>
      <c r="L1729" s="32">
        <f>COUNTIFS($K$2:K1729,K1729)</f>
        <v>4</v>
      </c>
      <c r="M1729" s="32" t="str">
        <f t="shared" si="564"/>
        <v>PTO-1813|MAT|4</v>
      </c>
      <c r="N1729" s="121">
        <f>IFERROR(VLOOKUP(A1729,PARTIDAS!A:F,6,FALSE()),0)</f>
        <v>1</v>
      </c>
      <c r="O1729" s="123">
        <f t="shared" si="557"/>
        <v>0</v>
      </c>
      <c r="P1729" s="123">
        <f>+_xlfn.XLOOKUP(A1729,PPTO_GENERADOR!Q:Q,PPTO_GENERADOR!E:E,"-",0)</f>
        <v>1</v>
      </c>
      <c r="Q1729" s="123">
        <f t="shared" si="558"/>
        <v>0</v>
      </c>
      <c r="R1729" s="125">
        <f>+_xlfn.XLOOKUP(A1729,PPTO_GENERADOR!$Q:$Q,PPTO_GENERADOR!A:A,"-",0)</f>
        <v>18.13</v>
      </c>
    </row>
    <row r="1730" spans="1:18" ht="14.25" customHeight="1" x14ac:dyDescent="0.35">
      <c r="A1730" s="105" t="s">
        <v>308</v>
      </c>
      <c r="B1730" s="105" t="s">
        <v>1981</v>
      </c>
      <c r="C1730" s="105" t="s">
        <v>1982</v>
      </c>
      <c r="D1730" s="105" t="s">
        <v>1135</v>
      </c>
      <c r="E1730" s="95" t="str">
        <f>IFERROR(VLOOKUP(D1730,MATERIALES!A:B,2,FALSE()),"?")</f>
        <v>CONTRAF ABISAG.CALADO 18BIP S9000 450X450</v>
      </c>
      <c r="F1730" s="129" t="str">
        <f>IFERROR(VLOOKUP(D1730,MATERIALES!A:C,3,FALSE()),"?")</f>
        <v>u</v>
      </c>
      <c r="G1730" s="119">
        <v>1</v>
      </c>
      <c r="H1730" s="120">
        <v>0</v>
      </c>
      <c r="I1730" s="96">
        <f>IFERROR(VLOOKUP(D1730,MATERIALES!A:D,4,FALSE()),0)</f>
        <v>62950.082527207502</v>
      </c>
      <c r="J1730" s="31">
        <f t="shared" si="562"/>
        <v>62950.082527207502</v>
      </c>
      <c r="K1730" s="32" t="str">
        <f t="shared" si="563"/>
        <v>PTO-1813|MAT</v>
      </c>
      <c r="L1730" s="32">
        <f>COUNTIFS($K$2:K1730,K1730)</f>
        <v>5</v>
      </c>
      <c r="M1730" s="32" t="str">
        <f t="shared" si="564"/>
        <v>PTO-1813|MAT|5</v>
      </c>
      <c r="N1730" s="121">
        <f>IFERROR(VLOOKUP(A1730,PARTIDAS!A:F,6,FALSE()),0)</f>
        <v>1</v>
      </c>
      <c r="O1730" s="123">
        <f t="shared" si="557"/>
        <v>0</v>
      </c>
      <c r="P1730" s="123">
        <f>+_xlfn.XLOOKUP(A1730,PPTO_GENERADOR!Q:Q,PPTO_GENERADOR!E:E,"-",0)</f>
        <v>1</v>
      </c>
      <c r="Q1730" s="123">
        <f t="shared" si="558"/>
        <v>0</v>
      </c>
      <c r="R1730" s="125">
        <f>+_xlfn.XLOOKUP(A1730,PPTO_GENERADOR!$Q:$Q,PPTO_GENERADOR!A:A,"-",0)</f>
        <v>18.13</v>
      </c>
    </row>
    <row r="1731" spans="1:18" ht="14.25" customHeight="1" x14ac:dyDescent="0.35">
      <c r="A1731" s="105" t="s">
        <v>308</v>
      </c>
      <c r="B1731" s="105" t="s">
        <v>1981</v>
      </c>
      <c r="C1731" s="105" t="s">
        <v>1982</v>
      </c>
      <c r="D1731" s="105" t="s">
        <v>559</v>
      </c>
      <c r="E1731" s="95" t="str">
        <f>IFERROR(VLOOKUP(D1731,MATERIALES!A:B,2,FALSE()),"?")</f>
        <v>CONSUMIBLES (varios)</v>
      </c>
      <c r="F1731" s="129" t="str">
        <f>IFERROR(VLOOKUP(D1731,MATERIALES!A:C,3,FALSE()),"?")</f>
        <v>gl</v>
      </c>
      <c r="G1731" s="119">
        <v>26443.64</v>
      </c>
      <c r="H1731" s="120">
        <v>0</v>
      </c>
      <c r="I1731" s="96">
        <f>IFERROR(VLOOKUP(D1731,MATERIALES!A:D,4,FALSE()),0)</f>
        <v>1</v>
      </c>
      <c r="J1731" s="31">
        <f t="shared" si="562"/>
        <v>26443.64</v>
      </c>
      <c r="K1731" s="32" t="str">
        <f t="shared" si="563"/>
        <v>PTO-1813|MAT</v>
      </c>
      <c r="L1731" s="32">
        <f>COUNTIFS($K$2:K1731,K1731)</f>
        <v>6</v>
      </c>
      <c r="M1731" s="32" t="str">
        <f t="shared" si="564"/>
        <v>PTO-1813|MAT|6</v>
      </c>
      <c r="N1731" s="121">
        <f>IFERROR(VLOOKUP(A1731,PARTIDAS!A:F,6,FALSE()),0)</f>
        <v>1</v>
      </c>
      <c r="O1731" s="123">
        <f t="shared" ref="O1731:O1794" si="565">+IF(C1731="ALB",G1731/N1731,0)</f>
        <v>0</v>
      </c>
      <c r="P1731" s="123">
        <f>+_xlfn.XLOOKUP(A1731,PPTO_GENERADOR!Q:Q,PPTO_GENERADOR!E:E,"-",0)</f>
        <v>1</v>
      </c>
      <c r="Q1731" s="123">
        <f t="shared" ref="Q1731:Q1794" si="566">IFERROR(P1731*O1731,0)</f>
        <v>0</v>
      </c>
      <c r="R1731" s="125">
        <f>+_xlfn.XLOOKUP(A1731,PPTO_GENERADOR!$Q:$Q,PPTO_GENERADOR!A:A,"-",0)</f>
        <v>18.13</v>
      </c>
    </row>
    <row r="1732" spans="1:18" ht="14.25" customHeight="1" x14ac:dyDescent="0.35">
      <c r="A1732" s="105" t="s">
        <v>310</v>
      </c>
      <c r="B1732" s="105" t="s">
        <v>1981</v>
      </c>
      <c r="C1732" s="105" t="s">
        <v>1982</v>
      </c>
      <c r="D1732" s="105" t="s">
        <v>1101</v>
      </c>
      <c r="E1732" s="95" t="str">
        <f>IFERROR(VLOOKUP(D1732,MATERIALES!A:B,2,FALSE()),"?")</f>
        <v>STECK TM BIPOLAR 10A 6KA</v>
      </c>
      <c r="F1732" s="129" t="str">
        <f>IFERROR(VLOOKUP(D1732,MATERIALES!A:C,3,FALSE()),"?")</f>
        <v>u</v>
      </c>
      <c r="G1732" s="119">
        <v>1</v>
      </c>
      <c r="H1732" s="120">
        <v>0</v>
      </c>
      <c r="I1732" s="96">
        <f>IFERROR(VLOOKUP(D1732,MATERIALES!A:D,4,FALSE()),0)</f>
        <v>5688.7390030904999</v>
      </c>
      <c r="J1732" s="31">
        <f t="shared" si="562"/>
        <v>5688.7390030904999</v>
      </c>
      <c r="K1732" s="32" t="str">
        <f t="shared" si="563"/>
        <v>PTO-1814|MAT</v>
      </c>
      <c r="L1732" s="32">
        <f>COUNTIFS($K$2:K1732,K1732)</f>
        <v>2</v>
      </c>
      <c r="M1732" s="32" t="str">
        <f t="shared" si="564"/>
        <v>PTO-1814|MAT|2</v>
      </c>
      <c r="N1732" s="121">
        <f>IFERROR(VLOOKUP(A1732,PARTIDAS!A:F,6,FALSE()),0)</f>
        <v>1</v>
      </c>
      <c r="O1732" s="123">
        <f t="shared" si="565"/>
        <v>0</v>
      </c>
      <c r="P1732" s="123">
        <f>+_xlfn.XLOOKUP(A1732,PPTO_GENERADOR!Q:Q,PPTO_GENERADOR!E:E,"-",0)</f>
        <v>1</v>
      </c>
      <c r="Q1732" s="123">
        <f t="shared" si="566"/>
        <v>0</v>
      </c>
      <c r="R1732" s="125">
        <f>+_xlfn.XLOOKUP(A1732,PPTO_GENERADOR!$Q:$Q,PPTO_GENERADOR!A:A,"-",0)</f>
        <v>18.14</v>
      </c>
    </row>
    <row r="1733" spans="1:18" ht="14.25" customHeight="1" x14ac:dyDescent="0.35">
      <c r="A1733" s="105" t="s">
        <v>310</v>
      </c>
      <c r="B1733" s="105" t="s">
        <v>1981</v>
      </c>
      <c r="C1733" s="105" t="s">
        <v>1982</v>
      </c>
      <c r="D1733" s="105" t="s">
        <v>1095</v>
      </c>
      <c r="E1733" s="95" t="str">
        <f>IFERROR(VLOOKUP(D1733,MATERIALES!A:B,2,FALSE()),"?")</f>
        <v>STECK DIFERENCIAL 2X25A 30MA</v>
      </c>
      <c r="F1733" s="129" t="str">
        <f>IFERROR(VLOOKUP(D1733,MATERIALES!A:C,3,FALSE()),"?")</f>
        <v>u</v>
      </c>
      <c r="G1733" s="119">
        <v>1</v>
      </c>
      <c r="H1733" s="120">
        <v>0</v>
      </c>
      <c r="I1733" s="96">
        <f>IFERROR(VLOOKUP(D1733,MATERIALES!A:D,4,FALSE()),0)</f>
        <v>20196.092406751999</v>
      </c>
      <c r="J1733" s="31">
        <f t="shared" si="562"/>
        <v>20196.092406751999</v>
      </c>
      <c r="K1733" s="32" t="str">
        <f t="shared" si="563"/>
        <v>PTO-1814|MAT</v>
      </c>
      <c r="L1733" s="32">
        <f>COUNTIFS($K$2:K1733,K1733)</f>
        <v>3</v>
      </c>
      <c r="M1733" s="32" t="str">
        <f t="shared" si="564"/>
        <v>PTO-1814|MAT|3</v>
      </c>
      <c r="N1733" s="121">
        <f>IFERROR(VLOOKUP(A1733,PARTIDAS!A:F,6,FALSE()),0)</f>
        <v>1</v>
      </c>
      <c r="O1733" s="123">
        <f t="shared" si="565"/>
        <v>0</v>
      </c>
      <c r="P1733" s="123">
        <f>+_xlfn.XLOOKUP(A1733,PPTO_GENERADOR!Q:Q,PPTO_GENERADOR!E:E,"-",0)</f>
        <v>1</v>
      </c>
      <c r="Q1733" s="123">
        <f t="shared" si="566"/>
        <v>0</v>
      </c>
      <c r="R1733" s="125">
        <f>+_xlfn.XLOOKUP(A1733,PPTO_GENERADOR!$Q:$Q,PPTO_GENERADOR!A:A,"-",0)</f>
        <v>18.14</v>
      </c>
    </row>
    <row r="1734" spans="1:18" ht="14.25" customHeight="1" x14ac:dyDescent="0.35">
      <c r="A1734" s="105" t="s">
        <v>310</v>
      </c>
      <c r="B1734" s="105" t="s">
        <v>1981</v>
      </c>
      <c r="C1734" s="105" t="s">
        <v>1982</v>
      </c>
      <c r="D1734" s="105" t="s">
        <v>1125</v>
      </c>
      <c r="E1734" s="95" t="str">
        <f>IFERROR(VLOOKUP(D1734,MATERIALES!A:B,2,FALSE()),"?")</f>
        <v>VOLTIMETRO DISPLAY OJO DE BUEY 22MM</v>
      </c>
      <c r="F1734" s="129" t="str">
        <f>IFERROR(VLOOKUP(D1734,MATERIALES!A:C,3,FALSE()),"?")</f>
        <v>u</v>
      </c>
      <c r="G1734" s="119">
        <v>1</v>
      </c>
      <c r="H1734" s="120">
        <v>0</v>
      </c>
      <c r="I1734" s="96">
        <f>IFERROR(VLOOKUP(D1734,MATERIALES!A:D,4,FALSE()),0)</f>
        <v>3933.8478069282</v>
      </c>
      <c r="J1734" s="31">
        <f t="shared" si="562"/>
        <v>3933.8478069282</v>
      </c>
      <c r="K1734" s="32" t="str">
        <f t="shared" si="563"/>
        <v>PTO-1814|MAT</v>
      </c>
      <c r="L1734" s="32">
        <f>COUNTIFS($K$2:K1734,K1734)</f>
        <v>4</v>
      </c>
      <c r="M1734" s="32" t="str">
        <f t="shared" si="564"/>
        <v>PTO-1814|MAT|4</v>
      </c>
      <c r="N1734" s="121">
        <f>IFERROR(VLOOKUP(A1734,PARTIDAS!A:F,6,FALSE()),0)</f>
        <v>1</v>
      </c>
      <c r="O1734" s="123">
        <f t="shared" si="565"/>
        <v>0</v>
      </c>
      <c r="P1734" s="123">
        <f>+_xlfn.XLOOKUP(A1734,PPTO_GENERADOR!Q:Q,PPTO_GENERADOR!E:E,"-",0)</f>
        <v>1</v>
      </c>
      <c r="Q1734" s="123">
        <f t="shared" si="566"/>
        <v>0</v>
      </c>
      <c r="R1734" s="125">
        <f>+_xlfn.XLOOKUP(A1734,PPTO_GENERADOR!$Q:$Q,PPTO_GENERADOR!A:A,"-",0)</f>
        <v>18.14</v>
      </c>
    </row>
    <row r="1735" spans="1:18" ht="14.25" customHeight="1" x14ac:dyDescent="0.35">
      <c r="A1735" s="105" t="s">
        <v>310</v>
      </c>
      <c r="B1735" s="105" t="s">
        <v>1981</v>
      </c>
      <c r="C1735" s="105" t="s">
        <v>1982</v>
      </c>
      <c r="D1735" s="105" t="s">
        <v>1129</v>
      </c>
      <c r="E1735" s="95" t="str">
        <f>IFERROR(VLOOKUP(D1735,MATERIALES!A:B,2,FALSE()),"?")</f>
        <v>LC1D18M7 18A 7,5KW 1+1 220V</v>
      </c>
      <c r="F1735" s="129" t="str">
        <f>IFERROR(VLOOKUP(D1735,MATERIALES!A:C,3,FALSE()),"?")</f>
        <v>u</v>
      </c>
      <c r="G1735" s="119">
        <v>2</v>
      </c>
      <c r="H1735" s="120">
        <v>0</v>
      </c>
      <c r="I1735" s="96">
        <f>IFERROR(VLOOKUP(D1735,MATERIALES!A:D,4,FALSE()),0)</f>
        <v>92416.985139936805</v>
      </c>
      <c r="J1735" s="31">
        <f t="shared" si="562"/>
        <v>184833.97027987361</v>
      </c>
      <c r="K1735" s="32" t="str">
        <f t="shared" si="563"/>
        <v>PTO-1814|MAT</v>
      </c>
      <c r="L1735" s="32">
        <f>COUNTIFS($K$2:K1735,K1735)</f>
        <v>5</v>
      </c>
      <c r="M1735" s="32" t="str">
        <f t="shared" si="564"/>
        <v>PTO-1814|MAT|5</v>
      </c>
      <c r="N1735" s="121">
        <f>IFERROR(VLOOKUP(A1735,PARTIDAS!A:F,6,FALSE()),0)</f>
        <v>1</v>
      </c>
      <c r="O1735" s="123">
        <f t="shared" si="565"/>
        <v>0</v>
      </c>
      <c r="P1735" s="123">
        <f>+_xlfn.XLOOKUP(A1735,PPTO_GENERADOR!Q:Q,PPTO_GENERADOR!E:E,"-",0)</f>
        <v>1</v>
      </c>
      <c r="Q1735" s="123">
        <f t="shared" si="566"/>
        <v>0</v>
      </c>
      <c r="R1735" s="125">
        <f>+_xlfn.XLOOKUP(A1735,PPTO_GENERADOR!$Q:$Q,PPTO_GENERADOR!A:A,"-",0)</f>
        <v>18.14</v>
      </c>
    </row>
    <row r="1736" spans="1:18" ht="14.25" customHeight="1" x14ac:dyDescent="0.35">
      <c r="A1736" s="105" t="s">
        <v>310</v>
      </c>
      <c r="B1736" s="105" t="s">
        <v>1981</v>
      </c>
      <c r="C1736" s="105" t="s">
        <v>1982</v>
      </c>
      <c r="D1736" s="105" t="s">
        <v>1131</v>
      </c>
      <c r="E1736" s="95" t="str">
        <f>IFERROR(VLOOKUP(D1736,MATERIALES!A:B,2,FALSE()),"?")</f>
        <v>ALTERNADOR 2 BOMBA DIGITAL 24/110/220VCA</v>
      </c>
      <c r="F1736" s="129" t="str">
        <f>IFERROR(VLOOKUP(D1736,MATERIALES!A:C,3,FALSE()),"?")</f>
        <v>u</v>
      </c>
      <c r="G1736" s="119">
        <v>1</v>
      </c>
      <c r="H1736" s="120">
        <v>0</v>
      </c>
      <c r="I1736" s="96">
        <f>IFERROR(VLOOKUP(D1736,MATERIALES!A:D,4,FALSE()),0)</f>
        <v>139000.404928262</v>
      </c>
      <c r="J1736" s="31">
        <f t="shared" si="562"/>
        <v>139000.404928262</v>
      </c>
      <c r="K1736" s="32" t="str">
        <f t="shared" si="563"/>
        <v>PTO-1814|MAT</v>
      </c>
      <c r="L1736" s="32">
        <f>COUNTIFS($K$2:K1736,K1736)</f>
        <v>6</v>
      </c>
      <c r="M1736" s="32" t="str">
        <f t="shared" si="564"/>
        <v>PTO-1814|MAT|6</v>
      </c>
      <c r="N1736" s="121">
        <f>IFERROR(VLOOKUP(A1736,PARTIDAS!A:F,6,FALSE()),0)</f>
        <v>1</v>
      </c>
      <c r="O1736" s="123">
        <f t="shared" si="565"/>
        <v>0</v>
      </c>
      <c r="P1736" s="123">
        <f>+_xlfn.XLOOKUP(A1736,PPTO_GENERADOR!Q:Q,PPTO_GENERADOR!E:E,"-",0)</f>
        <v>1</v>
      </c>
      <c r="Q1736" s="123">
        <f t="shared" si="566"/>
        <v>0</v>
      </c>
      <c r="R1736" s="125">
        <f>+_xlfn.XLOOKUP(A1736,PPTO_GENERADOR!$Q:$Q,PPTO_GENERADOR!A:A,"-",0)</f>
        <v>18.14</v>
      </c>
    </row>
    <row r="1737" spans="1:18" ht="14.25" customHeight="1" x14ac:dyDescent="0.35">
      <c r="A1737" s="105" t="s">
        <v>310</v>
      </c>
      <c r="B1737" s="105" t="s">
        <v>1981</v>
      </c>
      <c r="C1737" s="105" t="s">
        <v>1982</v>
      </c>
      <c r="D1737" s="105" t="s">
        <v>1137</v>
      </c>
      <c r="E1737" s="95" t="str">
        <f>IFERROR(VLOOKUP(D1737,MATERIALES!A:B,2,FALSE()),"?")</f>
        <v>GAB. IP65 SERIE 9000 300X300X150</v>
      </c>
      <c r="F1737" s="129" t="str">
        <f>IFERROR(VLOOKUP(D1737,MATERIALES!A:C,3,FALSE()),"?")</f>
        <v>u</v>
      </c>
      <c r="G1737" s="119">
        <v>1</v>
      </c>
      <c r="H1737" s="120">
        <v>0</v>
      </c>
      <c r="I1737" s="96">
        <f>IFERROR(VLOOKUP(D1737,MATERIALES!A:D,4,FALSE()),0)</f>
        <v>55782.002183278899</v>
      </c>
      <c r="J1737" s="31">
        <f t="shared" si="562"/>
        <v>55782.002183278899</v>
      </c>
      <c r="K1737" s="32" t="str">
        <f t="shared" si="563"/>
        <v>PTO-1814|MAT</v>
      </c>
      <c r="L1737" s="32">
        <f>COUNTIFS($K$2:K1737,K1737)</f>
        <v>7</v>
      </c>
      <c r="M1737" s="32" t="str">
        <f t="shared" si="564"/>
        <v>PTO-1814|MAT|7</v>
      </c>
      <c r="N1737" s="121">
        <f>IFERROR(VLOOKUP(A1737,PARTIDAS!A:F,6,FALSE()),0)</f>
        <v>1</v>
      </c>
      <c r="O1737" s="123">
        <f t="shared" si="565"/>
        <v>0</v>
      </c>
      <c r="P1737" s="123">
        <f>+_xlfn.XLOOKUP(A1737,PPTO_GENERADOR!Q:Q,PPTO_GENERADOR!E:E,"-",0)</f>
        <v>1</v>
      </c>
      <c r="Q1737" s="123">
        <f t="shared" si="566"/>
        <v>0</v>
      </c>
      <c r="R1737" s="125">
        <f>+_xlfn.XLOOKUP(A1737,PPTO_GENERADOR!$Q:$Q,PPTO_GENERADOR!A:A,"-",0)</f>
        <v>18.14</v>
      </c>
    </row>
    <row r="1738" spans="1:18" ht="14.25" customHeight="1" x14ac:dyDescent="0.35">
      <c r="A1738" s="105" t="s">
        <v>310</v>
      </c>
      <c r="B1738" s="105" t="s">
        <v>1981</v>
      </c>
      <c r="C1738" s="105" t="s">
        <v>1982</v>
      </c>
      <c r="D1738" s="105" t="s">
        <v>1139</v>
      </c>
      <c r="E1738" s="95" t="str">
        <f>IFERROR(VLOOKUP(D1738,MATERIALES!A:B,2,FALSE()),"?")</f>
        <v>CONTRAF ABISAG.CALADO 10BIP S9000 300X300</v>
      </c>
      <c r="F1738" s="129" t="str">
        <f>IFERROR(VLOOKUP(D1738,MATERIALES!A:C,3,FALSE()),"?")</f>
        <v>u</v>
      </c>
      <c r="G1738" s="119">
        <v>1</v>
      </c>
      <c r="H1738" s="120">
        <v>0</v>
      </c>
      <c r="I1738" s="96">
        <f>IFERROR(VLOOKUP(D1738,MATERIALES!A:D,4,FALSE()),0)</f>
        <v>36421.710251443103</v>
      </c>
      <c r="J1738" s="31">
        <f t="shared" si="562"/>
        <v>36421.710251443103</v>
      </c>
      <c r="K1738" s="32" t="str">
        <f t="shared" si="563"/>
        <v>PTO-1814|MAT</v>
      </c>
      <c r="L1738" s="32">
        <f>COUNTIFS($K$2:K1738,K1738)</f>
        <v>8</v>
      </c>
      <c r="M1738" s="32" t="str">
        <f t="shared" si="564"/>
        <v>PTO-1814|MAT|8</v>
      </c>
      <c r="N1738" s="121">
        <f>IFERROR(VLOOKUP(A1738,PARTIDAS!A:F,6,FALSE()),0)</f>
        <v>1</v>
      </c>
      <c r="O1738" s="123">
        <f t="shared" si="565"/>
        <v>0</v>
      </c>
      <c r="P1738" s="123">
        <f>+_xlfn.XLOOKUP(A1738,PPTO_GENERADOR!Q:Q,PPTO_GENERADOR!E:E,"-",0)</f>
        <v>1</v>
      </c>
      <c r="Q1738" s="123">
        <f t="shared" si="566"/>
        <v>0</v>
      </c>
      <c r="R1738" s="125">
        <f>+_xlfn.XLOOKUP(A1738,PPTO_GENERADOR!$Q:$Q,PPTO_GENERADOR!A:A,"-",0)</f>
        <v>18.14</v>
      </c>
    </row>
    <row r="1739" spans="1:18" ht="14.25" customHeight="1" x14ac:dyDescent="0.35">
      <c r="A1739" s="105" t="s">
        <v>310</v>
      </c>
      <c r="B1739" s="105" t="s">
        <v>1981</v>
      </c>
      <c r="C1739" s="105" t="s">
        <v>1982</v>
      </c>
      <c r="D1739" s="105" t="s">
        <v>559</v>
      </c>
      <c r="E1739" s="95" t="str">
        <f>IFERROR(VLOOKUP(D1739,MATERIALES!A:B,2,FALSE()),"?")</f>
        <v>CONSUMIBLES (varios)</v>
      </c>
      <c r="F1739" s="129" t="str">
        <f>IFERROR(VLOOKUP(D1739,MATERIALES!A:C,3,FALSE()),"?")</f>
        <v>gl</v>
      </c>
      <c r="G1739" s="119">
        <v>45723.42</v>
      </c>
      <c r="H1739" s="120">
        <v>0</v>
      </c>
      <c r="I1739" s="96">
        <f>IFERROR(VLOOKUP(D1739,MATERIALES!A:D,4,FALSE()),0)</f>
        <v>1</v>
      </c>
      <c r="J1739" s="31">
        <f t="shared" si="562"/>
        <v>45723.42</v>
      </c>
      <c r="K1739" s="32" t="str">
        <f t="shared" si="563"/>
        <v>PTO-1814|MAT</v>
      </c>
      <c r="L1739" s="32">
        <f>COUNTIFS($K$2:K1739,K1739)</f>
        <v>9</v>
      </c>
      <c r="M1739" s="32" t="str">
        <f t="shared" si="564"/>
        <v>PTO-1814|MAT|9</v>
      </c>
      <c r="N1739" s="121">
        <f>IFERROR(VLOOKUP(A1739,PARTIDAS!A:F,6,FALSE()),0)</f>
        <v>1</v>
      </c>
      <c r="O1739" s="123">
        <f t="shared" si="565"/>
        <v>0</v>
      </c>
      <c r="P1739" s="123">
        <f>+_xlfn.XLOOKUP(A1739,PPTO_GENERADOR!Q:Q,PPTO_GENERADOR!E:E,"-",0)</f>
        <v>1</v>
      </c>
      <c r="Q1739" s="123">
        <f t="shared" si="566"/>
        <v>0</v>
      </c>
      <c r="R1739" s="125">
        <f>+_xlfn.XLOOKUP(A1739,PPTO_GENERADOR!$Q:$Q,PPTO_GENERADOR!A:A,"-",0)</f>
        <v>18.14</v>
      </c>
    </row>
    <row r="1740" spans="1:18" ht="14.25" customHeight="1" x14ac:dyDescent="0.35">
      <c r="A1740" s="105" t="s">
        <v>312</v>
      </c>
      <c r="B1740" s="105" t="s">
        <v>1981</v>
      </c>
      <c r="C1740" s="105" t="s">
        <v>1982</v>
      </c>
      <c r="D1740" s="105" t="s">
        <v>1103</v>
      </c>
      <c r="E1740" s="95" t="str">
        <f>IFERROR(VLOOKUP(D1740,MATERIALES!A:B,2,FALSE()),"?")</f>
        <v>STECK TM BIPOLAR 16A 6KA</v>
      </c>
      <c r="F1740" s="129" t="str">
        <f>IFERROR(VLOOKUP(D1740,MATERIALES!A:C,3,FALSE()),"?")</f>
        <v>u</v>
      </c>
      <c r="G1740" s="119">
        <v>1</v>
      </c>
      <c r="H1740" s="120">
        <v>0</v>
      </c>
      <c r="I1740" s="96">
        <f>IFERROR(VLOOKUP(D1740,MATERIALES!A:D,4,FALSE()),0)</f>
        <v>5688.7390030904999</v>
      </c>
      <c r="J1740" s="31">
        <f t="shared" si="562"/>
        <v>5688.7390030904999</v>
      </c>
      <c r="K1740" s="32" t="str">
        <f t="shared" si="563"/>
        <v>PTO-1815|MAT</v>
      </c>
      <c r="L1740" s="32">
        <f>COUNTIFS($K$2:K1740,K1740)</f>
        <v>2</v>
      </c>
      <c r="M1740" s="32" t="str">
        <f t="shared" si="564"/>
        <v>PTO-1815|MAT|2</v>
      </c>
      <c r="N1740" s="121">
        <f>IFERROR(VLOOKUP(A1740,PARTIDAS!A:F,6,FALSE()),0)</f>
        <v>1</v>
      </c>
      <c r="O1740" s="123">
        <f t="shared" si="565"/>
        <v>0</v>
      </c>
      <c r="P1740" s="123">
        <f>+_xlfn.XLOOKUP(A1740,PPTO_GENERADOR!Q:Q,PPTO_GENERADOR!E:E,"-",0)</f>
        <v>11</v>
      </c>
      <c r="Q1740" s="123">
        <f t="shared" si="566"/>
        <v>0</v>
      </c>
      <c r="R1740" s="125">
        <f>+_xlfn.XLOOKUP(A1740,PPTO_GENERADOR!$Q:$Q,PPTO_GENERADOR!A:A,"-",0)</f>
        <v>18.149999999999999</v>
      </c>
    </row>
    <row r="1741" spans="1:18" ht="14.25" customHeight="1" x14ac:dyDescent="0.35">
      <c r="A1741" s="105" t="s">
        <v>312</v>
      </c>
      <c r="B1741" s="105" t="s">
        <v>1981</v>
      </c>
      <c r="C1741" s="105" t="s">
        <v>1982</v>
      </c>
      <c r="D1741" s="105" t="s">
        <v>1103</v>
      </c>
      <c r="E1741" s="95" t="str">
        <f>IFERROR(VLOOKUP(D1741,MATERIALES!A:B,2,FALSE()),"?")</f>
        <v>STECK TM BIPOLAR 16A 6KA</v>
      </c>
      <c r="F1741" s="129" t="str">
        <f>IFERROR(VLOOKUP(D1741,MATERIALES!A:C,3,FALSE()),"?")</f>
        <v>u</v>
      </c>
      <c r="G1741" s="119">
        <v>4</v>
      </c>
      <c r="H1741" s="120">
        <v>0</v>
      </c>
      <c r="I1741" s="96">
        <f>IFERROR(VLOOKUP(D1741,MATERIALES!A:D,4,FALSE()),0)</f>
        <v>5688.7390030904999</v>
      </c>
      <c r="J1741" s="31">
        <f t="shared" si="562"/>
        <v>22754.956012361999</v>
      </c>
      <c r="K1741" s="32" t="str">
        <f t="shared" si="563"/>
        <v>PTO-1815|MAT</v>
      </c>
      <c r="L1741" s="32">
        <f>COUNTIFS($K$2:K1741,K1741)</f>
        <v>3</v>
      </c>
      <c r="M1741" s="32" t="str">
        <f t="shared" si="564"/>
        <v>PTO-1815|MAT|3</v>
      </c>
      <c r="N1741" s="121">
        <f>IFERROR(VLOOKUP(A1741,PARTIDAS!A:F,6,FALSE()),0)</f>
        <v>1</v>
      </c>
      <c r="O1741" s="123">
        <f t="shared" si="565"/>
        <v>0</v>
      </c>
      <c r="P1741" s="123">
        <f>+_xlfn.XLOOKUP(A1741,PPTO_GENERADOR!Q:Q,PPTO_GENERADOR!E:E,"-",0)</f>
        <v>11</v>
      </c>
      <c r="Q1741" s="123">
        <f t="shared" si="566"/>
        <v>0</v>
      </c>
      <c r="R1741" s="125">
        <f>+_xlfn.XLOOKUP(A1741,PPTO_GENERADOR!$Q:$Q,PPTO_GENERADOR!A:A,"-",0)</f>
        <v>18.149999999999999</v>
      </c>
    </row>
    <row r="1742" spans="1:18" ht="14.25" customHeight="1" x14ac:dyDescent="0.35">
      <c r="A1742" s="105" t="s">
        <v>312</v>
      </c>
      <c r="B1742" s="105" t="s">
        <v>1981</v>
      </c>
      <c r="C1742" s="105" t="s">
        <v>1982</v>
      </c>
      <c r="D1742" s="105" t="s">
        <v>1095</v>
      </c>
      <c r="E1742" s="95" t="str">
        <f>IFERROR(VLOOKUP(D1742,MATERIALES!A:B,2,FALSE()),"?")</f>
        <v>STECK DIFERENCIAL 2X25A 30MA</v>
      </c>
      <c r="F1742" s="129" t="str">
        <f>IFERROR(VLOOKUP(D1742,MATERIALES!A:C,3,FALSE()),"?")</f>
        <v>u</v>
      </c>
      <c r="G1742" s="119">
        <v>1</v>
      </c>
      <c r="H1742" s="120">
        <v>0</v>
      </c>
      <c r="I1742" s="96">
        <f>IFERROR(VLOOKUP(D1742,MATERIALES!A:D,4,FALSE()),0)</f>
        <v>20196.092406751999</v>
      </c>
      <c r="J1742" s="31">
        <f t="shared" si="562"/>
        <v>20196.092406751999</v>
      </c>
      <c r="K1742" s="32" t="str">
        <f t="shared" si="563"/>
        <v>PTO-1815|MAT</v>
      </c>
      <c r="L1742" s="32">
        <f>COUNTIFS($K$2:K1742,K1742)</f>
        <v>4</v>
      </c>
      <c r="M1742" s="32" t="str">
        <f t="shared" si="564"/>
        <v>PTO-1815|MAT|4</v>
      </c>
      <c r="N1742" s="121">
        <f>IFERROR(VLOOKUP(A1742,PARTIDAS!A:F,6,FALSE()),0)</f>
        <v>1</v>
      </c>
      <c r="O1742" s="123">
        <f t="shared" si="565"/>
        <v>0</v>
      </c>
      <c r="P1742" s="123">
        <f>+_xlfn.XLOOKUP(A1742,PPTO_GENERADOR!Q:Q,PPTO_GENERADOR!E:E,"-",0)</f>
        <v>11</v>
      </c>
      <c r="Q1742" s="123">
        <f t="shared" si="566"/>
        <v>0</v>
      </c>
      <c r="R1742" s="125">
        <f>+_xlfn.XLOOKUP(A1742,PPTO_GENERADOR!$Q:$Q,PPTO_GENERADOR!A:A,"-",0)</f>
        <v>18.149999999999999</v>
      </c>
    </row>
    <row r="1743" spans="1:18" ht="14.25" customHeight="1" x14ac:dyDescent="0.35">
      <c r="A1743" s="105" t="s">
        <v>312</v>
      </c>
      <c r="B1743" s="105" t="s">
        <v>1981</v>
      </c>
      <c r="C1743" s="105" t="s">
        <v>1982</v>
      </c>
      <c r="D1743" s="105" t="s">
        <v>1095</v>
      </c>
      <c r="E1743" s="95" t="str">
        <f>IFERROR(VLOOKUP(D1743,MATERIALES!A:B,2,FALSE()),"?")</f>
        <v>STECK DIFERENCIAL 2X25A 30MA</v>
      </c>
      <c r="F1743" s="129" t="str">
        <f>IFERROR(VLOOKUP(D1743,MATERIALES!A:C,3,FALSE()),"?")</f>
        <v>u</v>
      </c>
      <c r="G1743" s="119">
        <v>2</v>
      </c>
      <c r="H1743" s="120">
        <v>0</v>
      </c>
      <c r="I1743" s="96">
        <f>IFERROR(VLOOKUP(D1743,MATERIALES!A:D,4,FALSE()),0)</f>
        <v>20196.092406751999</v>
      </c>
      <c r="J1743" s="31">
        <f t="shared" si="562"/>
        <v>40392.184813503998</v>
      </c>
      <c r="K1743" s="32" t="str">
        <f t="shared" si="563"/>
        <v>PTO-1815|MAT</v>
      </c>
      <c r="L1743" s="32">
        <f>COUNTIFS($K$2:K1743,K1743)</f>
        <v>5</v>
      </c>
      <c r="M1743" s="32" t="str">
        <f t="shared" si="564"/>
        <v>PTO-1815|MAT|5</v>
      </c>
      <c r="N1743" s="121">
        <f>IFERROR(VLOOKUP(A1743,PARTIDAS!A:F,6,FALSE()),0)</f>
        <v>1</v>
      </c>
      <c r="O1743" s="123">
        <f t="shared" si="565"/>
        <v>0</v>
      </c>
      <c r="P1743" s="123">
        <f>+_xlfn.XLOOKUP(A1743,PPTO_GENERADOR!Q:Q,PPTO_GENERADOR!E:E,"-",0)</f>
        <v>11</v>
      </c>
      <c r="Q1743" s="123">
        <f t="shared" si="566"/>
        <v>0</v>
      </c>
      <c r="R1743" s="125">
        <f>+_xlfn.XLOOKUP(A1743,PPTO_GENERADOR!$Q:$Q,PPTO_GENERADOR!A:A,"-",0)</f>
        <v>18.149999999999999</v>
      </c>
    </row>
    <row r="1744" spans="1:18" ht="14.25" customHeight="1" x14ac:dyDescent="0.35">
      <c r="A1744" s="105" t="s">
        <v>312</v>
      </c>
      <c r="B1744" s="105" t="s">
        <v>1981</v>
      </c>
      <c r="C1744" s="105" t="s">
        <v>1982</v>
      </c>
      <c r="D1744" s="105" t="s">
        <v>1141</v>
      </c>
      <c r="E1744" s="95" t="str">
        <f>IFERROR(VLOOKUP(D1744,MATERIALES!A:B,2,FALSE()),"?")</f>
        <v>CAJA EMB P/ TM 36 POLOS BC T/FUME</v>
      </c>
      <c r="F1744" s="129" t="str">
        <f>IFERROR(VLOOKUP(D1744,MATERIALES!A:C,3,FALSE()),"?")</f>
        <v>u</v>
      </c>
      <c r="G1744" s="119">
        <v>1</v>
      </c>
      <c r="H1744" s="120">
        <v>0</v>
      </c>
      <c r="I1744" s="96">
        <f>IFERROR(VLOOKUP(D1744,MATERIALES!A:D,4,FALSE()),0)</f>
        <v>29395.083658672698</v>
      </c>
      <c r="J1744" s="31">
        <f t="shared" si="562"/>
        <v>29395.083658672698</v>
      </c>
      <c r="K1744" s="32" t="str">
        <f t="shared" si="563"/>
        <v>PTO-1815|MAT</v>
      </c>
      <c r="L1744" s="32">
        <f>COUNTIFS($K$2:K1744,K1744)</f>
        <v>6</v>
      </c>
      <c r="M1744" s="32" t="str">
        <f t="shared" si="564"/>
        <v>PTO-1815|MAT|6</v>
      </c>
      <c r="N1744" s="121">
        <f>IFERROR(VLOOKUP(A1744,PARTIDAS!A:F,6,FALSE()),0)</f>
        <v>1</v>
      </c>
      <c r="O1744" s="123">
        <f t="shared" si="565"/>
        <v>0</v>
      </c>
      <c r="P1744" s="123">
        <f>+_xlfn.XLOOKUP(A1744,PPTO_GENERADOR!Q:Q,PPTO_GENERADOR!E:E,"-",0)</f>
        <v>11</v>
      </c>
      <c r="Q1744" s="123">
        <f t="shared" si="566"/>
        <v>0</v>
      </c>
      <c r="R1744" s="125">
        <f>+_xlfn.XLOOKUP(A1744,PPTO_GENERADOR!$Q:$Q,PPTO_GENERADOR!A:A,"-",0)</f>
        <v>18.149999999999999</v>
      </c>
    </row>
    <row r="1745" spans="1:18" ht="14.25" customHeight="1" x14ac:dyDescent="0.35">
      <c r="A1745" s="105" t="s">
        <v>312</v>
      </c>
      <c r="B1745" s="105" t="s">
        <v>1981</v>
      </c>
      <c r="C1745" s="105" t="s">
        <v>1982</v>
      </c>
      <c r="D1745" s="105" t="s">
        <v>559</v>
      </c>
      <c r="E1745" s="95" t="str">
        <f>IFERROR(VLOOKUP(D1745,MATERIALES!A:B,2,FALSE()),"?")</f>
        <v>CONSUMIBLES (varios)</v>
      </c>
      <c r="F1745" s="129" t="str">
        <f>IFERROR(VLOOKUP(D1745,MATERIALES!A:C,3,FALSE()),"?")</f>
        <v>gl</v>
      </c>
      <c r="G1745" s="119">
        <v>12411.58</v>
      </c>
      <c r="H1745" s="120">
        <v>0</v>
      </c>
      <c r="I1745" s="96">
        <f>IFERROR(VLOOKUP(D1745,MATERIALES!A:D,4,FALSE()),0)</f>
        <v>1</v>
      </c>
      <c r="J1745" s="31">
        <f t="shared" si="562"/>
        <v>12411.58</v>
      </c>
      <c r="K1745" s="32" t="str">
        <f t="shared" si="563"/>
        <v>PTO-1815|MAT</v>
      </c>
      <c r="L1745" s="32">
        <f>COUNTIFS($K$2:K1745,K1745)</f>
        <v>7</v>
      </c>
      <c r="M1745" s="32" t="str">
        <f t="shared" si="564"/>
        <v>PTO-1815|MAT|7</v>
      </c>
      <c r="N1745" s="121">
        <f>IFERROR(VLOOKUP(A1745,PARTIDAS!A:F,6,FALSE()),0)</f>
        <v>1</v>
      </c>
      <c r="O1745" s="123">
        <f t="shared" si="565"/>
        <v>0</v>
      </c>
      <c r="P1745" s="123">
        <f>+_xlfn.XLOOKUP(A1745,PPTO_GENERADOR!Q:Q,PPTO_GENERADOR!E:E,"-",0)</f>
        <v>11</v>
      </c>
      <c r="Q1745" s="123">
        <f t="shared" si="566"/>
        <v>0</v>
      </c>
      <c r="R1745" s="125">
        <f>+_xlfn.XLOOKUP(A1745,PPTO_GENERADOR!$Q:$Q,PPTO_GENERADOR!A:A,"-",0)</f>
        <v>18.149999999999999</v>
      </c>
    </row>
    <row r="1746" spans="1:18" ht="14.25" customHeight="1" x14ac:dyDescent="0.35">
      <c r="A1746" s="105" t="s">
        <v>314</v>
      </c>
      <c r="B1746" s="105" t="s">
        <v>1981</v>
      </c>
      <c r="C1746" s="105" t="s">
        <v>1982</v>
      </c>
      <c r="D1746" s="105" t="s">
        <v>1095</v>
      </c>
      <c r="E1746" s="95" t="str">
        <f>IFERROR(VLOOKUP(D1746,MATERIALES!A:B,2,FALSE()),"?")</f>
        <v>STECK DIFERENCIAL 2X25A 30MA</v>
      </c>
      <c r="F1746" s="129" t="str">
        <f>IFERROR(VLOOKUP(D1746,MATERIALES!A:C,3,FALSE()),"?")</f>
        <v>u</v>
      </c>
      <c r="G1746" s="119">
        <v>3</v>
      </c>
      <c r="H1746" s="120">
        <v>0</v>
      </c>
      <c r="I1746" s="96">
        <f>IFERROR(VLOOKUP(D1746,MATERIALES!A:D,4,FALSE()),0)</f>
        <v>20196.092406751999</v>
      </c>
      <c r="J1746" s="31">
        <f t="shared" si="562"/>
        <v>60588.277220256001</v>
      </c>
      <c r="K1746" s="32" t="str">
        <f t="shared" si="563"/>
        <v>PTO-1816|MAT</v>
      </c>
      <c r="L1746" s="32">
        <f>COUNTIFS($K$2:K1746,K1746)</f>
        <v>2</v>
      </c>
      <c r="M1746" s="32" t="str">
        <f t="shared" si="564"/>
        <v>PTO-1816|MAT|2</v>
      </c>
      <c r="N1746" s="121">
        <f>IFERROR(VLOOKUP(A1746,PARTIDAS!A:F,6,FALSE()),0)</f>
        <v>1</v>
      </c>
      <c r="O1746" s="123">
        <f t="shared" si="565"/>
        <v>0</v>
      </c>
      <c r="P1746" s="123">
        <f>+_xlfn.XLOOKUP(A1746,PPTO_GENERADOR!Q:Q,PPTO_GENERADOR!E:E,"-",0)</f>
        <v>14</v>
      </c>
      <c r="Q1746" s="123">
        <f t="shared" si="566"/>
        <v>0</v>
      </c>
      <c r="R1746" s="125">
        <f>+_xlfn.XLOOKUP(A1746,PPTO_GENERADOR!$Q:$Q,PPTO_GENERADOR!A:A,"-",0)</f>
        <v>18.16</v>
      </c>
    </row>
    <row r="1747" spans="1:18" ht="14.25" customHeight="1" x14ac:dyDescent="0.35">
      <c r="A1747" s="105" t="s">
        <v>314</v>
      </c>
      <c r="B1747" s="105" t="s">
        <v>1981</v>
      </c>
      <c r="C1747" s="105" t="s">
        <v>1982</v>
      </c>
      <c r="D1747" s="105" t="s">
        <v>1143</v>
      </c>
      <c r="E1747" s="95" t="str">
        <f>IFERROR(VLOOKUP(D1747,MATERIALES!A:B,2,FALSE()),"?")</f>
        <v>STECK TM TETRAPOLAR 16A 6KA</v>
      </c>
      <c r="F1747" s="129" t="str">
        <f>IFERROR(VLOOKUP(D1747,MATERIALES!A:C,3,FALSE()),"?")</f>
        <v>u</v>
      </c>
      <c r="G1747" s="119">
        <v>1</v>
      </c>
      <c r="H1747" s="120">
        <v>0</v>
      </c>
      <c r="I1747" s="96">
        <f>IFERROR(VLOOKUP(D1747,MATERIALES!A:D,4,FALSE()),0)</f>
        <v>12011.3461770173</v>
      </c>
      <c r="J1747" s="31">
        <f t="shared" si="562"/>
        <v>12011.3461770173</v>
      </c>
      <c r="K1747" s="32" t="str">
        <f t="shared" si="563"/>
        <v>PTO-1816|MAT</v>
      </c>
      <c r="L1747" s="32">
        <f>COUNTIFS($K$2:K1747,K1747)</f>
        <v>3</v>
      </c>
      <c r="M1747" s="32" t="str">
        <f t="shared" si="564"/>
        <v>PTO-1816|MAT|3</v>
      </c>
      <c r="N1747" s="121">
        <f>IFERROR(VLOOKUP(A1747,PARTIDAS!A:F,6,FALSE()),0)</f>
        <v>1</v>
      </c>
      <c r="O1747" s="123">
        <f t="shared" si="565"/>
        <v>0</v>
      </c>
      <c r="P1747" s="123">
        <f>+_xlfn.XLOOKUP(A1747,PPTO_GENERADOR!Q:Q,PPTO_GENERADOR!E:E,"-",0)</f>
        <v>14</v>
      </c>
      <c r="Q1747" s="123">
        <f t="shared" si="566"/>
        <v>0</v>
      </c>
      <c r="R1747" s="125">
        <f>+_xlfn.XLOOKUP(A1747,PPTO_GENERADOR!$Q:$Q,PPTO_GENERADOR!A:A,"-",0)</f>
        <v>18.16</v>
      </c>
    </row>
    <row r="1748" spans="1:18" ht="14.25" customHeight="1" x14ac:dyDescent="0.35">
      <c r="A1748" s="105" t="s">
        <v>314</v>
      </c>
      <c r="B1748" s="105" t="s">
        <v>1981</v>
      </c>
      <c r="C1748" s="105" t="s">
        <v>1982</v>
      </c>
      <c r="D1748" s="105" t="s">
        <v>1103</v>
      </c>
      <c r="E1748" s="95" t="str">
        <f>IFERROR(VLOOKUP(D1748,MATERIALES!A:B,2,FALSE()),"?")</f>
        <v>STECK TM BIPOLAR 16A 6KA</v>
      </c>
      <c r="F1748" s="129" t="str">
        <f>IFERROR(VLOOKUP(D1748,MATERIALES!A:C,3,FALSE()),"?")</f>
        <v>u</v>
      </c>
      <c r="G1748" s="119">
        <v>2</v>
      </c>
      <c r="H1748" s="120">
        <v>0</v>
      </c>
      <c r="I1748" s="96">
        <f>IFERROR(VLOOKUP(D1748,MATERIALES!A:D,4,FALSE()),0)</f>
        <v>5688.7390030904999</v>
      </c>
      <c r="J1748" s="31">
        <f t="shared" si="562"/>
        <v>11377.478006181</v>
      </c>
      <c r="K1748" s="32" t="str">
        <f t="shared" si="563"/>
        <v>PTO-1816|MAT</v>
      </c>
      <c r="L1748" s="32">
        <f>COUNTIFS($K$2:K1748,K1748)</f>
        <v>4</v>
      </c>
      <c r="M1748" s="32" t="str">
        <f t="shared" si="564"/>
        <v>PTO-1816|MAT|4</v>
      </c>
      <c r="N1748" s="121">
        <f>IFERROR(VLOOKUP(A1748,PARTIDAS!A:F,6,FALSE()),0)</f>
        <v>1</v>
      </c>
      <c r="O1748" s="123">
        <f t="shared" si="565"/>
        <v>0</v>
      </c>
      <c r="P1748" s="123">
        <f>+_xlfn.XLOOKUP(A1748,PPTO_GENERADOR!Q:Q,PPTO_GENERADOR!E:E,"-",0)</f>
        <v>14</v>
      </c>
      <c r="Q1748" s="123">
        <f t="shared" si="566"/>
        <v>0</v>
      </c>
      <c r="R1748" s="125">
        <f>+_xlfn.XLOOKUP(A1748,PPTO_GENERADOR!$Q:$Q,PPTO_GENERADOR!A:A,"-",0)</f>
        <v>18.16</v>
      </c>
    </row>
    <row r="1749" spans="1:18" ht="14.25" customHeight="1" x14ac:dyDescent="0.35">
      <c r="A1749" s="105" t="s">
        <v>314</v>
      </c>
      <c r="B1749" s="105" t="s">
        <v>1981</v>
      </c>
      <c r="C1749" s="105" t="s">
        <v>1982</v>
      </c>
      <c r="D1749" s="105" t="s">
        <v>1101</v>
      </c>
      <c r="E1749" s="95" t="str">
        <f>IFERROR(VLOOKUP(D1749,MATERIALES!A:B,2,FALSE()),"?")</f>
        <v>STECK TM BIPOLAR 10A 6KA</v>
      </c>
      <c r="F1749" s="129" t="str">
        <f>IFERROR(VLOOKUP(D1749,MATERIALES!A:C,3,FALSE()),"?")</f>
        <v>u</v>
      </c>
      <c r="G1749" s="119">
        <v>2</v>
      </c>
      <c r="H1749" s="120">
        <v>0</v>
      </c>
      <c r="I1749" s="96">
        <f>IFERROR(VLOOKUP(D1749,MATERIALES!A:D,4,FALSE()),0)</f>
        <v>5688.7390030904999</v>
      </c>
      <c r="J1749" s="31">
        <f t="shared" si="562"/>
        <v>11377.478006181</v>
      </c>
      <c r="K1749" s="32" t="str">
        <f t="shared" si="563"/>
        <v>PTO-1816|MAT</v>
      </c>
      <c r="L1749" s="32">
        <f>COUNTIFS($K$2:K1749,K1749)</f>
        <v>5</v>
      </c>
      <c r="M1749" s="32" t="str">
        <f t="shared" si="564"/>
        <v>PTO-1816|MAT|5</v>
      </c>
      <c r="N1749" s="121">
        <f>IFERROR(VLOOKUP(A1749,PARTIDAS!A:F,6,FALSE()),0)</f>
        <v>1</v>
      </c>
      <c r="O1749" s="123">
        <f t="shared" si="565"/>
        <v>0</v>
      </c>
      <c r="P1749" s="123">
        <f>+_xlfn.XLOOKUP(A1749,PPTO_GENERADOR!Q:Q,PPTO_GENERADOR!E:E,"-",0)</f>
        <v>14</v>
      </c>
      <c r="Q1749" s="123">
        <f t="shared" si="566"/>
        <v>0</v>
      </c>
      <c r="R1749" s="125">
        <f>+_xlfn.XLOOKUP(A1749,PPTO_GENERADOR!$Q:$Q,PPTO_GENERADOR!A:A,"-",0)</f>
        <v>18.16</v>
      </c>
    </row>
    <row r="1750" spans="1:18" ht="14.25" customHeight="1" x14ac:dyDescent="0.35">
      <c r="A1750" s="105" t="s">
        <v>314</v>
      </c>
      <c r="B1750" s="105" t="s">
        <v>1981</v>
      </c>
      <c r="C1750" s="105" t="s">
        <v>1982</v>
      </c>
      <c r="D1750" s="105" t="s">
        <v>1103</v>
      </c>
      <c r="E1750" s="95" t="str">
        <f>IFERROR(VLOOKUP(D1750,MATERIALES!A:B,2,FALSE()),"?")</f>
        <v>STECK TM BIPOLAR 16A 6KA</v>
      </c>
      <c r="F1750" s="129" t="str">
        <f>IFERROR(VLOOKUP(D1750,MATERIALES!A:C,3,FALSE()),"?")</f>
        <v>u</v>
      </c>
      <c r="G1750" s="119">
        <v>5</v>
      </c>
      <c r="H1750" s="120">
        <v>0</v>
      </c>
      <c r="I1750" s="96">
        <f>IFERROR(VLOOKUP(D1750,MATERIALES!A:D,4,FALSE()),0)</f>
        <v>5688.7390030904999</v>
      </c>
      <c r="J1750" s="31">
        <f t="shared" si="562"/>
        <v>28443.6950154525</v>
      </c>
      <c r="K1750" s="32" t="str">
        <f t="shared" si="563"/>
        <v>PTO-1816|MAT</v>
      </c>
      <c r="L1750" s="32">
        <f>COUNTIFS($K$2:K1750,K1750)</f>
        <v>6</v>
      </c>
      <c r="M1750" s="32" t="str">
        <f t="shared" si="564"/>
        <v>PTO-1816|MAT|6</v>
      </c>
      <c r="N1750" s="121">
        <f>IFERROR(VLOOKUP(A1750,PARTIDAS!A:F,6,FALSE()),0)</f>
        <v>1</v>
      </c>
      <c r="O1750" s="123">
        <f t="shared" si="565"/>
        <v>0</v>
      </c>
      <c r="P1750" s="123">
        <f>+_xlfn.XLOOKUP(A1750,PPTO_GENERADOR!Q:Q,PPTO_GENERADOR!E:E,"-",0)</f>
        <v>14</v>
      </c>
      <c r="Q1750" s="123">
        <f t="shared" si="566"/>
        <v>0</v>
      </c>
      <c r="R1750" s="125">
        <f>+_xlfn.XLOOKUP(A1750,PPTO_GENERADOR!$Q:$Q,PPTO_GENERADOR!A:A,"-",0)</f>
        <v>18.16</v>
      </c>
    </row>
    <row r="1751" spans="1:18" ht="14.25" customHeight="1" x14ac:dyDescent="0.35">
      <c r="A1751" s="105" t="s">
        <v>314</v>
      </c>
      <c r="B1751" s="105" t="s">
        <v>1981</v>
      </c>
      <c r="C1751" s="105" t="s">
        <v>1982</v>
      </c>
      <c r="D1751" s="105" t="s">
        <v>1141</v>
      </c>
      <c r="E1751" s="95" t="str">
        <f>IFERROR(VLOOKUP(D1751,MATERIALES!A:B,2,FALSE()),"?")</f>
        <v>CAJA EMB P/ TM 36 POLOS BC T/FUME</v>
      </c>
      <c r="F1751" s="129" t="str">
        <f>IFERROR(VLOOKUP(D1751,MATERIALES!A:C,3,FALSE()),"?")</f>
        <v>u</v>
      </c>
      <c r="G1751" s="119">
        <v>1</v>
      </c>
      <c r="H1751" s="120">
        <v>0</v>
      </c>
      <c r="I1751" s="96">
        <f>IFERROR(VLOOKUP(D1751,MATERIALES!A:D,4,FALSE()),0)</f>
        <v>29395.083658672698</v>
      </c>
      <c r="J1751" s="31">
        <f t="shared" si="562"/>
        <v>29395.083658672698</v>
      </c>
      <c r="K1751" s="32" t="str">
        <f t="shared" si="563"/>
        <v>PTO-1816|MAT</v>
      </c>
      <c r="L1751" s="32">
        <f>COUNTIFS($K$2:K1751,K1751)</f>
        <v>7</v>
      </c>
      <c r="M1751" s="32" t="str">
        <f t="shared" si="564"/>
        <v>PTO-1816|MAT|7</v>
      </c>
      <c r="N1751" s="121">
        <f>IFERROR(VLOOKUP(A1751,PARTIDAS!A:F,6,FALSE()),0)</f>
        <v>1</v>
      </c>
      <c r="O1751" s="123">
        <f t="shared" si="565"/>
        <v>0</v>
      </c>
      <c r="P1751" s="123">
        <f>+_xlfn.XLOOKUP(A1751,PPTO_GENERADOR!Q:Q,PPTO_GENERADOR!E:E,"-",0)</f>
        <v>14</v>
      </c>
      <c r="Q1751" s="123">
        <f t="shared" si="566"/>
        <v>0</v>
      </c>
      <c r="R1751" s="125">
        <f>+_xlfn.XLOOKUP(A1751,PPTO_GENERADOR!$Q:$Q,PPTO_GENERADOR!A:A,"-",0)</f>
        <v>18.16</v>
      </c>
    </row>
    <row r="1752" spans="1:18" ht="14.25" customHeight="1" x14ac:dyDescent="0.35">
      <c r="A1752" s="105" t="s">
        <v>314</v>
      </c>
      <c r="B1752" s="105" t="s">
        <v>1981</v>
      </c>
      <c r="C1752" s="105" t="s">
        <v>1982</v>
      </c>
      <c r="D1752" s="105" t="s">
        <v>559</v>
      </c>
      <c r="E1752" s="95" t="str">
        <f>IFERROR(VLOOKUP(D1752,MATERIALES!A:B,2,FALSE()),"?")</f>
        <v>CONSUMIBLES (varios)</v>
      </c>
      <c r="F1752" s="129" t="str">
        <f>IFERROR(VLOOKUP(D1752,MATERIALES!A:C,3,FALSE()),"?")</f>
        <v>gl</v>
      </c>
      <c r="G1752" s="119">
        <v>19179.93</v>
      </c>
      <c r="H1752" s="120">
        <v>0</v>
      </c>
      <c r="I1752" s="96">
        <f>IFERROR(VLOOKUP(D1752,MATERIALES!A:D,4,FALSE()),0)</f>
        <v>1</v>
      </c>
      <c r="J1752" s="31">
        <f t="shared" si="562"/>
        <v>19179.93</v>
      </c>
      <c r="K1752" s="32" t="str">
        <f t="shared" si="563"/>
        <v>PTO-1816|MAT</v>
      </c>
      <c r="L1752" s="32">
        <f>COUNTIFS($K$2:K1752,K1752)</f>
        <v>8</v>
      </c>
      <c r="M1752" s="32" t="str">
        <f t="shared" si="564"/>
        <v>PTO-1816|MAT|8</v>
      </c>
      <c r="N1752" s="121">
        <f>IFERROR(VLOOKUP(A1752,PARTIDAS!A:F,6,FALSE()),0)</f>
        <v>1</v>
      </c>
      <c r="O1752" s="123">
        <f t="shared" si="565"/>
        <v>0</v>
      </c>
      <c r="P1752" s="123">
        <f>+_xlfn.XLOOKUP(A1752,PPTO_GENERADOR!Q:Q,PPTO_GENERADOR!E:E,"-",0)</f>
        <v>14</v>
      </c>
      <c r="Q1752" s="123">
        <f t="shared" si="566"/>
        <v>0</v>
      </c>
      <c r="R1752" s="125">
        <f>+_xlfn.XLOOKUP(A1752,PPTO_GENERADOR!$Q:$Q,PPTO_GENERADOR!A:A,"-",0)</f>
        <v>18.16</v>
      </c>
    </row>
    <row r="1753" spans="1:18" ht="14.25" customHeight="1" x14ac:dyDescent="0.35">
      <c r="A1753" s="105" t="s">
        <v>338</v>
      </c>
      <c r="B1753" s="105" t="s">
        <v>1981</v>
      </c>
      <c r="C1753" s="105" t="s">
        <v>1982</v>
      </c>
      <c r="D1753" s="105" t="s">
        <v>1147</v>
      </c>
      <c r="E1753" s="95" t="str">
        <f>IFERROR(VLOOKUP(D1753,MATERIALES!A:B,2,FALSE()),"?")</f>
        <v>AWA CODO MH 90*PPN.CLOACAL ø110 12/2008</v>
      </c>
      <c r="F1753" s="129" t="str">
        <f>IFERROR(VLOOKUP(D1753,MATERIALES!A:C,3,FALSE()),"?")</f>
        <v>u</v>
      </c>
      <c r="G1753" s="119">
        <v>4</v>
      </c>
      <c r="H1753" s="120">
        <v>0</v>
      </c>
      <c r="I1753" s="96">
        <f>IFERROR(VLOOKUP(D1753,MATERIALES!A:D,4,FALSE()),0)</f>
        <v>2245.1196804732999</v>
      </c>
      <c r="J1753" s="31">
        <f t="shared" si="562"/>
        <v>8980.4787218931997</v>
      </c>
      <c r="K1753" s="32" t="str">
        <f t="shared" si="563"/>
        <v>PTO-1901|MAT</v>
      </c>
      <c r="L1753" s="32">
        <f>COUNTIFS($K$2:K1753,K1753)</f>
        <v>2</v>
      </c>
      <c r="M1753" s="32" t="str">
        <f t="shared" si="564"/>
        <v>PTO-1901|MAT|2</v>
      </c>
      <c r="N1753" s="121">
        <f>IFERROR(VLOOKUP(A1753,PARTIDAS!A:F,6,FALSE()),0)</f>
        <v>1</v>
      </c>
      <c r="O1753" s="123">
        <f t="shared" si="565"/>
        <v>0</v>
      </c>
      <c r="P1753" s="123">
        <f>+_xlfn.XLOOKUP(A1753,PPTO_GENERADOR!Q:Q,PPTO_GENERADOR!E:E,"-",0)</f>
        <v>1</v>
      </c>
      <c r="Q1753" s="123">
        <f t="shared" si="566"/>
        <v>0</v>
      </c>
      <c r="R1753" s="125">
        <f>+_xlfn.XLOOKUP(A1753,PPTO_GENERADOR!$Q:$Q,PPTO_GENERADOR!A:A,"-",0)</f>
        <v>19.010000000000002</v>
      </c>
    </row>
    <row r="1754" spans="1:18" ht="14.25" customHeight="1" x14ac:dyDescent="0.35">
      <c r="A1754" s="105" t="s">
        <v>338</v>
      </c>
      <c r="B1754" s="105" t="s">
        <v>1981</v>
      </c>
      <c r="C1754" s="105" t="s">
        <v>1982</v>
      </c>
      <c r="D1754" s="105" t="s">
        <v>1149</v>
      </c>
      <c r="E1754" s="95" t="str">
        <f>IFERROR(VLOOKUP(D1754,MATERIALES!A:B,2,FALSE()),"?")</f>
        <v>AWA CODO MH 45*PPN CLOACAL.ø110 6/2004</v>
      </c>
      <c r="F1754" s="129" t="str">
        <f>IFERROR(VLOOKUP(D1754,MATERIALES!A:C,3,FALSE()),"?")</f>
        <v>u</v>
      </c>
      <c r="G1754" s="119">
        <v>5</v>
      </c>
      <c r="H1754" s="120">
        <v>0</v>
      </c>
      <c r="I1754" s="96">
        <f>IFERROR(VLOOKUP(D1754,MATERIALES!A:D,4,FALSE()),0)</f>
        <v>2066.7612083541999</v>
      </c>
      <c r="J1754" s="31">
        <f t="shared" si="562"/>
        <v>10333.806041771</v>
      </c>
      <c r="K1754" s="32" t="str">
        <f t="shared" si="563"/>
        <v>PTO-1901|MAT</v>
      </c>
      <c r="L1754" s="32">
        <f>COUNTIFS($K$2:K1754,K1754)</f>
        <v>3</v>
      </c>
      <c r="M1754" s="32" t="str">
        <f t="shared" si="564"/>
        <v>PTO-1901|MAT|3</v>
      </c>
      <c r="N1754" s="121">
        <f>IFERROR(VLOOKUP(A1754,PARTIDAS!A:F,6,FALSE()),0)</f>
        <v>1</v>
      </c>
      <c r="O1754" s="123">
        <f t="shared" si="565"/>
        <v>0</v>
      </c>
      <c r="P1754" s="123">
        <f>+_xlfn.XLOOKUP(A1754,PPTO_GENERADOR!Q:Q,PPTO_GENERADOR!E:E,"-",0)</f>
        <v>1</v>
      </c>
      <c r="Q1754" s="123">
        <f t="shared" si="566"/>
        <v>0</v>
      </c>
      <c r="R1754" s="125">
        <f>+_xlfn.XLOOKUP(A1754,PPTO_GENERADOR!$Q:$Q,PPTO_GENERADOR!A:A,"-",0)</f>
        <v>19.010000000000002</v>
      </c>
    </row>
    <row r="1755" spans="1:18" ht="14.25" customHeight="1" x14ac:dyDescent="0.35">
      <c r="A1755" s="105" t="s">
        <v>338</v>
      </c>
      <c r="B1755" s="105" t="s">
        <v>1981</v>
      </c>
      <c r="C1755" s="105" t="s">
        <v>1982</v>
      </c>
      <c r="D1755" s="105" t="s">
        <v>1151</v>
      </c>
      <c r="E1755" s="95" t="str">
        <f>IFERROR(VLOOKUP(D1755,MATERIALES!A:B,2,FALSE()),"?")</f>
        <v>AWA RAMAL 45*PPN CLOAC.ø110X110 5/2023</v>
      </c>
      <c r="F1755" s="129" t="str">
        <f>IFERROR(VLOOKUP(D1755,MATERIALES!A:C,3,FALSE()),"?")</f>
        <v>u</v>
      </c>
      <c r="G1755" s="119">
        <v>4</v>
      </c>
      <c r="H1755" s="120">
        <v>0</v>
      </c>
      <c r="I1755" s="96">
        <f>IFERROR(VLOOKUP(D1755,MATERIALES!A:D,4,FALSE()),0)</f>
        <v>4732.8959708098</v>
      </c>
      <c r="J1755" s="31">
        <f t="shared" si="562"/>
        <v>18931.5838832392</v>
      </c>
      <c r="K1755" s="32" t="str">
        <f t="shared" si="563"/>
        <v>PTO-1901|MAT</v>
      </c>
      <c r="L1755" s="32">
        <f>COUNTIFS($K$2:K1755,K1755)</f>
        <v>4</v>
      </c>
      <c r="M1755" s="32" t="str">
        <f t="shared" si="564"/>
        <v>PTO-1901|MAT|4</v>
      </c>
      <c r="N1755" s="121">
        <f>IFERROR(VLOOKUP(A1755,PARTIDAS!A:F,6,FALSE()),0)</f>
        <v>1</v>
      </c>
      <c r="O1755" s="123">
        <f t="shared" si="565"/>
        <v>0</v>
      </c>
      <c r="P1755" s="123">
        <f>+_xlfn.XLOOKUP(A1755,PPTO_GENERADOR!Q:Q,PPTO_GENERADOR!E:E,"-",0)</f>
        <v>1</v>
      </c>
      <c r="Q1755" s="123">
        <f t="shared" si="566"/>
        <v>0</v>
      </c>
      <c r="R1755" s="125">
        <f>+_xlfn.XLOOKUP(A1755,PPTO_GENERADOR!$Q:$Q,PPTO_GENERADOR!A:A,"-",0)</f>
        <v>19.010000000000002</v>
      </c>
    </row>
    <row r="1756" spans="1:18" ht="14.25" customHeight="1" x14ac:dyDescent="0.35">
      <c r="A1756" s="105" t="s">
        <v>338</v>
      </c>
      <c r="B1756" s="105" t="s">
        <v>1981</v>
      </c>
      <c r="C1756" s="105" t="s">
        <v>1982</v>
      </c>
      <c r="D1756" s="105" t="s">
        <v>1153</v>
      </c>
      <c r="E1756" s="95" t="str">
        <f>IFERROR(VLOOKUP(D1756,MATERIALES!A:B,2,FALSE()),"?")</f>
        <v>AWA GRAMPA RAPICLACK ø110 10/4170</v>
      </c>
      <c r="F1756" s="129" t="str">
        <f>IFERROR(VLOOKUP(D1756,MATERIALES!A:C,3,FALSE()),"?")</f>
        <v>u</v>
      </c>
      <c r="G1756" s="119">
        <v>12</v>
      </c>
      <c r="H1756" s="120">
        <v>0</v>
      </c>
      <c r="I1756" s="96">
        <f>IFERROR(VLOOKUP(D1756,MATERIALES!A:D,4,FALSE()),0)</f>
        <v>696.15430192739996</v>
      </c>
      <c r="J1756" s="31">
        <f t="shared" si="562"/>
        <v>8353.8516231287995</v>
      </c>
      <c r="K1756" s="32" t="str">
        <f t="shared" si="563"/>
        <v>PTO-1901|MAT</v>
      </c>
      <c r="L1756" s="32">
        <f>COUNTIFS($K$2:K1756,K1756)</f>
        <v>5</v>
      </c>
      <c r="M1756" s="32" t="str">
        <f t="shared" si="564"/>
        <v>PTO-1901|MAT|5</v>
      </c>
      <c r="N1756" s="121">
        <f>IFERROR(VLOOKUP(A1756,PARTIDAS!A:F,6,FALSE()),0)</f>
        <v>1</v>
      </c>
      <c r="O1756" s="123">
        <f t="shared" si="565"/>
        <v>0</v>
      </c>
      <c r="P1756" s="123">
        <f>+_xlfn.XLOOKUP(A1756,PPTO_GENERADOR!Q:Q,PPTO_GENERADOR!E:E,"-",0)</f>
        <v>1</v>
      </c>
      <c r="Q1756" s="123">
        <f t="shared" si="566"/>
        <v>0</v>
      </c>
      <c r="R1756" s="125">
        <f>+_xlfn.XLOOKUP(A1756,PPTO_GENERADOR!$Q:$Q,PPTO_GENERADOR!A:A,"-",0)</f>
        <v>19.010000000000002</v>
      </c>
    </row>
    <row r="1757" spans="1:18" ht="14.25" customHeight="1" x14ac:dyDescent="0.35">
      <c r="A1757" s="105" t="s">
        <v>338</v>
      </c>
      <c r="B1757" s="105" t="s">
        <v>1981</v>
      </c>
      <c r="C1757" s="105" t="s">
        <v>1982</v>
      </c>
      <c r="D1757" s="105" t="s">
        <v>1155</v>
      </c>
      <c r="E1757" s="95" t="str">
        <f>IFERROR(VLOOKUP(D1757,MATERIALES!A:B,2,FALSE()),"?")</f>
        <v>AWA CAÑO CAMARA PPN CLOACAL ø110 5/2065</v>
      </c>
      <c r="F1757" s="129" t="str">
        <f>IFERROR(VLOOKUP(D1757,MATERIALES!A:C,3,FALSE()),"?")</f>
        <v>u</v>
      </c>
      <c r="G1757" s="119">
        <v>4</v>
      </c>
      <c r="H1757" s="120">
        <v>0</v>
      </c>
      <c r="I1757" s="96">
        <f>IFERROR(VLOOKUP(D1757,MATERIALES!A:D,4,FALSE()),0)</f>
        <v>4922.6056034577005</v>
      </c>
      <c r="J1757" s="31">
        <f t="shared" si="562"/>
        <v>19690.422413830802</v>
      </c>
      <c r="K1757" s="32" t="str">
        <f t="shared" si="563"/>
        <v>PTO-1901|MAT</v>
      </c>
      <c r="L1757" s="32">
        <f>COUNTIFS($K$2:K1757,K1757)</f>
        <v>6</v>
      </c>
      <c r="M1757" s="32" t="str">
        <f t="shared" si="564"/>
        <v>PTO-1901|MAT|6</v>
      </c>
      <c r="N1757" s="121">
        <f>IFERROR(VLOOKUP(A1757,PARTIDAS!A:F,6,FALSE()),0)</f>
        <v>1</v>
      </c>
      <c r="O1757" s="123">
        <f t="shared" si="565"/>
        <v>0</v>
      </c>
      <c r="P1757" s="123">
        <f>+_xlfn.XLOOKUP(A1757,PPTO_GENERADOR!Q:Q,PPTO_GENERADOR!E:E,"-",0)</f>
        <v>1</v>
      </c>
      <c r="Q1757" s="123">
        <f t="shared" si="566"/>
        <v>0</v>
      </c>
      <c r="R1757" s="125">
        <f>+_xlfn.XLOOKUP(A1757,PPTO_GENERADOR!$Q:$Q,PPTO_GENERADOR!A:A,"-",0)</f>
        <v>19.010000000000002</v>
      </c>
    </row>
    <row r="1758" spans="1:18" ht="14.25" customHeight="1" x14ac:dyDescent="0.35">
      <c r="A1758" s="105" t="s">
        <v>338</v>
      </c>
      <c r="B1758" s="105" t="s">
        <v>1981</v>
      </c>
      <c r="C1758" s="105" t="s">
        <v>1982</v>
      </c>
      <c r="D1758" s="105" t="s">
        <v>1157</v>
      </c>
      <c r="E1758" s="95" t="str">
        <f>IFERROR(VLOOKUP(D1758,MATERIALES!A:B,2,FALSE()),"?")</f>
        <v>AWA MANG/CUPLA PPN CLOAC.ø110 10/2016</v>
      </c>
      <c r="F1758" s="129" t="str">
        <f>IFERROR(VLOOKUP(D1758,MATERIALES!A:C,3,FALSE()),"?")</f>
        <v>u</v>
      </c>
      <c r="G1758" s="119">
        <v>12</v>
      </c>
      <c r="H1758" s="120">
        <v>0</v>
      </c>
      <c r="I1758" s="96">
        <f>IFERROR(VLOOKUP(D1758,MATERIALES!A:D,4,FALSE()),0)</f>
        <v>2137.1599224204001</v>
      </c>
      <c r="J1758" s="31">
        <f t="shared" si="562"/>
        <v>25645.919069044801</v>
      </c>
      <c r="K1758" s="32" t="str">
        <f t="shared" si="563"/>
        <v>PTO-1901|MAT</v>
      </c>
      <c r="L1758" s="32">
        <f>COUNTIFS($K$2:K1758,K1758)</f>
        <v>7</v>
      </c>
      <c r="M1758" s="32" t="str">
        <f t="shared" si="564"/>
        <v>PTO-1901|MAT|7</v>
      </c>
      <c r="N1758" s="121">
        <f>IFERROR(VLOOKUP(A1758,PARTIDAS!A:F,6,FALSE()),0)</f>
        <v>1</v>
      </c>
      <c r="O1758" s="123">
        <f t="shared" si="565"/>
        <v>0</v>
      </c>
      <c r="P1758" s="123">
        <f>+_xlfn.XLOOKUP(A1758,PPTO_GENERADOR!Q:Q,PPTO_GENERADOR!E:E,"-",0)</f>
        <v>1</v>
      </c>
      <c r="Q1758" s="123">
        <f t="shared" si="566"/>
        <v>0</v>
      </c>
      <c r="R1758" s="125">
        <f>+_xlfn.XLOOKUP(A1758,PPTO_GENERADOR!$Q:$Q,PPTO_GENERADOR!A:A,"-",0)</f>
        <v>19.010000000000002</v>
      </c>
    </row>
    <row r="1759" spans="1:18" ht="14.25" customHeight="1" x14ac:dyDescent="0.35">
      <c r="A1759" s="105" t="s">
        <v>338</v>
      </c>
      <c r="B1759" s="105" t="s">
        <v>1981</v>
      </c>
      <c r="C1759" s="105" t="s">
        <v>1982</v>
      </c>
      <c r="D1759" s="105" t="s">
        <v>1159</v>
      </c>
      <c r="E1759" s="95" t="str">
        <f>IFERROR(VLOOKUP(D1759,MATERIALES!A:B,2,FALSE()),"?")</f>
        <v>AWA BOCA ACCES.HOR.3 ACOM.ø110X63 4/2460</v>
      </c>
      <c r="F1759" s="129" t="str">
        <f>IFERROR(VLOOKUP(D1759,MATERIALES!A:C,3,FALSE()),"?")</f>
        <v>u</v>
      </c>
      <c r="G1759" s="119">
        <v>1</v>
      </c>
      <c r="H1759" s="120">
        <v>0</v>
      </c>
      <c r="I1759" s="96">
        <f>IFERROR(VLOOKUP(D1759,MATERIALES!A:D,4,FALSE()),0)</f>
        <v>4518.7194765103004</v>
      </c>
      <c r="J1759" s="31">
        <f t="shared" ref="J1759:J1822" si="567">G1759*I1759*(1+H1759)</f>
        <v>4518.7194765103004</v>
      </c>
      <c r="K1759" s="32" t="str">
        <f t="shared" si="563"/>
        <v>PTO-1901|MAT</v>
      </c>
      <c r="L1759" s="32">
        <f>COUNTIFS($K$2:K1759,K1759)</f>
        <v>8</v>
      </c>
      <c r="M1759" s="32" t="str">
        <f t="shared" si="564"/>
        <v>PTO-1901|MAT|8</v>
      </c>
      <c r="N1759" s="121">
        <f>IFERROR(VLOOKUP(A1759,PARTIDAS!A:F,6,FALSE()),0)</f>
        <v>1</v>
      </c>
      <c r="O1759" s="123">
        <f t="shared" si="565"/>
        <v>0</v>
      </c>
      <c r="P1759" s="123">
        <f>+_xlfn.XLOOKUP(A1759,PPTO_GENERADOR!Q:Q,PPTO_GENERADOR!E:E,"-",0)</f>
        <v>1</v>
      </c>
      <c r="Q1759" s="123">
        <f t="shared" si="566"/>
        <v>0</v>
      </c>
      <c r="R1759" s="125">
        <f>+_xlfn.XLOOKUP(A1759,PPTO_GENERADOR!$Q:$Q,PPTO_GENERADOR!A:A,"-",0)</f>
        <v>19.010000000000002</v>
      </c>
    </row>
    <row r="1760" spans="1:18" ht="14.25" customHeight="1" x14ac:dyDescent="0.35">
      <c r="A1760" s="105" t="s">
        <v>338</v>
      </c>
      <c r="B1760" s="105" t="s">
        <v>1981</v>
      </c>
      <c r="C1760" s="105" t="s">
        <v>1982</v>
      </c>
      <c r="D1760" s="105" t="s">
        <v>1161</v>
      </c>
      <c r="E1760" s="95" t="str">
        <f>IFERROR(VLOOKUP(D1760,MATERIALES!A:B,2,FALSE()),"?")</f>
        <v>AWADUCT PILETA PATIO 7 ENT. C/SIFON 40X63 2031</v>
      </c>
      <c r="F1760" s="129" t="str">
        <f>IFERROR(VLOOKUP(D1760,MATERIALES!A:C,3,FALSE()),"?")</f>
        <v>u</v>
      </c>
      <c r="G1760" s="119">
        <v>1</v>
      </c>
      <c r="H1760" s="120">
        <v>0</v>
      </c>
      <c r="I1760" s="96">
        <f>IFERROR(VLOOKUP(D1760,MATERIALES!A:D,4,FALSE()),0)</f>
        <v>6417.2898399489004</v>
      </c>
      <c r="J1760" s="31">
        <f t="shared" si="567"/>
        <v>6417.2898399489004</v>
      </c>
      <c r="K1760" s="32" t="str">
        <f t="shared" si="563"/>
        <v>PTO-1901|MAT</v>
      </c>
      <c r="L1760" s="32">
        <f>COUNTIFS($K$2:K1760,K1760)</f>
        <v>9</v>
      </c>
      <c r="M1760" s="32" t="str">
        <f t="shared" si="564"/>
        <v>PTO-1901|MAT|9</v>
      </c>
      <c r="N1760" s="121">
        <f>IFERROR(VLOOKUP(A1760,PARTIDAS!A:F,6,FALSE()),0)</f>
        <v>1</v>
      </c>
      <c r="O1760" s="123">
        <f t="shared" si="565"/>
        <v>0</v>
      </c>
      <c r="P1760" s="123">
        <f>+_xlfn.XLOOKUP(A1760,PPTO_GENERADOR!Q:Q,PPTO_GENERADOR!E:E,"-",0)</f>
        <v>1</v>
      </c>
      <c r="Q1760" s="123">
        <f t="shared" si="566"/>
        <v>0</v>
      </c>
      <c r="R1760" s="125">
        <f>+_xlfn.XLOOKUP(A1760,PPTO_GENERADOR!$Q:$Q,PPTO_GENERADOR!A:A,"-",0)</f>
        <v>19.010000000000002</v>
      </c>
    </row>
    <row r="1761" spans="1:18" ht="14.25" customHeight="1" x14ac:dyDescent="0.35">
      <c r="A1761" s="105" t="s">
        <v>338</v>
      </c>
      <c r="B1761" s="105" t="s">
        <v>1981</v>
      </c>
      <c r="C1761" s="105" t="s">
        <v>1982</v>
      </c>
      <c r="D1761" s="105" t="s">
        <v>1163</v>
      </c>
      <c r="E1761" s="95" t="str">
        <f>IFERROR(VLOOKUP(D1761,MATERIALES!A:B,2,FALSE()),"?")</f>
        <v>AWA COJINETE PARA CAMARA INSPECCION 200 3 ENTRADAS</v>
      </c>
      <c r="F1761" s="129" t="str">
        <f>IFERROR(VLOOKUP(D1761,MATERIALES!A:C,3,FALSE()),"?")</f>
        <v>u</v>
      </c>
      <c r="G1761" s="119">
        <v>2</v>
      </c>
      <c r="H1761" s="120">
        <v>0</v>
      </c>
      <c r="I1761" s="96">
        <f>IFERROR(VLOOKUP(D1761,MATERIALES!A:D,4,FALSE()),0)</f>
        <v>84474.579940818905</v>
      </c>
      <c r="J1761" s="31">
        <f t="shared" si="567"/>
        <v>168949.15988163781</v>
      </c>
      <c r="K1761" s="32" t="str">
        <f t="shared" si="563"/>
        <v>PTO-1901|MAT</v>
      </c>
      <c r="L1761" s="32">
        <f>COUNTIFS($K$2:K1761,K1761)</f>
        <v>10</v>
      </c>
      <c r="M1761" s="32" t="str">
        <f t="shared" si="564"/>
        <v>PTO-1901|MAT|10</v>
      </c>
      <c r="N1761" s="121">
        <f>IFERROR(VLOOKUP(A1761,PARTIDAS!A:F,6,FALSE()),0)</f>
        <v>1</v>
      </c>
      <c r="O1761" s="123">
        <f t="shared" si="565"/>
        <v>0</v>
      </c>
      <c r="P1761" s="123">
        <f>+_xlfn.XLOOKUP(A1761,PPTO_GENERADOR!Q:Q,PPTO_GENERADOR!E:E,"-",0)</f>
        <v>1</v>
      </c>
      <c r="Q1761" s="123">
        <f t="shared" si="566"/>
        <v>0</v>
      </c>
      <c r="R1761" s="125">
        <f>+_xlfn.XLOOKUP(A1761,PPTO_GENERADOR!$Q:$Q,PPTO_GENERADOR!A:A,"-",0)</f>
        <v>19.010000000000002</v>
      </c>
    </row>
    <row r="1762" spans="1:18" ht="14.25" customHeight="1" x14ac:dyDescent="0.35">
      <c r="A1762" s="105" t="s">
        <v>338</v>
      </c>
      <c r="B1762" s="105" t="s">
        <v>1981</v>
      </c>
      <c r="C1762" s="105" t="s">
        <v>1982</v>
      </c>
      <c r="D1762" s="105" t="s">
        <v>1165</v>
      </c>
      <c r="E1762" s="95" t="str">
        <f>IFERROR(VLOOKUP(D1762,MATERIALES!A:B,2,FALSE()),"?")</f>
        <v>AWA TAPA PPN CLOACAL ø.110 10/2036</v>
      </c>
      <c r="F1762" s="129" t="str">
        <f>IFERROR(VLOOKUP(D1762,MATERIALES!A:C,3,FALSE()),"?")</f>
        <v>u</v>
      </c>
      <c r="G1762" s="119">
        <v>4</v>
      </c>
      <c r="H1762" s="120">
        <v>0</v>
      </c>
      <c r="I1762" s="96">
        <f>IFERROR(VLOOKUP(D1762,MATERIALES!A:D,4,FALSE()),0)</f>
        <v>1603.0205733293999</v>
      </c>
      <c r="J1762" s="31">
        <f t="shared" si="567"/>
        <v>6412.0822933175996</v>
      </c>
      <c r="K1762" s="32" t="str">
        <f t="shared" si="563"/>
        <v>PTO-1901|MAT</v>
      </c>
      <c r="L1762" s="32">
        <f>COUNTIFS($K$2:K1762,K1762)</f>
        <v>11</v>
      </c>
      <c r="M1762" s="32" t="str">
        <f t="shared" si="564"/>
        <v>PTO-1901|MAT|11</v>
      </c>
      <c r="N1762" s="121">
        <f>IFERROR(VLOOKUP(A1762,PARTIDAS!A:F,6,FALSE()),0)</f>
        <v>1</v>
      </c>
      <c r="O1762" s="123">
        <f t="shared" si="565"/>
        <v>0</v>
      </c>
      <c r="P1762" s="123">
        <f>+_xlfn.XLOOKUP(A1762,PPTO_GENERADOR!Q:Q,PPTO_GENERADOR!E:E,"-",0)</f>
        <v>1</v>
      </c>
      <c r="Q1762" s="123">
        <f t="shared" si="566"/>
        <v>0</v>
      </c>
      <c r="R1762" s="125">
        <f>+_xlfn.XLOOKUP(A1762,PPTO_GENERADOR!$Q:$Q,PPTO_GENERADOR!A:A,"-",0)</f>
        <v>19.010000000000002</v>
      </c>
    </row>
    <row r="1763" spans="1:18" ht="14.25" customHeight="1" x14ac:dyDescent="0.35">
      <c r="A1763" s="105" t="s">
        <v>338</v>
      </c>
      <c r="B1763" s="105" t="s">
        <v>1981</v>
      </c>
      <c r="C1763" s="105" t="s">
        <v>1982</v>
      </c>
      <c r="D1763" s="105" t="s">
        <v>559</v>
      </c>
      <c r="E1763" s="95" t="str">
        <f>IFERROR(VLOOKUP(D1763,MATERIALES!A:B,2,FALSE()),"?")</f>
        <v>CONSUMIBLES (varios)</v>
      </c>
      <c r="F1763" s="129" t="str">
        <f>IFERROR(VLOOKUP(D1763,MATERIALES!A:C,3,FALSE()),"?")</f>
        <v>gl</v>
      </c>
      <c r="G1763" s="119">
        <v>97178.01</v>
      </c>
      <c r="H1763" s="120">
        <v>0</v>
      </c>
      <c r="I1763" s="96">
        <f>IFERROR(VLOOKUP(D1763,MATERIALES!A:D,4,FALSE()),0)</f>
        <v>1</v>
      </c>
      <c r="J1763" s="31">
        <f t="shared" si="567"/>
        <v>97178.01</v>
      </c>
      <c r="K1763" s="32" t="str">
        <f t="shared" si="563"/>
        <v>PTO-1901|MAT</v>
      </c>
      <c r="L1763" s="32">
        <f>COUNTIFS($K$2:K1763,K1763)</f>
        <v>12</v>
      </c>
      <c r="M1763" s="32" t="str">
        <f t="shared" si="564"/>
        <v>PTO-1901|MAT|12</v>
      </c>
      <c r="N1763" s="121">
        <f>IFERROR(VLOOKUP(A1763,PARTIDAS!A:F,6,FALSE()),0)</f>
        <v>1</v>
      </c>
      <c r="O1763" s="123">
        <f t="shared" si="565"/>
        <v>0</v>
      </c>
      <c r="P1763" s="123">
        <f>+_xlfn.XLOOKUP(A1763,PPTO_GENERADOR!Q:Q,PPTO_GENERADOR!E:E,"-",0)</f>
        <v>1</v>
      </c>
      <c r="Q1763" s="123">
        <f t="shared" si="566"/>
        <v>0</v>
      </c>
      <c r="R1763" s="125">
        <f>+_xlfn.XLOOKUP(A1763,PPTO_GENERADOR!$Q:$Q,PPTO_GENERADOR!A:A,"-",0)</f>
        <v>19.010000000000002</v>
      </c>
    </row>
    <row r="1764" spans="1:18" ht="14.25" customHeight="1" x14ac:dyDescent="0.35">
      <c r="A1764" s="105" t="s">
        <v>341</v>
      </c>
      <c r="B1764" s="105" t="s">
        <v>1981</v>
      </c>
      <c r="C1764" s="105" t="s">
        <v>1982</v>
      </c>
      <c r="D1764" s="105" t="s">
        <v>1149</v>
      </c>
      <c r="E1764" s="95" t="str">
        <f>IFERROR(VLOOKUP(D1764,MATERIALES!A:B,2,FALSE()),"?")</f>
        <v>AWA CODO MH 45*PPN CLOACAL.ø110 6/2004</v>
      </c>
      <c r="F1764" s="129" t="str">
        <f>IFERROR(VLOOKUP(D1764,MATERIALES!A:C,3,FALSE()),"?")</f>
        <v>u</v>
      </c>
      <c r="G1764" s="119">
        <v>120</v>
      </c>
      <c r="H1764" s="120">
        <v>0</v>
      </c>
      <c r="I1764" s="96">
        <f>IFERROR(VLOOKUP(D1764,MATERIALES!A:D,4,FALSE()),0)</f>
        <v>2066.7612083541999</v>
      </c>
      <c r="J1764" s="31">
        <f t="shared" si="567"/>
        <v>248011.34500250398</v>
      </c>
      <c r="K1764" s="32" t="str">
        <f t="shared" si="563"/>
        <v>PTO-1902|MAT</v>
      </c>
      <c r="L1764" s="32">
        <f>COUNTIFS($K$2:K1764,K1764)</f>
        <v>2</v>
      </c>
      <c r="M1764" s="32" t="str">
        <f t="shared" si="564"/>
        <v>PTO-1902|MAT|2</v>
      </c>
      <c r="N1764" s="121">
        <f>IFERROR(VLOOKUP(A1764,PARTIDAS!A:F,6,FALSE()),0)</f>
        <v>1</v>
      </c>
      <c r="O1764" s="123">
        <f t="shared" si="565"/>
        <v>0</v>
      </c>
      <c r="P1764" s="123">
        <f>+_xlfn.XLOOKUP(A1764,PPTO_GENERADOR!Q:Q,PPTO_GENERADOR!E:E,"-",0)</f>
        <v>1</v>
      </c>
      <c r="Q1764" s="123">
        <f t="shared" si="566"/>
        <v>0</v>
      </c>
      <c r="R1764" s="125">
        <f>+_xlfn.XLOOKUP(A1764,PPTO_GENERADOR!$Q:$Q,PPTO_GENERADOR!A:A,"-",0)</f>
        <v>19.02</v>
      </c>
    </row>
    <row r="1765" spans="1:18" ht="14.25" customHeight="1" x14ac:dyDescent="0.35">
      <c r="A1765" s="105" t="s">
        <v>341</v>
      </c>
      <c r="B1765" s="105" t="s">
        <v>1981</v>
      </c>
      <c r="C1765" s="105" t="s">
        <v>1982</v>
      </c>
      <c r="D1765" s="105" t="s">
        <v>1157</v>
      </c>
      <c r="E1765" s="95" t="str">
        <f>IFERROR(VLOOKUP(D1765,MATERIALES!A:B,2,FALSE()),"?")</f>
        <v>AWA MANG/CUPLA PPN CLOAC.ø110 10/2016</v>
      </c>
      <c r="F1765" s="129" t="str">
        <f>IFERROR(VLOOKUP(D1765,MATERIALES!A:C,3,FALSE()),"?")</f>
        <v>u</v>
      </c>
      <c r="G1765" s="119">
        <v>53</v>
      </c>
      <c r="H1765" s="120">
        <v>0</v>
      </c>
      <c r="I1765" s="96">
        <f>IFERROR(VLOOKUP(D1765,MATERIALES!A:D,4,FALSE()),0)</f>
        <v>2137.1599224204001</v>
      </c>
      <c r="J1765" s="31">
        <f t="shared" si="567"/>
        <v>113269.4758882812</v>
      </c>
      <c r="K1765" s="32" t="str">
        <f t="shared" si="563"/>
        <v>PTO-1902|MAT</v>
      </c>
      <c r="L1765" s="32">
        <f>COUNTIFS($K$2:K1765,K1765)</f>
        <v>3</v>
      </c>
      <c r="M1765" s="32" t="str">
        <f t="shared" si="564"/>
        <v>PTO-1902|MAT|3</v>
      </c>
      <c r="N1765" s="121">
        <f>IFERROR(VLOOKUP(A1765,PARTIDAS!A:F,6,FALSE()),0)</f>
        <v>1</v>
      </c>
      <c r="O1765" s="123">
        <f t="shared" si="565"/>
        <v>0</v>
      </c>
      <c r="P1765" s="123">
        <f>+_xlfn.XLOOKUP(A1765,PPTO_GENERADOR!Q:Q,PPTO_GENERADOR!E:E,"-",0)</f>
        <v>1</v>
      </c>
      <c r="Q1765" s="123">
        <f t="shared" si="566"/>
        <v>0</v>
      </c>
      <c r="R1765" s="125">
        <f>+_xlfn.XLOOKUP(A1765,PPTO_GENERADOR!$Q:$Q,PPTO_GENERADOR!A:A,"-",0)</f>
        <v>19.02</v>
      </c>
    </row>
    <row r="1766" spans="1:18" ht="14.25" customHeight="1" x14ac:dyDescent="0.35">
      <c r="A1766" s="105" t="s">
        <v>341</v>
      </c>
      <c r="B1766" s="105" t="s">
        <v>1981</v>
      </c>
      <c r="C1766" s="105" t="s">
        <v>1982</v>
      </c>
      <c r="D1766" s="105" t="s">
        <v>1165</v>
      </c>
      <c r="E1766" s="95" t="str">
        <f>IFERROR(VLOOKUP(D1766,MATERIALES!A:B,2,FALSE()),"?")</f>
        <v>AWA TAPA PPN CLOACAL ø.110 10/2036</v>
      </c>
      <c r="F1766" s="129" t="str">
        <f>IFERROR(VLOOKUP(D1766,MATERIALES!A:C,3,FALSE()),"?")</f>
        <v>u</v>
      </c>
      <c r="G1766" s="119">
        <v>106</v>
      </c>
      <c r="H1766" s="120">
        <v>0</v>
      </c>
      <c r="I1766" s="96">
        <f>IFERROR(VLOOKUP(D1766,MATERIALES!A:D,4,FALSE()),0)</f>
        <v>1603.0205733293999</v>
      </c>
      <c r="J1766" s="31">
        <f t="shared" si="567"/>
        <v>169920.18077291638</v>
      </c>
      <c r="K1766" s="32" t="str">
        <f t="shared" si="563"/>
        <v>PTO-1902|MAT</v>
      </c>
      <c r="L1766" s="32">
        <f>COUNTIFS($K$2:K1766,K1766)</f>
        <v>4</v>
      </c>
      <c r="M1766" s="32" t="str">
        <f t="shared" si="564"/>
        <v>PTO-1902|MAT|4</v>
      </c>
      <c r="N1766" s="121">
        <f>IFERROR(VLOOKUP(A1766,PARTIDAS!A:F,6,FALSE()),0)</f>
        <v>1</v>
      </c>
      <c r="O1766" s="123">
        <f t="shared" si="565"/>
        <v>0</v>
      </c>
      <c r="P1766" s="123">
        <f>+_xlfn.XLOOKUP(A1766,PPTO_GENERADOR!Q:Q,PPTO_GENERADOR!E:E,"-",0)</f>
        <v>1</v>
      </c>
      <c r="Q1766" s="123">
        <f t="shared" si="566"/>
        <v>0</v>
      </c>
      <c r="R1766" s="125">
        <f>+_xlfn.XLOOKUP(A1766,PPTO_GENERADOR!$Q:$Q,PPTO_GENERADOR!A:A,"-",0)</f>
        <v>19.02</v>
      </c>
    </row>
    <row r="1767" spans="1:18" ht="14.25" customHeight="1" x14ac:dyDescent="0.35">
      <c r="A1767" s="105" t="s">
        <v>341</v>
      </c>
      <c r="B1767" s="105" t="s">
        <v>1981</v>
      </c>
      <c r="C1767" s="105" t="s">
        <v>1982</v>
      </c>
      <c r="D1767" s="105" t="s">
        <v>1167</v>
      </c>
      <c r="E1767" s="95" t="str">
        <f>IFERROR(VLOOKUP(D1767,MATERIALES!A:B,2,FALSE()),"?")</f>
        <v>AWA TUBO PPN CLOACAL ø 63X4.00 10/1026</v>
      </c>
      <c r="F1767" s="129" t="str">
        <f>IFERROR(VLOOKUP(D1767,MATERIALES!A:C,3,FALSE()),"?")</f>
        <v>u</v>
      </c>
      <c r="G1767" s="119">
        <v>12.5</v>
      </c>
      <c r="H1767" s="120">
        <v>0</v>
      </c>
      <c r="I1767" s="96">
        <f>IFERROR(VLOOKUP(D1767,MATERIALES!A:D,4,FALSE()),0)</f>
        <v>8313.6868058265009</v>
      </c>
      <c r="J1767" s="31">
        <f t="shared" si="567"/>
        <v>103921.08507283127</v>
      </c>
      <c r="K1767" s="32" t="str">
        <f t="shared" si="563"/>
        <v>PTO-1902|MAT</v>
      </c>
      <c r="L1767" s="32">
        <f>COUNTIFS($K$2:K1767,K1767)</f>
        <v>5</v>
      </c>
      <c r="M1767" s="32" t="str">
        <f t="shared" si="564"/>
        <v>PTO-1902|MAT|5</v>
      </c>
      <c r="N1767" s="121">
        <f>IFERROR(VLOOKUP(A1767,PARTIDAS!A:F,6,FALSE()),0)</f>
        <v>1</v>
      </c>
      <c r="O1767" s="123">
        <f t="shared" si="565"/>
        <v>0</v>
      </c>
      <c r="P1767" s="123">
        <f>+_xlfn.XLOOKUP(A1767,PPTO_GENERADOR!Q:Q,PPTO_GENERADOR!E:E,"-",0)</f>
        <v>1</v>
      </c>
      <c r="Q1767" s="123">
        <f t="shared" si="566"/>
        <v>0</v>
      </c>
      <c r="R1767" s="125">
        <f>+_xlfn.XLOOKUP(A1767,PPTO_GENERADOR!$Q:$Q,PPTO_GENERADOR!A:A,"-",0)</f>
        <v>19.02</v>
      </c>
    </row>
    <row r="1768" spans="1:18" ht="14.25" customHeight="1" x14ac:dyDescent="0.35">
      <c r="A1768" s="105" t="s">
        <v>341</v>
      </c>
      <c r="B1768" s="105" t="s">
        <v>1981</v>
      </c>
      <c r="C1768" s="105" t="s">
        <v>1982</v>
      </c>
      <c r="D1768" s="105" t="s">
        <v>1169</v>
      </c>
      <c r="E1768" s="95" t="str">
        <f>IFERROR(VLOOKUP(D1768,MATERIALES!A:B,2,FALSE()),"?")</f>
        <v>AWA CODO MH 45*PPN CLOACAL ø63 20/2003</v>
      </c>
      <c r="F1768" s="129" t="str">
        <f>IFERROR(VLOOKUP(D1768,MATERIALES!A:C,3,FALSE()),"?")</f>
        <v>u</v>
      </c>
      <c r="G1768" s="119">
        <v>25</v>
      </c>
      <c r="H1768" s="120">
        <v>0</v>
      </c>
      <c r="I1768" s="96">
        <f>IFERROR(VLOOKUP(D1768,MATERIALES!A:D,4,FALSE()),0)</f>
        <v>960.65248133889997</v>
      </c>
      <c r="J1768" s="31">
        <f t="shared" si="567"/>
        <v>24016.312033472499</v>
      </c>
      <c r="K1768" s="32" t="str">
        <f t="shared" si="563"/>
        <v>PTO-1902|MAT</v>
      </c>
      <c r="L1768" s="32">
        <f>COUNTIFS($K$2:K1768,K1768)</f>
        <v>6</v>
      </c>
      <c r="M1768" s="32" t="str">
        <f t="shared" si="564"/>
        <v>PTO-1902|MAT|6</v>
      </c>
      <c r="N1768" s="121">
        <f>IFERROR(VLOOKUP(A1768,PARTIDAS!A:F,6,FALSE()),0)</f>
        <v>1</v>
      </c>
      <c r="O1768" s="123">
        <f t="shared" si="565"/>
        <v>0</v>
      </c>
      <c r="P1768" s="123">
        <f>+_xlfn.XLOOKUP(A1768,PPTO_GENERADOR!Q:Q,PPTO_GENERADOR!E:E,"-",0)</f>
        <v>1</v>
      </c>
      <c r="Q1768" s="123">
        <f t="shared" si="566"/>
        <v>0</v>
      </c>
      <c r="R1768" s="125">
        <f>+_xlfn.XLOOKUP(A1768,PPTO_GENERADOR!$Q:$Q,PPTO_GENERADOR!A:A,"-",0)</f>
        <v>19.02</v>
      </c>
    </row>
    <row r="1769" spans="1:18" ht="14.25" customHeight="1" x14ac:dyDescent="0.35">
      <c r="A1769" s="105" t="s">
        <v>341</v>
      </c>
      <c r="B1769" s="105" t="s">
        <v>1981</v>
      </c>
      <c r="C1769" s="105" t="s">
        <v>1982</v>
      </c>
      <c r="D1769" s="105" t="s">
        <v>1171</v>
      </c>
      <c r="E1769" s="95" t="str">
        <f>IFERROR(VLOOKUP(D1769,MATERIALES!A:B,2,FALSE()),"?")</f>
        <v>AWA MANG/CUPLA PPN CLOAC.ø 63 20/2015</v>
      </c>
      <c r="F1769" s="129" t="str">
        <f>IFERROR(VLOOKUP(D1769,MATERIALES!A:C,3,FALSE()),"?")</f>
        <v>u</v>
      </c>
      <c r="G1769" s="119">
        <v>25</v>
      </c>
      <c r="H1769" s="120">
        <v>0</v>
      </c>
      <c r="I1769" s="96">
        <f>IFERROR(VLOOKUP(D1769,MATERIALES!A:D,4,FALSE()),0)</f>
        <v>960.65248133889997</v>
      </c>
      <c r="J1769" s="31">
        <f t="shared" si="567"/>
        <v>24016.312033472499</v>
      </c>
      <c r="K1769" s="32" t="str">
        <f t="shared" si="563"/>
        <v>PTO-1902|MAT</v>
      </c>
      <c r="L1769" s="32">
        <f>COUNTIFS($K$2:K1769,K1769)</f>
        <v>7</v>
      </c>
      <c r="M1769" s="32" t="str">
        <f t="shared" si="564"/>
        <v>PTO-1902|MAT|7</v>
      </c>
      <c r="N1769" s="121">
        <f>IFERROR(VLOOKUP(A1769,PARTIDAS!A:F,6,FALSE()),0)</f>
        <v>1</v>
      </c>
      <c r="O1769" s="123">
        <f t="shared" si="565"/>
        <v>0</v>
      </c>
      <c r="P1769" s="123">
        <f>+_xlfn.XLOOKUP(A1769,PPTO_GENERADOR!Q:Q,PPTO_GENERADOR!E:E,"-",0)</f>
        <v>1</v>
      </c>
      <c r="Q1769" s="123">
        <f t="shared" si="566"/>
        <v>0</v>
      </c>
      <c r="R1769" s="125">
        <f>+_xlfn.XLOOKUP(A1769,PPTO_GENERADOR!$Q:$Q,PPTO_GENERADOR!A:A,"-",0)</f>
        <v>19.02</v>
      </c>
    </row>
    <row r="1770" spans="1:18" ht="14.25" customHeight="1" x14ac:dyDescent="0.35">
      <c r="A1770" s="105" t="s">
        <v>341</v>
      </c>
      <c r="B1770" s="105" t="s">
        <v>1981</v>
      </c>
      <c r="C1770" s="105" t="s">
        <v>1982</v>
      </c>
      <c r="D1770" s="105" t="s">
        <v>1173</v>
      </c>
      <c r="E1770" s="95" t="str">
        <f>IFERROR(VLOOKUP(D1770,MATERIALES!A:B,2,FALSE()),"?")</f>
        <v>AWA TUBO PPN CLOACAL ø 50X4.00 10/1017</v>
      </c>
      <c r="F1770" s="129" t="str">
        <f>IFERROR(VLOOKUP(D1770,MATERIALES!A:C,3,FALSE()),"?")</f>
        <v>u</v>
      </c>
      <c r="G1770" s="119">
        <v>12.5</v>
      </c>
      <c r="H1770" s="120">
        <v>0</v>
      </c>
      <c r="I1770" s="96">
        <f>IFERROR(VLOOKUP(D1770,MATERIALES!A:D,4,FALSE()),0)</f>
        <v>6715.658591251</v>
      </c>
      <c r="J1770" s="31">
        <f t="shared" si="567"/>
        <v>83945.732390637495</v>
      </c>
      <c r="K1770" s="32" t="str">
        <f t="shared" ref="K1770:K1833" si="568">A1770&amp;"|"&amp;B1770</f>
        <v>PTO-1902|MAT</v>
      </c>
      <c r="L1770" s="32">
        <f>COUNTIFS($K$2:K1770,K1770)</f>
        <v>8</v>
      </c>
      <c r="M1770" s="32" t="str">
        <f t="shared" si="564"/>
        <v>PTO-1902|MAT|8</v>
      </c>
      <c r="N1770" s="121">
        <f>IFERROR(VLOOKUP(A1770,PARTIDAS!A:F,6,FALSE()),0)</f>
        <v>1</v>
      </c>
      <c r="O1770" s="123">
        <f t="shared" si="565"/>
        <v>0</v>
      </c>
      <c r="P1770" s="123">
        <f>+_xlfn.XLOOKUP(A1770,PPTO_GENERADOR!Q:Q,PPTO_GENERADOR!E:E,"-",0)</f>
        <v>1</v>
      </c>
      <c r="Q1770" s="123">
        <f t="shared" si="566"/>
        <v>0</v>
      </c>
      <c r="R1770" s="125">
        <f>+_xlfn.XLOOKUP(A1770,PPTO_GENERADOR!$Q:$Q,PPTO_GENERADOR!A:A,"-",0)</f>
        <v>19.02</v>
      </c>
    </row>
    <row r="1771" spans="1:18" ht="14.25" customHeight="1" x14ac:dyDescent="0.35">
      <c r="A1771" s="105" t="s">
        <v>341</v>
      </c>
      <c r="B1771" s="105" t="s">
        <v>1981</v>
      </c>
      <c r="C1771" s="105" t="s">
        <v>1982</v>
      </c>
      <c r="D1771" s="105" t="s">
        <v>1175</v>
      </c>
      <c r="E1771" s="95" t="str">
        <f>IFERROR(VLOOKUP(D1771,MATERIALES!A:B,2,FALSE()),"?")</f>
        <v>AWA CODO MH 90*PPN CLOACAL ø50 20/2006</v>
      </c>
      <c r="F1771" s="129" t="str">
        <f>IFERROR(VLOOKUP(D1771,MATERIALES!A:C,3,FALSE()),"?")</f>
        <v>u</v>
      </c>
      <c r="G1771" s="119">
        <v>50</v>
      </c>
      <c r="H1771" s="120">
        <v>0</v>
      </c>
      <c r="I1771" s="96">
        <f>IFERROR(VLOOKUP(D1771,MATERIALES!A:D,4,FALSE()),0)</f>
        <v>571.84026519789995</v>
      </c>
      <c r="J1771" s="31">
        <f t="shared" si="567"/>
        <v>28592.013259894997</v>
      </c>
      <c r="K1771" s="32" t="str">
        <f t="shared" si="568"/>
        <v>PTO-1902|MAT</v>
      </c>
      <c r="L1771" s="32">
        <f>COUNTIFS($K$2:K1771,K1771)</f>
        <v>9</v>
      </c>
      <c r="M1771" s="32" t="str">
        <f t="shared" si="564"/>
        <v>PTO-1902|MAT|9</v>
      </c>
      <c r="N1771" s="121">
        <f>IFERROR(VLOOKUP(A1771,PARTIDAS!A:F,6,FALSE()),0)</f>
        <v>1</v>
      </c>
      <c r="O1771" s="123">
        <f t="shared" si="565"/>
        <v>0</v>
      </c>
      <c r="P1771" s="123">
        <f>+_xlfn.XLOOKUP(A1771,PPTO_GENERADOR!Q:Q,PPTO_GENERADOR!E:E,"-",0)</f>
        <v>1</v>
      </c>
      <c r="Q1771" s="123">
        <f t="shared" si="566"/>
        <v>0</v>
      </c>
      <c r="R1771" s="125">
        <f>+_xlfn.XLOOKUP(A1771,PPTO_GENERADOR!$Q:$Q,PPTO_GENERADOR!A:A,"-",0)</f>
        <v>19.02</v>
      </c>
    </row>
    <row r="1772" spans="1:18" ht="14.25" customHeight="1" x14ac:dyDescent="0.35">
      <c r="A1772" s="105" t="s">
        <v>341</v>
      </c>
      <c r="B1772" s="105" t="s">
        <v>1981</v>
      </c>
      <c r="C1772" s="105" t="s">
        <v>1982</v>
      </c>
      <c r="D1772" s="105" t="s">
        <v>1177</v>
      </c>
      <c r="E1772" s="95" t="str">
        <f>IFERROR(VLOOKUP(D1772,MATERIALES!A:B,2,FALSE()),"?")</f>
        <v>AWA MANG/CUPLA PPN CLOAC.ø 50 20/2014</v>
      </c>
      <c r="F1772" s="129" t="str">
        <f>IFERROR(VLOOKUP(D1772,MATERIALES!A:C,3,FALSE()),"?")</f>
        <v>u</v>
      </c>
      <c r="G1772" s="119">
        <v>25</v>
      </c>
      <c r="H1772" s="120">
        <v>0</v>
      </c>
      <c r="I1772" s="96">
        <f>IFERROR(VLOOKUP(D1772,MATERIALES!A:D,4,FALSE()),0)</f>
        <v>723.32177143939998</v>
      </c>
      <c r="J1772" s="31">
        <f t="shared" si="567"/>
        <v>18083.044285985001</v>
      </c>
      <c r="K1772" s="32" t="str">
        <f t="shared" si="568"/>
        <v>PTO-1902|MAT</v>
      </c>
      <c r="L1772" s="32">
        <f>COUNTIFS($K$2:K1772,K1772)</f>
        <v>10</v>
      </c>
      <c r="M1772" s="32" t="str">
        <f t="shared" si="564"/>
        <v>PTO-1902|MAT|10</v>
      </c>
      <c r="N1772" s="121">
        <f>IFERROR(VLOOKUP(A1772,PARTIDAS!A:F,6,FALSE()),0)</f>
        <v>1</v>
      </c>
      <c r="O1772" s="123">
        <f t="shared" si="565"/>
        <v>0</v>
      </c>
      <c r="P1772" s="123">
        <f>+_xlfn.XLOOKUP(A1772,PPTO_GENERADOR!Q:Q,PPTO_GENERADOR!E:E,"-",0)</f>
        <v>1</v>
      </c>
      <c r="Q1772" s="123">
        <f t="shared" si="566"/>
        <v>0</v>
      </c>
      <c r="R1772" s="125">
        <f>+_xlfn.XLOOKUP(A1772,PPTO_GENERADOR!$Q:$Q,PPTO_GENERADOR!A:A,"-",0)</f>
        <v>19.02</v>
      </c>
    </row>
    <row r="1773" spans="1:18" ht="14.25" customHeight="1" x14ac:dyDescent="0.35">
      <c r="A1773" s="105" t="s">
        <v>341</v>
      </c>
      <c r="B1773" s="105" t="s">
        <v>1981</v>
      </c>
      <c r="C1773" s="105" t="s">
        <v>1982</v>
      </c>
      <c r="D1773" s="105" t="s">
        <v>1179</v>
      </c>
      <c r="E1773" s="95" t="str">
        <f>IFERROR(VLOOKUP(D1773,MATERIALES!A:B,2,FALSE()),"?")</f>
        <v>AWA TAPA PPN CLOACAL ø 50 20/2037</v>
      </c>
      <c r="F1773" s="129" t="str">
        <f>IFERROR(VLOOKUP(D1773,MATERIALES!A:C,3,FALSE()),"?")</f>
        <v>u</v>
      </c>
      <c r="G1773" s="119">
        <v>25</v>
      </c>
      <c r="H1773" s="120">
        <v>0</v>
      </c>
      <c r="I1773" s="96">
        <f>IFERROR(VLOOKUP(D1773,MATERIALES!A:D,4,FALSE()),0)</f>
        <v>586.21481540310003</v>
      </c>
      <c r="J1773" s="31">
        <f t="shared" si="567"/>
        <v>14655.3703850775</v>
      </c>
      <c r="K1773" s="32" t="str">
        <f t="shared" si="568"/>
        <v>PTO-1902|MAT</v>
      </c>
      <c r="L1773" s="32">
        <f>COUNTIFS($K$2:K1773,K1773)</f>
        <v>11</v>
      </c>
      <c r="M1773" s="32" t="str">
        <f t="shared" si="564"/>
        <v>PTO-1902|MAT|11</v>
      </c>
      <c r="N1773" s="121">
        <f>IFERROR(VLOOKUP(A1773,PARTIDAS!A:F,6,FALSE()),0)</f>
        <v>1</v>
      </c>
      <c r="O1773" s="123">
        <f t="shared" si="565"/>
        <v>0</v>
      </c>
      <c r="P1773" s="123">
        <f>+_xlfn.XLOOKUP(A1773,PPTO_GENERADOR!Q:Q,PPTO_GENERADOR!E:E,"-",0)</f>
        <v>1</v>
      </c>
      <c r="Q1773" s="123">
        <f t="shared" si="566"/>
        <v>0</v>
      </c>
      <c r="R1773" s="125">
        <f>+_xlfn.XLOOKUP(A1773,PPTO_GENERADOR!$Q:$Q,PPTO_GENERADOR!A:A,"-",0)</f>
        <v>19.02</v>
      </c>
    </row>
    <row r="1774" spans="1:18" ht="14.25" customHeight="1" x14ac:dyDescent="0.35">
      <c r="A1774" s="105" t="s">
        <v>341</v>
      </c>
      <c r="B1774" s="105" t="s">
        <v>1981</v>
      </c>
      <c r="C1774" s="105" t="s">
        <v>1982</v>
      </c>
      <c r="D1774" s="105" t="s">
        <v>1181</v>
      </c>
      <c r="E1774" s="95" t="str">
        <f>IFERROR(VLOOKUP(D1774,MATERIALES!A:B,2,FALSE()),"?")</f>
        <v>AWA TUBO PPN CLOACAL ø 40X4.00 10/1008</v>
      </c>
      <c r="F1774" s="129" t="str">
        <f>IFERROR(VLOOKUP(D1774,MATERIALES!A:C,3,FALSE()),"?")</f>
        <v>u</v>
      </c>
      <c r="G1774" s="119">
        <v>28</v>
      </c>
      <c r="H1774" s="120">
        <v>0</v>
      </c>
      <c r="I1774" s="96">
        <f>IFERROR(VLOOKUP(D1774,MATERIALES!A:D,4,FALSE()),0)</f>
        <v>5296.1072021271002</v>
      </c>
      <c r="J1774" s="31">
        <f t="shared" si="567"/>
        <v>148291.00165955879</v>
      </c>
      <c r="K1774" s="32" t="str">
        <f t="shared" si="568"/>
        <v>PTO-1902|MAT</v>
      </c>
      <c r="L1774" s="32">
        <f>COUNTIFS($K$2:K1774,K1774)</f>
        <v>12</v>
      </c>
      <c r="M1774" s="32" t="str">
        <f t="shared" si="564"/>
        <v>PTO-1902|MAT|12</v>
      </c>
      <c r="N1774" s="121">
        <f>IFERROR(VLOOKUP(A1774,PARTIDAS!A:F,6,FALSE()),0)</f>
        <v>1</v>
      </c>
      <c r="O1774" s="123">
        <f t="shared" si="565"/>
        <v>0</v>
      </c>
      <c r="P1774" s="123">
        <f>+_xlfn.XLOOKUP(A1774,PPTO_GENERADOR!Q:Q,PPTO_GENERADOR!E:E,"-",0)</f>
        <v>1</v>
      </c>
      <c r="Q1774" s="123">
        <f t="shared" si="566"/>
        <v>0</v>
      </c>
      <c r="R1774" s="125">
        <f>+_xlfn.XLOOKUP(A1774,PPTO_GENERADOR!$Q:$Q,PPTO_GENERADOR!A:A,"-",0)</f>
        <v>19.02</v>
      </c>
    </row>
    <row r="1775" spans="1:18" ht="14.25" customHeight="1" x14ac:dyDescent="0.35">
      <c r="A1775" s="105" t="s">
        <v>341</v>
      </c>
      <c r="B1775" s="105" t="s">
        <v>1981</v>
      </c>
      <c r="C1775" s="105" t="s">
        <v>1982</v>
      </c>
      <c r="D1775" s="105" t="s">
        <v>1183</v>
      </c>
      <c r="E1775" s="95" t="str">
        <f>IFERROR(VLOOKUP(D1775,MATERIALES!A:B,2,FALSE()),"?")</f>
        <v>AWA CODO MH 90*PPN CLOACAL ø40 20/2005</v>
      </c>
      <c r="F1775" s="129" t="str">
        <f>IFERROR(VLOOKUP(D1775,MATERIALES!A:C,3,FALSE()),"?")</f>
        <v>u</v>
      </c>
      <c r="G1775" s="119">
        <v>78</v>
      </c>
      <c r="H1775" s="120">
        <v>0</v>
      </c>
      <c r="I1775" s="96">
        <f>IFERROR(VLOOKUP(D1775,MATERIALES!A:D,4,FALSE()),0)</f>
        <v>432.16181402759997</v>
      </c>
      <c r="J1775" s="31">
        <f t="shared" si="567"/>
        <v>33708.621494152801</v>
      </c>
      <c r="K1775" s="32" t="str">
        <f t="shared" si="568"/>
        <v>PTO-1902|MAT</v>
      </c>
      <c r="L1775" s="32">
        <f>COUNTIFS($K$2:K1775,K1775)</f>
        <v>13</v>
      </c>
      <c r="M1775" s="32" t="str">
        <f t="shared" si="564"/>
        <v>PTO-1902|MAT|13</v>
      </c>
      <c r="N1775" s="121">
        <f>IFERROR(VLOOKUP(A1775,PARTIDAS!A:F,6,FALSE()),0)</f>
        <v>1</v>
      </c>
      <c r="O1775" s="123">
        <f t="shared" si="565"/>
        <v>0</v>
      </c>
      <c r="P1775" s="123">
        <f>+_xlfn.XLOOKUP(A1775,PPTO_GENERADOR!Q:Q,PPTO_GENERADOR!E:E,"-",0)</f>
        <v>1</v>
      </c>
      <c r="Q1775" s="123">
        <f t="shared" si="566"/>
        <v>0</v>
      </c>
      <c r="R1775" s="125">
        <f>+_xlfn.XLOOKUP(A1775,PPTO_GENERADOR!$Q:$Q,PPTO_GENERADOR!A:A,"-",0)</f>
        <v>19.02</v>
      </c>
    </row>
    <row r="1776" spans="1:18" ht="14.25" customHeight="1" x14ac:dyDescent="0.35">
      <c r="A1776" s="105" t="s">
        <v>341</v>
      </c>
      <c r="B1776" s="105" t="s">
        <v>1981</v>
      </c>
      <c r="C1776" s="105" t="s">
        <v>1982</v>
      </c>
      <c r="D1776" s="105" t="s">
        <v>1185</v>
      </c>
      <c r="E1776" s="95" t="str">
        <f>IFERROR(VLOOKUP(D1776,MATERIALES!A:B,2,FALSE()),"?")</f>
        <v>AWA CODO MH 45*PPN CLOACAL ø40 20/2001</v>
      </c>
      <c r="F1776" s="129" t="str">
        <f>IFERROR(VLOOKUP(D1776,MATERIALES!A:C,3,FALSE()),"?")</f>
        <v>u</v>
      </c>
      <c r="G1776" s="119">
        <v>78</v>
      </c>
      <c r="H1776" s="120">
        <v>0</v>
      </c>
      <c r="I1776" s="96">
        <f>IFERROR(VLOOKUP(D1776,MATERIALES!A:D,4,FALSE()),0)</f>
        <v>399.55009121929999</v>
      </c>
      <c r="J1776" s="31">
        <f t="shared" si="567"/>
        <v>31164.907115105398</v>
      </c>
      <c r="K1776" s="32" t="str">
        <f t="shared" si="568"/>
        <v>PTO-1902|MAT</v>
      </c>
      <c r="L1776" s="32">
        <f>COUNTIFS($K$2:K1776,K1776)</f>
        <v>14</v>
      </c>
      <c r="M1776" s="32" t="str">
        <f t="shared" si="564"/>
        <v>PTO-1902|MAT|14</v>
      </c>
      <c r="N1776" s="121">
        <f>IFERROR(VLOOKUP(A1776,PARTIDAS!A:F,6,FALSE()),0)</f>
        <v>1</v>
      </c>
      <c r="O1776" s="123">
        <f t="shared" si="565"/>
        <v>0</v>
      </c>
      <c r="P1776" s="123">
        <f>+_xlfn.XLOOKUP(A1776,PPTO_GENERADOR!Q:Q,PPTO_GENERADOR!E:E,"-",0)</f>
        <v>1</v>
      </c>
      <c r="Q1776" s="123">
        <f t="shared" si="566"/>
        <v>0</v>
      </c>
      <c r="R1776" s="125">
        <f>+_xlfn.XLOOKUP(A1776,PPTO_GENERADOR!$Q:$Q,PPTO_GENERADOR!A:A,"-",0)</f>
        <v>19.02</v>
      </c>
    </row>
    <row r="1777" spans="1:18" ht="14.25" customHeight="1" x14ac:dyDescent="0.35">
      <c r="A1777" s="105" t="s">
        <v>341</v>
      </c>
      <c r="B1777" s="105" t="s">
        <v>1981</v>
      </c>
      <c r="C1777" s="105" t="s">
        <v>1982</v>
      </c>
      <c r="D1777" s="105" t="s">
        <v>1187</v>
      </c>
      <c r="E1777" s="95" t="str">
        <f>IFERROR(VLOOKUP(D1777,MATERIALES!A:B,2,FALSE()),"?")</f>
        <v>AWA MANG/CUPLA PPN CLOAC.ø 40 20/2013</v>
      </c>
      <c r="F1777" s="129" t="str">
        <f>IFERROR(VLOOKUP(D1777,MATERIALES!A:C,3,FALSE()),"?")</f>
        <v>u</v>
      </c>
      <c r="G1777" s="119">
        <v>50</v>
      </c>
      <c r="H1777" s="120">
        <v>0</v>
      </c>
      <c r="I1777" s="96">
        <f>IFERROR(VLOOKUP(D1777,MATERIALES!A:D,4,FALSE()),0)</f>
        <v>658.67933309160003</v>
      </c>
      <c r="J1777" s="31">
        <f t="shared" si="567"/>
        <v>32933.966654579999</v>
      </c>
      <c r="K1777" s="32" t="str">
        <f t="shared" si="568"/>
        <v>PTO-1902|MAT</v>
      </c>
      <c r="L1777" s="32">
        <f>COUNTIFS($K$2:K1777,K1777)</f>
        <v>15</v>
      </c>
      <c r="M1777" s="32" t="str">
        <f t="shared" si="564"/>
        <v>PTO-1902|MAT|15</v>
      </c>
      <c r="N1777" s="121">
        <f>IFERROR(VLOOKUP(A1777,PARTIDAS!A:F,6,FALSE()),0)</f>
        <v>1</v>
      </c>
      <c r="O1777" s="123">
        <f t="shared" si="565"/>
        <v>0</v>
      </c>
      <c r="P1777" s="123">
        <f>+_xlfn.XLOOKUP(A1777,PPTO_GENERADOR!Q:Q,PPTO_GENERADOR!E:E,"-",0)</f>
        <v>1</v>
      </c>
      <c r="Q1777" s="123">
        <f t="shared" si="566"/>
        <v>0</v>
      </c>
      <c r="R1777" s="125">
        <f>+_xlfn.XLOOKUP(A1777,PPTO_GENERADOR!$Q:$Q,PPTO_GENERADOR!A:A,"-",0)</f>
        <v>19.02</v>
      </c>
    </row>
    <row r="1778" spans="1:18" ht="14.25" customHeight="1" x14ac:dyDescent="0.35">
      <c r="A1778" s="105" t="s">
        <v>341</v>
      </c>
      <c r="B1778" s="105" t="s">
        <v>1981</v>
      </c>
      <c r="C1778" s="105" t="s">
        <v>1982</v>
      </c>
      <c r="D1778" s="105" t="s">
        <v>1189</v>
      </c>
      <c r="E1778" s="95" t="str">
        <f>IFERROR(VLOOKUP(D1778,MATERIALES!A:B,2,FALSE()),"?")</f>
        <v>AWA TAPA PPN CLOACAL ø 40 20/2034</v>
      </c>
      <c r="F1778" s="129" t="str">
        <f>IFERROR(VLOOKUP(D1778,MATERIALES!A:C,3,FALSE()),"?")</f>
        <v>u</v>
      </c>
      <c r="G1778" s="119">
        <v>28</v>
      </c>
      <c r="H1778" s="120">
        <v>0</v>
      </c>
      <c r="I1778" s="96">
        <f>IFERROR(VLOOKUP(D1778,MATERIALES!A:D,4,FALSE()),0)</f>
        <v>361.83841571850002</v>
      </c>
      <c r="J1778" s="31">
        <f t="shared" si="567"/>
        <v>10131.475640118</v>
      </c>
      <c r="K1778" s="32" t="str">
        <f t="shared" si="568"/>
        <v>PTO-1902|MAT</v>
      </c>
      <c r="L1778" s="32">
        <f>COUNTIFS($K$2:K1778,K1778)</f>
        <v>16</v>
      </c>
      <c r="M1778" s="32" t="str">
        <f t="shared" si="564"/>
        <v>PTO-1902|MAT|16</v>
      </c>
      <c r="N1778" s="121">
        <f>IFERROR(VLOOKUP(A1778,PARTIDAS!A:F,6,FALSE()),0)</f>
        <v>1</v>
      </c>
      <c r="O1778" s="123">
        <f t="shared" si="565"/>
        <v>0</v>
      </c>
      <c r="P1778" s="123">
        <f>+_xlfn.XLOOKUP(A1778,PPTO_GENERADOR!Q:Q,PPTO_GENERADOR!E:E,"-",0)</f>
        <v>1</v>
      </c>
      <c r="Q1778" s="123">
        <f t="shared" si="566"/>
        <v>0</v>
      </c>
      <c r="R1778" s="125">
        <f>+_xlfn.XLOOKUP(A1778,PPTO_GENERADOR!$Q:$Q,PPTO_GENERADOR!A:A,"-",0)</f>
        <v>19.02</v>
      </c>
    </row>
    <row r="1779" spans="1:18" ht="14.25" customHeight="1" x14ac:dyDescent="0.35">
      <c r="A1779" s="105" t="s">
        <v>341</v>
      </c>
      <c r="B1779" s="105" t="s">
        <v>1981</v>
      </c>
      <c r="C1779" s="105" t="s">
        <v>1982</v>
      </c>
      <c r="D1779" s="105" t="s">
        <v>1153</v>
      </c>
      <c r="E1779" s="95" t="str">
        <f>IFERROR(VLOOKUP(D1779,MATERIALES!A:B,2,FALSE()),"?")</f>
        <v>AWA GRAMPA RAPICLACK ø110 10/4170</v>
      </c>
      <c r="F1779" s="129" t="str">
        <f>IFERROR(VLOOKUP(D1779,MATERIALES!A:C,3,FALSE()),"?")</f>
        <v>u</v>
      </c>
      <c r="G1779" s="119">
        <v>126</v>
      </c>
      <c r="H1779" s="120">
        <v>0</v>
      </c>
      <c r="I1779" s="96">
        <f>IFERROR(VLOOKUP(D1779,MATERIALES!A:D,4,FALSE()),0)</f>
        <v>696.15430192739996</v>
      </c>
      <c r="J1779" s="31">
        <f t="shared" si="567"/>
        <v>87715.442042852388</v>
      </c>
      <c r="K1779" s="32" t="str">
        <f t="shared" si="568"/>
        <v>PTO-1902|MAT</v>
      </c>
      <c r="L1779" s="32">
        <f>COUNTIFS($K$2:K1779,K1779)</f>
        <v>17</v>
      </c>
      <c r="M1779" s="32" t="str">
        <f t="shared" si="564"/>
        <v>PTO-1902|MAT|17</v>
      </c>
      <c r="N1779" s="121">
        <f>IFERROR(VLOOKUP(A1779,PARTIDAS!A:F,6,FALSE()),0)</f>
        <v>1</v>
      </c>
      <c r="O1779" s="123">
        <f t="shared" si="565"/>
        <v>0</v>
      </c>
      <c r="P1779" s="123">
        <f>+_xlfn.XLOOKUP(A1779,PPTO_GENERADOR!Q:Q,PPTO_GENERADOR!E:E,"-",0)</f>
        <v>1</v>
      </c>
      <c r="Q1779" s="123">
        <f t="shared" si="566"/>
        <v>0</v>
      </c>
      <c r="R1779" s="125">
        <f>+_xlfn.XLOOKUP(A1779,PPTO_GENERADOR!$Q:$Q,PPTO_GENERADOR!A:A,"-",0)</f>
        <v>19.02</v>
      </c>
    </row>
    <row r="1780" spans="1:18" ht="14.25" customHeight="1" x14ac:dyDescent="0.35">
      <c r="A1780" s="105" t="s">
        <v>341</v>
      </c>
      <c r="B1780" s="105" t="s">
        <v>1981</v>
      </c>
      <c r="C1780" s="105" t="s">
        <v>1982</v>
      </c>
      <c r="D1780" s="105" t="s">
        <v>1191</v>
      </c>
      <c r="E1780" s="95" t="str">
        <f>IFERROR(VLOOKUP(D1780,MATERIALES!A:B,2,FALSE()),"?")</f>
        <v>AWA GRAMPA RAPICLACK ø 40-50-63 20/4167</v>
      </c>
      <c r="F1780" s="129" t="str">
        <f>IFERROR(VLOOKUP(D1780,MATERIALES!A:C,3,FALSE()),"?")</f>
        <v>u</v>
      </c>
      <c r="G1780" s="119">
        <v>159</v>
      </c>
      <c r="H1780" s="120">
        <v>0</v>
      </c>
      <c r="I1780" s="96">
        <f>IFERROR(VLOOKUP(D1780,MATERIALES!A:D,4,FALSE()),0)</f>
        <v>424.1891031728</v>
      </c>
      <c r="J1780" s="31">
        <f t="shared" si="567"/>
        <v>67446.067404475194</v>
      </c>
      <c r="K1780" s="32" t="str">
        <f t="shared" si="568"/>
        <v>PTO-1902|MAT</v>
      </c>
      <c r="L1780" s="32">
        <f>COUNTIFS($K$2:K1780,K1780)</f>
        <v>18</v>
      </c>
      <c r="M1780" s="32" t="str">
        <f t="shared" si="564"/>
        <v>PTO-1902|MAT|18</v>
      </c>
      <c r="N1780" s="121">
        <f>IFERROR(VLOOKUP(A1780,PARTIDAS!A:F,6,FALSE()),0)</f>
        <v>1</v>
      </c>
      <c r="O1780" s="123">
        <f t="shared" si="565"/>
        <v>0</v>
      </c>
      <c r="P1780" s="123">
        <f>+_xlfn.XLOOKUP(A1780,PPTO_GENERADOR!Q:Q,PPTO_GENERADOR!E:E,"-",0)</f>
        <v>1</v>
      </c>
      <c r="Q1780" s="123">
        <f t="shared" si="566"/>
        <v>0</v>
      </c>
      <c r="R1780" s="125">
        <f>+_xlfn.XLOOKUP(A1780,PPTO_GENERADOR!$Q:$Q,PPTO_GENERADOR!A:A,"-",0)</f>
        <v>19.02</v>
      </c>
    </row>
    <row r="1781" spans="1:18" ht="14.25" customHeight="1" x14ac:dyDescent="0.35">
      <c r="A1781" s="105" t="s">
        <v>341</v>
      </c>
      <c r="B1781" s="105" t="s">
        <v>1981</v>
      </c>
      <c r="C1781" s="105" t="s">
        <v>1982</v>
      </c>
      <c r="D1781" s="105" t="s">
        <v>1193</v>
      </c>
      <c r="E1781" s="95" t="str">
        <f>IFERROR(VLOOKUP(D1781,MATERIALES!A:B,2,FALSE()),"?")</f>
        <v>AWA BUJE RED.MH ø 63X50 20/2081</v>
      </c>
      <c r="F1781" s="129" t="str">
        <f>IFERROR(VLOOKUP(D1781,MATERIALES!A:C,3,FALSE()),"?")</f>
        <v>u</v>
      </c>
      <c r="G1781" s="119">
        <v>25</v>
      </c>
      <c r="H1781" s="120">
        <v>0</v>
      </c>
      <c r="I1781" s="96">
        <f>IFERROR(VLOOKUP(D1781,MATERIALES!A:D,4,FALSE()),0)</f>
        <v>653.42874888489996</v>
      </c>
      <c r="J1781" s="31">
        <f t="shared" si="567"/>
        <v>16335.718722122499</v>
      </c>
      <c r="K1781" s="32" t="str">
        <f t="shared" si="568"/>
        <v>PTO-1902|MAT</v>
      </c>
      <c r="L1781" s="32">
        <f>COUNTIFS($K$2:K1781,K1781)</f>
        <v>19</v>
      </c>
      <c r="M1781" s="32" t="str">
        <f t="shared" si="564"/>
        <v>PTO-1902|MAT|19</v>
      </c>
      <c r="N1781" s="121">
        <f>IFERROR(VLOOKUP(A1781,PARTIDAS!A:F,6,FALSE()),0)</f>
        <v>1</v>
      </c>
      <c r="O1781" s="123">
        <f t="shared" si="565"/>
        <v>0</v>
      </c>
      <c r="P1781" s="123">
        <f>+_xlfn.XLOOKUP(A1781,PPTO_GENERADOR!Q:Q,PPTO_GENERADOR!E:E,"-",0)</f>
        <v>1</v>
      </c>
      <c r="Q1781" s="123">
        <f t="shared" si="566"/>
        <v>0</v>
      </c>
      <c r="R1781" s="125">
        <f>+_xlfn.XLOOKUP(A1781,PPTO_GENERADOR!$Q:$Q,PPTO_GENERADOR!A:A,"-",0)</f>
        <v>19.02</v>
      </c>
    </row>
    <row r="1782" spans="1:18" ht="14.25" customHeight="1" x14ac:dyDescent="0.35">
      <c r="A1782" s="105" t="s">
        <v>341</v>
      </c>
      <c r="B1782" s="105" t="s">
        <v>1981</v>
      </c>
      <c r="C1782" s="105" t="s">
        <v>1982</v>
      </c>
      <c r="D1782" s="105" t="s">
        <v>1159</v>
      </c>
      <c r="E1782" s="95" t="str">
        <f>IFERROR(VLOOKUP(D1782,MATERIALES!A:B,2,FALSE()),"?")</f>
        <v>AWA BOCA ACCES.HOR.3 ACOM.ø110X63 4/2460</v>
      </c>
      <c r="F1782" s="129" t="str">
        <f>IFERROR(VLOOKUP(D1782,MATERIALES!A:C,3,FALSE()),"?")</f>
        <v>u</v>
      </c>
      <c r="G1782" s="119">
        <v>42</v>
      </c>
      <c r="H1782" s="120">
        <v>0</v>
      </c>
      <c r="I1782" s="96">
        <f>IFERROR(VLOOKUP(D1782,MATERIALES!A:D,4,FALSE()),0)</f>
        <v>4518.7194765103004</v>
      </c>
      <c r="J1782" s="31">
        <f t="shared" si="567"/>
        <v>189786.2180134326</v>
      </c>
      <c r="K1782" s="32" t="str">
        <f t="shared" si="568"/>
        <v>PTO-1902|MAT</v>
      </c>
      <c r="L1782" s="32">
        <f>COUNTIFS($K$2:K1782,K1782)</f>
        <v>20</v>
      </c>
      <c r="M1782" s="32" t="str">
        <f t="shared" si="564"/>
        <v>PTO-1902|MAT|20</v>
      </c>
      <c r="N1782" s="121">
        <f>IFERROR(VLOOKUP(A1782,PARTIDAS!A:F,6,FALSE()),0)</f>
        <v>1</v>
      </c>
      <c r="O1782" s="123">
        <f t="shared" si="565"/>
        <v>0</v>
      </c>
      <c r="P1782" s="123">
        <f>+_xlfn.XLOOKUP(A1782,PPTO_GENERADOR!Q:Q,PPTO_GENERADOR!E:E,"-",0)</f>
        <v>1</v>
      </c>
      <c r="Q1782" s="123">
        <f t="shared" si="566"/>
        <v>0</v>
      </c>
      <c r="R1782" s="125">
        <f>+_xlfn.XLOOKUP(A1782,PPTO_GENERADOR!$Q:$Q,PPTO_GENERADOR!A:A,"-",0)</f>
        <v>19.02</v>
      </c>
    </row>
    <row r="1783" spans="1:18" ht="14.25" customHeight="1" x14ac:dyDescent="0.35">
      <c r="A1783" s="105" t="s">
        <v>341</v>
      </c>
      <c r="B1783" s="105" t="s">
        <v>1981</v>
      </c>
      <c r="C1783" s="105" t="s">
        <v>1982</v>
      </c>
      <c r="D1783" s="105" t="s">
        <v>1195</v>
      </c>
      <c r="E1783" s="95" t="str">
        <f>IFERROR(VLOOKUP(D1783,MATERIALES!A:B,2,FALSE()),"?")</f>
        <v>AWA RAMAL 45*PPN CLOAC.ø110X63 5/2024</v>
      </c>
      <c r="F1783" s="129" t="str">
        <f>IFERROR(VLOOKUP(D1783,MATERIALES!A:C,3,FALSE()),"?")</f>
        <v>u</v>
      </c>
      <c r="G1783" s="119">
        <v>28</v>
      </c>
      <c r="H1783" s="120">
        <v>0</v>
      </c>
      <c r="I1783" s="96">
        <f>IFERROR(VLOOKUP(D1783,MATERIALES!A:D,4,FALSE()),0)</f>
        <v>3362.0093201425002</v>
      </c>
      <c r="J1783" s="31">
        <f t="shared" si="567"/>
        <v>94136.260963990004</v>
      </c>
      <c r="K1783" s="32" t="str">
        <f t="shared" si="568"/>
        <v>PTO-1902|MAT</v>
      </c>
      <c r="L1783" s="32">
        <f>COUNTIFS($K$2:K1783,K1783)</f>
        <v>21</v>
      </c>
      <c r="M1783" s="32" t="str">
        <f t="shared" si="564"/>
        <v>PTO-1902|MAT|21</v>
      </c>
      <c r="N1783" s="121">
        <f>IFERROR(VLOOKUP(A1783,PARTIDAS!A:F,6,FALSE()),0)</f>
        <v>1</v>
      </c>
      <c r="O1783" s="123">
        <f t="shared" si="565"/>
        <v>0</v>
      </c>
      <c r="P1783" s="123">
        <f>+_xlfn.XLOOKUP(A1783,PPTO_GENERADOR!Q:Q,PPTO_GENERADOR!E:E,"-",0)</f>
        <v>1</v>
      </c>
      <c r="Q1783" s="123">
        <f t="shared" si="566"/>
        <v>0</v>
      </c>
      <c r="R1783" s="125">
        <f>+_xlfn.XLOOKUP(A1783,PPTO_GENERADOR!$Q:$Q,PPTO_GENERADOR!A:A,"-",0)</f>
        <v>19.02</v>
      </c>
    </row>
    <row r="1784" spans="1:18" ht="14.25" customHeight="1" x14ac:dyDescent="0.35">
      <c r="A1784" s="105" t="s">
        <v>341</v>
      </c>
      <c r="B1784" s="105" t="s">
        <v>1981</v>
      </c>
      <c r="C1784" s="105" t="s">
        <v>1982</v>
      </c>
      <c r="D1784" s="105" t="s">
        <v>1151</v>
      </c>
      <c r="E1784" s="95" t="str">
        <f>IFERROR(VLOOKUP(D1784,MATERIALES!A:B,2,FALSE()),"?")</f>
        <v>AWA RAMAL 45*PPN CLOAC.ø110X110 5/2023</v>
      </c>
      <c r="F1784" s="129" t="str">
        <f>IFERROR(VLOOKUP(D1784,MATERIALES!A:C,3,FALSE()),"?")</f>
        <v>u</v>
      </c>
      <c r="G1784" s="119">
        <v>36</v>
      </c>
      <c r="H1784" s="120">
        <v>0</v>
      </c>
      <c r="I1784" s="96">
        <f>IFERROR(VLOOKUP(D1784,MATERIALES!A:D,4,FALSE()),0)</f>
        <v>4732.8959708098</v>
      </c>
      <c r="J1784" s="31">
        <f t="shared" si="567"/>
        <v>170384.25494915279</v>
      </c>
      <c r="K1784" s="32" t="str">
        <f t="shared" si="568"/>
        <v>PTO-1902|MAT</v>
      </c>
      <c r="L1784" s="32">
        <f>COUNTIFS($K$2:K1784,K1784)</f>
        <v>22</v>
      </c>
      <c r="M1784" s="32" t="str">
        <f t="shared" si="564"/>
        <v>PTO-1902|MAT|22</v>
      </c>
      <c r="N1784" s="121">
        <f>IFERROR(VLOOKUP(A1784,PARTIDAS!A:F,6,FALSE()),0)</f>
        <v>1</v>
      </c>
      <c r="O1784" s="123">
        <f t="shared" si="565"/>
        <v>0</v>
      </c>
      <c r="P1784" s="123">
        <f>+_xlfn.XLOOKUP(A1784,PPTO_GENERADOR!Q:Q,PPTO_GENERADOR!E:E,"-",0)</f>
        <v>1</v>
      </c>
      <c r="Q1784" s="123">
        <f t="shared" si="566"/>
        <v>0</v>
      </c>
      <c r="R1784" s="125">
        <f>+_xlfn.XLOOKUP(A1784,PPTO_GENERADOR!$Q:$Q,PPTO_GENERADOR!A:A,"-",0)</f>
        <v>19.02</v>
      </c>
    </row>
    <row r="1785" spans="1:18" ht="14.25" customHeight="1" x14ac:dyDescent="0.35">
      <c r="A1785" s="105" t="s">
        <v>341</v>
      </c>
      <c r="B1785" s="105" t="s">
        <v>1981</v>
      </c>
      <c r="C1785" s="105" t="s">
        <v>1982</v>
      </c>
      <c r="D1785" s="105" t="s">
        <v>1197</v>
      </c>
      <c r="E1785" s="95" t="str">
        <f>IFERROR(VLOOKUP(D1785,MATERIALES!A:B,2,FALSE()),"?")</f>
        <v>AWA DISCO ANTIFILTRACION P/REJA 4/2077</v>
      </c>
      <c r="F1785" s="129" t="str">
        <f>IFERROR(VLOOKUP(D1785,MATERIALES!A:C,3,FALSE()),"?")</f>
        <v>u</v>
      </c>
      <c r="G1785" s="119">
        <v>64</v>
      </c>
      <c r="H1785" s="120">
        <v>0</v>
      </c>
      <c r="I1785" s="96">
        <f>IFERROR(VLOOKUP(D1785,MATERIALES!A:D,4,FALSE()),0)</f>
        <v>5000</v>
      </c>
      <c r="J1785" s="31">
        <f t="shared" si="567"/>
        <v>320000</v>
      </c>
      <c r="K1785" s="32" t="str">
        <f t="shared" si="568"/>
        <v>PTO-1902|MAT</v>
      </c>
      <c r="L1785" s="32">
        <f>COUNTIFS($K$2:K1785,K1785)</f>
        <v>23</v>
      </c>
      <c r="M1785" s="32" t="str">
        <f t="shared" si="564"/>
        <v>PTO-1902|MAT|23</v>
      </c>
      <c r="N1785" s="121">
        <f>IFERROR(VLOOKUP(A1785,PARTIDAS!A:F,6,FALSE()),0)</f>
        <v>1</v>
      </c>
      <c r="O1785" s="123">
        <f t="shared" si="565"/>
        <v>0</v>
      </c>
      <c r="P1785" s="123">
        <f>+_xlfn.XLOOKUP(A1785,PPTO_GENERADOR!Q:Q,PPTO_GENERADOR!E:E,"-",0)</f>
        <v>1</v>
      </c>
      <c r="Q1785" s="123">
        <f t="shared" si="566"/>
        <v>0</v>
      </c>
      <c r="R1785" s="125">
        <f>+_xlfn.XLOOKUP(A1785,PPTO_GENERADOR!$Q:$Q,PPTO_GENERADOR!A:A,"-",0)</f>
        <v>19.02</v>
      </c>
    </row>
    <row r="1786" spans="1:18" ht="14.25" customHeight="1" x14ac:dyDescent="0.35">
      <c r="A1786" s="105" t="s">
        <v>341</v>
      </c>
      <c r="B1786" s="105" t="s">
        <v>1981</v>
      </c>
      <c r="C1786" s="105" t="s">
        <v>1982</v>
      </c>
      <c r="D1786" s="105" t="s">
        <v>1199</v>
      </c>
      <c r="E1786" s="95" t="str">
        <f>IFERROR(VLOOKUP(D1786,MATERIALES!A:B,2,FALSE()),"?")</f>
        <v>AWA ADAPT.SUPEREXCENT.INO.ø105 4/2271</v>
      </c>
      <c r="F1786" s="129" t="str">
        <f>IFERROR(VLOOKUP(D1786,MATERIALES!A:C,3,FALSE()),"?")</f>
        <v>u</v>
      </c>
      <c r="G1786" s="119">
        <v>28</v>
      </c>
      <c r="H1786" s="120">
        <v>0</v>
      </c>
      <c r="I1786" s="96">
        <f>IFERROR(VLOOKUP(D1786,MATERIALES!A:D,4,FALSE()),0)</f>
        <v>4507.7018571914004</v>
      </c>
      <c r="J1786" s="31">
        <f t="shared" si="567"/>
        <v>126215.65200135921</v>
      </c>
      <c r="K1786" s="32" t="str">
        <f t="shared" si="568"/>
        <v>PTO-1902|MAT</v>
      </c>
      <c r="L1786" s="32">
        <f>COUNTIFS($K$2:K1786,K1786)</f>
        <v>24</v>
      </c>
      <c r="M1786" s="32" t="str">
        <f t="shared" ref="M1786:M1849" si="569">K1786&amp;"|"&amp;L1786</f>
        <v>PTO-1902|MAT|24</v>
      </c>
      <c r="N1786" s="121">
        <f>IFERROR(VLOOKUP(A1786,PARTIDAS!A:F,6,FALSE()),0)</f>
        <v>1</v>
      </c>
      <c r="O1786" s="123">
        <f t="shared" si="565"/>
        <v>0</v>
      </c>
      <c r="P1786" s="123">
        <f>+_xlfn.XLOOKUP(A1786,PPTO_GENERADOR!Q:Q,PPTO_GENERADOR!E:E,"-",0)</f>
        <v>1</v>
      </c>
      <c r="Q1786" s="123">
        <f t="shared" si="566"/>
        <v>0</v>
      </c>
      <c r="R1786" s="125">
        <f>+_xlfn.XLOOKUP(A1786,PPTO_GENERADOR!$Q:$Q,PPTO_GENERADOR!A:A,"-",0)</f>
        <v>19.02</v>
      </c>
    </row>
    <row r="1787" spans="1:18" ht="14.25" customHeight="1" x14ac:dyDescent="0.35">
      <c r="A1787" s="105" t="s">
        <v>341</v>
      </c>
      <c r="B1787" s="105" t="s">
        <v>1981</v>
      </c>
      <c r="C1787" s="105" t="s">
        <v>1982</v>
      </c>
      <c r="D1787" s="105" t="s">
        <v>1201</v>
      </c>
      <c r="E1787" s="95" t="str">
        <f>IFERROR(VLOOKUP(D1787,MATERIALES!A:B,2,FALSE()),"?")</f>
        <v>AWA SIFON ROMPE ESPUMA PPN 1/7120</v>
      </c>
      <c r="F1787" s="129" t="str">
        <f>IFERROR(VLOOKUP(D1787,MATERIALES!A:C,3,FALSE()),"?")</f>
        <v>u</v>
      </c>
      <c r="G1787" s="119">
        <v>14</v>
      </c>
      <c r="H1787" s="120">
        <v>0</v>
      </c>
      <c r="I1787" s="96">
        <f>IFERROR(VLOOKUP(D1787,MATERIALES!A:D,4,FALSE()),0)</f>
        <v>9878.3824182046992</v>
      </c>
      <c r="J1787" s="31">
        <f t="shared" si="567"/>
        <v>138297.3538548658</v>
      </c>
      <c r="K1787" s="32" t="str">
        <f t="shared" si="568"/>
        <v>PTO-1902|MAT</v>
      </c>
      <c r="L1787" s="32">
        <f>COUNTIFS($K$2:K1787,K1787)</f>
        <v>25</v>
      </c>
      <c r="M1787" s="32" t="str">
        <f t="shared" si="569"/>
        <v>PTO-1902|MAT|25</v>
      </c>
      <c r="N1787" s="121">
        <f>IFERROR(VLOOKUP(A1787,PARTIDAS!A:F,6,FALSE()),0)</f>
        <v>1</v>
      </c>
      <c r="O1787" s="123">
        <f t="shared" si="565"/>
        <v>0</v>
      </c>
      <c r="P1787" s="123">
        <f>+_xlfn.XLOOKUP(A1787,PPTO_GENERADOR!Q:Q,PPTO_GENERADOR!E:E,"-",0)</f>
        <v>1</v>
      </c>
      <c r="Q1787" s="123">
        <f t="shared" si="566"/>
        <v>0</v>
      </c>
      <c r="R1787" s="125">
        <f>+_xlfn.XLOOKUP(A1787,PPTO_GENERADOR!$Q:$Q,PPTO_GENERADOR!A:A,"-",0)</f>
        <v>19.02</v>
      </c>
    </row>
    <row r="1788" spans="1:18" ht="14.25" customHeight="1" x14ac:dyDescent="0.35">
      <c r="A1788" s="105" t="s">
        <v>341</v>
      </c>
      <c r="B1788" s="105" t="s">
        <v>1981</v>
      </c>
      <c r="C1788" s="105" t="s">
        <v>1982</v>
      </c>
      <c r="D1788" s="105" t="s">
        <v>1203</v>
      </c>
      <c r="E1788" s="95" t="str">
        <f>IFERROR(VLOOKUP(D1788,MATERIALES!A:B,2,FALSE()),"?")</f>
        <v>AWA SOLUC.DESLIZ.AEROSOL 255 CM3 12/4023</v>
      </c>
      <c r="F1788" s="129" t="str">
        <f>IFERROR(VLOOKUP(D1788,MATERIALES!A:C,3,FALSE()),"?")</f>
        <v>u</v>
      </c>
      <c r="G1788" s="119">
        <v>39</v>
      </c>
      <c r="H1788" s="120">
        <v>0</v>
      </c>
      <c r="I1788" s="96">
        <f>IFERROR(VLOOKUP(D1788,MATERIALES!A:D,4,FALSE()),0)</f>
        <v>9863.9863492118002</v>
      </c>
      <c r="J1788" s="31">
        <f t="shared" si="567"/>
        <v>384695.46761926019</v>
      </c>
      <c r="K1788" s="32" t="str">
        <f t="shared" si="568"/>
        <v>PTO-1902|MAT</v>
      </c>
      <c r="L1788" s="32">
        <f>COUNTIFS($K$2:K1788,K1788)</f>
        <v>26</v>
      </c>
      <c r="M1788" s="32" t="str">
        <f t="shared" si="569"/>
        <v>PTO-1902|MAT|26</v>
      </c>
      <c r="N1788" s="121">
        <f>IFERROR(VLOOKUP(A1788,PARTIDAS!A:F,6,FALSE()),0)</f>
        <v>1</v>
      </c>
      <c r="O1788" s="123">
        <f t="shared" si="565"/>
        <v>0</v>
      </c>
      <c r="P1788" s="123">
        <f>+_xlfn.XLOOKUP(A1788,PPTO_GENERADOR!Q:Q,PPTO_GENERADOR!E:E,"-",0)</f>
        <v>1</v>
      </c>
      <c r="Q1788" s="123">
        <f t="shared" si="566"/>
        <v>0</v>
      </c>
      <c r="R1788" s="125">
        <f>+_xlfn.XLOOKUP(A1788,PPTO_GENERADOR!$Q:$Q,PPTO_GENERADOR!A:A,"-",0)</f>
        <v>19.02</v>
      </c>
    </row>
    <row r="1789" spans="1:18" ht="14.25" customHeight="1" x14ac:dyDescent="0.35">
      <c r="A1789" s="105" t="s">
        <v>341</v>
      </c>
      <c r="B1789" s="105" t="s">
        <v>1981</v>
      </c>
      <c r="C1789" s="105" t="s">
        <v>1982</v>
      </c>
      <c r="D1789" s="105" t="s">
        <v>1161</v>
      </c>
      <c r="E1789" s="95" t="str">
        <f>IFERROR(VLOOKUP(D1789,MATERIALES!A:B,2,FALSE()),"?")</f>
        <v>AWADUCT PILETA PATIO 7 ENT. C/SIFON 40X63 2031</v>
      </c>
      <c r="F1789" s="129" t="str">
        <f>IFERROR(VLOOKUP(D1789,MATERIALES!A:C,3,FALSE()),"?")</f>
        <v>u</v>
      </c>
      <c r="G1789" s="119">
        <v>28</v>
      </c>
      <c r="H1789" s="120">
        <v>0</v>
      </c>
      <c r="I1789" s="96">
        <f>IFERROR(VLOOKUP(D1789,MATERIALES!A:D,4,FALSE()),0)</f>
        <v>6417.2898399489004</v>
      </c>
      <c r="J1789" s="31">
        <f t="shared" si="567"/>
        <v>179684.11551856922</v>
      </c>
      <c r="K1789" s="32" t="str">
        <f t="shared" si="568"/>
        <v>PTO-1902|MAT</v>
      </c>
      <c r="L1789" s="32">
        <f>COUNTIFS($K$2:K1789,K1789)</f>
        <v>27</v>
      </c>
      <c r="M1789" s="32" t="str">
        <f t="shared" si="569"/>
        <v>PTO-1902|MAT|27</v>
      </c>
      <c r="N1789" s="121">
        <f>IFERROR(VLOOKUP(A1789,PARTIDAS!A:F,6,FALSE()),0)</f>
        <v>1</v>
      </c>
      <c r="O1789" s="123">
        <f t="shared" si="565"/>
        <v>0</v>
      </c>
      <c r="P1789" s="123">
        <f>+_xlfn.XLOOKUP(A1789,PPTO_GENERADOR!Q:Q,PPTO_GENERADOR!E:E,"-",0)</f>
        <v>1</v>
      </c>
      <c r="Q1789" s="123">
        <f t="shared" si="566"/>
        <v>0</v>
      </c>
      <c r="R1789" s="125">
        <f>+_xlfn.XLOOKUP(A1789,PPTO_GENERADOR!$Q:$Q,PPTO_GENERADOR!A:A,"-",0)</f>
        <v>19.02</v>
      </c>
    </row>
    <row r="1790" spans="1:18" ht="14.25" customHeight="1" x14ac:dyDescent="0.35">
      <c r="A1790" s="105" t="s">
        <v>341</v>
      </c>
      <c r="B1790" s="105" t="s">
        <v>1981</v>
      </c>
      <c r="C1790" s="105" t="s">
        <v>1982</v>
      </c>
      <c r="D1790" s="105" t="s">
        <v>1205</v>
      </c>
      <c r="E1790" s="95" t="str">
        <f>IFERROR(VLOOKUP(D1790,MATERIALES!A:B,2,FALSE()),"?")</f>
        <v>AWA PILETA BALCON ø 63(M) 4/2062</v>
      </c>
      <c r="F1790" s="129" t="str">
        <f>IFERROR(VLOOKUP(D1790,MATERIALES!A:C,3,FALSE()),"?")</f>
        <v>u</v>
      </c>
      <c r="G1790" s="119">
        <v>25</v>
      </c>
      <c r="H1790" s="120">
        <v>0</v>
      </c>
      <c r="I1790" s="96">
        <f>IFERROR(VLOOKUP(D1790,MATERIALES!A:D,4,FALSE()),0)</f>
        <v>3447.2882759255999</v>
      </c>
      <c r="J1790" s="31">
        <f t="shared" si="567"/>
        <v>86182.206898139993</v>
      </c>
      <c r="K1790" s="32" t="str">
        <f t="shared" si="568"/>
        <v>PTO-1902|MAT</v>
      </c>
      <c r="L1790" s="32">
        <f>COUNTIFS($K$2:K1790,K1790)</f>
        <v>28</v>
      </c>
      <c r="M1790" s="32" t="str">
        <f t="shared" si="569"/>
        <v>PTO-1902|MAT|28</v>
      </c>
      <c r="N1790" s="121">
        <f>IFERROR(VLOOKUP(A1790,PARTIDAS!A:F,6,FALSE()),0)</f>
        <v>1</v>
      </c>
      <c r="O1790" s="123">
        <f t="shared" si="565"/>
        <v>0</v>
      </c>
      <c r="P1790" s="123">
        <f>+_xlfn.XLOOKUP(A1790,PPTO_GENERADOR!Q:Q,PPTO_GENERADOR!E:E,"-",0)</f>
        <v>1</v>
      </c>
      <c r="Q1790" s="123">
        <f t="shared" si="566"/>
        <v>0</v>
      </c>
      <c r="R1790" s="125">
        <f>+_xlfn.XLOOKUP(A1790,PPTO_GENERADOR!$Q:$Q,PPTO_GENERADOR!A:A,"-",0)</f>
        <v>19.02</v>
      </c>
    </row>
    <row r="1791" spans="1:18" ht="14.25" customHeight="1" x14ac:dyDescent="0.35">
      <c r="A1791" s="105" t="s">
        <v>341</v>
      </c>
      <c r="B1791" s="105" t="s">
        <v>1981</v>
      </c>
      <c r="C1791" s="105" t="s">
        <v>1982</v>
      </c>
      <c r="D1791" s="105" t="s">
        <v>559</v>
      </c>
      <c r="E1791" s="95" t="str">
        <f>IFERROR(VLOOKUP(D1791,MATERIALES!A:B,2,FALSE()),"?")</f>
        <v>CONSUMIBLES (varios)</v>
      </c>
      <c r="F1791" s="129" t="str">
        <f>IFERROR(VLOOKUP(D1791,MATERIALES!A:C,3,FALSE()),"?")</f>
        <v>gl</v>
      </c>
      <c r="G1791" s="119">
        <v>718271.31</v>
      </c>
      <c r="H1791" s="120">
        <v>0</v>
      </c>
      <c r="I1791" s="96">
        <f>IFERROR(VLOOKUP(D1791,MATERIALES!A:D,4,FALSE()),0)</f>
        <v>1</v>
      </c>
      <c r="J1791" s="31">
        <f t="shared" si="567"/>
        <v>718271.31</v>
      </c>
      <c r="K1791" s="32" t="str">
        <f t="shared" si="568"/>
        <v>PTO-1902|MAT</v>
      </c>
      <c r="L1791" s="32">
        <f>COUNTIFS($K$2:K1791,K1791)</f>
        <v>29</v>
      </c>
      <c r="M1791" s="32" t="str">
        <f t="shared" si="569"/>
        <v>PTO-1902|MAT|29</v>
      </c>
      <c r="N1791" s="121">
        <f>IFERROR(VLOOKUP(A1791,PARTIDAS!A:F,6,FALSE()),0)</f>
        <v>1</v>
      </c>
      <c r="O1791" s="123">
        <f t="shared" si="565"/>
        <v>0</v>
      </c>
      <c r="P1791" s="123">
        <f>+_xlfn.XLOOKUP(A1791,PPTO_GENERADOR!Q:Q,PPTO_GENERADOR!E:E,"-",0)</f>
        <v>1</v>
      </c>
      <c r="Q1791" s="123">
        <f t="shared" si="566"/>
        <v>0</v>
      </c>
      <c r="R1791" s="125">
        <f>+_xlfn.XLOOKUP(A1791,PPTO_GENERADOR!$Q:$Q,PPTO_GENERADOR!A:A,"-",0)</f>
        <v>19.02</v>
      </c>
    </row>
    <row r="1792" spans="1:18" ht="14.25" customHeight="1" x14ac:dyDescent="0.35">
      <c r="A1792" s="105" t="s">
        <v>345</v>
      </c>
      <c r="B1792" s="105" t="s">
        <v>1981</v>
      </c>
      <c r="C1792" s="105" t="s">
        <v>1982</v>
      </c>
      <c r="D1792" s="105" t="s">
        <v>1155</v>
      </c>
      <c r="E1792" s="95" t="str">
        <f>IFERROR(VLOOKUP(D1792,MATERIALES!A:B,2,FALSE()),"?")</f>
        <v>AWA CAÑO CAMARA PPN CLOACAL ø110 5/2065</v>
      </c>
      <c r="F1792" s="129" t="str">
        <f>IFERROR(VLOOKUP(D1792,MATERIALES!A:C,3,FALSE()),"?")</f>
        <v>u</v>
      </c>
      <c r="G1792" s="119">
        <v>7</v>
      </c>
      <c r="H1792" s="120">
        <v>0</v>
      </c>
      <c r="I1792" s="96">
        <f>IFERROR(VLOOKUP(D1792,MATERIALES!A:D,4,FALSE()),0)</f>
        <v>4922.6056034577005</v>
      </c>
      <c r="J1792" s="31">
        <f t="shared" si="567"/>
        <v>34458.239224203906</v>
      </c>
      <c r="K1792" s="32" t="str">
        <f t="shared" si="568"/>
        <v>PTO-1904|MAT</v>
      </c>
      <c r="L1792" s="32">
        <f>COUNTIFS($K$2:K1792,K1792)</f>
        <v>2</v>
      </c>
      <c r="M1792" s="32" t="str">
        <f t="shared" si="569"/>
        <v>PTO-1904|MAT|2</v>
      </c>
      <c r="N1792" s="121">
        <f>IFERROR(VLOOKUP(A1792,PARTIDAS!A:F,6,FALSE()),0)</f>
        <v>1</v>
      </c>
      <c r="O1792" s="123">
        <f t="shared" si="565"/>
        <v>0</v>
      </c>
      <c r="P1792" s="123">
        <f>+_xlfn.XLOOKUP(A1792,PPTO_GENERADOR!Q:Q,PPTO_GENERADOR!E:E,"-",0)</f>
        <v>1</v>
      </c>
      <c r="Q1792" s="123">
        <f t="shared" si="566"/>
        <v>0</v>
      </c>
      <c r="R1792" s="125">
        <f>+_xlfn.XLOOKUP(A1792,PPTO_GENERADOR!$Q:$Q,PPTO_GENERADOR!A:A,"-",0)</f>
        <v>19.04</v>
      </c>
    </row>
    <row r="1793" spans="1:18" ht="14.25" customHeight="1" x14ac:dyDescent="0.35">
      <c r="A1793" s="105" t="s">
        <v>345</v>
      </c>
      <c r="B1793" s="105" t="s">
        <v>1981</v>
      </c>
      <c r="C1793" s="105" t="s">
        <v>1982</v>
      </c>
      <c r="D1793" s="105" t="s">
        <v>1147</v>
      </c>
      <c r="E1793" s="95" t="str">
        <f>IFERROR(VLOOKUP(D1793,MATERIALES!A:B,2,FALSE()),"?")</f>
        <v>AWA CODO MH 90*PPN.CLOACAL ø110 12/2008</v>
      </c>
      <c r="F1793" s="129" t="str">
        <f>IFERROR(VLOOKUP(D1793,MATERIALES!A:C,3,FALSE()),"?")</f>
        <v>u</v>
      </c>
      <c r="G1793" s="119">
        <v>7</v>
      </c>
      <c r="H1793" s="120">
        <v>0</v>
      </c>
      <c r="I1793" s="96">
        <f>IFERROR(VLOOKUP(D1793,MATERIALES!A:D,4,FALSE()),0)</f>
        <v>2245.1196804732999</v>
      </c>
      <c r="J1793" s="31">
        <f t="shared" si="567"/>
        <v>15715.837763313099</v>
      </c>
      <c r="K1793" s="32" t="str">
        <f t="shared" si="568"/>
        <v>PTO-1904|MAT</v>
      </c>
      <c r="L1793" s="32">
        <f>COUNTIFS($K$2:K1793,K1793)</f>
        <v>3</v>
      </c>
      <c r="M1793" s="32" t="str">
        <f t="shared" si="569"/>
        <v>PTO-1904|MAT|3</v>
      </c>
      <c r="N1793" s="121">
        <f>IFERROR(VLOOKUP(A1793,PARTIDAS!A:F,6,FALSE()),0)</f>
        <v>1</v>
      </c>
      <c r="O1793" s="123">
        <f t="shared" si="565"/>
        <v>0</v>
      </c>
      <c r="P1793" s="123">
        <f>+_xlfn.XLOOKUP(A1793,PPTO_GENERADOR!Q:Q,PPTO_GENERADOR!E:E,"-",0)</f>
        <v>1</v>
      </c>
      <c r="Q1793" s="123">
        <f t="shared" si="566"/>
        <v>0</v>
      </c>
      <c r="R1793" s="125">
        <f>+_xlfn.XLOOKUP(A1793,PPTO_GENERADOR!$Q:$Q,PPTO_GENERADOR!A:A,"-",0)</f>
        <v>19.04</v>
      </c>
    </row>
    <row r="1794" spans="1:18" ht="14.25" customHeight="1" x14ac:dyDescent="0.35">
      <c r="A1794" s="105" t="s">
        <v>345</v>
      </c>
      <c r="B1794" s="105" t="s">
        <v>1981</v>
      </c>
      <c r="C1794" s="105" t="s">
        <v>1982</v>
      </c>
      <c r="D1794" s="105" t="s">
        <v>1149</v>
      </c>
      <c r="E1794" s="95" t="str">
        <f>IFERROR(VLOOKUP(D1794,MATERIALES!A:B,2,FALSE()),"?")</f>
        <v>AWA CODO MH 45*PPN CLOACAL.ø110 6/2004</v>
      </c>
      <c r="F1794" s="129" t="str">
        <f>IFERROR(VLOOKUP(D1794,MATERIALES!A:C,3,FALSE()),"?")</f>
        <v>u</v>
      </c>
      <c r="G1794" s="119">
        <v>7</v>
      </c>
      <c r="H1794" s="120">
        <v>0</v>
      </c>
      <c r="I1794" s="96">
        <f>IFERROR(VLOOKUP(D1794,MATERIALES!A:D,4,FALSE()),0)</f>
        <v>2066.7612083541999</v>
      </c>
      <c r="J1794" s="31">
        <f t="shared" si="567"/>
        <v>14467.328458479398</v>
      </c>
      <c r="K1794" s="32" t="str">
        <f t="shared" si="568"/>
        <v>PTO-1904|MAT</v>
      </c>
      <c r="L1794" s="32">
        <f>COUNTIFS($K$2:K1794,K1794)</f>
        <v>4</v>
      </c>
      <c r="M1794" s="32" t="str">
        <f t="shared" si="569"/>
        <v>PTO-1904|MAT|4</v>
      </c>
      <c r="N1794" s="121">
        <f>IFERROR(VLOOKUP(A1794,PARTIDAS!A:F,6,FALSE()),0)</f>
        <v>1</v>
      </c>
      <c r="O1794" s="123">
        <f t="shared" si="565"/>
        <v>0</v>
      </c>
      <c r="P1794" s="123">
        <f>+_xlfn.XLOOKUP(A1794,PPTO_GENERADOR!Q:Q,PPTO_GENERADOR!E:E,"-",0)</f>
        <v>1</v>
      </c>
      <c r="Q1794" s="123">
        <f t="shared" si="566"/>
        <v>0</v>
      </c>
      <c r="R1794" s="125">
        <f>+_xlfn.XLOOKUP(A1794,PPTO_GENERADOR!$Q:$Q,PPTO_GENERADOR!A:A,"-",0)</f>
        <v>19.04</v>
      </c>
    </row>
    <row r="1795" spans="1:18" ht="14.25" customHeight="1" x14ac:dyDescent="0.35">
      <c r="A1795" s="105" t="s">
        <v>345</v>
      </c>
      <c r="B1795" s="105" t="s">
        <v>1981</v>
      </c>
      <c r="C1795" s="105" t="s">
        <v>1982</v>
      </c>
      <c r="D1795" s="105" t="s">
        <v>1151</v>
      </c>
      <c r="E1795" s="95" t="str">
        <f>IFERROR(VLOOKUP(D1795,MATERIALES!A:B,2,FALSE()),"?")</f>
        <v>AWA RAMAL 45*PPN CLOAC.ø110X110 5/2023</v>
      </c>
      <c r="F1795" s="129" t="str">
        <f>IFERROR(VLOOKUP(D1795,MATERIALES!A:C,3,FALSE()),"?")</f>
        <v>u</v>
      </c>
      <c r="G1795" s="119">
        <v>6</v>
      </c>
      <c r="H1795" s="120">
        <v>0</v>
      </c>
      <c r="I1795" s="96">
        <f>IFERROR(VLOOKUP(D1795,MATERIALES!A:D,4,FALSE()),0)</f>
        <v>4732.8959708098</v>
      </c>
      <c r="J1795" s="31">
        <f t="shared" si="567"/>
        <v>28397.375824858798</v>
      </c>
      <c r="K1795" s="32" t="str">
        <f t="shared" si="568"/>
        <v>PTO-1904|MAT</v>
      </c>
      <c r="L1795" s="32">
        <f>COUNTIFS($K$2:K1795,K1795)</f>
        <v>5</v>
      </c>
      <c r="M1795" s="32" t="str">
        <f t="shared" si="569"/>
        <v>PTO-1904|MAT|5</v>
      </c>
      <c r="N1795" s="121">
        <f>IFERROR(VLOOKUP(A1795,PARTIDAS!A:F,6,FALSE()),0)</f>
        <v>1</v>
      </c>
      <c r="O1795" s="123">
        <f t="shared" ref="O1795:O1858" si="570">+IF(C1795="ALB",G1795/N1795,0)</f>
        <v>0</v>
      </c>
      <c r="P1795" s="123">
        <f>+_xlfn.XLOOKUP(A1795,PPTO_GENERADOR!Q:Q,PPTO_GENERADOR!E:E,"-",0)</f>
        <v>1</v>
      </c>
      <c r="Q1795" s="123">
        <f t="shared" ref="Q1795:Q1858" si="571">IFERROR(P1795*O1795,0)</f>
        <v>0</v>
      </c>
      <c r="R1795" s="125">
        <f>+_xlfn.XLOOKUP(A1795,PPTO_GENERADOR!$Q:$Q,PPTO_GENERADOR!A:A,"-",0)</f>
        <v>19.04</v>
      </c>
    </row>
    <row r="1796" spans="1:18" ht="14.25" customHeight="1" x14ac:dyDescent="0.35">
      <c r="A1796" s="105" t="s">
        <v>345</v>
      </c>
      <c r="B1796" s="105" t="s">
        <v>1981</v>
      </c>
      <c r="C1796" s="105" t="s">
        <v>1982</v>
      </c>
      <c r="D1796" s="105" t="s">
        <v>1207</v>
      </c>
      <c r="E1796" s="95" t="str">
        <f>IFERROR(VLOOKUP(D1796,MATERIALES!A:B,2,FALSE()),"?")</f>
        <v>BROCA METALICA 1/4 CJA X 100</v>
      </c>
      <c r="F1796" s="129" t="str">
        <f>IFERROR(VLOOKUP(D1796,MATERIALES!A:C,3,FALSE()),"?")</f>
        <v>u</v>
      </c>
      <c r="G1796" s="119">
        <v>0.21</v>
      </c>
      <c r="H1796" s="120">
        <v>0</v>
      </c>
      <c r="I1796" s="96">
        <f>IFERROR(VLOOKUP(D1796,MATERIALES!A:D,4,FALSE()),0)</f>
        <v>76135.192499870507</v>
      </c>
      <c r="J1796" s="31">
        <f t="shared" si="567"/>
        <v>15988.390424972806</v>
      </c>
      <c r="K1796" s="32" t="str">
        <f t="shared" si="568"/>
        <v>PTO-1904|MAT</v>
      </c>
      <c r="L1796" s="32">
        <f>COUNTIFS($K$2:K1796,K1796)</f>
        <v>6</v>
      </c>
      <c r="M1796" s="32" t="str">
        <f t="shared" si="569"/>
        <v>PTO-1904|MAT|6</v>
      </c>
      <c r="N1796" s="121">
        <f>IFERROR(VLOOKUP(A1796,PARTIDAS!A:F,6,FALSE()),0)</f>
        <v>1</v>
      </c>
      <c r="O1796" s="123">
        <f t="shared" si="570"/>
        <v>0</v>
      </c>
      <c r="P1796" s="123">
        <f>+_xlfn.XLOOKUP(A1796,PPTO_GENERADOR!Q:Q,PPTO_GENERADOR!E:E,"-",0)</f>
        <v>1</v>
      </c>
      <c r="Q1796" s="123">
        <f t="shared" si="571"/>
        <v>0</v>
      </c>
      <c r="R1796" s="125">
        <f>+_xlfn.XLOOKUP(A1796,PPTO_GENERADOR!$Q:$Q,PPTO_GENERADOR!A:A,"-",0)</f>
        <v>19.04</v>
      </c>
    </row>
    <row r="1797" spans="1:18" ht="14.25" customHeight="1" x14ac:dyDescent="0.35">
      <c r="A1797" s="105" t="s">
        <v>345</v>
      </c>
      <c r="B1797" s="105" t="s">
        <v>1981</v>
      </c>
      <c r="C1797" s="105" t="s">
        <v>1982</v>
      </c>
      <c r="D1797" s="105" t="s">
        <v>1153</v>
      </c>
      <c r="E1797" s="95" t="str">
        <f>IFERROR(VLOOKUP(D1797,MATERIALES!A:B,2,FALSE()),"?")</f>
        <v>AWA GRAMPA RAPICLACK ø110 10/4170</v>
      </c>
      <c r="F1797" s="129" t="str">
        <f>IFERROR(VLOOKUP(D1797,MATERIALES!A:C,3,FALSE()),"?")</f>
        <v>u</v>
      </c>
      <c r="G1797" s="119">
        <v>21</v>
      </c>
      <c r="H1797" s="120">
        <v>0</v>
      </c>
      <c r="I1797" s="96">
        <f>IFERROR(VLOOKUP(D1797,MATERIALES!A:D,4,FALSE()),0)</f>
        <v>696.15430192739996</v>
      </c>
      <c r="J1797" s="31">
        <f t="shared" si="567"/>
        <v>14619.240340475399</v>
      </c>
      <c r="K1797" s="32" t="str">
        <f t="shared" si="568"/>
        <v>PTO-1904|MAT</v>
      </c>
      <c r="L1797" s="32">
        <f>COUNTIFS($K$2:K1797,K1797)</f>
        <v>7</v>
      </c>
      <c r="M1797" s="32" t="str">
        <f t="shared" si="569"/>
        <v>PTO-1904|MAT|7</v>
      </c>
      <c r="N1797" s="121">
        <f>IFERROR(VLOOKUP(A1797,PARTIDAS!A:F,6,FALSE()),0)</f>
        <v>1</v>
      </c>
      <c r="O1797" s="123">
        <f t="shared" si="570"/>
        <v>0</v>
      </c>
      <c r="P1797" s="123">
        <f>+_xlfn.XLOOKUP(A1797,PPTO_GENERADOR!Q:Q,PPTO_GENERADOR!E:E,"-",0)</f>
        <v>1</v>
      </c>
      <c r="Q1797" s="123">
        <f t="shared" si="571"/>
        <v>0</v>
      </c>
      <c r="R1797" s="125">
        <f>+_xlfn.XLOOKUP(A1797,PPTO_GENERADOR!$Q:$Q,PPTO_GENERADOR!A:A,"-",0)</f>
        <v>19.04</v>
      </c>
    </row>
    <row r="1798" spans="1:18" ht="14.25" customHeight="1" x14ac:dyDescent="0.35">
      <c r="A1798" s="105" t="s">
        <v>345</v>
      </c>
      <c r="B1798" s="105" t="s">
        <v>1981</v>
      </c>
      <c r="C1798" s="105" t="s">
        <v>1982</v>
      </c>
      <c r="D1798" s="105" t="s">
        <v>1203</v>
      </c>
      <c r="E1798" s="95" t="str">
        <f>IFERROR(VLOOKUP(D1798,MATERIALES!A:B,2,FALSE()),"?")</f>
        <v>AWA SOLUC.DESLIZ.AEROSOL 255 CM3 12/4023</v>
      </c>
      <c r="F1798" s="129" t="str">
        <f>IFERROR(VLOOKUP(D1798,MATERIALES!A:C,3,FALSE()),"?")</f>
        <v>u</v>
      </c>
      <c r="G1798" s="119">
        <v>3</v>
      </c>
      <c r="H1798" s="120">
        <v>0</v>
      </c>
      <c r="I1798" s="96">
        <f>IFERROR(VLOOKUP(D1798,MATERIALES!A:D,4,FALSE()),0)</f>
        <v>9863.9863492118002</v>
      </c>
      <c r="J1798" s="31">
        <f t="shared" si="567"/>
        <v>29591.959047635399</v>
      </c>
      <c r="K1798" s="32" t="str">
        <f t="shared" si="568"/>
        <v>PTO-1904|MAT</v>
      </c>
      <c r="L1798" s="32">
        <f>COUNTIFS($K$2:K1798,K1798)</f>
        <v>8</v>
      </c>
      <c r="M1798" s="32" t="str">
        <f t="shared" si="569"/>
        <v>PTO-1904|MAT|8</v>
      </c>
      <c r="N1798" s="121">
        <f>IFERROR(VLOOKUP(A1798,PARTIDAS!A:F,6,FALSE()),0)</f>
        <v>1</v>
      </c>
      <c r="O1798" s="123">
        <f t="shared" si="570"/>
        <v>0</v>
      </c>
      <c r="P1798" s="123">
        <f>+_xlfn.XLOOKUP(A1798,PPTO_GENERADOR!Q:Q,PPTO_GENERADOR!E:E,"-",0)</f>
        <v>1</v>
      </c>
      <c r="Q1798" s="123">
        <f t="shared" si="571"/>
        <v>0</v>
      </c>
      <c r="R1798" s="125">
        <f>+_xlfn.XLOOKUP(A1798,PPTO_GENERADOR!$Q:$Q,PPTO_GENERADOR!A:A,"-",0)</f>
        <v>19.04</v>
      </c>
    </row>
    <row r="1799" spans="1:18" ht="14.25" customHeight="1" x14ac:dyDescent="0.35">
      <c r="A1799" s="105" t="s">
        <v>345</v>
      </c>
      <c r="B1799" s="105" t="s">
        <v>1981</v>
      </c>
      <c r="C1799" s="105" t="s">
        <v>1982</v>
      </c>
      <c r="D1799" s="105" t="s">
        <v>559</v>
      </c>
      <c r="E1799" s="95" t="str">
        <f>IFERROR(VLOOKUP(D1799,MATERIALES!A:B,2,FALSE()),"?")</f>
        <v>CONSUMIBLES (varios)</v>
      </c>
      <c r="F1799" s="129" t="str">
        <f>IFERROR(VLOOKUP(D1799,MATERIALES!A:C,3,FALSE()),"?")</f>
        <v>gl</v>
      </c>
      <c r="G1799" s="119">
        <v>76777.460000000006</v>
      </c>
      <c r="H1799" s="120">
        <v>0</v>
      </c>
      <c r="I1799" s="96">
        <f>IFERROR(VLOOKUP(D1799,MATERIALES!A:D,4,FALSE()),0)</f>
        <v>1</v>
      </c>
      <c r="J1799" s="31">
        <f t="shared" si="567"/>
        <v>76777.460000000006</v>
      </c>
      <c r="K1799" s="32" t="str">
        <f t="shared" si="568"/>
        <v>PTO-1904|MAT</v>
      </c>
      <c r="L1799" s="32">
        <f>COUNTIFS($K$2:K1799,K1799)</f>
        <v>9</v>
      </c>
      <c r="M1799" s="32" t="str">
        <f t="shared" si="569"/>
        <v>PTO-1904|MAT|9</v>
      </c>
      <c r="N1799" s="121">
        <f>IFERROR(VLOOKUP(A1799,PARTIDAS!A:F,6,FALSE()),0)</f>
        <v>1</v>
      </c>
      <c r="O1799" s="123">
        <f t="shared" si="570"/>
        <v>0</v>
      </c>
      <c r="P1799" s="123">
        <f>+_xlfn.XLOOKUP(A1799,PPTO_GENERADOR!Q:Q,PPTO_GENERADOR!E:E,"-",0)</f>
        <v>1</v>
      </c>
      <c r="Q1799" s="123">
        <f t="shared" si="571"/>
        <v>0</v>
      </c>
      <c r="R1799" s="125">
        <f>+_xlfn.XLOOKUP(A1799,PPTO_GENERADOR!$Q:$Q,PPTO_GENERADOR!A:A,"-",0)</f>
        <v>19.04</v>
      </c>
    </row>
    <row r="1800" spans="1:18" ht="14.25" customHeight="1" x14ac:dyDescent="0.35">
      <c r="A1800" s="105" t="s">
        <v>366</v>
      </c>
      <c r="B1800" s="105" t="s">
        <v>1981</v>
      </c>
      <c r="C1800" s="105" t="s">
        <v>1982</v>
      </c>
      <c r="D1800" s="105" t="s">
        <v>1211</v>
      </c>
      <c r="E1800" s="95" t="str">
        <f>IFERROR(VLOOKUP(D1800,MATERIALES!A:B,2,FALSE()),"?")</f>
        <v>AWA A.A.TUBO PPN CLOACAL ø32X3 10/1060</v>
      </c>
      <c r="F1800" s="129" t="str">
        <f>IFERROR(VLOOKUP(D1800,MATERIALES!A:C,3,FALSE()),"?")</f>
        <v>u</v>
      </c>
      <c r="G1800" s="119">
        <v>67</v>
      </c>
      <c r="H1800" s="120">
        <v>0</v>
      </c>
      <c r="I1800" s="96">
        <f>IFERROR(VLOOKUP(D1800,MATERIALES!A:D,4,FALSE()),0)</f>
        <v>3243.9464912492999</v>
      </c>
      <c r="J1800" s="31">
        <f t="shared" si="567"/>
        <v>217344.41491370311</v>
      </c>
      <c r="K1800" s="32" t="str">
        <f t="shared" si="568"/>
        <v>PTO-1914|MAT</v>
      </c>
      <c r="L1800" s="32">
        <f>COUNTIFS($K$2:K1800,K1800)</f>
        <v>2</v>
      </c>
      <c r="M1800" s="32" t="str">
        <f t="shared" si="569"/>
        <v>PTO-1914|MAT|2</v>
      </c>
      <c r="N1800" s="121">
        <f>IFERROR(VLOOKUP(A1800,PARTIDAS!A:F,6,FALSE()),0)</f>
        <v>1</v>
      </c>
      <c r="O1800" s="123">
        <f t="shared" si="570"/>
        <v>0</v>
      </c>
      <c r="P1800" s="123">
        <f>+_xlfn.XLOOKUP(A1800,PPTO_GENERADOR!Q:Q,PPTO_GENERADOR!E:E,"-",0)</f>
        <v>1</v>
      </c>
      <c r="Q1800" s="123">
        <f t="shared" si="571"/>
        <v>0</v>
      </c>
      <c r="R1800" s="125">
        <f>+_xlfn.XLOOKUP(A1800,PPTO_GENERADOR!$Q:$Q,PPTO_GENERADOR!A:A,"-",0)</f>
        <v>19.14</v>
      </c>
    </row>
    <row r="1801" spans="1:18" ht="14.25" customHeight="1" x14ac:dyDescent="0.35">
      <c r="A1801" s="105" t="s">
        <v>366</v>
      </c>
      <c r="B1801" s="105" t="s">
        <v>1981</v>
      </c>
      <c r="C1801" s="105" t="s">
        <v>1982</v>
      </c>
      <c r="D1801" s="105" t="s">
        <v>1213</v>
      </c>
      <c r="E1801" s="95" t="str">
        <f>IFERROR(VLOOKUP(D1801,MATERIALES!A:B,2,FALSE()),"?")</f>
        <v>AWA A.A.CODO HH 90*PPN CLOAC.ø32 10/2265</v>
      </c>
      <c r="F1801" s="129" t="str">
        <f>IFERROR(VLOOKUP(D1801,MATERIALES!A:C,3,FALSE()),"?")</f>
        <v>u</v>
      </c>
      <c r="G1801" s="119">
        <v>156</v>
      </c>
      <c r="H1801" s="120">
        <v>0</v>
      </c>
      <c r="I1801" s="96">
        <f>IFERROR(VLOOKUP(D1801,MATERIALES!A:D,4,FALSE()),0)</f>
        <v>452.99200055249997</v>
      </c>
      <c r="J1801" s="31">
        <f t="shared" si="567"/>
        <v>70666.752086189997</v>
      </c>
      <c r="K1801" s="32" t="str">
        <f t="shared" si="568"/>
        <v>PTO-1914|MAT</v>
      </c>
      <c r="L1801" s="32">
        <f>COUNTIFS($K$2:K1801,K1801)</f>
        <v>3</v>
      </c>
      <c r="M1801" s="32" t="str">
        <f t="shared" si="569"/>
        <v>PTO-1914|MAT|3</v>
      </c>
      <c r="N1801" s="121">
        <f>IFERROR(VLOOKUP(A1801,PARTIDAS!A:F,6,FALSE()),0)</f>
        <v>1</v>
      </c>
      <c r="O1801" s="123">
        <f t="shared" si="570"/>
        <v>0</v>
      </c>
      <c r="P1801" s="123">
        <f>+_xlfn.XLOOKUP(A1801,PPTO_GENERADOR!Q:Q,PPTO_GENERADOR!E:E,"-",0)</f>
        <v>1</v>
      </c>
      <c r="Q1801" s="123">
        <f t="shared" si="571"/>
        <v>0</v>
      </c>
      <c r="R1801" s="125">
        <f>+_xlfn.XLOOKUP(A1801,PPTO_GENERADOR!$Q:$Q,PPTO_GENERADOR!A:A,"-",0)</f>
        <v>19.14</v>
      </c>
    </row>
    <row r="1802" spans="1:18" ht="14.25" customHeight="1" x14ac:dyDescent="0.35">
      <c r="A1802" s="105" t="s">
        <v>366</v>
      </c>
      <c r="B1802" s="105" t="s">
        <v>1981</v>
      </c>
      <c r="C1802" s="105" t="s">
        <v>1982</v>
      </c>
      <c r="D1802" s="105" t="s">
        <v>1215</v>
      </c>
      <c r="E1802" s="95" t="str">
        <f>IFERROR(VLOOKUP(D1802,MATERIALES!A:B,2,FALSE()),"?")</f>
        <v>AWA A.A.CODO HH 45*PPN CLOAC.ø32 10/2252</v>
      </c>
      <c r="F1802" s="129" t="str">
        <f>IFERROR(VLOOKUP(D1802,MATERIALES!A:C,3,FALSE()),"?")</f>
        <v>u</v>
      </c>
      <c r="G1802" s="119">
        <v>39</v>
      </c>
      <c r="H1802" s="120">
        <v>0</v>
      </c>
      <c r="I1802" s="96">
        <f>IFERROR(VLOOKUP(D1802,MATERIALES!A:D,4,FALSE()),0)</f>
        <v>452.99200055249997</v>
      </c>
      <c r="J1802" s="31">
        <f t="shared" si="567"/>
        <v>17666.688021547499</v>
      </c>
      <c r="K1802" s="32" t="str">
        <f t="shared" si="568"/>
        <v>PTO-1914|MAT</v>
      </c>
      <c r="L1802" s="32">
        <f>COUNTIFS($K$2:K1802,K1802)</f>
        <v>4</v>
      </c>
      <c r="M1802" s="32" t="str">
        <f t="shared" si="569"/>
        <v>PTO-1914|MAT|4</v>
      </c>
      <c r="N1802" s="121">
        <f>IFERROR(VLOOKUP(A1802,PARTIDAS!A:F,6,FALSE()),0)</f>
        <v>1</v>
      </c>
      <c r="O1802" s="123">
        <f t="shared" si="570"/>
        <v>0</v>
      </c>
      <c r="P1802" s="123">
        <f>+_xlfn.XLOOKUP(A1802,PPTO_GENERADOR!Q:Q,PPTO_GENERADOR!E:E,"-",0)</f>
        <v>1</v>
      </c>
      <c r="Q1802" s="123">
        <f t="shared" si="571"/>
        <v>0</v>
      </c>
      <c r="R1802" s="125">
        <f>+_xlfn.XLOOKUP(A1802,PPTO_GENERADOR!$Q:$Q,PPTO_GENERADOR!A:A,"-",0)</f>
        <v>19.14</v>
      </c>
    </row>
    <row r="1803" spans="1:18" ht="14.25" customHeight="1" x14ac:dyDescent="0.35">
      <c r="A1803" s="105" t="s">
        <v>366</v>
      </c>
      <c r="B1803" s="105" t="s">
        <v>1981</v>
      </c>
      <c r="C1803" s="105" t="s">
        <v>1982</v>
      </c>
      <c r="D1803" s="105" t="s">
        <v>1191</v>
      </c>
      <c r="E1803" s="95" t="str">
        <f>IFERROR(VLOOKUP(D1803,MATERIALES!A:B,2,FALSE()),"?")</f>
        <v>AWA GRAMPA RAPICLACK ø 40-50-63 20/4167</v>
      </c>
      <c r="F1803" s="129" t="str">
        <f>IFERROR(VLOOKUP(D1803,MATERIALES!A:C,3,FALSE()),"?")</f>
        <v>u</v>
      </c>
      <c r="G1803" s="119">
        <v>66</v>
      </c>
      <c r="H1803" s="120">
        <v>0</v>
      </c>
      <c r="I1803" s="96">
        <f>IFERROR(VLOOKUP(D1803,MATERIALES!A:D,4,FALSE()),0)</f>
        <v>424.1891031728</v>
      </c>
      <c r="J1803" s="31">
        <f t="shared" si="567"/>
        <v>27996.480809404798</v>
      </c>
      <c r="K1803" s="32" t="str">
        <f t="shared" si="568"/>
        <v>PTO-1914|MAT</v>
      </c>
      <c r="L1803" s="32">
        <f>COUNTIFS($K$2:K1803,K1803)</f>
        <v>5</v>
      </c>
      <c r="M1803" s="32" t="str">
        <f t="shared" si="569"/>
        <v>PTO-1914|MAT|5</v>
      </c>
      <c r="N1803" s="121">
        <f>IFERROR(VLOOKUP(A1803,PARTIDAS!A:F,6,FALSE()),0)</f>
        <v>1</v>
      </c>
      <c r="O1803" s="123">
        <f t="shared" si="570"/>
        <v>0</v>
      </c>
      <c r="P1803" s="123">
        <f>+_xlfn.XLOOKUP(A1803,PPTO_GENERADOR!Q:Q,PPTO_GENERADOR!E:E,"-",0)</f>
        <v>1</v>
      </c>
      <c r="Q1803" s="123">
        <f t="shared" si="571"/>
        <v>0</v>
      </c>
      <c r="R1803" s="125">
        <f>+_xlfn.XLOOKUP(A1803,PPTO_GENERADOR!$Q:$Q,PPTO_GENERADOR!A:A,"-",0)</f>
        <v>19.14</v>
      </c>
    </row>
    <row r="1804" spans="1:18" ht="14.25" customHeight="1" x14ac:dyDescent="0.35">
      <c r="A1804" s="105" t="s">
        <v>366</v>
      </c>
      <c r="B1804" s="105" t="s">
        <v>1981</v>
      </c>
      <c r="C1804" s="105" t="s">
        <v>1982</v>
      </c>
      <c r="D1804" s="105" t="s">
        <v>1217</v>
      </c>
      <c r="E1804" s="95" t="str">
        <f>IFERROR(VLOOKUP(D1804,MATERIALES!A:B,2,FALSE()),"?")</f>
        <v>AWA RAMAL 45*PPN CLOAC.ø 63X 63 20/2026</v>
      </c>
      <c r="F1804" s="129" t="str">
        <f>IFERROR(VLOOKUP(D1804,MATERIALES!A:C,3,FALSE()),"?")</f>
        <v>u</v>
      </c>
      <c r="G1804" s="119">
        <v>11</v>
      </c>
      <c r="H1804" s="120">
        <v>0</v>
      </c>
      <c r="I1804" s="96">
        <f>IFERROR(VLOOKUP(D1804,MATERIALES!A:D,4,FALSE()),0)</f>
        <v>2240.2994720213001</v>
      </c>
      <c r="J1804" s="31">
        <f t="shared" si="567"/>
        <v>24643.294192234302</v>
      </c>
      <c r="K1804" s="32" t="str">
        <f t="shared" si="568"/>
        <v>PTO-1914|MAT</v>
      </c>
      <c r="L1804" s="32">
        <f>COUNTIFS($K$2:K1804,K1804)</f>
        <v>6</v>
      </c>
      <c r="M1804" s="32" t="str">
        <f t="shared" si="569"/>
        <v>PTO-1914|MAT|6</v>
      </c>
      <c r="N1804" s="121">
        <f>IFERROR(VLOOKUP(A1804,PARTIDAS!A:F,6,FALSE()),0)</f>
        <v>1</v>
      </c>
      <c r="O1804" s="123">
        <f t="shared" si="570"/>
        <v>0</v>
      </c>
      <c r="P1804" s="123">
        <f>+_xlfn.XLOOKUP(A1804,PPTO_GENERADOR!Q:Q,PPTO_GENERADOR!E:E,"-",0)</f>
        <v>1</v>
      </c>
      <c r="Q1804" s="123">
        <f t="shared" si="571"/>
        <v>0</v>
      </c>
      <c r="R1804" s="125">
        <f>+_xlfn.XLOOKUP(A1804,PPTO_GENERADOR!$Q:$Q,PPTO_GENERADOR!A:A,"-",0)</f>
        <v>19.14</v>
      </c>
    </row>
    <row r="1805" spans="1:18" ht="14.25" customHeight="1" x14ac:dyDescent="0.35">
      <c r="A1805" s="105" t="s">
        <v>366</v>
      </c>
      <c r="B1805" s="105" t="s">
        <v>1981</v>
      </c>
      <c r="C1805" s="105" t="s">
        <v>1982</v>
      </c>
      <c r="D1805" s="105" t="s">
        <v>1167</v>
      </c>
      <c r="E1805" s="95" t="str">
        <f>IFERROR(VLOOKUP(D1805,MATERIALES!A:B,2,FALSE()),"?")</f>
        <v>AWA TUBO PPN CLOACAL ø 63X4.00 10/1026</v>
      </c>
      <c r="F1805" s="129" t="str">
        <f>IFERROR(VLOOKUP(D1805,MATERIALES!A:C,3,FALSE()),"?")</f>
        <v>u</v>
      </c>
      <c r="G1805" s="119">
        <v>11</v>
      </c>
      <c r="H1805" s="120">
        <v>0</v>
      </c>
      <c r="I1805" s="96">
        <f>IFERROR(VLOOKUP(D1805,MATERIALES!A:D,4,FALSE()),0)</f>
        <v>8313.6868058265009</v>
      </c>
      <c r="J1805" s="31">
        <f t="shared" si="567"/>
        <v>91450.554864091508</v>
      </c>
      <c r="K1805" s="32" t="str">
        <f t="shared" si="568"/>
        <v>PTO-1914|MAT</v>
      </c>
      <c r="L1805" s="32">
        <f>COUNTIFS($K$2:K1805,K1805)</f>
        <v>7</v>
      </c>
      <c r="M1805" s="32" t="str">
        <f t="shared" si="569"/>
        <v>PTO-1914|MAT|7</v>
      </c>
      <c r="N1805" s="121">
        <f>IFERROR(VLOOKUP(A1805,PARTIDAS!A:F,6,FALSE()),0)</f>
        <v>1</v>
      </c>
      <c r="O1805" s="123">
        <f t="shared" si="570"/>
        <v>0</v>
      </c>
      <c r="P1805" s="123">
        <f>+_xlfn.XLOOKUP(A1805,PPTO_GENERADOR!Q:Q,PPTO_GENERADOR!E:E,"-",0)</f>
        <v>1</v>
      </c>
      <c r="Q1805" s="123">
        <f t="shared" si="571"/>
        <v>0</v>
      </c>
      <c r="R1805" s="125">
        <f>+_xlfn.XLOOKUP(A1805,PPTO_GENERADOR!$Q:$Q,PPTO_GENERADOR!A:A,"-",0)</f>
        <v>19.14</v>
      </c>
    </row>
    <row r="1806" spans="1:18" ht="14.25" customHeight="1" x14ac:dyDescent="0.35">
      <c r="A1806" s="105" t="s">
        <v>366</v>
      </c>
      <c r="B1806" s="105" t="s">
        <v>1981</v>
      </c>
      <c r="C1806" s="105" t="s">
        <v>1982</v>
      </c>
      <c r="D1806" s="105" t="s">
        <v>559</v>
      </c>
      <c r="E1806" s="95" t="str">
        <f>IFERROR(VLOOKUP(D1806,MATERIALES!A:B,2,FALSE()),"?")</f>
        <v>CONSUMIBLES (varios)</v>
      </c>
      <c r="F1806" s="129" t="str">
        <f>IFERROR(VLOOKUP(D1806,MATERIALES!A:C,3,FALSE()),"?")</f>
        <v>gl</v>
      </c>
      <c r="G1806" s="119">
        <v>175155.18</v>
      </c>
      <c r="H1806" s="120">
        <v>0</v>
      </c>
      <c r="I1806" s="96">
        <f>IFERROR(VLOOKUP(D1806,MATERIALES!A:D,4,FALSE()),0)</f>
        <v>1</v>
      </c>
      <c r="J1806" s="31">
        <f t="shared" si="567"/>
        <v>175155.18</v>
      </c>
      <c r="K1806" s="32" t="str">
        <f t="shared" si="568"/>
        <v>PTO-1914|MAT</v>
      </c>
      <c r="L1806" s="32">
        <f>COUNTIFS($K$2:K1806,K1806)</f>
        <v>8</v>
      </c>
      <c r="M1806" s="32" t="str">
        <f t="shared" si="569"/>
        <v>PTO-1914|MAT|8</v>
      </c>
      <c r="N1806" s="121">
        <f>IFERROR(VLOOKUP(A1806,PARTIDAS!A:F,6,FALSE()),0)</f>
        <v>1</v>
      </c>
      <c r="O1806" s="123">
        <f t="shared" si="570"/>
        <v>0</v>
      </c>
      <c r="P1806" s="123">
        <f>+_xlfn.XLOOKUP(A1806,PPTO_GENERADOR!Q:Q,PPTO_GENERADOR!E:E,"-",0)</f>
        <v>1</v>
      </c>
      <c r="Q1806" s="123">
        <f t="shared" si="571"/>
        <v>0</v>
      </c>
      <c r="R1806" s="125">
        <f>+_xlfn.XLOOKUP(A1806,PPTO_GENERADOR!$Q:$Q,PPTO_GENERADOR!A:A,"-",0)</f>
        <v>19.14</v>
      </c>
    </row>
    <row r="1807" spans="1:18" ht="14.25" customHeight="1" x14ac:dyDescent="0.35">
      <c r="A1807" s="105" t="s">
        <v>372</v>
      </c>
      <c r="B1807" s="105" t="s">
        <v>1981</v>
      </c>
      <c r="C1807" s="105" t="s">
        <v>1982</v>
      </c>
      <c r="D1807" s="105" t="s">
        <v>1222</v>
      </c>
      <c r="E1807" s="95" t="str">
        <f>IFERROR(VLOOKUP(D1807,MATERIALES!A:B,2,FALSE()),"?")</f>
        <v>DEMA EPOXI TEE 11/4</v>
      </c>
      <c r="F1807" s="129" t="str">
        <f>IFERROR(VLOOKUP(D1807,MATERIALES!A:C,3,FALSE()),"?")</f>
        <v>u</v>
      </c>
      <c r="G1807" s="119">
        <v>4</v>
      </c>
      <c r="H1807" s="120">
        <v>0</v>
      </c>
      <c r="I1807" s="96">
        <f>IFERROR(VLOOKUP(D1807,MATERIALES!A:D,4,FALSE()),0)</f>
        <v>5407.9080637901998</v>
      </c>
      <c r="J1807" s="31">
        <f t="shared" si="567"/>
        <v>21631.632255160799</v>
      </c>
      <c r="K1807" s="32" t="str">
        <f t="shared" si="568"/>
        <v>PTO-1916|MAT</v>
      </c>
      <c r="L1807" s="32">
        <f>COUNTIFS($K$2:K1807,K1807)</f>
        <v>2</v>
      </c>
      <c r="M1807" s="32" t="str">
        <f t="shared" si="569"/>
        <v>PTO-1916|MAT|2</v>
      </c>
      <c r="N1807" s="121">
        <f>IFERROR(VLOOKUP(A1807,PARTIDAS!A:F,6,FALSE()),0)</f>
        <v>1</v>
      </c>
      <c r="O1807" s="123">
        <f t="shared" si="570"/>
        <v>0</v>
      </c>
      <c r="P1807" s="123">
        <f>+_xlfn.XLOOKUP(A1807,PPTO_GENERADOR!Q:Q,PPTO_GENERADOR!E:E,"-",0)</f>
        <v>1</v>
      </c>
      <c r="Q1807" s="123">
        <f t="shared" si="571"/>
        <v>0</v>
      </c>
      <c r="R1807" s="125">
        <f>+_xlfn.XLOOKUP(A1807,PPTO_GENERADOR!$Q:$Q,PPTO_GENERADOR!A:A,"-",0)</f>
        <v>19.16</v>
      </c>
    </row>
    <row r="1808" spans="1:18" ht="14.25" customHeight="1" x14ac:dyDescent="0.35">
      <c r="A1808" s="105" t="s">
        <v>372</v>
      </c>
      <c r="B1808" s="105" t="s">
        <v>1981</v>
      </c>
      <c r="C1808" s="105" t="s">
        <v>1982</v>
      </c>
      <c r="D1808" s="105" t="s">
        <v>1224</v>
      </c>
      <c r="E1808" s="95" t="str">
        <f>IFERROR(VLOOKUP(D1808,MATERIALES!A:B,2,FALSE()),"?")</f>
        <v>DEMA EPOXI CODO 90 HH 11/4</v>
      </c>
      <c r="F1808" s="129" t="str">
        <f>IFERROR(VLOOKUP(D1808,MATERIALES!A:C,3,FALSE()),"?")</f>
        <v>u</v>
      </c>
      <c r="G1808" s="119">
        <v>3</v>
      </c>
      <c r="H1808" s="120">
        <v>0</v>
      </c>
      <c r="I1808" s="96">
        <f>IFERROR(VLOOKUP(D1808,MATERIALES!A:D,4,FALSE()),0)</f>
        <v>3865.0109833848001</v>
      </c>
      <c r="J1808" s="31">
        <f t="shared" si="567"/>
        <v>11595.0329501544</v>
      </c>
      <c r="K1808" s="32" t="str">
        <f t="shared" si="568"/>
        <v>PTO-1916|MAT</v>
      </c>
      <c r="L1808" s="32">
        <f>COUNTIFS($K$2:K1808,K1808)</f>
        <v>3</v>
      </c>
      <c r="M1808" s="32" t="str">
        <f t="shared" si="569"/>
        <v>PTO-1916|MAT|3</v>
      </c>
      <c r="N1808" s="121">
        <f>IFERROR(VLOOKUP(A1808,PARTIDAS!A:F,6,FALSE()),0)</f>
        <v>1</v>
      </c>
      <c r="O1808" s="123">
        <f t="shared" si="570"/>
        <v>0</v>
      </c>
      <c r="P1808" s="123">
        <f>+_xlfn.XLOOKUP(A1808,PPTO_GENERADOR!Q:Q,PPTO_GENERADOR!E:E,"-",0)</f>
        <v>1</v>
      </c>
      <c r="Q1808" s="123">
        <f t="shared" si="571"/>
        <v>0</v>
      </c>
      <c r="R1808" s="125">
        <f>+_xlfn.XLOOKUP(A1808,PPTO_GENERADOR!$Q:$Q,PPTO_GENERADOR!A:A,"-",0)</f>
        <v>19.16</v>
      </c>
    </row>
    <row r="1809" spans="1:18" ht="14.25" customHeight="1" x14ac:dyDescent="0.35">
      <c r="A1809" s="105" t="s">
        <v>372</v>
      </c>
      <c r="B1809" s="105" t="s">
        <v>1981</v>
      </c>
      <c r="C1809" s="105" t="s">
        <v>1982</v>
      </c>
      <c r="D1809" s="105" t="s">
        <v>1226</v>
      </c>
      <c r="E1809" s="95" t="str">
        <f>IFERROR(VLOOKUP(D1809,MATERIALES!A:B,2,FALSE()),"?")</f>
        <v>CB BRONCE BUJE RED 11/4X1</v>
      </c>
      <c r="F1809" s="129" t="str">
        <f>IFERROR(VLOOKUP(D1809,MATERIALES!A:C,3,FALSE()),"?")</f>
        <v>u</v>
      </c>
      <c r="G1809" s="119">
        <v>1</v>
      </c>
      <c r="H1809" s="120">
        <v>0</v>
      </c>
      <c r="I1809" s="96">
        <f>IFERROR(VLOOKUP(D1809,MATERIALES!A:D,4,FALSE()),0)</f>
        <v>4313.6239106337998</v>
      </c>
      <c r="J1809" s="31">
        <f t="shared" si="567"/>
        <v>4313.6239106337998</v>
      </c>
      <c r="K1809" s="32" t="str">
        <f t="shared" si="568"/>
        <v>PTO-1916|MAT</v>
      </c>
      <c r="L1809" s="32">
        <f>COUNTIFS($K$2:K1809,K1809)</f>
        <v>4</v>
      </c>
      <c r="M1809" s="32" t="str">
        <f t="shared" si="569"/>
        <v>PTO-1916|MAT|4</v>
      </c>
      <c r="N1809" s="121">
        <f>IFERROR(VLOOKUP(A1809,PARTIDAS!A:F,6,FALSE()),0)</f>
        <v>1</v>
      </c>
      <c r="O1809" s="123">
        <f t="shared" si="570"/>
        <v>0</v>
      </c>
      <c r="P1809" s="123">
        <f>+_xlfn.XLOOKUP(A1809,PPTO_GENERADOR!Q:Q,PPTO_GENERADOR!E:E,"-",0)</f>
        <v>1</v>
      </c>
      <c r="Q1809" s="123">
        <f t="shared" si="571"/>
        <v>0</v>
      </c>
      <c r="R1809" s="125">
        <f>+_xlfn.XLOOKUP(A1809,PPTO_GENERADOR!$Q:$Q,PPTO_GENERADOR!A:A,"-",0)</f>
        <v>19.16</v>
      </c>
    </row>
    <row r="1810" spans="1:18" ht="14.25" customHeight="1" x14ac:dyDescent="0.35">
      <c r="A1810" s="105" t="s">
        <v>372</v>
      </c>
      <c r="B1810" s="105" t="s">
        <v>1981</v>
      </c>
      <c r="C1810" s="105" t="s">
        <v>1982</v>
      </c>
      <c r="D1810" s="105" t="s">
        <v>1228</v>
      </c>
      <c r="E1810" s="95" t="str">
        <f>IFERROR(VLOOKUP(D1810,MATERIALES!A:B,2,FALSE()),"?")</f>
        <v>SUYAI ESFERICA P/GAS FORJADA 11/4 PASO TOTAL</v>
      </c>
      <c r="F1810" s="129" t="str">
        <f>IFERROR(VLOOKUP(D1810,MATERIALES!A:C,3,FALSE()),"?")</f>
        <v>u</v>
      </c>
      <c r="G1810" s="119">
        <v>1</v>
      </c>
      <c r="H1810" s="120">
        <v>0</v>
      </c>
      <c r="I1810" s="96">
        <f>IFERROR(VLOOKUP(D1810,MATERIALES!A:D,4,FALSE()),0)</f>
        <v>94942.042730019501</v>
      </c>
      <c r="J1810" s="31">
        <f t="shared" si="567"/>
        <v>94942.042730019501</v>
      </c>
      <c r="K1810" s="32" t="str">
        <f t="shared" si="568"/>
        <v>PTO-1916|MAT</v>
      </c>
      <c r="L1810" s="32">
        <f>COUNTIFS($K$2:K1810,K1810)</f>
        <v>5</v>
      </c>
      <c r="M1810" s="32" t="str">
        <f t="shared" si="569"/>
        <v>PTO-1916|MAT|5</v>
      </c>
      <c r="N1810" s="121">
        <f>IFERROR(VLOOKUP(A1810,PARTIDAS!A:F,6,FALSE()),0)</f>
        <v>1</v>
      </c>
      <c r="O1810" s="123">
        <f t="shared" si="570"/>
        <v>0</v>
      </c>
      <c r="P1810" s="123">
        <f>+_xlfn.XLOOKUP(A1810,PPTO_GENERADOR!Q:Q,PPTO_GENERADOR!E:E,"-",0)</f>
        <v>1</v>
      </c>
      <c r="Q1810" s="123">
        <f t="shared" si="571"/>
        <v>0</v>
      </c>
      <c r="R1810" s="125">
        <f>+_xlfn.XLOOKUP(A1810,PPTO_GENERADOR!$Q:$Q,PPTO_GENERADOR!A:A,"-",0)</f>
        <v>19.16</v>
      </c>
    </row>
    <row r="1811" spans="1:18" ht="14.25" customHeight="1" x14ac:dyDescent="0.35">
      <c r="A1811" s="105" t="s">
        <v>372</v>
      </c>
      <c r="B1811" s="105" t="s">
        <v>1981</v>
      </c>
      <c r="C1811" s="105" t="s">
        <v>1982</v>
      </c>
      <c r="D1811" s="105" t="s">
        <v>1230</v>
      </c>
      <c r="E1811" s="95" t="str">
        <f>IFERROR(VLOOKUP(D1811,MATERIALES!A:B,2,FALSE()),"?")</f>
        <v>FUSIOGAS TRANSICION HEMBRA 32 X 1 203232</v>
      </c>
      <c r="F1811" s="129" t="str">
        <f>IFERROR(VLOOKUP(D1811,MATERIALES!A:C,3,FALSE()),"?")</f>
        <v>u</v>
      </c>
      <c r="G1811" s="119">
        <v>1</v>
      </c>
      <c r="H1811" s="120">
        <v>0</v>
      </c>
      <c r="I1811" s="96">
        <f>IFERROR(VLOOKUP(D1811,MATERIALES!A:D,4,FALSE()),0)</f>
        <v>4426.9741250137004</v>
      </c>
      <c r="J1811" s="31">
        <f t="shared" si="567"/>
        <v>4426.9741250137004</v>
      </c>
      <c r="K1811" s="32" t="str">
        <f t="shared" si="568"/>
        <v>PTO-1916|MAT</v>
      </c>
      <c r="L1811" s="32">
        <f>COUNTIFS($K$2:K1811,K1811)</f>
        <v>6</v>
      </c>
      <c r="M1811" s="32" t="str">
        <f t="shared" si="569"/>
        <v>PTO-1916|MAT|6</v>
      </c>
      <c r="N1811" s="121">
        <f>IFERROR(VLOOKUP(A1811,PARTIDAS!A:F,6,FALSE()),0)</f>
        <v>1</v>
      </c>
      <c r="O1811" s="123">
        <f t="shared" si="570"/>
        <v>0</v>
      </c>
      <c r="P1811" s="123">
        <f>+_xlfn.XLOOKUP(A1811,PPTO_GENERADOR!Q:Q,PPTO_GENERADOR!E:E,"-",0)</f>
        <v>1</v>
      </c>
      <c r="Q1811" s="123">
        <f t="shared" si="571"/>
        <v>0</v>
      </c>
      <c r="R1811" s="125">
        <f>+_xlfn.XLOOKUP(A1811,PPTO_GENERADOR!$Q:$Q,PPTO_GENERADOR!A:A,"-",0)</f>
        <v>19.16</v>
      </c>
    </row>
    <row r="1812" spans="1:18" ht="14.25" customHeight="1" x14ac:dyDescent="0.35">
      <c r="A1812" s="105" t="s">
        <v>372</v>
      </c>
      <c r="B1812" s="105" t="s">
        <v>1981</v>
      </c>
      <c r="C1812" s="105" t="s">
        <v>1982</v>
      </c>
      <c r="D1812" s="105" t="s">
        <v>1232</v>
      </c>
      <c r="E1812" s="95" t="str">
        <f>IFERROR(VLOOKUP(D1812,MATERIALES!A:B,2,FALSE()),"?")</f>
        <v>SALUSTRI REGULADOR GAS GS-25 25 NM3/H APROBADO</v>
      </c>
      <c r="F1812" s="129" t="str">
        <f>IFERROR(VLOOKUP(D1812,MATERIALES!A:C,3,FALSE()),"?")</f>
        <v>u</v>
      </c>
      <c r="G1812" s="119">
        <v>1</v>
      </c>
      <c r="H1812" s="120">
        <v>0</v>
      </c>
      <c r="I1812" s="96">
        <f>IFERROR(VLOOKUP(D1812,MATERIALES!A:D,4,FALSE()),0)</f>
        <v>139939.36647156699</v>
      </c>
      <c r="J1812" s="31">
        <f t="shared" si="567"/>
        <v>139939.36647156699</v>
      </c>
      <c r="K1812" s="32" t="str">
        <f t="shared" si="568"/>
        <v>PTO-1916|MAT</v>
      </c>
      <c r="L1812" s="32">
        <f>COUNTIFS($K$2:K1812,K1812)</f>
        <v>7</v>
      </c>
      <c r="M1812" s="32" t="str">
        <f t="shared" si="569"/>
        <v>PTO-1916|MAT|7</v>
      </c>
      <c r="N1812" s="121">
        <f>IFERROR(VLOOKUP(A1812,PARTIDAS!A:F,6,FALSE()),0)</f>
        <v>1</v>
      </c>
      <c r="O1812" s="123">
        <f t="shared" si="570"/>
        <v>0</v>
      </c>
      <c r="P1812" s="123">
        <f>+_xlfn.XLOOKUP(A1812,PPTO_GENERADOR!Q:Q,PPTO_GENERADOR!E:E,"-",0)</f>
        <v>1</v>
      </c>
      <c r="Q1812" s="123">
        <f t="shared" si="571"/>
        <v>0</v>
      </c>
      <c r="R1812" s="125">
        <f>+_xlfn.XLOOKUP(A1812,PPTO_GENERADOR!$Q:$Q,PPTO_GENERADOR!A:A,"-",0)</f>
        <v>19.16</v>
      </c>
    </row>
    <row r="1813" spans="1:18" ht="14.25" customHeight="1" x14ac:dyDescent="0.35">
      <c r="A1813" s="105" t="s">
        <v>372</v>
      </c>
      <c r="B1813" s="105" t="s">
        <v>1981</v>
      </c>
      <c r="C1813" s="105" t="s">
        <v>1982</v>
      </c>
      <c r="D1813" s="105" t="s">
        <v>1234</v>
      </c>
      <c r="E1813" s="95" t="str">
        <f>IFERROR(VLOOKUP(D1813,MATERIALES!A:B,2,FALSE()),"?")</f>
        <v>FUSIOGAS TUBO 32 MM X 4.00 MTS 200032</v>
      </c>
      <c r="F1813" s="129" t="str">
        <f>IFERROR(VLOOKUP(D1813,MATERIALES!A:C,3,FALSE()),"?")</f>
        <v>tira</v>
      </c>
      <c r="G1813" s="119">
        <v>1</v>
      </c>
      <c r="H1813" s="120">
        <v>0</v>
      </c>
      <c r="I1813" s="96">
        <f>IFERROR(VLOOKUP(D1813,MATERIALES!A:D,4,FALSE()),0)</f>
        <v>23660.6495098327</v>
      </c>
      <c r="J1813" s="31">
        <f t="shared" si="567"/>
        <v>23660.6495098327</v>
      </c>
      <c r="K1813" s="32" t="str">
        <f t="shared" si="568"/>
        <v>PTO-1916|MAT</v>
      </c>
      <c r="L1813" s="32">
        <f>COUNTIFS($K$2:K1813,K1813)</f>
        <v>8</v>
      </c>
      <c r="M1813" s="32" t="str">
        <f t="shared" si="569"/>
        <v>PTO-1916|MAT|8</v>
      </c>
      <c r="N1813" s="121">
        <f>IFERROR(VLOOKUP(A1813,PARTIDAS!A:F,6,FALSE()),0)</f>
        <v>1</v>
      </c>
      <c r="O1813" s="123">
        <f t="shared" si="570"/>
        <v>0</v>
      </c>
      <c r="P1813" s="123">
        <f>+_xlfn.XLOOKUP(A1813,PPTO_GENERADOR!Q:Q,PPTO_GENERADOR!E:E,"-",0)</f>
        <v>1</v>
      </c>
      <c r="Q1813" s="123">
        <f t="shared" si="571"/>
        <v>0</v>
      </c>
      <c r="R1813" s="125">
        <f>+_xlfn.XLOOKUP(A1813,PPTO_GENERADOR!$Q:$Q,PPTO_GENERADOR!A:A,"-",0)</f>
        <v>19.16</v>
      </c>
    </row>
    <row r="1814" spans="1:18" ht="14.25" customHeight="1" x14ac:dyDescent="0.35">
      <c r="A1814" s="105" t="s">
        <v>372</v>
      </c>
      <c r="B1814" s="105" t="s">
        <v>1981</v>
      </c>
      <c r="C1814" s="105" t="s">
        <v>1982</v>
      </c>
      <c r="D1814" s="105" t="s">
        <v>1236</v>
      </c>
      <c r="E1814" s="95" t="str">
        <f>IFERROR(VLOOKUP(D1814,MATERIALES!A:B,2,FALSE()),"?")</f>
        <v>FUSIOGAS TUBO 50 MM X 4.00 MTS 200050</v>
      </c>
      <c r="F1814" s="129" t="str">
        <f>IFERROR(VLOOKUP(D1814,MATERIALES!A:C,3,FALSE()),"?")</f>
        <v>tira</v>
      </c>
      <c r="G1814" s="119">
        <v>14</v>
      </c>
      <c r="H1814" s="120">
        <v>0</v>
      </c>
      <c r="I1814" s="96">
        <f>IFERROR(VLOOKUP(D1814,MATERIALES!A:D,4,FALSE()),0)</f>
        <v>34177.774104295102</v>
      </c>
      <c r="J1814" s="31">
        <f t="shared" si="567"/>
        <v>478488.83746013144</v>
      </c>
      <c r="K1814" s="32" t="str">
        <f t="shared" si="568"/>
        <v>PTO-1916|MAT</v>
      </c>
      <c r="L1814" s="32">
        <f>COUNTIFS($K$2:K1814,K1814)</f>
        <v>9</v>
      </c>
      <c r="M1814" s="32" t="str">
        <f t="shared" si="569"/>
        <v>PTO-1916|MAT|9</v>
      </c>
      <c r="N1814" s="121">
        <f>IFERROR(VLOOKUP(A1814,PARTIDAS!A:F,6,FALSE()),0)</f>
        <v>1</v>
      </c>
      <c r="O1814" s="123">
        <f t="shared" si="570"/>
        <v>0</v>
      </c>
      <c r="P1814" s="123">
        <f>+_xlfn.XLOOKUP(A1814,PPTO_GENERADOR!Q:Q,PPTO_GENERADOR!E:E,"-",0)</f>
        <v>1</v>
      </c>
      <c r="Q1814" s="123">
        <f t="shared" si="571"/>
        <v>0</v>
      </c>
      <c r="R1814" s="125">
        <f>+_xlfn.XLOOKUP(A1814,PPTO_GENERADOR!$Q:$Q,PPTO_GENERADOR!A:A,"-",0)</f>
        <v>19.16</v>
      </c>
    </row>
    <row r="1815" spans="1:18" ht="14.25" customHeight="1" x14ac:dyDescent="0.35">
      <c r="A1815" s="105" t="s">
        <v>372</v>
      </c>
      <c r="B1815" s="105" t="s">
        <v>1981</v>
      </c>
      <c r="C1815" s="105" t="s">
        <v>1982</v>
      </c>
      <c r="D1815" s="105" t="s">
        <v>1238</v>
      </c>
      <c r="E1815" s="95" t="str">
        <f>IFERROR(VLOOKUP(D1815,MATERIALES!A:B,2,FALSE()),"?")</f>
        <v>FUSIOGAS CUPLA FUSION 32 MM 203032</v>
      </c>
      <c r="F1815" s="129" t="str">
        <f>IFERROR(VLOOKUP(D1815,MATERIALES!A:C,3,FALSE()),"?")</f>
        <v>u</v>
      </c>
      <c r="G1815" s="119">
        <v>3</v>
      </c>
      <c r="H1815" s="120">
        <v>0</v>
      </c>
      <c r="I1815" s="96">
        <f>IFERROR(VLOOKUP(D1815,MATERIALES!A:D,4,FALSE()),0)</f>
        <v>1372.2208155067001</v>
      </c>
      <c r="J1815" s="31">
        <f t="shared" si="567"/>
        <v>4116.6624465201003</v>
      </c>
      <c r="K1815" s="32" t="str">
        <f t="shared" si="568"/>
        <v>PTO-1916|MAT</v>
      </c>
      <c r="L1815" s="32">
        <f>COUNTIFS($K$2:K1815,K1815)</f>
        <v>10</v>
      </c>
      <c r="M1815" s="32" t="str">
        <f t="shared" si="569"/>
        <v>PTO-1916|MAT|10</v>
      </c>
      <c r="N1815" s="121">
        <f>IFERROR(VLOOKUP(A1815,PARTIDAS!A:F,6,FALSE()),0)</f>
        <v>1</v>
      </c>
      <c r="O1815" s="123">
        <f t="shared" si="570"/>
        <v>0</v>
      </c>
      <c r="P1815" s="123">
        <f>+_xlfn.XLOOKUP(A1815,PPTO_GENERADOR!Q:Q,PPTO_GENERADOR!E:E,"-",0)</f>
        <v>1</v>
      </c>
      <c r="Q1815" s="123">
        <f t="shared" si="571"/>
        <v>0</v>
      </c>
      <c r="R1815" s="125">
        <f>+_xlfn.XLOOKUP(A1815,PPTO_GENERADOR!$Q:$Q,PPTO_GENERADOR!A:A,"-",0)</f>
        <v>19.16</v>
      </c>
    </row>
    <row r="1816" spans="1:18" ht="14.25" customHeight="1" x14ac:dyDescent="0.35">
      <c r="A1816" s="105" t="s">
        <v>372</v>
      </c>
      <c r="B1816" s="105" t="s">
        <v>1981</v>
      </c>
      <c r="C1816" s="105" t="s">
        <v>1982</v>
      </c>
      <c r="D1816" s="105" t="s">
        <v>1240</v>
      </c>
      <c r="E1816" s="95" t="str">
        <f>IFERROR(VLOOKUP(D1816,MATERIALES!A:B,2,FALSE()),"?")</f>
        <v>FUSIOGAS CUPLA FUSION 50 MM 203050</v>
      </c>
      <c r="F1816" s="129" t="str">
        <f>IFERROR(VLOOKUP(D1816,MATERIALES!A:C,3,FALSE()),"?")</f>
        <v>u</v>
      </c>
      <c r="G1816" s="119">
        <v>14</v>
      </c>
      <c r="H1816" s="120">
        <v>0</v>
      </c>
      <c r="I1816" s="96">
        <f>IFERROR(VLOOKUP(D1816,MATERIALES!A:D,4,FALSE()),0)</f>
        <v>6565.6080843936998</v>
      </c>
      <c r="J1816" s="31">
        <f t="shared" si="567"/>
        <v>91918.513181511793</v>
      </c>
      <c r="K1816" s="32" t="str">
        <f t="shared" si="568"/>
        <v>PTO-1916|MAT</v>
      </c>
      <c r="L1816" s="32">
        <f>COUNTIFS($K$2:K1816,K1816)</f>
        <v>11</v>
      </c>
      <c r="M1816" s="32" t="str">
        <f t="shared" si="569"/>
        <v>PTO-1916|MAT|11</v>
      </c>
      <c r="N1816" s="121">
        <f>IFERROR(VLOOKUP(A1816,PARTIDAS!A:F,6,FALSE()),0)</f>
        <v>1</v>
      </c>
      <c r="O1816" s="123">
        <f t="shared" si="570"/>
        <v>0</v>
      </c>
      <c r="P1816" s="123">
        <f>+_xlfn.XLOOKUP(A1816,PPTO_GENERADOR!Q:Q,PPTO_GENERADOR!E:E,"-",0)</f>
        <v>1</v>
      </c>
      <c r="Q1816" s="123">
        <f t="shared" si="571"/>
        <v>0</v>
      </c>
      <c r="R1816" s="125">
        <f>+_xlfn.XLOOKUP(A1816,PPTO_GENERADOR!$Q:$Q,PPTO_GENERADOR!A:A,"-",0)</f>
        <v>19.16</v>
      </c>
    </row>
    <row r="1817" spans="1:18" ht="14.25" customHeight="1" x14ac:dyDescent="0.35">
      <c r="A1817" s="105" t="s">
        <v>372</v>
      </c>
      <c r="B1817" s="105" t="s">
        <v>1981</v>
      </c>
      <c r="C1817" s="105" t="s">
        <v>1982</v>
      </c>
      <c r="D1817" s="105" t="s">
        <v>1242</v>
      </c>
      <c r="E1817" s="95" t="str">
        <f>IFERROR(VLOOKUP(D1817,MATERIALES!A:B,2,FALSE()),"?")</f>
        <v>FUSIOGAS TEE FUSION 50 MM 202050</v>
      </c>
      <c r="F1817" s="129" t="str">
        <f>IFERROR(VLOOKUP(D1817,MATERIALES!A:C,3,FALSE()),"?")</f>
        <v>u</v>
      </c>
      <c r="G1817" s="119">
        <v>3</v>
      </c>
      <c r="H1817" s="120">
        <v>0</v>
      </c>
      <c r="I1817" s="96">
        <f>IFERROR(VLOOKUP(D1817,MATERIALES!A:D,4,FALSE()),0)</f>
        <v>13292.8868210202</v>
      </c>
      <c r="J1817" s="31">
        <f t="shared" si="567"/>
        <v>39878.660463060602</v>
      </c>
      <c r="K1817" s="32" t="str">
        <f t="shared" si="568"/>
        <v>PTO-1916|MAT</v>
      </c>
      <c r="L1817" s="32">
        <f>COUNTIFS($K$2:K1817,K1817)</f>
        <v>12</v>
      </c>
      <c r="M1817" s="32" t="str">
        <f t="shared" si="569"/>
        <v>PTO-1916|MAT|12</v>
      </c>
      <c r="N1817" s="121">
        <f>IFERROR(VLOOKUP(A1817,PARTIDAS!A:F,6,FALSE()),0)</f>
        <v>1</v>
      </c>
      <c r="O1817" s="123">
        <f t="shared" si="570"/>
        <v>0</v>
      </c>
      <c r="P1817" s="123">
        <f>+_xlfn.XLOOKUP(A1817,PPTO_GENERADOR!Q:Q,PPTO_GENERADOR!E:E,"-",0)</f>
        <v>1</v>
      </c>
      <c r="Q1817" s="123">
        <f t="shared" si="571"/>
        <v>0</v>
      </c>
      <c r="R1817" s="125">
        <f>+_xlfn.XLOOKUP(A1817,PPTO_GENERADOR!$Q:$Q,PPTO_GENERADOR!A:A,"-",0)</f>
        <v>19.16</v>
      </c>
    </row>
    <row r="1818" spans="1:18" ht="14.25" customHeight="1" x14ac:dyDescent="0.35">
      <c r="A1818" s="105" t="s">
        <v>372</v>
      </c>
      <c r="B1818" s="105" t="s">
        <v>1981</v>
      </c>
      <c r="C1818" s="105" t="s">
        <v>1982</v>
      </c>
      <c r="D1818" s="105" t="s">
        <v>1244</v>
      </c>
      <c r="E1818" s="95" t="str">
        <f>IFERROR(VLOOKUP(D1818,MATERIALES!A:B,2,FALSE()),"?")</f>
        <v>FUSIOGAS CODO A 90 FUSION 32 MM 201032</v>
      </c>
      <c r="F1818" s="129" t="str">
        <f>IFERROR(VLOOKUP(D1818,MATERIALES!A:C,3,FALSE()),"?")</f>
        <v>u</v>
      </c>
      <c r="G1818" s="119">
        <v>4</v>
      </c>
      <c r="H1818" s="120">
        <v>0</v>
      </c>
      <c r="I1818" s="96">
        <f>IFERROR(VLOOKUP(D1818,MATERIALES!A:D,4,FALSE()),0)</f>
        <v>2394.2448794581001</v>
      </c>
      <c r="J1818" s="31">
        <f t="shared" si="567"/>
        <v>9576.9795178324002</v>
      </c>
      <c r="K1818" s="32" t="str">
        <f t="shared" si="568"/>
        <v>PTO-1916|MAT</v>
      </c>
      <c r="L1818" s="32">
        <f>COUNTIFS($K$2:K1818,K1818)</f>
        <v>13</v>
      </c>
      <c r="M1818" s="32" t="str">
        <f t="shared" si="569"/>
        <v>PTO-1916|MAT|13</v>
      </c>
      <c r="N1818" s="121">
        <f>IFERROR(VLOOKUP(A1818,PARTIDAS!A:F,6,FALSE()),0)</f>
        <v>1</v>
      </c>
      <c r="O1818" s="123">
        <f t="shared" si="570"/>
        <v>0</v>
      </c>
      <c r="P1818" s="123">
        <f>+_xlfn.XLOOKUP(A1818,PPTO_GENERADOR!Q:Q,PPTO_GENERADOR!E:E,"-",0)</f>
        <v>1</v>
      </c>
      <c r="Q1818" s="123">
        <f t="shared" si="571"/>
        <v>0</v>
      </c>
      <c r="R1818" s="125">
        <f>+_xlfn.XLOOKUP(A1818,PPTO_GENERADOR!$Q:$Q,PPTO_GENERADOR!A:A,"-",0)</f>
        <v>19.16</v>
      </c>
    </row>
    <row r="1819" spans="1:18" ht="14.25" customHeight="1" x14ac:dyDescent="0.35">
      <c r="A1819" s="105" t="s">
        <v>372</v>
      </c>
      <c r="B1819" s="105" t="s">
        <v>1981</v>
      </c>
      <c r="C1819" s="105" t="s">
        <v>1982</v>
      </c>
      <c r="D1819" s="105" t="s">
        <v>1246</v>
      </c>
      <c r="E1819" s="95" t="str">
        <f>IFERROR(VLOOKUP(D1819,MATERIALES!A:B,2,FALSE()),"?")</f>
        <v>FUSIOGAS CODO A 90 FUSION 50 MM 201050</v>
      </c>
      <c r="F1819" s="129" t="str">
        <f>IFERROR(VLOOKUP(D1819,MATERIALES!A:C,3,FALSE()),"?")</f>
        <v>u</v>
      </c>
      <c r="G1819" s="119">
        <v>6</v>
      </c>
      <c r="H1819" s="120">
        <v>0</v>
      </c>
      <c r="I1819" s="96">
        <f>IFERROR(VLOOKUP(D1819,MATERIALES!A:D,4,FALSE()),0)</f>
        <v>9913.7915834182004</v>
      </c>
      <c r="J1819" s="31">
        <f t="shared" si="567"/>
        <v>59482.749500509206</v>
      </c>
      <c r="K1819" s="32" t="str">
        <f t="shared" si="568"/>
        <v>PTO-1916|MAT</v>
      </c>
      <c r="L1819" s="32">
        <f>COUNTIFS($K$2:K1819,K1819)</f>
        <v>14</v>
      </c>
      <c r="M1819" s="32" t="str">
        <f t="shared" si="569"/>
        <v>PTO-1916|MAT|14</v>
      </c>
      <c r="N1819" s="121">
        <f>IFERROR(VLOOKUP(A1819,PARTIDAS!A:F,6,FALSE()),0)</f>
        <v>1</v>
      </c>
      <c r="O1819" s="123">
        <f t="shared" si="570"/>
        <v>0</v>
      </c>
      <c r="P1819" s="123">
        <f>+_xlfn.XLOOKUP(A1819,PPTO_GENERADOR!Q:Q,PPTO_GENERADOR!E:E,"-",0)</f>
        <v>1</v>
      </c>
      <c r="Q1819" s="123">
        <f t="shared" si="571"/>
        <v>0</v>
      </c>
      <c r="R1819" s="125">
        <f>+_xlfn.XLOOKUP(A1819,PPTO_GENERADOR!$Q:$Q,PPTO_GENERADOR!A:A,"-",0)</f>
        <v>19.16</v>
      </c>
    </row>
    <row r="1820" spans="1:18" ht="14.25" customHeight="1" x14ac:dyDescent="0.35">
      <c r="A1820" s="105" t="s">
        <v>372</v>
      </c>
      <c r="B1820" s="105" t="s">
        <v>1981</v>
      </c>
      <c r="C1820" s="105" t="s">
        <v>1982</v>
      </c>
      <c r="D1820" s="105" t="s">
        <v>1248</v>
      </c>
      <c r="E1820" s="95" t="str">
        <f>IFERROR(VLOOKUP(D1820,MATERIALES!A:B,2,FALSE()),"?")</f>
        <v>FUSIOGAS CUPLA RED. FUSION 25 X 20 MM 203126</v>
      </c>
      <c r="F1820" s="129" t="str">
        <f>IFERROR(VLOOKUP(D1820,MATERIALES!A:C,3,FALSE()),"?")</f>
        <v>u</v>
      </c>
      <c r="G1820" s="119">
        <v>3</v>
      </c>
      <c r="H1820" s="120">
        <v>0</v>
      </c>
      <c r="I1820" s="96">
        <f>IFERROR(VLOOKUP(D1820,MATERIALES!A:D,4,FALSE()),0)</f>
        <v>1022.6158306139999</v>
      </c>
      <c r="J1820" s="31">
        <f t="shared" si="567"/>
        <v>3067.8474918419997</v>
      </c>
      <c r="K1820" s="32" t="str">
        <f t="shared" si="568"/>
        <v>PTO-1916|MAT</v>
      </c>
      <c r="L1820" s="32">
        <f>COUNTIFS($K$2:K1820,K1820)</f>
        <v>15</v>
      </c>
      <c r="M1820" s="32" t="str">
        <f t="shared" si="569"/>
        <v>PTO-1916|MAT|15</v>
      </c>
      <c r="N1820" s="121">
        <f>IFERROR(VLOOKUP(A1820,PARTIDAS!A:F,6,FALSE()),0)</f>
        <v>1</v>
      </c>
      <c r="O1820" s="123">
        <f t="shared" si="570"/>
        <v>0</v>
      </c>
      <c r="P1820" s="123">
        <f>+_xlfn.XLOOKUP(A1820,PPTO_GENERADOR!Q:Q,PPTO_GENERADOR!E:E,"-",0)</f>
        <v>1</v>
      </c>
      <c r="Q1820" s="123">
        <f t="shared" si="571"/>
        <v>0</v>
      </c>
      <c r="R1820" s="125">
        <f>+_xlfn.XLOOKUP(A1820,PPTO_GENERADOR!$Q:$Q,PPTO_GENERADOR!A:A,"-",0)</f>
        <v>19.16</v>
      </c>
    </row>
    <row r="1821" spans="1:18" ht="14.25" customHeight="1" x14ac:dyDescent="0.35">
      <c r="A1821" s="105" t="s">
        <v>372</v>
      </c>
      <c r="B1821" s="105" t="s">
        <v>1981</v>
      </c>
      <c r="C1821" s="105" t="s">
        <v>1982</v>
      </c>
      <c r="D1821" s="105" t="s">
        <v>1250</v>
      </c>
      <c r="E1821" s="95" t="str">
        <f>IFERROR(VLOOKUP(D1821,MATERIALES!A:B,2,FALSE()),"?")</f>
        <v>FUSIOGAS CUPLA RED. FUSION 32 X 25 MM 203133</v>
      </c>
      <c r="F1821" s="129" t="str">
        <f>IFERROR(VLOOKUP(D1821,MATERIALES!A:C,3,FALSE()),"?")</f>
        <v>u</v>
      </c>
      <c r="G1821" s="119">
        <v>3</v>
      </c>
      <c r="H1821" s="120">
        <v>0</v>
      </c>
      <c r="I1821" s="96">
        <f>IFERROR(VLOOKUP(D1821,MATERIALES!A:D,4,FALSE()),0)</f>
        <v>1203.9331360463</v>
      </c>
      <c r="J1821" s="31">
        <f t="shared" si="567"/>
        <v>3611.7994081388997</v>
      </c>
      <c r="K1821" s="32" t="str">
        <f t="shared" si="568"/>
        <v>PTO-1916|MAT</v>
      </c>
      <c r="L1821" s="32">
        <f>COUNTIFS($K$2:K1821,K1821)</f>
        <v>16</v>
      </c>
      <c r="M1821" s="32" t="str">
        <f t="shared" si="569"/>
        <v>PTO-1916|MAT|16</v>
      </c>
      <c r="N1821" s="121">
        <f>IFERROR(VLOOKUP(A1821,PARTIDAS!A:F,6,FALSE()),0)</f>
        <v>1</v>
      </c>
      <c r="O1821" s="123">
        <f t="shared" si="570"/>
        <v>0</v>
      </c>
      <c r="P1821" s="123">
        <f>+_xlfn.XLOOKUP(A1821,PPTO_GENERADOR!Q:Q,PPTO_GENERADOR!E:E,"-",0)</f>
        <v>1</v>
      </c>
      <c r="Q1821" s="123">
        <f t="shared" si="571"/>
        <v>0</v>
      </c>
      <c r="R1821" s="125">
        <f>+_xlfn.XLOOKUP(A1821,PPTO_GENERADOR!$Q:$Q,PPTO_GENERADOR!A:A,"-",0)</f>
        <v>19.16</v>
      </c>
    </row>
    <row r="1822" spans="1:18" ht="14.25" customHeight="1" x14ac:dyDescent="0.35">
      <c r="A1822" s="105" t="s">
        <v>372</v>
      </c>
      <c r="B1822" s="105" t="s">
        <v>1981</v>
      </c>
      <c r="C1822" s="105" t="s">
        <v>1982</v>
      </c>
      <c r="D1822" s="105" t="s">
        <v>1252</v>
      </c>
      <c r="E1822" s="95" t="str">
        <f>IFERROR(VLOOKUP(D1822,MATERIALES!A:B,2,FALSE()),"?")</f>
        <v>FUSIOGAS CUPLA RED. FUSION 50 X 32 MM 203152</v>
      </c>
      <c r="F1822" s="129" t="str">
        <f>IFERROR(VLOOKUP(D1822,MATERIALES!A:C,3,FALSE()),"?")</f>
        <v>u</v>
      </c>
      <c r="G1822" s="119">
        <v>3</v>
      </c>
      <c r="H1822" s="120">
        <v>0</v>
      </c>
      <c r="I1822" s="96">
        <f>IFERROR(VLOOKUP(D1822,MATERIALES!A:D,4,FALSE()),0)</f>
        <v>6447.6098118637001</v>
      </c>
      <c r="J1822" s="31">
        <f t="shared" si="567"/>
        <v>19342.829435591098</v>
      </c>
      <c r="K1822" s="32" t="str">
        <f t="shared" si="568"/>
        <v>PTO-1916|MAT</v>
      </c>
      <c r="L1822" s="32">
        <f>COUNTIFS($K$2:K1822,K1822)</f>
        <v>17</v>
      </c>
      <c r="M1822" s="32" t="str">
        <f t="shared" si="569"/>
        <v>PTO-1916|MAT|17</v>
      </c>
      <c r="N1822" s="121">
        <f>IFERROR(VLOOKUP(A1822,PARTIDAS!A:F,6,FALSE()),0)</f>
        <v>1</v>
      </c>
      <c r="O1822" s="123">
        <f t="shared" si="570"/>
        <v>0</v>
      </c>
      <c r="P1822" s="123">
        <f>+_xlfn.XLOOKUP(A1822,PPTO_GENERADOR!Q:Q,PPTO_GENERADOR!E:E,"-",0)</f>
        <v>1</v>
      </c>
      <c r="Q1822" s="123">
        <f t="shared" si="571"/>
        <v>0</v>
      </c>
      <c r="R1822" s="125">
        <f>+_xlfn.XLOOKUP(A1822,PPTO_GENERADOR!$Q:$Q,PPTO_GENERADOR!A:A,"-",0)</f>
        <v>19.16</v>
      </c>
    </row>
    <row r="1823" spans="1:18" ht="14.25" customHeight="1" x14ac:dyDescent="0.35">
      <c r="A1823" s="105" t="s">
        <v>372</v>
      </c>
      <c r="B1823" s="105" t="s">
        <v>1981</v>
      </c>
      <c r="C1823" s="105" t="s">
        <v>1982</v>
      </c>
      <c r="D1823" s="105" t="s">
        <v>1254</v>
      </c>
      <c r="E1823" s="95" t="str">
        <f>IFERROR(VLOOKUP(D1823,MATERIALES!A:B,2,FALSE()),"?")</f>
        <v>FUSIOGAS CODO A 90 ROSCA HEMBRA 20 X 1/2 201220</v>
      </c>
      <c r="F1823" s="129" t="str">
        <f>IFERROR(VLOOKUP(D1823,MATERIALES!A:C,3,FALSE()),"?")</f>
        <v>u</v>
      </c>
      <c r="G1823" s="119">
        <v>3</v>
      </c>
      <c r="H1823" s="120">
        <v>0</v>
      </c>
      <c r="I1823" s="96">
        <f>IFERROR(VLOOKUP(D1823,MATERIALES!A:D,4,FALSE()),0)</f>
        <v>2873.9524549801999</v>
      </c>
      <c r="J1823" s="31">
        <f t="shared" ref="J1823:J1865" si="572">G1823*I1823*(1+H1823)</f>
        <v>8621.8573649405989</v>
      </c>
      <c r="K1823" s="32" t="str">
        <f t="shared" si="568"/>
        <v>PTO-1916|MAT</v>
      </c>
      <c r="L1823" s="32">
        <f>COUNTIFS($K$2:K1823,K1823)</f>
        <v>18</v>
      </c>
      <c r="M1823" s="32" t="str">
        <f t="shared" si="569"/>
        <v>PTO-1916|MAT|18</v>
      </c>
      <c r="N1823" s="121">
        <f>IFERROR(VLOOKUP(A1823,PARTIDAS!A:F,6,FALSE()),0)</f>
        <v>1</v>
      </c>
      <c r="O1823" s="123">
        <f t="shared" si="570"/>
        <v>0</v>
      </c>
      <c r="P1823" s="123">
        <f>+_xlfn.XLOOKUP(A1823,PPTO_GENERADOR!Q:Q,PPTO_GENERADOR!E:E,"-",0)</f>
        <v>1</v>
      </c>
      <c r="Q1823" s="123">
        <f t="shared" si="571"/>
        <v>0</v>
      </c>
      <c r="R1823" s="125">
        <f>+_xlfn.XLOOKUP(A1823,PPTO_GENERADOR!$Q:$Q,PPTO_GENERADOR!A:A,"-",0)</f>
        <v>19.16</v>
      </c>
    </row>
    <row r="1824" spans="1:18" ht="14.25" customHeight="1" x14ac:dyDescent="0.35">
      <c r="A1824" s="105" t="s">
        <v>372</v>
      </c>
      <c r="B1824" s="105" t="s">
        <v>1981</v>
      </c>
      <c r="C1824" s="105" t="s">
        <v>1982</v>
      </c>
      <c r="D1824" s="105" t="s">
        <v>1256</v>
      </c>
      <c r="E1824" s="95" t="str">
        <f>IFERROR(VLOOKUP(D1824,MATERIALES!A:B,2,FALSE()),"?")</f>
        <v>FUSIOGAS LLAVE PASO C/MANIVELA Y ROSETA 32 MM 207</v>
      </c>
      <c r="F1824" s="129" t="str">
        <f>IFERROR(VLOOKUP(D1824,MATERIALES!A:C,3,FALSE()),"?")</f>
        <v>u</v>
      </c>
      <c r="G1824" s="119">
        <v>3</v>
      </c>
      <c r="H1824" s="120">
        <v>0</v>
      </c>
      <c r="I1824" s="96">
        <f>IFERROR(VLOOKUP(D1824,MATERIALES!A:D,4,FALSE()),0)</f>
        <v>36808.069325782599</v>
      </c>
      <c r="J1824" s="31">
        <f t="shared" si="572"/>
        <v>110424.2079773478</v>
      </c>
      <c r="K1824" s="32" t="str">
        <f t="shared" si="568"/>
        <v>PTO-1916|MAT</v>
      </c>
      <c r="L1824" s="32">
        <f>COUNTIFS($K$2:K1824,K1824)</f>
        <v>19</v>
      </c>
      <c r="M1824" s="32" t="str">
        <f t="shared" si="569"/>
        <v>PTO-1916|MAT|19</v>
      </c>
      <c r="N1824" s="121">
        <f>IFERROR(VLOOKUP(A1824,PARTIDAS!A:F,6,FALSE()),0)</f>
        <v>1</v>
      </c>
      <c r="O1824" s="123">
        <f t="shared" si="570"/>
        <v>0</v>
      </c>
      <c r="P1824" s="123">
        <f>+_xlfn.XLOOKUP(A1824,PPTO_GENERADOR!Q:Q,PPTO_GENERADOR!E:E,"-",0)</f>
        <v>1</v>
      </c>
      <c r="Q1824" s="123">
        <f t="shared" si="571"/>
        <v>0</v>
      </c>
      <c r="R1824" s="125">
        <f>+_xlfn.XLOOKUP(A1824,PPTO_GENERADOR!$Q:$Q,PPTO_GENERADOR!A:A,"-",0)</f>
        <v>19.16</v>
      </c>
    </row>
    <row r="1825" spans="1:18" ht="14.25" customHeight="1" x14ac:dyDescent="0.35">
      <c r="A1825" s="105" t="s">
        <v>372</v>
      </c>
      <c r="B1825" s="105" t="s">
        <v>1981</v>
      </c>
      <c r="C1825" s="105" t="s">
        <v>1982</v>
      </c>
      <c r="D1825" s="105" t="s">
        <v>1258</v>
      </c>
      <c r="E1825" s="95" t="str">
        <f>IFERROR(VLOOKUP(D1825,MATERIALES!A:B,2,FALSE()),"?")</f>
        <v>GABINETE PARA GAS</v>
      </c>
      <c r="F1825" s="129" t="str">
        <f>IFERROR(VLOOKUP(D1825,MATERIALES!A:C,3,FALSE()),"?")</f>
        <v>gl</v>
      </c>
      <c r="G1825" s="119">
        <v>1</v>
      </c>
      <c r="H1825" s="120">
        <v>0</v>
      </c>
      <c r="I1825" s="96">
        <f>IFERROR(VLOOKUP(D1825,MATERIALES!A:D,4,FALSE()),0)</f>
        <v>70000</v>
      </c>
      <c r="J1825" s="31">
        <f t="shared" si="572"/>
        <v>70000</v>
      </c>
      <c r="K1825" s="32" t="str">
        <f t="shared" si="568"/>
        <v>PTO-1916|MAT</v>
      </c>
      <c r="L1825" s="32">
        <f>COUNTIFS($K$2:K1825,K1825)</f>
        <v>20</v>
      </c>
      <c r="M1825" s="32" t="str">
        <f t="shared" si="569"/>
        <v>PTO-1916|MAT|20</v>
      </c>
      <c r="N1825" s="121">
        <f>IFERROR(VLOOKUP(A1825,PARTIDAS!A:F,6,FALSE()),0)</f>
        <v>1</v>
      </c>
      <c r="O1825" s="123">
        <f t="shared" si="570"/>
        <v>0</v>
      </c>
      <c r="P1825" s="123">
        <f>+_xlfn.XLOOKUP(A1825,PPTO_GENERADOR!Q:Q,PPTO_GENERADOR!E:E,"-",0)</f>
        <v>1</v>
      </c>
      <c r="Q1825" s="123">
        <f t="shared" si="571"/>
        <v>0</v>
      </c>
      <c r="R1825" s="125">
        <f>+_xlfn.XLOOKUP(A1825,PPTO_GENERADOR!$Q:$Q,PPTO_GENERADOR!A:A,"-",0)</f>
        <v>19.16</v>
      </c>
    </row>
    <row r="1826" spans="1:18" ht="14.25" customHeight="1" x14ac:dyDescent="0.35">
      <c r="A1826" s="105" t="s">
        <v>372</v>
      </c>
      <c r="B1826" s="105" t="s">
        <v>1981</v>
      </c>
      <c r="C1826" s="105" t="s">
        <v>1982</v>
      </c>
      <c r="D1826" s="105" t="s">
        <v>559</v>
      </c>
      <c r="E1826" s="95" t="str">
        <f>IFERROR(VLOOKUP(D1826,MATERIALES!A:B,2,FALSE()),"?")</f>
        <v>CONSUMIBLES (varios)</v>
      </c>
      <c r="F1826" s="129" t="str">
        <f>IFERROR(VLOOKUP(D1826,MATERIALES!A:C,3,FALSE()),"?")</f>
        <v>gl</v>
      </c>
      <c r="G1826" s="119">
        <v>255133.73</v>
      </c>
      <c r="H1826" s="120">
        <v>0</v>
      </c>
      <c r="I1826" s="96">
        <f>IFERROR(VLOOKUP(D1826,MATERIALES!A:D,4,FALSE()),0)</f>
        <v>1</v>
      </c>
      <c r="J1826" s="31">
        <f t="shared" si="572"/>
        <v>255133.73</v>
      </c>
      <c r="K1826" s="32" t="str">
        <f t="shared" si="568"/>
        <v>PTO-1916|MAT</v>
      </c>
      <c r="L1826" s="32">
        <f>COUNTIFS($K$2:K1826,K1826)</f>
        <v>21</v>
      </c>
      <c r="M1826" s="32" t="str">
        <f t="shared" si="569"/>
        <v>PTO-1916|MAT|21</v>
      </c>
      <c r="N1826" s="121">
        <f>IFERROR(VLOOKUP(A1826,PARTIDAS!A:F,6,FALSE()),0)</f>
        <v>1</v>
      </c>
      <c r="O1826" s="123">
        <f t="shared" si="570"/>
        <v>0</v>
      </c>
      <c r="P1826" s="123">
        <f>+_xlfn.XLOOKUP(A1826,PPTO_GENERADOR!Q:Q,PPTO_GENERADOR!E:E,"-",0)</f>
        <v>1</v>
      </c>
      <c r="Q1826" s="123">
        <f t="shared" si="571"/>
        <v>0</v>
      </c>
      <c r="R1826" s="125">
        <f>+_xlfn.XLOOKUP(A1826,PPTO_GENERADOR!$Q:$Q,PPTO_GENERADOR!A:A,"-",0)</f>
        <v>19.16</v>
      </c>
    </row>
    <row r="1827" spans="1:18" ht="14.25" customHeight="1" x14ac:dyDescent="0.35">
      <c r="A1827" s="105" t="s">
        <v>64</v>
      </c>
      <c r="B1827" s="105" t="s">
        <v>1981</v>
      </c>
      <c r="C1827" s="105" t="s">
        <v>1982</v>
      </c>
      <c r="D1827" s="105" t="s">
        <v>1262</v>
      </c>
      <c r="E1827" s="95" t="str">
        <f>IFERROR(VLOOKUP(D1827,MATERIALES!A:B,2,FALSE()),"?")</f>
        <v>HORMIGON H30 (bombeado con superfluidos)</v>
      </c>
      <c r="F1827" s="129" t="str">
        <f>IFERROR(VLOOKUP(D1827,MATERIALES!A:C,3,FALSE()),"?")</f>
        <v>m3</v>
      </c>
      <c r="G1827" s="119">
        <v>1</v>
      </c>
      <c r="H1827" s="120">
        <v>0</v>
      </c>
      <c r="I1827" s="96">
        <f>IFERROR(VLOOKUP(D1827,MATERIALES!A:D,4,FALSE()),0)</f>
        <v>159547</v>
      </c>
      <c r="J1827" s="31">
        <f t="shared" si="572"/>
        <v>159547</v>
      </c>
      <c r="K1827" s="32" t="str">
        <f t="shared" si="568"/>
        <v>PTO-0303|MAT</v>
      </c>
      <c r="L1827" s="32">
        <f>COUNTIFS($K$2:K1827,K1827)</f>
        <v>2</v>
      </c>
      <c r="M1827" s="32" t="str">
        <f t="shared" si="569"/>
        <v>PTO-0303|MAT|2</v>
      </c>
      <c r="N1827" s="121">
        <f>IFERROR(VLOOKUP(A1827,PARTIDAS!A:F,6,FALSE()),0)</f>
        <v>1</v>
      </c>
      <c r="O1827" s="123">
        <f t="shared" si="570"/>
        <v>0</v>
      </c>
      <c r="P1827" s="123">
        <f>+_xlfn.XLOOKUP(A1827,PPTO_GENERADOR!Q:Q,PPTO_GENERADOR!E:E,"-",0)</f>
        <v>7</v>
      </c>
      <c r="Q1827" s="123">
        <f t="shared" si="571"/>
        <v>0</v>
      </c>
      <c r="R1827" s="125">
        <f>+_xlfn.XLOOKUP(A1827,PPTO_GENERADOR!$Q:$Q,PPTO_GENERADOR!A:A,"-",0)</f>
        <v>3.03</v>
      </c>
    </row>
    <row r="1828" spans="1:18" ht="14.25" customHeight="1" x14ac:dyDescent="0.35">
      <c r="A1828" s="105" t="s">
        <v>64</v>
      </c>
      <c r="B1828" s="105" t="s">
        <v>1981</v>
      </c>
      <c r="C1828" s="105" t="s">
        <v>1982</v>
      </c>
      <c r="D1828" s="105" t="s">
        <v>1264</v>
      </c>
      <c r="E1828" s="95" t="str">
        <f>IFERROR(VLOOKUP(D1828,MATERIALES!A:B,2,FALSE()),"?")</f>
        <v>ENCOFRADO — Platea</v>
      </c>
      <c r="F1828" s="129" t="str">
        <f>IFERROR(VLOOKUP(D1828,MATERIALES!A:C,3,FALSE()),"?")</f>
        <v>m3</v>
      </c>
      <c r="G1828" s="119">
        <v>1</v>
      </c>
      <c r="H1828" s="120">
        <v>0</v>
      </c>
      <c r="I1828" s="96">
        <f>IFERROR(VLOOKUP(D1828,MATERIALES!A:D,4,FALSE()),0)</f>
        <v>2679.1697027803998</v>
      </c>
      <c r="J1828" s="31">
        <f t="shared" si="572"/>
        <v>2679.1697027803998</v>
      </c>
      <c r="K1828" s="32" t="str">
        <f t="shared" si="568"/>
        <v>PTO-0303|MAT</v>
      </c>
      <c r="L1828" s="32">
        <f>COUNTIFS($K$2:K1828,K1828)</f>
        <v>3</v>
      </c>
      <c r="M1828" s="32" t="str">
        <f t="shared" si="569"/>
        <v>PTO-0303|MAT|3</v>
      </c>
      <c r="N1828" s="121">
        <f>IFERROR(VLOOKUP(A1828,PARTIDAS!A:F,6,FALSE()),0)</f>
        <v>1</v>
      </c>
      <c r="O1828" s="123">
        <f t="shared" si="570"/>
        <v>0</v>
      </c>
      <c r="P1828" s="123">
        <f>+_xlfn.XLOOKUP(A1828,PPTO_GENERADOR!Q:Q,PPTO_GENERADOR!E:E,"-",0)</f>
        <v>7</v>
      </c>
      <c r="Q1828" s="123">
        <f t="shared" si="571"/>
        <v>0</v>
      </c>
      <c r="R1828" s="125">
        <f>+_xlfn.XLOOKUP(A1828,PPTO_GENERADOR!$Q:$Q,PPTO_GENERADOR!A:A,"-",0)</f>
        <v>3.03</v>
      </c>
    </row>
    <row r="1829" spans="1:18" ht="14.25" customHeight="1" x14ac:dyDescent="0.35">
      <c r="A1829" s="105" t="s">
        <v>66</v>
      </c>
      <c r="B1829" s="105" t="s">
        <v>1981</v>
      </c>
      <c r="C1829" s="105" t="s">
        <v>1982</v>
      </c>
      <c r="D1829" s="105" t="s">
        <v>1262</v>
      </c>
      <c r="E1829" s="95" t="str">
        <f>IFERROR(VLOOKUP(D1829,MATERIALES!A:B,2,FALSE()),"?")</f>
        <v>HORMIGON H30 (bombeado con superfluidos)</v>
      </c>
      <c r="F1829" s="129" t="str">
        <f>IFERROR(VLOOKUP(D1829,MATERIALES!A:C,3,FALSE()),"?")</f>
        <v>m3</v>
      </c>
      <c r="G1829" s="119">
        <v>1</v>
      </c>
      <c r="H1829" s="120">
        <v>0</v>
      </c>
      <c r="I1829" s="96">
        <f>IFERROR(VLOOKUP(D1829,MATERIALES!A:D,4,FALSE()),0)</f>
        <v>159547</v>
      </c>
      <c r="J1829" s="31">
        <f t="shared" si="572"/>
        <v>159547</v>
      </c>
      <c r="K1829" s="32" t="str">
        <f t="shared" si="568"/>
        <v>PTO-0304|MAT</v>
      </c>
      <c r="L1829" s="32">
        <f>COUNTIFS($K$2:K1829,K1829)</f>
        <v>2</v>
      </c>
      <c r="M1829" s="32" t="str">
        <f t="shared" si="569"/>
        <v>PTO-0304|MAT|2</v>
      </c>
      <c r="N1829" s="121">
        <f>IFERROR(VLOOKUP(A1829,PARTIDAS!A:F,6,FALSE()),0)</f>
        <v>1</v>
      </c>
      <c r="O1829" s="123">
        <f t="shared" si="570"/>
        <v>0</v>
      </c>
      <c r="P1829" s="123">
        <f>+_xlfn.XLOOKUP(A1829,PPTO_GENERADOR!Q:Q,PPTO_GENERADOR!E:E,"-",0)</f>
        <v>4</v>
      </c>
      <c r="Q1829" s="123">
        <f t="shared" si="571"/>
        <v>0</v>
      </c>
      <c r="R1829" s="125">
        <f>+_xlfn.XLOOKUP(A1829,PPTO_GENERADOR!$Q:$Q,PPTO_GENERADOR!A:A,"-",0)</f>
        <v>3.04</v>
      </c>
    </row>
    <row r="1830" spans="1:18" ht="14.25" customHeight="1" x14ac:dyDescent="0.35">
      <c r="A1830" s="105" t="s">
        <v>66</v>
      </c>
      <c r="B1830" s="105" t="s">
        <v>1981</v>
      </c>
      <c r="C1830" s="105" t="s">
        <v>1982</v>
      </c>
      <c r="D1830" s="105" t="s">
        <v>1266</v>
      </c>
      <c r="E1830" s="95" t="str">
        <f>IFERROR(VLOOKUP(D1830,MATERIALES!A:B,2,FALSE()),"?")</f>
        <v>ENCOFRADO — Viga fundacion</v>
      </c>
      <c r="F1830" s="129" t="str">
        <f>IFERROR(VLOOKUP(D1830,MATERIALES!A:C,3,FALSE()),"?")</f>
        <v>m3</v>
      </c>
      <c r="G1830" s="119">
        <v>1</v>
      </c>
      <c r="H1830" s="120">
        <v>0</v>
      </c>
      <c r="I1830" s="96">
        <f>IFERROR(VLOOKUP(D1830,MATERIALES!A:D,4,FALSE()),0)</f>
        <v>59306.287864245402</v>
      </c>
      <c r="J1830" s="31">
        <f t="shared" si="572"/>
        <v>59306.287864245402</v>
      </c>
      <c r="K1830" s="32" t="str">
        <f t="shared" si="568"/>
        <v>PTO-0304|MAT</v>
      </c>
      <c r="L1830" s="32">
        <f>COUNTIFS($K$2:K1830,K1830)</f>
        <v>3</v>
      </c>
      <c r="M1830" s="32" t="str">
        <f t="shared" si="569"/>
        <v>PTO-0304|MAT|3</v>
      </c>
      <c r="N1830" s="121">
        <f>IFERROR(VLOOKUP(A1830,PARTIDAS!A:F,6,FALSE()),0)</f>
        <v>1</v>
      </c>
      <c r="O1830" s="123">
        <f t="shared" si="570"/>
        <v>0</v>
      </c>
      <c r="P1830" s="123">
        <f>+_xlfn.XLOOKUP(A1830,PPTO_GENERADOR!Q:Q,PPTO_GENERADOR!E:E,"-",0)</f>
        <v>4</v>
      </c>
      <c r="Q1830" s="123">
        <f t="shared" si="571"/>
        <v>0</v>
      </c>
      <c r="R1830" s="125">
        <f>+_xlfn.XLOOKUP(A1830,PPTO_GENERADOR!$Q:$Q,PPTO_GENERADOR!A:A,"-",0)</f>
        <v>3.04</v>
      </c>
    </row>
    <row r="1831" spans="1:18" ht="14.25" customHeight="1" x14ac:dyDescent="0.35">
      <c r="A1831" s="105" t="s">
        <v>70</v>
      </c>
      <c r="B1831" s="105" t="s">
        <v>1981</v>
      </c>
      <c r="C1831" s="105" t="s">
        <v>1982</v>
      </c>
      <c r="D1831" s="105" t="s">
        <v>1262</v>
      </c>
      <c r="E1831" s="95" t="str">
        <f>IFERROR(VLOOKUP(D1831,MATERIALES!A:B,2,FALSE()),"?")</f>
        <v>HORMIGON H30 (bombeado con superfluidos)</v>
      </c>
      <c r="F1831" s="129" t="str">
        <f>IFERROR(VLOOKUP(D1831,MATERIALES!A:C,3,FALSE()),"?")</f>
        <v>m3</v>
      </c>
      <c r="G1831" s="119">
        <v>1</v>
      </c>
      <c r="H1831" s="120">
        <v>0</v>
      </c>
      <c r="I1831" s="96">
        <f>IFERROR(VLOOKUP(D1831,MATERIALES!A:D,4,FALSE()),0)</f>
        <v>159547</v>
      </c>
      <c r="J1831" s="31">
        <f t="shared" si="572"/>
        <v>159547</v>
      </c>
      <c r="K1831" s="32" t="str">
        <f t="shared" si="568"/>
        <v>PTO-0306|MAT</v>
      </c>
      <c r="L1831" s="32">
        <f>COUNTIFS($K$2:K1831,K1831)</f>
        <v>2</v>
      </c>
      <c r="M1831" s="32" t="str">
        <f t="shared" si="569"/>
        <v>PTO-0306|MAT|2</v>
      </c>
      <c r="N1831" s="121">
        <f>IFERROR(VLOOKUP(A1831,PARTIDAS!A:F,6,FALSE()),0)</f>
        <v>1</v>
      </c>
      <c r="O1831" s="123">
        <f t="shared" si="570"/>
        <v>0</v>
      </c>
      <c r="P1831" s="123">
        <f>+_xlfn.XLOOKUP(A1831,PPTO_GENERADOR!Q:Q,PPTO_GENERADOR!E:E,"-",0)</f>
        <v>11</v>
      </c>
      <c r="Q1831" s="123">
        <f t="shared" si="571"/>
        <v>0</v>
      </c>
      <c r="R1831" s="125">
        <f>+_xlfn.XLOOKUP(A1831,PPTO_GENERADOR!$Q:$Q,PPTO_GENERADOR!A:A,"-",0)</f>
        <v>3.06</v>
      </c>
    </row>
    <row r="1832" spans="1:18" ht="14.25" customHeight="1" x14ac:dyDescent="0.35">
      <c r="A1832" s="105" t="s">
        <v>70</v>
      </c>
      <c r="B1832" s="105" t="s">
        <v>1981</v>
      </c>
      <c r="C1832" s="105" t="s">
        <v>1982</v>
      </c>
      <c r="D1832" s="105" t="s">
        <v>1264</v>
      </c>
      <c r="E1832" s="95" t="str">
        <f>IFERROR(VLOOKUP(D1832,MATERIALES!A:B,2,FALSE()),"?")</f>
        <v>ENCOFRADO — Platea</v>
      </c>
      <c r="F1832" s="129" t="str">
        <f>IFERROR(VLOOKUP(D1832,MATERIALES!A:C,3,FALSE()),"?")</f>
        <v>m3</v>
      </c>
      <c r="G1832" s="119">
        <v>1</v>
      </c>
      <c r="H1832" s="120">
        <v>0</v>
      </c>
      <c r="I1832" s="96">
        <f>IFERROR(VLOOKUP(D1832,MATERIALES!A:D,4,FALSE()),0)</f>
        <v>2679.1697027803998</v>
      </c>
      <c r="J1832" s="31">
        <f t="shared" si="572"/>
        <v>2679.1697027803998</v>
      </c>
      <c r="K1832" s="32" t="str">
        <f t="shared" si="568"/>
        <v>PTO-0306|MAT</v>
      </c>
      <c r="L1832" s="32">
        <f>COUNTIFS($K$2:K1832,K1832)</f>
        <v>3</v>
      </c>
      <c r="M1832" s="32" t="str">
        <f t="shared" si="569"/>
        <v>PTO-0306|MAT|3</v>
      </c>
      <c r="N1832" s="121">
        <f>IFERROR(VLOOKUP(A1832,PARTIDAS!A:F,6,FALSE()),0)</f>
        <v>1</v>
      </c>
      <c r="O1832" s="123">
        <f t="shared" si="570"/>
        <v>0</v>
      </c>
      <c r="P1832" s="123">
        <f>+_xlfn.XLOOKUP(A1832,PPTO_GENERADOR!Q:Q,PPTO_GENERADOR!E:E,"-",0)</f>
        <v>11</v>
      </c>
      <c r="Q1832" s="123">
        <f t="shared" si="571"/>
        <v>0</v>
      </c>
      <c r="R1832" s="125">
        <f>+_xlfn.XLOOKUP(A1832,PPTO_GENERADOR!$Q:$Q,PPTO_GENERADOR!A:A,"-",0)</f>
        <v>3.06</v>
      </c>
    </row>
    <row r="1833" spans="1:18" ht="14.25" customHeight="1" x14ac:dyDescent="0.35">
      <c r="A1833" s="105" t="s">
        <v>72</v>
      </c>
      <c r="B1833" s="105" t="s">
        <v>1981</v>
      </c>
      <c r="C1833" s="105" t="s">
        <v>1982</v>
      </c>
      <c r="D1833" s="105" t="s">
        <v>1262</v>
      </c>
      <c r="E1833" s="95" t="str">
        <f>IFERROR(VLOOKUP(D1833,MATERIALES!A:B,2,FALSE()),"?")</f>
        <v>HORMIGON H30 (bombeado con superfluidos)</v>
      </c>
      <c r="F1833" s="129" t="str">
        <f>IFERROR(VLOOKUP(D1833,MATERIALES!A:C,3,FALSE()),"?")</f>
        <v>m3</v>
      </c>
      <c r="G1833" s="119">
        <v>1</v>
      </c>
      <c r="H1833" s="120">
        <v>0</v>
      </c>
      <c r="I1833" s="96">
        <f>IFERROR(VLOOKUP(D1833,MATERIALES!A:D,4,FALSE()),0)</f>
        <v>159547</v>
      </c>
      <c r="J1833" s="31">
        <f t="shared" si="572"/>
        <v>159547</v>
      </c>
      <c r="K1833" s="32" t="str">
        <f t="shared" si="568"/>
        <v>PTO-0307|MAT</v>
      </c>
      <c r="L1833" s="32">
        <f>COUNTIFS($K$2:K1833,K1833)</f>
        <v>2</v>
      </c>
      <c r="M1833" s="32" t="str">
        <f t="shared" si="569"/>
        <v>PTO-0307|MAT|2</v>
      </c>
      <c r="N1833" s="121">
        <f>IFERROR(VLOOKUP(A1833,PARTIDAS!A:F,6,FALSE()),0)</f>
        <v>1</v>
      </c>
      <c r="O1833" s="123">
        <f t="shared" si="570"/>
        <v>0</v>
      </c>
      <c r="P1833" s="123">
        <f>+_xlfn.XLOOKUP(A1833,PPTO_GENERADOR!Q:Q,PPTO_GENERADOR!E:E,"-",0)</f>
        <v>9</v>
      </c>
      <c r="Q1833" s="123">
        <f t="shared" si="571"/>
        <v>0</v>
      </c>
      <c r="R1833" s="125">
        <f>+_xlfn.XLOOKUP(A1833,PPTO_GENERADOR!$Q:$Q,PPTO_GENERADOR!A:A,"-",0)</f>
        <v>3.07</v>
      </c>
    </row>
    <row r="1834" spans="1:18" ht="14.25" customHeight="1" x14ac:dyDescent="0.35">
      <c r="A1834" s="105" t="s">
        <v>72</v>
      </c>
      <c r="B1834" s="105" t="s">
        <v>1981</v>
      </c>
      <c r="C1834" s="105" t="s">
        <v>1982</v>
      </c>
      <c r="D1834" s="105" t="s">
        <v>1266</v>
      </c>
      <c r="E1834" s="95" t="str">
        <f>IFERROR(VLOOKUP(D1834,MATERIALES!A:B,2,FALSE()),"?")</f>
        <v>ENCOFRADO — Viga fundacion</v>
      </c>
      <c r="F1834" s="129" t="str">
        <f>IFERROR(VLOOKUP(D1834,MATERIALES!A:C,3,FALSE()),"?")</f>
        <v>m3</v>
      </c>
      <c r="G1834" s="119">
        <v>1</v>
      </c>
      <c r="H1834" s="120">
        <v>0</v>
      </c>
      <c r="I1834" s="96">
        <f>IFERROR(VLOOKUP(D1834,MATERIALES!A:D,4,FALSE()),0)</f>
        <v>59306.287864245402</v>
      </c>
      <c r="J1834" s="31">
        <f t="shared" si="572"/>
        <v>59306.287864245402</v>
      </c>
      <c r="K1834" s="32" t="str">
        <f t="shared" ref="K1834:K1865" si="573">A1834&amp;"|"&amp;B1834</f>
        <v>PTO-0307|MAT</v>
      </c>
      <c r="L1834" s="32">
        <f>COUNTIFS($K$2:K1834,K1834)</f>
        <v>3</v>
      </c>
      <c r="M1834" s="32" t="str">
        <f t="shared" si="569"/>
        <v>PTO-0307|MAT|3</v>
      </c>
      <c r="N1834" s="121">
        <f>IFERROR(VLOOKUP(A1834,PARTIDAS!A:F,6,FALSE()),0)</f>
        <v>1</v>
      </c>
      <c r="O1834" s="123">
        <f t="shared" si="570"/>
        <v>0</v>
      </c>
      <c r="P1834" s="123">
        <f>+_xlfn.XLOOKUP(A1834,PPTO_GENERADOR!Q:Q,PPTO_GENERADOR!E:E,"-",0)</f>
        <v>9</v>
      </c>
      <c r="Q1834" s="123">
        <f t="shared" si="571"/>
        <v>0</v>
      </c>
      <c r="R1834" s="125">
        <f>+_xlfn.XLOOKUP(A1834,PPTO_GENERADOR!$Q:$Q,PPTO_GENERADOR!A:A,"-",0)</f>
        <v>3.07</v>
      </c>
    </row>
    <row r="1835" spans="1:18" ht="14.25" customHeight="1" x14ac:dyDescent="0.35">
      <c r="A1835" s="105" t="s">
        <v>74</v>
      </c>
      <c r="B1835" s="105" t="s">
        <v>1981</v>
      </c>
      <c r="C1835" s="105" t="s">
        <v>1982</v>
      </c>
      <c r="D1835" s="105" t="s">
        <v>1262</v>
      </c>
      <c r="E1835" s="95" t="str">
        <f>IFERROR(VLOOKUP(D1835,MATERIALES!A:B,2,FALSE()),"?")</f>
        <v>HORMIGON H30 (bombeado con superfluidos)</v>
      </c>
      <c r="F1835" s="129" t="str">
        <f>IFERROR(VLOOKUP(D1835,MATERIALES!A:C,3,FALSE()),"?")</f>
        <v>m3</v>
      </c>
      <c r="G1835" s="119">
        <v>1</v>
      </c>
      <c r="H1835" s="120">
        <v>0</v>
      </c>
      <c r="I1835" s="96">
        <f>IFERROR(VLOOKUP(D1835,MATERIALES!A:D,4,FALSE()),0)</f>
        <v>159547</v>
      </c>
      <c r="J1835" s="31">
        <f t="shared" si="572"/>
        <v>159547</v>
      </c>
      <c r="K1835" s="32" t="str">
        <f t="shared" si="573"/>
        <v>PTO-0308|MAT</v>
      </c>
      <c r="L1835" s="32">
        <f>COUNTIFS($K$2:K1835,K1835)</f>
        <v>2</v>
      </c>
      <c r="M1835" s="32" t="str">
        <f t="shared" si="569"/>
        <v>PTO-0308|MAT|2</v>
      </c>
      <c r="N1835" s="121">
        <f>IFERROR(VLOOKUP(A1835,PARTIDAS!A:F,6,FALSE()),0)</f>
        <v>1</v>
      </c>
      <c r="O1835" s="123">
        <f t="shared" si="570"/>
        <v>0</v>
      </c>
      <c r="P1835" s="123">
        <f>+_xlfn.XLOOKUP(A1835,PPTO_GENERADOR!Q:Q,PPTO_GENERADOR!E:E,"-",0)</f>
        <v>9</v>
      </c>
      <c r="Q1835" s="123">
        <f t="shared" si="571"/>
        <v>0</v>
      </c>
      <c r="R1835" s="125">
        <f>+_xlfn.XLOOKUP(A1835,PPTO_GENERADOR!$Q:$Q,PPTO_GENERADOR!A:A,"-",0)</f>
        <v>3.08</v>
      </c>
    </row>
    <row r="1836" spans="1:18" ht="14.25" customHeight="1" x14ac:dyDescent="0.35">
      <c r="A1836" s="105" t="s">
        <v>74</v>
      </c>
      <c r="B1836" s="105" t="s">
        <v>1981</v>
      </c>
      <c r="C1836" s="105" t="s">
        <v>1982</v>
      </c>
      <c r="D1836" s="105" t="s">
        <v>1270</v>
      </c>
      <c r="E1836" s="95" t="str">
        <f>IFERROR(VLOOKUP(D1836,MATERIALES!A:B,2,FALSE()),"?")</f>
        <v>ENCOFRADO — Tabique</v>
      </c>
      <c r="F1836" s="129" t="str">
        <f>IFERROR(VLOOKUP(D1836,MATERIALES!A:C,3,FALSE()),"?")</f>
        <v>m3</v>
      </c>
      <c r="G1836" s="119">
        <v>1</v>
      </c>
      <c r="H1836" s="120">
        <v>0</v>
      </c>
      <c r="I1836" s="96">
        <f>IFERROR(VLOOKUP(D1836,MATERIALES!A:D,4,FALSE()),0)</f>
        <v>75374.885714285701</v>
      </c>
      <c r="J1836" s="31">
        <f t="shared" si="572"/>
        <v>75374.885714285701</v>
      </c>
      <c r="K1836" s="32" t="str">
        <f t="shared" si="573"/>
        <v>PTO-0308|MAT</v>
      </c>
      <c r="L1836" s="32">
        <f>COUNTIFS($K$2:K1836,K1836)</f>
        <v>3</v>
      </c>
      <c r="M1836" s="32" t="str">
        <f t="shared" si="569"/>
        <v>PTO-0308|MAT|3</v>
      </c>
      <c r="N1836" s="121">
        <f>IFERROR(VLOOKUP(A1836,PARTIDAS!A:F,6,FALSE()),0)</f>
        <v>1</v>
      </c>
      <c r="O1836" s="123">
        <f t="shared" si="570"/>
        <v>0</v>
      </c>
      <c r="P1836" s="123">
        <f>+_xlfn.XLOOKUP(A1836,PPTO_GENERADOR!Q:Q,PPTO_GENERADOR!E:E,"-",0)</f>
        <v>9</v>
      </c>
      <c r="Q1836" s="123">
        <f t="shared" si="571"/>
        <v>0</v>
      </c>
      <c r="R1836" s="125">
        <f>+_xlfn.XLOOKUP(A1836,PPTO_GENERADOR!$Q:$Q,PPTO_GENERADOR!A:A,"-",0)</f>
        <v>3.08</v>
      </c>
    </row>
    <row r="1837" spans="1:18" ht="14.25" customHeight="1" x14ac:dyDescent="0.35">
      <c r="A1837" s="105" t="s">
        <v>78</v>
      </c>
      <c r="B1837" s="105" t="s">
        <v>1981</v>
      </c>
      <c r="C1837" s="105" t="s">
        <v>1982</v>
      </c>
      <c r="D1837" s="105" t="s">
        <v>1262</v>
      </c>
      <c r="E1837" s="95" t="str">
        <f>IFERROR(VLOOKUP(D1837,MATERIALES!A:B,2,FALSE()),"?")</f>
        <v>HORMIGON H30 (bombeado con superfluidos)</v>
      </c>
      <c r="F1837" s="129" t="str">
        <f>IFERROR(VLOOKUP(D1837,MATERIALES!A:C,3,FALSE()),"?")</f>
        <v>m3</v>
      </c>
      <c r="G1837" s="119">
        <v>1</v>
      </c>
      <c r="H1837" s="120">
        <v>0</v>
      </c>
      <c r="I1837" s="96">
        <f>IFERROR(VLOOKUP(D1837,MATERIALES!A:D,4,FALSE()),0)</f>
        <v>159547</v>
      </c>
      <c r="J1837" s="31">
        <f t="shared" si="572"/>
        <v>159547</v>
      </c>
      <c r="K1837" s="32" t="str">
        <f t="shared" si="573"/>
        <v>PTO-0031|MAT</v>
      </c>
      <c r="L1837" s="32">
        <f>COUNTIFS($K$2:K1837,K1837)</f>
        <v>2</v>
      </c>
      <c r="M1837" s="32" t="str">
        <f t="shared" si="569"/>
        <v>PTO-0031|MAT|2</v>
      </c>
      <c r="N1837" s="121">
        <f>IFERROR(VLOOKUP(A1837,PARTIDAS!A:F,6,FALSE()),0)</f>
        <v>1</v>
      </c>
      <c r="O1837" s="123">
        <f t="shared" si="570"/>
        <v>0</v>
      </c>
      <c r="P1837" s="123">
        <f>+_xlfn.XLOOKUP(A1837,PPTO_GENERADOR!Q:Q,PPTO_GENERADOR!E:E,"-",0)</f>
        <v>32</v>
      </c>
      <c r="Q1837" s="123">
        <f t="shared" si="571"/>
        <v>0</v>
      </c>
      <c r="R1837" s="125">
        <f>+_xlfn.XLOOKUP(A1837,PPTO_GENERADOR!$Q:$Q,PPTO_GENERADOR!A:A,"-",0)</f>
        <v>3.1</v>
      </c>
    </row>
    <row r="1838" spans="1:18" ht="14.25" customHeight="1" x14ac:dyDescent="0.35">
      <c r="A1838" s="105" t="s">
        <v>78</v>
      </c>
      <c r="B1838" s="105" t="s">
        <v>1981</v>
      </c>
      <c r="C1838" s="105" t="s">
        <v>1982</v>
      </c>
      <c r="D1838" s="105" t="s">
        <v>1268</v>
      </c>
      <c r="E1838" s="95" t="str">
        <f>IFERROR(VLOOKUP(D1838,MATERIALES!A:B,2,FALSE()),"?")</f>
        <v>ENCOFRADO — Columna</v>
      </c>
      <c r="F1838" s="129" t="str">
        <f>IFERROR(VLOOKUP(D1838,MATERIALES!A:C,3,FALSE()),"?")</f>
        <v>m3</v>
      </c>
      <c r="G1838" s="119">
        <v>1</v>
      </c>
      <c r="H1838" s="120">
        <v>0</v>
      </c>
      <c r="I1838" s="96">
        <f>IFERROR(VLOOKUP(D1838,MATERIALES!A:D,4,FALSE()),0)</f>
        <v>63529.0508149569</v>
      </c>
      <c r="J1838" s="31">
        <f t="shared" si="572"/>
        <v>63529.0508149569</v>
      </c>
      <c r="K1838" s="32" t="str">
        <f t="shared" si="573"/>
        <v>PTO-0031|MAT</v>
      </c>
      <c r="L1838" s="32">
        <f>COUNTIFS($K$2:K1838,K1838)</f>
        <v>3</v>
      </c>
      <c r="M1838" s="32" t="str">
        <f t="shared" si="569"/>
        <v>PTO-0031|MAT|3</v>
      </c>
      <c r="N1838" s="121">
        <f>IFERROR(VLOOKUP(A1838,PARTIDAS!A:F,6,FALSE()),0)</f>
        <v>1</v>
      </c>
      <c r="O1838" s="123">
        <f t="shared" si="570"/>
        <v>0</v>
      </c>
      <c r="P1838" s="123">
        <f>+_xlfn.XLOOKUP(A1838,PPTO_GENERADOR!Q:Q,PPTO_GENERADOR!E:E,"-",0)</f>
        <v>32</v>
      </c>
      <c r="Q1838" s="123">
        <f t="shared" si="571"/>
        <v>0</v>
      </c>
      <c r="R1838" s="125">
        <f>+_xlfn.XLOOKUP(A1838,PPTO_GENERADOR!$Q:$Q,PPTO_GENERADOR!A:A,"-",0)</f>
        <v>3.1</v>
      </c>
    </row>
    <row r="1839" spans="1:18" ht="14.25" customHeight="1" x14ac:dyDescent="0.35">
      <c r="A1839" s="105" t="s">
        <v>80</v>
      </c>
      <c r="B1839" s="105" t="s">
        <v>1981</v>
      </c>
      <c r="C1839" s="105" t="s">
        <v>1982</v>
      </c>
      <c r="D1839" s="105" t="s">
        <v>1262</v>
      </c>
      <c r="E1839" s="95" t="str">
        <f>IFERROR(VLOOKUP(D1839,MATERIALES!A:B,2,FALSE()),"?")</f>
        <v>HORMIGON H30 (bombeado con superfluidos)</v>
      </c>
      <c r="F1839" s="129" t="str">
        <f>IFERROR(VLOOKUP(D1839,MATERIALES!A:C,3,FALSE()),"?")</f>
        <v>m3</v>
      </c>
      <c r="G1839" s="119">
        <v>1</v>
      </c>
      <c r="H1839" s="120">
        <v>0</v>
      </c>
      <c r="I1839" s="96">
        <f>IFERROR(VLOOKUP(D1839,MATERIALES!A:D,4,FALSE()),0)</f>
        <v>159547</v>
      </c>
      <c r="J1839" s="31">
        <f t="shared" si="572"/>
        <v>159547</v>
      </c>
      <c r="K1839" s="32" t="str">
        <f t="shared" si="573"/>
        <v>PTO-0311|MAT</v>
      </c>
      <c r="L1839" s="32">
        <f>COUNTIFS($K$2:K1839,K1839)</f>
        <v>2</v>
      </c>
      <c r="M1839" s="32" t="str">
        <f t="shared" si="569"/>
        <v>PTO-0311|MAT|2</v>
      </c>
      <c r="N1839" s="121">
        <f>IFERROR(VLOOKUP(A1839,PARTIDAS!A:F,6,FALSE()),0)</f>
        <v>1</v>
      </c>
      <c r="O1839" s="123">
        <f t="shared" si="570"/>
        <v>0</v>
      </c>
      <c r="P1839" s="123">
        <f>+_xlfn.XLOOKUP(A1839,PPTO_GENERADOR!Q:Q,PPTO_GENERADOR!E:E,"-",0)</f>
        <v>30</v>
      </c>
      <c r="Q1839" s="123">
        <f t="shared" si="571"/>
        <v>0</v>
      </c>
      <c r="R1839" s="125">
        <f>+_xlfn.XLOOKUP(A1839,PPTO_GENERADOR!$Q:$Q,PPTO_GENERADOR!A:A,"-",0)</f>
        <v>3.11</v>
      </c>
    </row>
    <row r="1840" spans="1:18" ht="14.25" customHeight="1" x14ac:dyDescent="0.35">
      <c r="A1840" s="105" t="s">
        <v>80</v>
      </c>
      <c r="B1840" s="105" t="s">
        <v>1981</v>
      </c>
      <c r="C1840" s="105" t="s">
        <v>1982</v>
      </c>
      <c r="D1840" s="105" t="s">
        <v>1270</v>
      </c>
      <c r="E1840" s="95" t="str">
        <f>IFERROR(VLOOKUP(D1840,MATERIALES!A:B,2,FALSE()),"?")</f>
        <v>ENCOFRADO — Tabique</v>
      </c>
      <c r="F1840" s="129" t="str">
        <f>IFERROR(VLOOKUP(D1840,MATERIALES!A:C,3,FALSE()),"?")</f>
        <v>m3</v>
      </c>
      <c r="G1840" s="119">
        <v>1</v>
      </c>
      <c r="H1840" s="120">
        <v>0</v>
      </c>
      <c r="I1840" s="96">
        <f>IFERROR(VLOOKUP(D1840,MATERIALES!A:D,4,FALSE()),0)</f>
        <v>75374.885714285701</v>
      </c>
      <c r="J1840" s="31">
        <f t="shared" si="572"/>
        <v>75374.885714285701</v>
      </c>
      <c r="K1840" s="32" t="str">
        <f t="shared" si="573"/>
        <v>PTO-0311|MAT</v>
      </c>
      <c r="L1840" s="32">
        <f>COUNTIFS($K$2:K1840,K1840)</f>
        <v>3</v>
      </c>
      <c r="M1840" s="32" t="str">
        <f t="shared" si="569"/>
        <v>PTO-0311|MAT|3</v>
      </c>
      <c r="N1840" s="121">
        <f>IFERROR(VLOOKUP(A1840,PARTIDAS!A:F,6,FALSE()),0)</f>
        <v>1</v>
      </c>
      <c r="O1840" s="123">
        <f t="shared" si="570"/>
        <v>0</v>
      </c>
      <c r="P1840" s="123">
        <f>+_xlfn.XLOOKUP(A1840,PPTO_GENERADOR!Q:Q,PPTO_GENERADOR!E:E,"-",0)</f>
        <v>30</v>
      </c>
      <c r="Q1840" s="123">
        <f t="shared" si="571"/>
        <v>0</v>
      </c>
      <c r="R1840" s="125">
        <f>+_xlfn.XLOOKUP(A1840,PPTO_GENERADOR!$Q:$Q,PPTO_GENERADOR!A:A,"-",0)</f>
        <v>3.11</v>
      </c>
    </row>
    <row r="1841" spans="1:18" ht="14.25" customHeight="1" x14ac:dyDescent="0.35">
      <c r="A1841" s="105" t="s">
        <v>82</v>
      </c>
      <c r="B1841" s="105" t="s">
        <v>1981</v>
      </c>
      <c r="C1841" s="105" t="s">
        <v>1982</v>
      </c>
      <c r="D1841" s="105" t="s">
        <v>1262</v>
      </c>
      <c r="E1841" s="95" t="str">
        <f>IFERROR(VLOOKUP(D1841,MATERIALES!A:B,2,FALSE()),"?")</f>
        <v>HORMIGON H30 (bombeado con superfluidos)</v>
      </c>
      <c r="F1841" s="129" t="str">
        <f>IFERROR(VLOOKUP(D1841,MATERIALES!A:C,3,FALSE()),"?")</f>
        <v>m3</v>
      </c>
      <c r="G1841" s="119">
        <v>1</v>
      </c>
      <c r="H1841" s="120">
        <v>0</v>
      </c>
      <c r="I1841" s="96">
        <f>IFERROR(VLOOKUP(D1841,MATERIALES!A:D,4,FALSE()),0)</f>
        <v>159547</v>
      </c>
      <c r="J1841" s="31">
        <f t="shared" si="572"/>
        <v>159547</v>
      </c>
      <c r="K1841" s="32" t="str">
        <f t="shared" si="573"/>
        <v>PTO-0312|MAT</v>
      </c>
      <c r="L1841" s="32">
        <f>COUNTIFS($K$2:K1841,K1841)</f>
        <v>2</v>
      </c>
      <c r="M1841" s="32" t="str">
        <f t="shared" si="569"/>
        <v>PTO-0312|MAT|2</v>
      </c>
      <c r="N1841" s="121">
        <f>IFERROR(VLOOKUP(A1841,PARTIDAS!A:F,6,FALSE()),0)</f>
        <v>1</v>
      </c>
      <c r="O1841" s="123">
        <f t="shared" si="570"/>
        <v>0</v>
      </c>
      <c r="P1841" s="123">
        <f>+_xlfn.XLOOKUP(A1841,PPTO_GENERADOR!Q:Q,PPTO_GENERADOR!E:E,"-",0)</f>
        <v>7</v>
      </c>
      <c r="Q1841" s="123">
        <f t="shared" si="571"/>
        <v>0</v>
      </c>
      <c r="R1841" s="125">
        <f>+_xlfn.XLOOKUP(A1841,PPTO_GENERADOR!$Q:$Q,PPTO_GENERADOR!A:A,"-",0)</f>
        <v>3.12</v>
      </c>
    </row>
    <row r="1842" spans="1:18" ht="14.25" customHeight="1" x14ac:dyDescent="0.35">
      <c r="A1842" s="105" t="s">
        <v>82</v>
      </c>
      <c r="B1842" s="105" t="s">
        <v>1981</v>
      </c>
      <c r="C1842" s="105" t="s">
        <v>1982</v>
      </c>
      <c r="D1842" s="105" t="s">
        <v>1272</v>
      </c>
      <c r="E1842" s="95" t="str">
        <f>IFERROR(VLOOKUP(D1842,MATERIALES!A:B,2,FALSE()),"?")</f>
        <v>ENCOFRADO — Viga vista</v>
      </c>
      <c r="F1842" s="129" t="str">
        <f>IFERROR(VLOOKUP(D1842,MATERIALES!A:C,3,FALSE()),"?")</f>
        <v>m3</v>
      </c>
      <c r="G1842" s="119">
        <v>1</v>
      </c>
      <c r="H1842" s="120">
        <v>0</v>
      </c>
      <c r="I1842" s="96">
        <f>IFERROR(VLOOKUP(D1842,MATERIALES!A:D,4,FALSE()),0)</f>
        <v>94202.298519052696</v>
      </c>
      <c r="J1842" s="31">
        <f t="shared" si="572"/>
        <v>94202.298519052696</v>
      </c>
      <c r="K1842" s="32" t="str">
        <f t="shared" si="573"/>
        <v>PTO-0312|MAT</v>
      </c>
      <c r="L1842" s="32">
        <f>COUNTIFS($K$2:K1842,K1842)</f>
        <v>3</v>
      </c>
      <c r="M1842" s="32" t="str">
        <f t="shared" si="569"/>
        <v>PTO-0312|MAT|3</v>
      </c>
      <c r="N1842" s="121">
        <f>IFERROR(VLOOKUP(A1842,PARTIDAS!A:F,6,FALSE()),0)</f>
        <v>1</v>
      </c>
      <c r="O1842" s="123">
        <f t="shared" si="570"/>
        <v>0</v>
      </c>
      <c r="P1842" s="123">
        <f>+_xlfn.XLOOKUP(A1842,PPTO_GENERADOR!Q:Q,PPTO_GENERADOR!E:E,"-",0)</f>
        <v>7</v>
      </c>
      <c r="Q1842" s="123">
        <f t="shared" si="571"/>
        <v>0</v>
      </c>
      <c r="R1842" s="125">
        <f>+_xlfn.XLOOKUP(A1842,PPTO_GENERADOR!$Q:$Q,PPTO_GENERADOR!A:A,"-",0)</f>
        <v>3.12</v>
      </c>
    </row>
    <row r="1843" spans="1:18" ht="14.25" customHeight="1" x14ac:dyDescent="0.35">
      <c r="A1843" s="105" t="s">
        <v>84</v>
      </c>
      <c r="B1843" s="105" t="s">
        <v>1981</v>
      </c>
      <c r="C1843" s="105" t="s">
        <v>1982</v>
      </c>
      <c r="D1843" s="105" t="s">
        <v>1262</v>
      </c>
      <c r="E1843" s="95" t="str">
        <f>IFERROR(VLOOKUP(D1843,MATERIALES!A:B,2,FALSE()),"?")</f>
        <v>HORMIGON H30 (bombeado con superfluidos)</v>
      </c>
      <c r="F1843" s="129" t="str">
        <f>IFERROR(VLOOKUP(D1843,MATERIALES!A:C,3,FALSE()),"?")</f>
        <v>m3</v>
      </c>
      <c r="G1843" s="119">
        <v>1</v>
      </c>
      <c r="H1843" s="120">
        <v>0</v>
      </c>
      <c r="I1843" s="96">
        <f>IFERROR(VLOOKUP(D1843,MATERIALES!A:D,4,FALSE()),0)</f>
        <v>159547</v>
      </c>
      <c r="J1843" s="31">
        <f t="shared" si="572"/>
        <v>159547</v>
      </c>
      <c r="K1843" s="32" t="str">
        <f t="shared" si="573"/>
        <v>PTO-0313|MAT</v>
      </c>
      <c r="L1843" s="32">
        <f>COUNTIFS($K$2:K1843,K1843)</f>
        <v>2</v>
      </c>
      <c r="M1843" s="32" t="str">
        <f t="shared" si="569"/>
        <v>PTO-0313|MAT|2</v>
      </c>
      <c r="N1843" s="121">
        <f>IFERROR(VLOOKUP(A1843,PARTIDAS!A:F,6,FALSE()),0)</f>
        <v>1</v>
      </c>
      <c r="O1843" s="123">
        <f t="shared" si="570"/>
        <v>0</v>
      </c>
      <c r="P1843" s="123">
        <f>+_xlfn.XLOOKUP(A1843,PPTO_GENERADOR!Q:Q,PPTO_GENERADOR!E:E,"-",0)</f>
        <v>12</v>
      </c>
      <c r="Q1843" s="123">
        <f t="shared" si="571"/>
        <v>0</v>
      </c>
      <c r="R1843" s="125">
        <f>+_xlfn.XLOOKUP(A1843,PPTO_GENERADOR!$Q:$Q,PPTO_GENERADOR!A:A,"-",0)</f>
        <v>3.13</v>
      </c>
    </row>
    <row r="1844" spans="1:18" ht="14.25" customHeight="1" x14ac:dyDescent="0.35">
      <c r="A1844" s="105" t="s">
        <v>84</v>
      </c>
      <c r="B1844" s="105" t="s">
        <v>1981</v>
      </c>
      <c r="C1844" s="105" t="s">
        <v>1982</v>
      </c>
      <c r="D1844" s="105" t="s">
        <v>1274</v>
      </c>
      <c r="E1844" s="95" t="str">
        <f>IFERROR(VLOOKUP(D1844,MATERIALES!A:B,2,FALSE()),"?")</f>
        <v>ENCOFRADO — Viga</v>
      </c>
      <c r="F1844" s="129" t="str">
        <f>IFERROR(VLOOKUP(D1844,MATERIALES!A:C,3,FALSE()),"?")</f>
        <v>m3</v>
      </c>
      <c r="G1844" s="119">
        <v>1</v>
      </c>
      <c r="H1844" s="120">
        <v>0</v>
      </c>
      <c r="I1844" s="96">
        <f>IFERROR(VLOOKUP(D1844,MATERIALES!A:D,4,FALSE()),0)</f>
        <v>99862.508788750405</v>
      </c>
      <c r="J1844" s="31">
        <f t="shared" si="572"/>
        <v>99862.508788750405</v>
      </c>
      <c r="K1844" s="32" t="str">
        <f t="shared" si="573"/>
        <v>PTO-0313|MAT</v>
      </c>
      <c r="L1844" s="32">
        <f>COUNTIFS($K$2:K1844,K1844)</f>
        <v>3</v>
      </c>
      <c r="M1844" s="32" t="str">
        <f t="shared" si="569"/>
        <v>PTO-0313|MAT|3</v>
      </c>
      <c r="N1844" s="121">
        <f>IFERROR(VLOOKUP(A1844,PARTIDAS!A:F,6,FALSE()),0)</f>
        <v>1</v>
      </c>
      <c r="O1844" s="123">
        <f t="shared" si="570"/>
        <v>0</v>
      </c>
      <c r="P1844" s="123">
        <f>+_xlfn.XLOOKUP(A1844,PPTO_GENERADOR!Q:Q,PPTO_GENERADOR!E:E,"-",0)</f>
        <v>12</v>
      </c>
      <c r="Q1844" s="123">
        <f t="shared" si="571"/>
        <v>0</v>
      </c>
      <c r="R1844" s="125">
        <f>+_xlfn.XLOOKUP(A1844,PPTO_GENERADOR!$Q:$Q,PPTO_GENERADOR!A:A,"-",0)</f>
        <v>3.13</v>
      </c>
    </row>
    <row r="1845" spans="1:18" ht="14.25" customHeight="1" x14ac:dyDescent="0.35">
      <c r="A1845" s="105" t="s">
        <v>86</v>
      </c>
      <c r="B1845" s="105" t="s">
        <v>1981</v>
      </c>
      <c r="C1845" s="105" t="s">
        <v>1982</v>
      </c>
      <c r="D1845" s="105" t="s">
        <v>1262</v>
      </c>
      <c r="E1845" s="95" t="str">
        <f>IFERROR(VLOOKUP(D1845,MATERIALES!A:B,2,FALSE()),"?")</f>
        <v>HORMIGON H30 (bombeado con superfluidos)</v>
      </c>
      <c r="F1845" s="129" t="str">
        <f>IFERROR(VLOOKUP(D1845,MATERIALES!A:C,3,FALSE()),"?")</f>
        <v>m3</v>
      </c>
      <c r="G1845" s="119">
        <v>1</v>
      </c>
      <c r="H1845" s="120">
        <v>0</v>
      </c>
      <c r="I1845" s="96">
        <f>IFERROR(VLOOKUP(D1845,MATERIALES!A:D,4,FALSE()),0)</f>
        <v>159547</v>
      </c>
      <c r="J1845" s="31">
        <f t="shared" si="572"/>
        <v>159547</v>
      </c>
      <c r="K1845" s="32" t="str">
        <f t="shared" si="573"/>
        <v>PTO-0314|MAT</v>
      </c>
      <c r="L1845" s="32">
        <f>COUNTIFS($K$2:K1845,K1845)</f>
        <v>2</v>
      </c>
      <c r="M1845" s="32" t="str">
        <f t="shared" si="569"/>
        <v>PTO-0314|MAT|2</v>
      </c>
      <c r="N1845" s="121">
        <f>IFERROR(VLOOKUP(A1845,PARTIDAS!A:F,6,FALSE()),0)</f>
        <v>1</v>
      </c>
      <c r="O1845" s="123">
        <f t="shared" si="570"/>
        <v>0</v>
      </c>
      <c r="P1845" s="123">
        <f>+_xlfn.XLOOKUP(A1845,PPTO_GENERADOR!Q:Q,PPTO_GENERADOR!E:E,"-",0)</f>
        <v>41</v>
      </c>
      <c r="Q1845" s="123">
        <f t="shared" si="571"/>
        <v>0</v>
      </c>
      <c r="R1845" s="125">
        <f>+_xlfn.XLOOKUP(A1845,PPTO_GENERADOR!$Q:$Q,PPTO_GENERADOR!A:A,"-",0)</f>
        <v>3.14</v>
      </c>
    </row>
    <row r="1846" spans="1:18" ht="14.25" customHeight="1" x14ac:dyDescent="0.35">
      <c r="A1846" s="105" t="s">
        <v>86</v>
      </c>
      <c r="B1846" s="105" t="s">
        <v>1981</v>
      </c>
      <c r="C1846" s="105" t="s">
        <v>1982</v>
      </c>
      <c r="D1846" s="105" t="s">
        <v>1274</v>
      </c>
      <c r="E1846" s="95" t="str">
        <f>IFERROR(VLOOKUP(D1846,MATERIALES!A:B,2,FALSE()),"?")</f>
        <v>ENCOFRADO — Viga</v>
      </c>
      <c r="F1846" s="129" t="str">
        <f>IFERROR(VLOOKUP(D1846,MATERIALES!A:C,3,FALSE()),"?")</f>
        <v>m3</v>
      </c>
      <c r="G1846" s="119">
        <v>1</v>
      </c>
      <c r="H1846" s="120">
        <v>0</v>
      </c>
      <c r="I1846" s="96">
        <f>IFERROR(VLOOKUP(D1846,MATERIALES!A:D,4,FALSE()),0)</f>
        <v>99862.508788750405</v>
      </c>
      <c r="J1846" s="31">
        <f t="shared" si="572"/>
        <v>99862.508788750405</v>
      </c>
      <c r="K1846" s="32" t="str">
        <f t="shared" si="573"/>
        <v>PTO-0314|MAT</v>
      </c>
      <c r="L1846" s="32">
        <f>COUNTIFS($K$2:K1846,K1846)</f>
        <v>3</v>
      </c>
      <c r="M1846" s="32" t="str">
        <f t="shared" si="569"/>
        <v>PTO-0314|MAT|3</v>
      </c>
      <c r="N1846" s="121">
        <f>IFERROR(VLOOKUP(A1846,PARTIDAS!A:F,6,FALSE()),0)</f>
        <v>1</v>
      </c>
      <c r="O1846" s="123">
        <f t="shared" si="570"/>
        <v>0</v>
      </c>
      <c r="P1846" s="123">
        <f>+_xlfn.XLOOKUP(A1846,PPTO_GENERADOR!Q:Q,PPTO_GENERADOR!E:E,"-",0)</f>
        <v>41</v>
      </c>
      <c r="Q1846" s="123">
        <f t="shared" si="571"/>
        <v>0</v>
      </c>
      <c r="R1846" s="125">
        <f>+_xlfn.XLOOKUP(A1846,PPTO_GENERADOR!$Q:$Q,PPTO_GENERADOR!A:A,"-",0)</f>
        <v>3.14</v>
      </c>
    </row>
    <row r="1847" spans="1:18" ht="14.25" customHeight="1" x14ac:dyDescent="0.35">
      <c r="A1847" s="105" t="s">
        <v>88</v>
      </c>
      <c r="B1847" s="105" t="s">
        <v>1981</v>
      </c>
      <c r="C1847" s="105" t="s">
        <v>1982</v>
      </c>
      <c r="D1847" s="105" t="s">
        <v>1262</v>
      </c>
      <c r="E1847" s="95" t="str">
        <f>IFERROR(VLOOKUP(D1847,MATERIALES!A:B,2,FALSE()),"?")</f>
        <v>HORMIGON H30 (bombeado con superfluidos)</v>
      </c>
      <c r="F1847" s="129" t="str">
        <f>IFERROR(VLOOKUP(D1847,MATERIALES!A:C,3,FALSE()),"?")</f>
        <v>m3</v>
      </c>
      <c r="G1847" s="119">
        <v>1</v>
      </c>
      <c r="H1847" s="120">
        <v>0</v>
      </c>
      <c r="I1847" s="96">
        <f>IFERROR(VLOOKUP(D1847,MATERIALES!A:D,4,FALSE()),0)</f>
        <v>159547</v>
      </c>
      <c r="J1847" s="31">
        <f t="shared" si="572"/>
        <v>159547</v>
      </c>
      <c r="K1847" s="32" t="str">
        <f t="shared" si="573"/>
        <v>PTO-0315|MAT</v>
      </c>
      <c r="L1847" s="32">
        <f>COUNTIFS($K$2:K1847,K1847)</f>
        <v>2</v>
      </c>
      <c r="M1847" s="32" t="str">
        <f t="shared" si="569"/>
        <v>PTO-0315|MAT|2</v>
      </c>
      <c r="N1847" s="121">
        <f>IFERROR(VLOOKUP(A1847,PARTIDAS!A:F,6,FALSE()),0)</f>
        <v>1</v>
      </c>
      <c r="O1847" s="123">
        <f t="shared" si="570"/>
        <v>0</v>
      </c>
      <c r="P1847" s="123">
        <f>+_xlfn.XLOOKUP(A1847,PPTO_GENERADOR!Q:Q,PPTO_GENERADOR!E:E,"-",0)</f>
        <v>135</v>
      </c>
      <c r="Q1847" s="123">
        <f t="shared" si="571"/>
        <v>0</v>
      </c>
      <c r="R1847" s="125">
        <f>+_xlfn.XLOOKUP(A1847,PPTO_GENERADOR!$Q:$Q,PPTO_GENERADOR!A:A,"-",0)</f>
        <v>3.15</v>
      </c>
    </row>
    <row r="1848" spans="1:18" ht="14.25" customHeight="1" x14ac:dyDescent="0.35">
      <c r="A1848" s="105" t="s">
        <v>88</v>
      </c>
      <c r="B1848" s="105" t="s">
        <v>1981</v>
      </c>
      <c r="C1848" s="105" t="s">
        <v>1982</v>
      </c>
      <c r="D1848" s="105" t="s">
        <v>1276</v>
      </c>
      <c r="E1848" s="95" t="str">
        <f>IFERROR(VLOOKUP(D1848,MATERIALES!A:B,2,FALSE()),"?")</f>
        <v>ENCOFRADO — Losa</v>
      </c>
      <c r="F1848" s="129" t="str">
        <f>IFERROR(VLOOKUP(D1848,MATERIALES!A:C,3,FALSE()),"?")</f>
        <v>m3</v>
      </c>
      <c r="G1848" s="119">
        <v>1</v>
      </c>
      <c r="H1848" s="120">
        <v>0</v>
      </c>
      <c r="I1848" s="96">
        <f>IFERROR(VLOOKUP(D1848,MATERIALES!A:D,4,FALSE()),0)</f>
        <v>33676.222435282798</v>
      </c>
      <c r="J1848" s="31">
        <f t="shared" si="572"/>
        <v>33676.222435282798</v>
      </c>
      <c r="K1848" s="32" t="str">
        <f t="shared" si="573"/>
        <v>PTO-0315|MAT</v>
      </c>
      <c r="L1848" s="32">
        <f>COUNTIFS($K$2:K1848,K1848)</f>
        <v>3</v>
      </c>
      <c r="M1848" s="32" t="str">
        <f t="shared" si="569"/>
        <v>PTO-0315|MAT|3</v>
      </c>
      <c r="N1848" s="121">
        <f>IFERROR(VLOOKUP(A1848,PARTIDAS!A:F,6,FALSE()),0)</f>
        <v>1</v>
      </c>
      <c r="O1848" s="123">
        <f t="shared" si="570"/>
        <v>0</v>
      </c>
      <c r="P1848" s="123">
        <f>+_xlfn.XLOOKUP(A1848,PPTO_GENERADOR!Q:Q,PPTO_GENERADOR!E:E,"-",0)</f>
        <v>135</v>
      </c>
      <c r="Q1848" s="123">
        <f t="shared" si="571"/>
        <v>0</v>
      </c>
      <c r="R1848" s="125">
        <f>+_xlfn.XLOOKUP(A1848,PPTO_GENERADOR!$Q:$Q,PPTO_GENERADOR!A:A,"-",0)</f>
        <v>3.15</v>
      </c>
    </row>
    <row r="1849" spans="1:18" ht="14.25" customHeight="1" x14ac:dyDescent="0.35">
      <c r="A1849" s="105" t="s">
        <v>90</v>
      </c>
      <c r="B1849" s="105" t="s">
        <v>1981</v>
      </c>
      <c r="C1849" s="105" t="s">
        <v>1982</v>
      </c>
      <c r="D1849" s="105" t="s">
        <v>1262</v>
      </c>
      <c r="E1849" s="95" t="str">
        <f>IFERROR(VLOOKUP(D1849,MATERIALES!A:B,2,FALSE()),"?")</f>
        <v>HORMIGON H30 (bombeado con superfluidos)</v>
      </c>
      <c r="F1849" s="129" t="str">
        <f>IFERROR(VLOOKUP(D1849,MATERIALES!A:C,3,FALSE()),"?")</f>
        <v>m3</v>
      </c>
      <c r="G1849" s="119">
        <v>1</v>
      </c>
      <c r="H1849" s="120">
        <v>0</v>
      </c>
      <c r="I1849" s="96">
        <f>IFERROR(VLOOKUP(D1849,MATERIALES!A:D,4,FALSE()),0)</f>
        <v>159547</v>
      </c>
      <c r="J1849" s="31">
        <f t="shared" si="572"/>
        <v>159547</v>
      </c>
      <c r="K1849" s="32" t="str">
        <f t="shared" si="573"/>
        <v>PTO-0316|MAT</v>
      </c>
      <c r="L1849" s="32">
        <f>COUNTIFS($K$2:K1849,K1849)</f>
        <v>2</v>
      </c>
      <c r="M1849" s="32" t="str">
        <f t="shared" si="569"/>
        <v>PTO-0316|MAT|2</v>
      </c>
      <c r="N1849" s="121">
        <f>IFERROR(VLOOKUP(A1849,PARTIDAS!A:F,6,FALSE()),0)</f>
        <v>1</v>
      </c>
      <c r="O1849" s="123">
        <f t="shared" si="570"/>
        <v>0</v>
      </c>
      <c r="P1849" s="123">
        <f>+_xlfn.XLOOKUP(A1849,PPTO_GENERADOR!Q:Q,PPTO_GENERADOR!E:E,"-",0)</f>
        <v>13</v>
      </c>
      <c r="Q1849" s="123">
        <f t="shared" si="571"/>
        <v>0</v>
      </c>
      <c r="R1849" s="125">
        <f>+_xlfn.XLOOKUP(A1849,PPTO_GENERADOR!$Q:$Q,PPTO_GENERADOR!A:A,"-",0)</f>
        <v>3.16</v>
      </c>
    </row>
    <row r="1850" spans="1:18" ht="14.25" customHeight="1" x14ac:dyDescent="0.35">
      <c r="A1850" s="105" t="s">
        <v>90</v>
      </c>
      <c r="B1850" s="105" t="s">
        <v>1981</v>
      </c>
      <c r="C1850" s="105" t="s">
        <v>1982</v>
      </c>
      <c r="D1850" s="105" t="s">
        <v>1278</v>
      </c>
      <c r="E1850" s="95" t="str">
        <f>IFERROR(VLOOKUP(D1850,MATERIALES!A:B,2,FALSE()),"?")</f>
        <v>ENCOFRADO — Losa vista</v>
      </c>
      <c r="F1850" s="129" t="str">
        <f>IFERROR(VLOOKUP(D1850,MATERIALES!A:C,3,FALSE()),"?")</f>
        <v>m3</v>
      </c>
      <c r="G1850" s="119">
        <v>1</v>
      </c>
      <c r="H1850" s="120">
        <v>0</v>
      </c>
      <c r="I1850" s="96">
        <f>IFERROR(VLOOKUP(D1850,MATERIALES!A:D,4,FALSE()),0)</f>
        <v>40107.551722225297</v>
      </c>
      <c r="J1850" s="31">
        <f t="shared" si="572"/>
        <v>40107.551722225297</v>
      </c>
      <c r="K1850" s="32" t="str">
        <f t="shared" si="573"/>
        <v>PTO-0316|MAT</v>
      </c>
      <c r="L1850" s="32">
        <f>COUNTIFS($K$2:K1850,K1850)</f>
        <v>3</v>
      </c>
      <c r="M1850" s="32" t="str">
        <f t="shared" ref="M1850:M1865" si="574">K1850&amp;"|"&amp;L1850</f>
        <v>PTO-0316|MAT|3</v>
      </c>
      <c r="N1850" s="121">
        <f>IFERROR(VLOOKUP(A1850,PARTIDAS!A:F,6,FALSE()),0)</f>
        <v>1</v>
      </c>
      <c r="O1850" s="123">
        <f t="shared" si="570"/>
        <v>0</v>
      </c>
      <c r="P1850" s="123">
        <f>+_xlfn.XLOOKUP(A1850,PPTO_GENERADOR!Q:Q,PPTO_GENERADOR!E:E,"-",0)</f>
        <v>13</v>
      </c>
      <c r="Q1850" s="123">
        <f t="shared" si="571"/>
        <v>0</v>
      </c>
      <c r="R1850" s="125">
        <f>+_xlfn.XLOOKUP(A1850,PPTO_GENERADOR!$Q:$Q,PPTO_GENERADOR!A:A,"-",0)</f>
        <v>3.16</v>
      </c>
    </row>
    <row r="1851" spans="1:18" ht="14.25" customHeight="1" x14ac:dyDescent="0.35">
      <c r="A1851" s="105" t="s">
        <v>92</v>
      </c>
      <c r="B1851" s="105" t="s">
        <v>1981</v>
      </c>
      <c r="C1851" s="105" t="s">
        <v>1982</v>
      </c>
      <c r="D1851" s="105" t="s">
        <v>1262</v>
      </c>
      <c r="E1851" s="95" t="str">
        <f>IFERROR(VLOOKUP(D1851,MATERIALES!A:B,2,FALSE()),"?")</f>
        <v>HORMIGON H30 (bombeado con superfluidos)</v>
      </c>
      <c r="F1851" s="129" t="str">
        <f>IFERROR(VLOOKUP(D1851,MATERIALES!A:C,3,FALSE()),"?")</f>
        <v>m3</v>
      </c>
      <c r="G1851" s="119">
        <v>1</v>
      </c>
      <c r="H1851" s="120">
        <v>0</v>
      </c>
      <c r="I1851" s="96">
        <f>IFERROR(VLOOKUP(D1851,MATERIALES!A:D,4,FALSE()),0)</f>
        <v>159547</v>
      </c>
      <c r="J1851" s="31">
        <f t="shared" si="572"/>
        <v>159547</v>
      </c>
      <c r="K1851" s="32" t="str">
        <f t="shared" si="573"/>
        <v>PTO-0317|MAT</v>
      </c>
      <c r="L1851" s="32">
        <f>COUNTIFS($K$2:K1851,K1851)</f>
        <v>2</v>
      </c>
      <c r="M1851" s="32" t="str">
        <f t="shared" si="574"/>
        <v>PTO-0317|MAT|2</v>
      </c>
      <c r="N1851" s="121">
        <f>IFERROR(VLOOKUP(A1851,PARTIDAS!A:F,6,FALSE()),0)</f>
        <v>1</v>
      </c>
      <c r="O1851" s="123">
        <f t="shared" si="570"/>
        <v>0</v>
      </c>
      <c r="P1851" s="123">
        <f>+_xlfn.XLOOKUP(A1851,PPTO_GENERADOR!Q:Q,PPTO_GENERADOR!E:E,"-",0)</f>
        <v>14</v>
      </c>
      <c r="Q1851" s="123">
        <f t="shared" si="571"/>
        <v>0</v>
      </c>
      <c r="R1851" s="125">
        <f>+_xlfn.XLOOKUP(A1851,PPTO_GENERADOR!$Q:$Q,PPTO_GENERADOR!A:A,"-",0)</f>
        <v>3.17</v>
      </c>
    </row>
    <row r="1852" spans="1:18" ht="14.25" customHeight="1" x14ac:dyDescent="0.35">
      <c r="A1852" s="105" t="s">
        <v>92</v>
      </c>
      <c r="B1852" s="105" t="s">
        <v>1981</v>
      </c>
      <c r="C1852" s="105" t="s">
        <v>1982</v>
      </c>
      <c r="D1852" s="105" t="s">
        <v>1280</v>
      </c>
      <c r="E1852" s="95" t="str">
        <f>IFERROR(VLOOKUP(D1852,MATERIALES!A:B,2,FALSE()),"?")</f>
        <v>ENCOFRADO — Escalera</v>
      </c>
      <c r="F1852" s="129" t="str">
        <f>IFERROR(VLOOKUP(D1852,MATERIALES!A:C,3,FALSE()),"?")</f>
        <v>m3</v>
      </c>
      <c r="G1852" s="119">
        <v>1</v>
      </c>
      <c r="H1852" s="120">
        <v>0</v>
      </c>
      <c r="I1852" s="96">
        <f>IFERROR(VLOOKUP(D1852,MATERIALES!A:D,4,FALSE()),0)</f>
        <v>59263.2332885906</v>
      </c>
      <c r="J1852" s="31">
        <f t="shared" si="572"/>
        <v>59263.2332885906</v>
      </c>
      <c r="K1852" s="32" t="str">
        <f t="shared" si="573"/>
        <v>PTO-0317|MAT</v>
      </c>
      <c r="L1852" s="32">
        <f>COUNTIFS($K$2:K1852,K1852)</f>
        <v>3</v>
      </c>
      <c r="M1852" s="32" t="str">
        <f t="shared" si="574"/>
        <v>PTO-0317|MAT|3</v>
      </c>
      <c r="N1852" s="121">
        <f>IFERROR(VLOOKUP(A1852,PARTIDAS!A:F,6,FALSE()),0)</f>
        <v>1</v>
      </c>
      <c r="O1852" s="123">
        <f t="shared" si="570"/>
        <v>0</v>
      </c>
      <c r="P1852" s="123">
        <f>+_xlfn.XLOOKUP(A1852,PPTO_GENERADOR!Q:Q,PPTO_GENERADOR!E:E,"-",0)</f>
        <v>14</v>
      </c>
      <c r="Q1852" s="123">
        <f t="shared" si="571"/>
        <v>0</v>
      </c>
      <c r="R1852" s="125">
        <f>+_xlfn.XLOOKUP(A1852,PPTO_GENERADOR!$Q:$Q,PPTO_GENERADOR!A:A,"-",0)</f>
        <v>3.17</v>
      </c>
    </row>
    <row r="1853" spans="1:18" ht="14.25" customHeight="1" x14ac:dyDescent="0.35">
      <c r="A1853" s="105" t="s">
        <v>94</v>
      </c>
      <c r="B1853" s="105" t="s">
        <v>1981</v>
      </c>
      <c r="C1853" s="105" t="s">
        <v>1982</v>
      </c>
      <c r="D1853" s="105" t="s">
        <v>1262</v>
      </c>
      <c r="E1853" s="95" t="str">
        <f>IFERROR(VLOOKUP(D1853,MATERIALES!A:B,2,FALSE()),"?")</f>
        <v>HORMIGON H30 (bombeado con superfluidos)</v>
      </c>
      <c r="F1853" s="129" t="str">
        <f>IFERROR(VLOOKUP(D1853,MATERIALES!A:C,3,FALSE()),"?")</f>
        <v>m3</v>
      </c>
      <c r="G1853" s="119">
        <v>1</v>
      </c>
      <c r="H1853" s="120">
        <v>0</v>
      </c>
      <c r="I1853" s="96">
        <f>IFERROR(VLOOKUP(D1853,MATERIALES!A:D,4,FALSE()),0)</f>
        <v>159547</v>
      </c>
      <c r="J1853" s="31">
        <f t="shared" si="572"/>
        <v>159547</v>
      </c>
      <c r="K1853" s="32" t="str">
        <f t="shared" si="573"/>
        <v>PTO-0318|MAT</v>
      </c>
      <c r="L1853" s="32">
        <f>COUNTIFS($K$2:K1853,K1853)</f>
        <v>2</v>
      </c>
      <c r="M1853" s="32" t="str">
        <f t="shared" si="574"/>
        <v>PTO-0318|MAT|2</v>
      </c>
      <c r="N1853" s="121">
        <f>IFERROR(VLOOKUP(A1853,PARTIDAS!A:F,6,FALSE()),0)</f>
        <v>1</v>
      </c>
      <c r="O1853" s="123">
        <f t="shared" si="570"/>
        <v>0</v>
      </c>
      <c r="P1853" s="123">
        <f>+_xlfn.XLOOKUP(A1853,PPTO_GENERADOR!Q:Q,PPTO_GENERADOR!E:E,"-",0)</f>
        <v>2</v>
      </c>
      <c r="Q1853" s="123">
        <f t="shared" si="571"/>
        <v>0</v>
      </c>
      <c r="R1853" s="125">
        <f>+_xlfn.XLOOKUP(A1853,PPTO_GENERADOR!$Q:$Q,PPTO_GENERADOR!A:A,"-",0)</f>
        <v>3.18</v>
      </c>
    </row>
    <row r="1854" spans="1:18" ht="14.25" customHeight="1" x14ac:dyDescent="0.35">
      <c r="A1854" s="105" t="s">
        <v>94</v>
      </c>
      <c r="B1854" s="105" t="s">
        <v>1981</v>
      </c>
      <c r="C1854" s="105" t="s">
        <v>1982</v>
      </c>
      <c r="D1854" s="105" t="s">
        <v>1272</v>
      </c>
      <c r="E1854" s="95" t="str">
        <f>IFERROR(VLOOKUP(D1854,MATERIALES!A:B,2,FALSE()),"?")</f>
        <v>ENCOFRADO — Viga vista</v>
      </c>
      <c r="F1854" s="129" t="str">
        <f>IFERROR(VLOOKUP(D1854,MATERIALES!A:C,3,FALSE()),"?")</f>
        <v>m3</v>
      </c>
      <c r="G1854" s="119">
        <v>1</v>
      </c>
      <c r="H1854" s="120">
        <v>0</v>
      </c>
      <c r="I1854" s="96">
        <f>IFERROR(VLOOKUP(D1854,MATERIALES!A:D,4,FALSE()),0)</f>
        <v>94202.298519052696</v>
      </c>
      <c r="J1854" s="31">
        <f t="shared" si="572"/>
        <v>94202.298519052696</v>
      </c>
      <c r="K1854" s="32" t="str">
        <f t="shared" si="573"/>
        <v>PTO-0318|MAT</v>
      </c>
      <c r="L1854" s="32">
        <f>COUNTIFS($K$2:K1854,K1854)</f>
        <v>3</v>
      </c>
      <c r="M1854" s="32" t="str">
        <f t="shared" si="574"/>
        <v>PTO-0318|MAT|3</v>
      </c>
      <c r="N1854" s="121">
        <f>IFERROR(VLOOKUP(A1854,PARTIDAS!A:F,6,FALSE()),0)</f>
        <v>1</v>
      </c>
      <c r="O1854" s="123">
        <f t="shared" si="570"/>
        <v>0</v>
      </c>
      <c r="P1854" s="123">
        <f>+_xlfn.XLOOKUP(A1854,PPTO_GENERADOR!Q:Q,PPTO_GENERADOR!E:E,"-",0)</f>
        <v>2</v>
      </c>
      <c r="Q1854" s="123">
        <f t="shared" si="571"/>
        <v>0</v>
      </c>
      <c r="R1854" s="125">
        <f>+_xlfn.XLOOKUP(A1854,PPTO_GENERADOR!$Q:$Q,PPTO_GENERADOR!A:A,"-",0)</f>
        <v>3.18</v>
      </c>
    </row>
    <row r="1855" spans="1:18" ht="14.25" customHeight="1" x14ac:dyDescent="0.35">
      <c r="A1855" s="105" t="s">
        <v>174</v>
      </c>
      <c r="B1855" s="105" t="s">
        <v>1981</v>
      </c>
      <c r="C1855" s="105" t="s">
        <v>1984</v>
      </c>
      <c r="D1855" s="105" t="s">
        <v>542</v>
      </c>
      <c r="E1855" s="95" t="str">
        <f>IFERROR(VLOOKUP(D1855,MATERIALES!A:B,2,FALSE()),"?")</f>
        <v>Cal Comun x 25kg</v>
      </c>
      <c r="F1855" s="129">
        <f>IFERROR(VLOOKUP(D1855,MATERIALES!A:C,3,FALSE()),"?")</f>
        <v>0</v>
      </c>
      <c r="G1855" s="119">
        <v>3.24</v>
      </c>
      <c r="H1855" s="120">
        <v>0.1</v>
      </c>
      <c r="I1855" s="96">
        <f>IFERROR(VLOOKUP(D1855,MATERIALES!A:D,4,FALSE()),0)</f>
        <v>3927.28</v>
      </c>
      <c r="J1855" s="31">
        <f t="shared" si="572"/>
        <v>13996.825920000003</v>
      </c>
      <c r="K1855" s="32" t="str">
        <f t="shared" si="573"/>
        <v>PTO-0808|MAT</v>
      </c>
      <c r="L1855" s="32">
        <f>COUNTIFS($K$2:K1855,K1855)</f>
        <v>3</v>
      </c>
      <c r="M1855" s="32" t="str">
        <f t="shared" si="574"/>
        <v>PTO-0808|MAT|3</v>
      </c>
      <c r="N1855" s="121">
        <f>IFERROR(VLOOKUP(A1855,PARTIDAS!A:F,6,FALSE()),0)</f>
        <v>1</v>
      </c>
      <c r="O1855" s="123">
        <f t="shared" si="570"/>
        <v>0</v>
      </c>
      <c r="P1855" s="123">
        <f>+_xlfn.XLOOKUP(A1855,PPTO_GENERADOR!Q:Q,PPTO_GENERADOR!E:E,"-",0)</f>
        <v>1</v>
      </c>
      <c r="Q1855" s="123">
        <f t="shared" si="571"/>
        <v>0</v>
      </c>
      <c r="R1855" s="125">
        <f>+_xlfn.XLOOKUP(A1855,PPTO_GENERADOR!$Q:$Q,PPTO_GENERADOR!A:A,"-",0)</f>
        <v>8.08</v>
      </c>
    </row>
    <row r="1856" spans="1:18" ht="14.25" customHeight="1" x14ac:dyDescent="0.35">
      <c r="A1856" s="105" t="s">
        <v>174</v>
      </c>
      <c r="B1856" s="105" t="s">
        <v>1981</v>
      </c>
      <c r="C1856" s="105" t="s">
        <v>1984</v>
      </c>
      <c r="D1856" s="105" t="s">
        <v>1031</v>
      </c>
      <c r="E1856" s="95" t="str">
        <f>IFERROR(VLOOKUP(D1856,MATERIALES!A:B,2,FALSE()),"?")</f>
        <v>Cascote</v>
      </c>
      <c r="F1856" s="129" t="str">
        <f>IFERROR(VLOOKUP(D1856,MATERIALES!A:C,3,FALSE()),"?")</f>
        <v>m3</v>
      </c>
      <c r="G1856" s="119">
        <v>0.77</v>
      </c>
      <c r="H1856" s="120">
        <v>0.1</v>
      </c>
      <c r="I1856" s="96">
        <f>IFERROR(VLOOKUP(D1856,MATERIALES!A:D,4,FALSE()),0)</f>
        <v>34246.800000000003</v>
      </c>
      <c r="J1856" s="31">
        <f t="shared" si="572"/>
        <v>29007.039600000007</v>
      </c>
      <c r="K1856" s="32" t="str">
        <f t="shared" si="573"/>
        <v>PTO-0808|MAT</v>
      </c>
      <c r="L1856" s="32">
        <f>COUNTIFS($K$2:K1856,K1856)</f>
        <v>4</v>
      </c>
      <c r="M1856" s="32" t="str">
        <f t="shared" si="574"/>
        <v>PTO-0808|MAT|4</v>
      </c>
      <c r="N1856" s="121">
        <f>IFERROR(VLOOKUP(A1856,PARTIDAS!A:F,6,FALSE()),0)</f>
        <v>1</v>
      </c>
      <c r="O1856" s="123">
        <f t="shared" si="570"/>
        <v>0</v>
      </c>
      <c r="P1856" s="123">
        <f>+_xlfn.XLOOKUP(A1856,PPTO_GENERADOR!Q:Q,PPTO_GENERADOR!E:E,"-",0)</f>
        <v>1</v>
      </c>
      <c r="Q1856" s="123">
        <f t="shared" si="571"/>
        <v>0</v>
      </c>
      <c r="R1856" s="125">
        <f>+_xlfn.XLOOKUP(A1856,PPTO_GENERADOR!$Q:$Q,PPTO_GENERADOR!A:A,"-",0)</f>
        <v>8.08</v>
      </c>
    </row>
    <row r="1857" spans="1:18" ht="14.25" customHeight="1" x14ac:dyDescent="0.35">
      <c r="A1857" s="105" t="s">
        <v>1726</v>
      </c>
      <c r="B1857" s="105" t="s">
        <v>1981</v>
      </c>
      <c r="C1857" s="105" t="s">
        <v>1982</v>
      </c>
      <c r="D1857" s="105" t="s">
        <v>922</v>
      </c>
      <c r="E1857" s="95" t="str">
        <f>IFERROR(VLOOKUP(D1857,MATERIALES!A:B,2,FALSE()),"?")</f>
        <v>Rodillo de lana pelo largo N°22 - El Galgo</v>
      </c>
      <c r="F1857" s="129" t="str">
        <f>IFERROR(VLOOKUP(D1857,MATERIALES!A:C,3,FALSE()),"?")</f>
        <v>u</v>
      </c>
      <c r="G1857" s="119">
        <v>5.0000000000000001E-3</v>
      </c>
      <c r="H1857" s="120">
        <v>0.05</v>
      </c>
      <c r="I1857" s="96">
        <f>IFERROR(VLOOKUP(D1857,MATERIALES!A:D,4,FALSE()),0)</f>
        <v>6442.15</v>
      </c>
      <c r="J1857" s="31">
        <f t="shared" si="572"/>
        <v>33.821287499999997</v>
      </c>
      <c r="K1857" s="32" t="str">
        <f t="shared" si="573"/>
        <v>AIS-114|MAT</v>
      </c>
      <c r="L1857" s="32">
        <f>COUNTIFS($K$2:K1857,K1857)</f>
        <v>3</v>
      </c>
      <c r="M1857" s="32" t="str">
        <f t="shared" si="574"/>
        <v>AIS-114|MAT|3</v>
      </c>
      <c r="N1857" s="121">
        <f>IFERROR(VLOOKUP(A1857,PARTIDAS!A:F,6,FALSE()),0)</f>
        <v>60</v>
      </c>
      <c r="O1857" s="123">
        <f t="shared" si="570"/>
        <v>0</v>
      </c>
      <c r="P1857" s="123" t="str">
        <f>+_xlfn.XLOOKUP(A1857,PPTO_GENERADOR!Q:Q,PPTO_GENERADOR!E:E,"-",0)</f>
        <v>-</v>
      </c>
      <c r="Q1857" s="123">
        <f t="shared" si="571"/>
        <v>0</v>
      </c>
      <c r="R1857" s="125" t="str">
        <f>+_xlfn.XLOOKUP(A1857,PPTO_GENERADOR!$Q:$Q,PPTO_GENERADOR!A:A,"-",0)</f>
        <v>-</v>
      </c>
    </row>
    <row r="1858" spans="1:18" ht="14.25" customHeight="1" x14ac:dyDescent="0.35">
      <c r="A1858" s="105" t="s">
        <v>1726</v>
      </c>
      <c r="B1858" s="105" t="s">
        <v>1981</v>
      </c>
      <c r="C1858" s="105" t="s">
        <v>1982</v>
      </c>
      <c r="D1858" s="105" t="s">
        <v>1007</v>
      </c>
      <c r="E1858" s="95" t="str">
        <f>IFERROR(VLOOKUP(D1858,MATERIALES!A:B,2,FALSE()),"?")</f>
        <v>Pincel N° 20 - El Galgo</v>
      </c>
      <c r="F1858" s="129" t="str">
        <f>IFERROR(VLOOKUP(D1858,MATERIALES!A:C,3,FALSE()),"?")</f>
        <v>u</v>
      </c>
      <c r="G1858" s="119">
        <v>0.01</v>
      </c>
      <c r="H1858" s="120">
        <v>0.05</v>
      </c>
      <c r="I1858" s="96">
        <f>IFERROR(VLOOKUP(D1858,MATERIALES!A:D,4,FALSE()),0)</f>
        <v>4418.1818181818198</v>
      </c>
      <c r="J1858" s="31">
        <f t="shared" si="572"/>
        <v>46.390909090909112</v>
      </c>
      <c r="K1858" s="32" t="str">
        <f t="shared" si="573"/>
        <v>AIS-114|MAT</v>
      </c>
      <c r="L1858" s="32">
        <f>COUNTIFS($K$2:K1858,K1858)</f>
        <v>4</v>
      </c>
      <c r="M1858" s="32" t="str">
        <f t="shared" si="574"/>
        <v>AIS-114|MAT|4</v>
      </c>
      <c r="N1858" s="121">
        <f>IFERROR(VLOOKUP(A1858,PARTIDAS!A:F,6,FALSE()),0)</f>
        <v>60</v>
      </c>
      <c r="O1858" s="123">
        <f t="shared" si="570"/>
        <v>0</v>
      </c>
      <c r="P1858" s="123" t="str">
        <f>+_xlfn.XLOOKUP(A1858,PPTO_GENERADOR!Q:Q,PPTO_GENERADOR!E:E,"-",0)</f>
        <v>-</v>
      </c>
      <c r="Q1858" s="123">
        <f t="shared" si="571"/>
        <v>0</v>
      </c>
      <c r="R1858" s="125" t="str">
        <f>+_xlfn.XLOOKUP(A1858,PPTO_GENERADOR!$Q:$Q,PPTO_GENERADOR!A:A,"-",0)</f>
        <v>-</v>
      </c>
    </row>
    <row r="1859" spans="1:18" ht="14.25" customHeight="1" x14ac:dyDescent="0.35">
      <c r="A1859" s="105" t="s">
        <v>1726</v>
      </c>
      <c r="B1859" s="105" t="s">
        <v>1981</v>
      </c>
      <c r="C1859" s="105" t="s">
        <v>1982</v>
      </c>
      <c r="D1859" s="105" t="s">
        <v>593</v>
      </c>
      <c r="E1859" s="95" t="str">
        <f>IFERROR(VLOOKUP(D1859,MATERIALES!A:B,2,FALSE()),"?")</f>
        <v>Aguarras Hydrarras Hydra x 18lts</v>
      </c>
      <c r="F1859" s="129">
        <f>IFERROR(VLOOKUP(D1859,MATERIALES!A:C,3,FALSE()),"?")</f>
        <v>0</v>
      </c>
      <c r="G1859" s="119">
        <v>5.0000000000000001E-3</v>
      </c>
      <c r="H1859" s="120">
        <v>0.05</v>
      </c>
      <c r="I1859" s="96">
        <f>IFERROR(VLOOKUP(D1859,MATERIALES!A:D,4,FALSE()),0)</f>
        <v>58016.528925619801</v>
      </c>
      <c r="J1859" s="31">
        <f t="shared" si="572"/>
        <v>304.58677685950397</v>
      </c>
      <c r="K1859" s="32" t="str">
        <f t="shared" si="573"/>
        <v>AIS-114|MAT</v>
      </c>
      <c r="L1859" s="32">
        <f>COUNTIFS($K$2:K1859,K1859)</f>
        <v>5</v>
      </c>
      <c r="M1859" s="32" t="str">
        <f t="shared" si="574"/>
        <v>AIS-114|MAT|5</v>
      </c>
      <c r="N1859" s="121">
        <f>IFERROR(VLOOKUP(A1859,PARTIDAS!A:F,6,FALSE()),0)</f>
        <v>60</v>
      </c>
      <c r="O1859" s="123">
        <f t="shared" ref="O1859:O1865" si="575">+IF(C1859="ALB",G1859/N1859,0)</f>
        <v>0</v>
      </c>
      <c r="P1859" s="123" t="str">
        <f>+_xlfn.XLOOKUP(A1859,PPTO_GENERADOR!Q:Q,PPTO_GENERADOR!E:E,"-",0)</f>
        <v>-</v>
      </c>
      <c r="Q1859" s="123">
        <f t="shared" ref="Q1859:Q1865" si="576">IFERROR(P1859*O1859,0)</f>
        <v>0</v>
      </c>
      <c r="R1859" s="125" t="str">
        <f>+_xlfn.XLOOKUP(A1859,PPTO_GENERADOR!$Q:$Q,PPTO_GENERADOR!A:A,"-",0)</f>
        <v>-</v>
      </c>
    </row>
    <row r="1860" spans="1:18" ht="14.25" customHeight="1" x14ac:dyDescent="0.35">
      <c r="A1860" s="105" t="s">
        <v>1726</v>
      </c>
      <c r="B1860" s="105" t="s">
        <v>1981</v>
      </c>
      <c r="C1860" s="105" t="s">
        <v>1982</v>
      </c>
      <c r="D1860" s="105" t="s">
        <v>586</v>
      </c>
      <c r="E1860" s="95" t="str">
        <f>IFERROR(VLOOKUP(D1860,MATERIALES!A:B,2,FALSE()),"?")</f>
        <v>Trapo</v>
      </c>
      <c r="F1860" s="129">
        <f>IFERROR(VLOOKUP(D1860,MATERIALES!A:C,3,FALSE()),"?")</f>
        <v>0</v>
      </c>
      <c r="G1860" s="119">
        <v>0.01</v>
      </c>
      <c r="H1860" s="120">
        <v>0.05</v>
      </c>
      <c r="I1860" s="96">
        <f>IFERROR(VLOOKUP(D1860,MATERIALES!A:D,4,FALSE()),0)</f>
        <v>1182.6446280991699</v>
      </c>
      <c r="J1860" s="31">
        <f t="shared" si="572"/>
        <v>12.417768595041286</v>
      </c>
      <c r="K1860" s="32" t="str">
        <f t="shared" si="573"/>
        <v>AIS-114|MAT</v>
      </c>
      <c r="L1860" s="32">
        <f>COUNTIFS($K$2:K1860,K1860)</f>
        <v>6</v>
      </c>
      <c r="M1860" s="32" t="str">
        <f t="shared" si="574"/>
        <v>AIS-114|MAT|6</v>
      </c>
      <c r="N1860" s="121">
        <f>IFERROR(VLOOKUP(A1860,PARTIDAS!A:F,6,FALSE()),0)</f>
        <v>60</v>
      </c>
      <c r="O1860" s="123">
        <f t="shared" si="575"/>
        <v>0</v>
      </c>
      <c r="P1860" s="123" t="str">
        <f>+_xlfn.XLOOKUP(A1860,PPTO_GENERADOR!Q:Q,PPTO_GENERADOR!E:E,"-",0)</f>
        <v>-</v>
      </c>
      <c r="Q1860" s="123">
        <f t="shared" si="576"/>
        <v>0</v>
      </c>
      <c r="R1860" s="125" t="str">
        <f>+_xlfn.XLOOKUP(A1860,PPTO_GENERADOR!$Q:$Q,PPTO_GENERADOR!A:A,"-",0)</f>
        <v>-</v>
      </c>
    </row>
    <row r="1861" spans="1:18" ht="14.25" customHeight="1" x14ac:dyDescent="0.35">
      <c r="A1861" s="105" t="s">
        <v>1726</v>
      </c>
      <c r="B1861" s="105" t="s">
        <v>1981</v>
      </c>
      <c r="C1861" s="105" t="s">
        <v>1982</v>
      </c>
      <c r="D1861" s="105" t="s">
        <v>1009</v>
      </c>
      <c r="E1861" s="95" t="str">
        <f>IFERROR(VLOOKUP(D1861,MATERIALES!A:B,2,FALSE()),"?")</f>
        <v>Guante vaqueta medio paseo</v>
      </c>
      <c r="F1861" s="129" t="str">
        <f>IFERROR(VLOOKUP(D1861,MATERIALES!A:C,3,FALSE()),"?")</f>
        <v>u</v>
      </c>
      <c r="G1861" s="119">
        <v>0.03</v>
      </c>
      <c r="H1861" s="120">
        <v>0.05</v>
      </c>
      <c r="I1861" s="96">
        <f>IFERROR(VLOOKUP(D1861,MATERIALES!A:D,4,FALSE()),0)</f>
        <v>3600</v>
      </c>
      <c r="J1861" s="31">
        <f t="shared" si="572"/>
        <v>113.4</v>
      </c>
      <c r="K1861" s="32" t="str">
        <f t="shared" si="573"/>
        <v>AIS-114|MAT</v>
      </c>
      <c r="L1861" s="32">
        <f>COUNTIFS($K$2:K1861,K1861)</f>
        <v>7</v>
      </c>
      <c r="M1861" s="32" t="str">
        <f t="shared" si="574"/>
        <v>AIS-114|MAT|7</v>
      </c>
      <c r="N1861" s="121">
        <f>IFERROR(VLOOKUP(A1861,PARTIDAS!A:F,6,FALSE()),0)</f>
        <v>60</v>
      </c>
      <c r="O1861" s="123">
        <f t="shared" si="575"/>
        <v>0</v>
      </c>
      <c r="P1861" s="123" t="str">
        <f>+_xlfn.XLOOKUP(A1861,PPTO_GENERADOR!Q:Q,PPTO_GENERADOR!E:E,"-",0)</f>
        <v>-</v>
      </c>
      <c r="Q1861" s="123">
        <f t="shared" si="576"/>
        <v>0</v>
      </c>
      <c r="R1861" s="125" t="str">
        <f>+_xlfn.XLOOKUP(A1861,PPTO_GENERADOR!$Q:$Q,PPTO_GENERADOR!A:A,"-",0)</f>
        <v>-</v>
      </c>
    </row>
    <row r="1862" spans="1:18" ht="14.25" customHeight="1" x14ac:dyDescent="0.35">
      <c r="A1862" s="105" t="s">
        <v>1726</v>
      </c>
      <c r="B1862" s="105" t="s">
        <v>1981</v>
      </c>
      <c r="C1862" s="105" t="s">
        <v>1982</v>
      </c>
      <c r="D1862" s="105" t="s">
        <v>1011</v>
      </c>
      <c r="E1862" s="95" t="str">
        <f>IFERROR(VLOOKUP(D1862,MATERIALES!A:B,2,FALSE()),"?")</f>
        <v>Recarga de garrafa</v>
      </c>
      <c r="F1862" s="129" t="str">
        <f>IFERROR(VLOOKUP(D1862,MATERIALES!A:C,3,FALSE()),"?")</f>
        <v>u</v>
      </c>
      <c r="G1862" s="119">
        <v>0.01</v>
      </c>
      <c r="H1862" s="120">
        <v>0.05</v>
      </c>
      <c r="I1862" s="96">
        <f>IFERROR(VLOOKUP(D1862,MATERIALES!A:D,4,FALSE()),0)</f>
        <v>15000</v>
      </c>
      <c r="J1862" s="31">
        <f t="shared" si="572"/>
        <v>157.5</v>
      </c>
      <c r="K1862" s="32" t="str">
        <f t="shared" si="573"/>
        <v>AIS-114|MAT</v>
      </c>
      <c r="L1862" s="32">
        <f>COUNTIFS($K$2:K1862,K1862)</f>
        <v>8</v>
      </c>
      <c r="M1862" s="32" t="str">
        <f t="shared" si="574"/>
        <v>AIS-114|MAT|8</v>
      </c>
      <c r="N1862" s="121">
        <f>IFERROR(VLOOKUP(A1862,PARTIDAS!A:F,6,FALSE()),0)</f>
        <v>60</v>
      </c>
      <c r="O1862" s="123">
        <f t="shared" si="575"/>
        <v>0</v>
      </c>
      <c r="P1862" s="123" t="str">
        <f>+_xlfn.XLOOKUP(A1862,PPTO_GENERADOR!Q:Q,PPTO_GENERADOR!E:E,"-",0)</f>
        <v>-</v>
      </c>
      <c r="Q1862" s="123">
        <f t="shared" si="576"/>
        <v>0</v>
      </c>
      <c r="R1862" s="125" t="str">
        <f>+_xlfn.XLOOKUP(A1862,PPTO_GENERADOR!$Q:$Q,PPTO_GENERADOR!A:A,"-",0)</f>
        <v>-</v>
      </c>
    </row>
    <row r="1863" spans="1:18" ht="14.25" customHeight="1" x14ac:dyDescent="0.35">
      <c r="A1863" s="105" t="s">
        <v>1910</v>
      </c>
      <c r="B1863" s="105" t="s">
        <v>1981</v>
      </c>
      <c r="C1863" s="105" t="s">
        <v>1982</v>
      </c>
      <c r="D1863" s="105" t="s">
        <v>922</v>
      </c>
      <c r="E1863" s="95" t="str">
        <f>IFERROR(VLOOKUP(D1863,MATERIALES!A:B,2,FALSE()),"?")</f>
        <v>Rodillo de lana pelo largo N°22 - El Galgo</v>
      </c>
      <c r="F1863" s="129" t="str">
        <f>IFERROR(VLOOKUP(D1863,MATERIALES!A:C,3,FALSE()),"?")</f>
        <v>u</v>
      </c>
      <c r="G1863" s="119">
        <v>0.01</v>
      </c>
      <c r="H1863" s="120">
        <v>0.05</v>
      </c>
      <c r="I1863" s="96">
        <f>IFERROR(VLOOKUP(D1863,MATERIALES!A:D,4,FALSE()),0)</f>
        <v>6442.15</v>
      </c>
      <c r="J1863" s="31">
        <f t="shared" si="572"/>
        <v>67.642574999999994</v>
      </c>
      <c r="K1863" s="32" t="str">
        <f t="shared" si="573"/>
        <v>CUB-071|MAT</v>
      </c>
      <c r="L1863" s="32">
        <f>COUNTIFS($K$2:K1863,K1863)</f>
        <v>4</v>
      </c>
      <c r="M1863" s="32" t="str">
        <f t="shared" si="574"/>
        <v>CUB-071|MAT|4</v>
      </c>
      <c r="N1863" s="121">
        <f>IFERROR(VLOOKUP(A1863,PARTIDAS!A:F,6,FALSE()),0)</f>
        <v>50</v>
      </c>
      <c r="O1863" s="123">
        <f t="shared" si="575"/>
        <v>0</v>
      </c>
      <c r="P1863" s="123" t="str">
        <f>+_xlfn.XLOOKUP(A1863,PPTO_GENERADOR!Q:Q,PPTO_GENERADOR!E:E,"-",0)</f>
        <v>-</v>
      </c>
      <c r="Q1863" s="123">
        <f t="shared" si="576"/>
        <v>0</v>
      </c>
      <c r="R1863" s="125" t="str">
        <f>+_xlfn.XLOOKUP(A1863,PPTO_GENERADOR!$Q:$Q,PPTO_GENERADOR!A:A,"-",0)</f>
        <v>-</v>
      </c>
    </row>
    <row r="1864" spans="1:18" ht="14.25" customHeight="1" x14ac:dyDescent="0.35">
      <c r="A1864" s="105" t="s">
        <v>1910</v>
      </c>
      <c r="B1864" s="105" t="s">
        <v>1981</v>
      </c>
      <c r="C1864" s="105" t="s">
        <v>1982</v>
      </c>
      <c r="D1864" s="105" t="s">
        <v>1007</v>
      </c>
      <c r="E1864" s="95" t="str">
        <f>IFERROR(VLOOKUP(D1864,MATERIALES!A:B,2,FALSE()),"?")</f>
        <v>Pincel N° 20 - El Galgo</v>
      </c>
      <c r="F1864" s="129" t="str">
        <f>IFERROR(VLOOKUP(D1864,MATERIALES!A:C,3,FALSE()),"?")</f>
        <v>u</v>
      </c>
      <c r="G1864" s="119">
        <v>0.01</v>
      </c>
      <c r="H1864" s="120">
        <v>0.05</v>
      </c>
      <c r="I1864" s="96">
        <f>IFERROR(VLOOKUP(D1864,MATERIALES!A:D,4,FALSE()),0)</f>
        <v>4418.1818181818198</v>
      </c>
      <c r="J1864" s="31">
        <f t="shared" si="572"/>
        <v>46.390909090909112</v>
      </c>
      <c r="K1864" s="32" t="str">
        <f t="shared" si="573"/>
        <v>CUB-071|MAT</v>
      </c>
      <c r="L1864" s="32">
        <f>COUNTIFS($K$2:K1864,K1864)</f>
        <v>5</v>
      </c>
      <c r="M1864" s="32" t="str">
        <f t="shared" si="574"/>
        <v>CUB-071|MAT|5</v>
      </c>
      <c r="N1864" s="121">
        <f>IFERROR(VLOOKUP(A1864,PARTIDAS!A:F,6,FALSE()),0)</f>
        <v>50</v>
      </c>
      <c r="O1864" s="123">
        <f t="shared" si="575"/>
        <v>0</v>
      </c>
      <c r="P1864" s="123" t="str">
        <f>+_xlfn.XLOOKUP(A1864,PPTO_GENERADOR!Q:Q,PPTO_GENERADOR!E:E,"-",0)</f>
        <v>-</v>
      </c>
      <c r="Q1864" s="123">
        <f t="shared" si="576"/>
        <v>0</v>
      </c>
      <c r="R1864" s="125" t="str">
        <f>+_xlfn.XLOOKUP(A1864,PPTO_GENERADOR!$Q:$Q,PPTO_GENERADOR!A:A,"-",0)</f>
        <v>-</v>
      </c>
    </row>
    <row r="1865" spans="1:18" ht="14.25" customHeight="1" x14ac:dyDescent="0.35">
      <c r="A1865" s="105" t="s">
        <v>1910</v>
      </c>
      <c r="B1865" s="105" t="s">
        <v>1981</v>
      </c>
      <c r="C1865" s="105" t="s">
        <v>1982</v>
      </c>
      <c r="D1865" s="105" t="s">
        <v>586</v>
      </c>
      <c r="E1865" s="95" t="str">
        <f>IFERROR(VLOOKUP(D1865,MATERIALES!A:B,2,FALSE()),"?")</f>
        <v>Trapo</v>
      </c>
      <c r="F1865" s="129">
        <f>IFERROR(VLOOKUP(D1865,MATERIALES!A:C,3,FALSE()),"?")</f>
        <v>0</v>
      </c>
      <c r="G1865" s="119">
        <v>0.01</v>
      </c>
      <c r="H1865" s="120">
        <v>0.05</v>
      </c>
      <c r="I1865" s="96">
        <f>IFERROR(VLOOKUP(D1865,MATERIALES!A:D,4,FALSE()),0)</f>
        <v>1182.6446280991699</v>
      </c>
      <c r="J1865" s="31">
        <f t="shared" si="572"/>
        <v>12.417768595041286</v>
      </c>
      <c r="K1865" s="32" t="str">
        <f t="shared" si="573"/>
        <v>CUB-071|MAT</v>
      </c>
      <c r="L1865" s="32">
        <f>COUNTIFS($K$2:K1865,K1865)</f>
        <v>6</v>
      </c>
      <c r="M1865" s="32" t="str">
        <f t="shared" si="574"/>
        <v>CUB-071|MAT|6</v>
      </c>
      <c r="N1865" s="121">
        <f>IFERROR(VLOOKUP(A1865,PARTIDAS!A:F,6,FALSE()),0)</f>
        <v>50</v>
      </c>
      <c r="O1865" s="123">
        <f t="shared" si="575"/>
        <v>0</v>
      </c>
      <c r="P1865" s="123" t="str">
        <f>+_xlfn.XLOOKUP(A1865,PPTO_GENERADOR!Q:Q,PPTO_GENERADOR!E:E,"-",0)</f>
        <v>-</v>
      </c>
      <c r="Q1865" s="123">
        <f t="shared" si="576"/>
        <v>0</v>
      </c>
      <c r="R1865" s="125" t="str">
        <f>+_xlfn.XLOOKUP(A1865,PPTO_GENERADOR!$Q:$Q,PPTO_GENERADOR!A:A,"-",0)</f>
        <v>-</v>
      </c>
    </row>
  </sheetData>
  <autoFilter ref="A1:R1865" xr:uid="{00000000-0001-0000-0600-000000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V277"/>
  <sheetViews>
    <sheetView zoomScaleNormal="100" workbookViewId="0">
      <pane xSplit="4" ySplit="1" topLeftCell="E91" activePane="bottomRight" state="frozen"/>
      <selection pane="topRight"/>
      <selection pane="bottomLeft"/>
      <selection pane="bottomRight" activeCell="A91" sqref="A91"/>
    </sheetView>
  </sheetViews>
  <sheetFormatPr defaultColWidth="8.6328125" defaultRowHeight="14.5" x14ac:dyDescent="0.35"/>
  <cols>
    <col min="1" max="1" width="8.6328125" style="27"/>
    <col min="2" max="2" width="4.26953125" style="27" customWidth="1"/>
    <col min="3" max="3" width="9.08984375" style="27" customWidth="1"/>
    <col min="4" max="4" width="32.1796875" style="27" customWidth="1"/>
    <col min="5" max="6" width="6" style="104" customWidth="1"/>
    <col min="7" max="7" width="8" style="104" customWidth="1"/>
    <col min="8" max="8" width="10" style="104" customWidth="1"/>
    <col min="9" max="9" width="8" style="104" customWidth="1"/>
    <col min="10" max="16" width="14" style="97" customWidth="1"/>
    <col min="17" max="17" width="8" style="27" customWidth="1"/>
    <col min="18" max="18" width="4" style="27" customWidth="1"/>
    <col min="19" max="19" width="18" style="27" customWidth="1"/>
    <col min="20" max="22" width="14" style="27" customWidth="1"/>
    <col min="23" max="16384" width="8.6328125" style="27"/>
  </cols>
  <sheetData>
    <row r="1" spans="1:22" ht="14.25" customHeight="1" x14ac:dyDescent="0.35">
      <c r="A1" s="7" t="s">
        <v>529</v>
      </c>
      <c r="B1" s="7" t="s">
        <v>1698</v>
      </c>
      <c r="C1" s="7" t="s">
        <v>5</v>
      </c>
      <c r="D1" s="7" t="s">
        <v>6</v>
      </c>
      <c r="E1" s="7" t="s">
        <v>7</v>
      </c>
      <c r="F1" s="7" t="s">
        <v>1699</v>
      </c>
      <c r="G1" s="7" t="s">
        <v>1700</v>
      </c>
      <c r="H1" s="7" t="s">
        <v>1701</v>
      </c>
      <c r="I1" s="7" t="s">
        <v>1702</v>
      </c>
      <c r="J1" s="10" t="s">
        <v>1703</v>
      </c>
      <c r="K1" s="10" t="s">
        <v>1704</v>
      </c>
      <c r="L1" s="10" t="s">
        <v>1705</v>
      </c>
      <c r="M1" s="10" t="s">
        <v>9</v>
      </c>
      <c r="N1" s="10" t="s">
        <v>10</v>
      </c>
      <c r="O1" s="10" t="s">
        <v>11</v>
      </c>
      <c r="P1" s="10" t="s">
        <v>12</v>
      </c>
      <c r="Q1" s="7" t="s">
        <v>1706</v>
      </c>
      <c r="R1" s="7"/>
      <c r="S1" s="7" t="s">
        <v>20</v>
      </c>
      <c r="T1" s="7" t="s">
        <v>1707</v>
      </c>
      <c r="U1" s="7" t="s">
        <v>1708</v>
      </c>
      <c r="V1" s="7" t="s">
        <v>1709</v>
      </c>
    </row>
    <row r="2" spans="1:22" ht="14.25" hidden="1" customHeight="1" x14ac:dyDescent="0.35">
      <c r="A2" s="12" t="s">
        <v>1710</v>
      </c>
      <c r="B2" s="12" t="s">
        <v>1711</v>
      </c>
      <c r="C2" s="12" t="s">
        <v>1712</v>
      </c>
      <c r="D2" s="12" t="s">
        <v>1713</v>
      </c>
      <c r="E2" s="14" t="s">
        <v>53</v>
      </c>
      <c r="F2" s="14">
        <v>1</v>
      </c>
      <c r="G2" s="14">
        <v>0</v>
      </c>
      <c r="H2" s="14">
        <v>0</v>
      </c>
      <c r="I2" s="14">
        <v>1</v>
      </c>
      <c r="J2" s="100">
        <f>SUMIFS(COMPOSICIÓN!J$2:J$1892,COMPOSICIÓN!A$2:A$1892,A2,COMPOSICIÓN!B$2:B$1892,"MAT")</f>
        <v>0</v>
      </c>
      <c r="K2" s="100">
        <f>SUMIFS(COMPOSICIÓN!J$2:J$1892,COMPOSICIÓN!A$2:A$1892,A2,COMPOSICIÓN!B$2:B$1892,"MO")*I2</f>
        <v>161417.63674380651</v>
      </c>
      <c r="L2" s="100">
        <f>SUMIFS(COMPOSICIÓN!J$2:J$1892,COMPOSICIÓN!A$2:A$1892,A2,COMPOSICIÓN!B$2:B$1892,"EQ")</f>
        <v>0</v>
      </c>
      <c r="M2" s="101">
        <f t="shared" ref="M2:M65" si="0">J2</f>
        <v>0</v>
      </c>
      <c r="N2" s="101">
        <f t="shared" ref="N2:N65" si="1">IF(F2=0,0,K2/F2)</f>
        <v>161417.63674380651</v>
      </c>
      <c r="O2" s="101">
        <f t="shared" ref="O2:O33" si="2">IF(F2=0,0,L2/F2)</f>
        <v>0</v>
      </c>
      <c r="P2" s="101">
        <f t="shared" ref="P2:P65" si="3">M2+N2+O2</f>
        <v>161417.63674380651</v>
      </c>
      <c r="Q2" s="102">
        <f>COUNTIF(COMPOSICIÓN!$A:$A,A2)</f>
        <v>2</v>
      </c>
      <c r="R2" s="17"/>
      <c r="S2" s="17" t="s">
        <v>1714</v>
      </c>
      <c r="T2" s="17"/>
      <c r="U2" s="17"/>
      <c r="V2" s="17"/>
    </row>
    <row r="3" spans="1:22" ht="14.25" hidden="1" customHeight="1" x14ac:dyDescent="0.35">
      <c r="A3" s="105" t="s">
        <v>1715</v>
      </c>
      <c r="B3" s="105" t="s">
        <v>1716</v>
      </c>
      <c r="C3" s="105" t="s">
        <v>1717</v>
      </c>
      <c r="D3" s="105" t="s">
        <v>1718</v>
      </c>
      <c r="E3" s="106" t="s">
        <v>53</v>
      </c>
      <c r="F3" s="106">
        <v>3.8</v>
      </c>
      <c r="G3" s="106">
        <v>0</v>
      </c>
      <c r="H3" s="106">
        <v>0</v>
      </c>
      <c r="I3" s="106">
        <v>1</v>
      </c>
      <c r="J3" s="96">
        <f>SUMIFS(COMPOSICIÓN!J$2:J$1892,COMPOSICIÓN!A$2:A$1892,A3,COMPOSICIÓN!B$2:B$1892,"MAT")</f>
        <v>0</v>
      </c>
      <c r="K3" s="96">
        <f>SUMIFS(COMPOSICIÓN!J$2:J$1892,COMPOSICIÓN!A$2:A$1892,A3,COMPOSICIÓN!B$2:B$1892,"MO")*I3</f>
        <v>161417.63674380651</v>
      </c>
      <c r="L3" s="96">
        <f>SUMIFS(COMPOSICIÓN!J$2:J$1892,COMPOSICIÓN!A$2:A$1892,A3,COMPOSICIÓN!B$2:B$1892,"EQ")</f>
        <v>0</v>
      </c>
      <c r="M3" s="103">
        <f t="shared" si="0"/>
        <v>0</v>
      </c>
      <c r="N3" s="103">
        <f t="shared" si="1"/>
        <v>42478.325458896448</v>
      </c>
      <c r="O3" s="103">
        <f t="shared" si="2"/>
        <v>0</v>
      </c>
      <c r="P3" s="103">
        <f t="shared" si="3"/>
        <v>42478.325458896448</v>
      </c>
      <c r="Q3" s="95">
        <f>COUNTIF(COMPOSICIÓN!$A:$A,A3)</f>
        <v>2</v>
      </c>
      <c r="R3" s="32" t="s">
        <v>1719</v>
      </c>
      <c r="S3" s="32" t="s">
        <v>1714</v>
      </c>
      <c r="T3" s="32"/>
      <c r="U3" s="32"/>
      <c r="V3" s="32"/>
    </row>
    <row r="4" spans="1:22" ht="14.25" hidden="1" customHeight="1" x14ac:dyDescent="0.35">
      <c r="A4" s="12" t="s">
        <v>1720</v>
      </c>
      <c r="B4" s="12" t="s">
        <v>1721</v>
      </c>
      <c r="C4" s="12" t="s">
        <v>2017</v>
      </c>
      <c r="D4" s="12" t="s">
        <v>1722</v>
      </c>
      <c r="E4" s="14" t="s">
        <v>53</v>
      </c>
      <c r="F4" s="14">
        <v>36</v>
      </c>
      <c r="G4" s="14">
        <v>0</v>
      </c>
      <c r="H4" s="14">
        <v>0</v>
      </c>
      <c r="I4" s="14">
        <v>1</v>
      </c>
      <c r="J4" s="100">
        <f>SUMIFS(COMPOSICIÓN!J$2:J$1892,COMPOSICIÓN!A$2:A$1892,A4,COMPOSICIÓN!B$2:B$1892,"MAT")</f>
        <v>0</v>
      </c>
      <c r="K4" s="100">
        <f>SUMIFS(COMPOSICIÓN!J$2:J$1892,COMPOSICIÓN!A$2:A$1892,A4,COMPOSICIÓN!B$2:B$1892,"MO")*I4</f>
        <v>589318.82743202464</v>
      </c>
      <c r="L4" s="100">
        <f>SUMIFS(COMPOSICIÓN!J$2:J$1892,COMPOSICIÓN!A$2:A$1892,A4,COMPOSICIÓN!B$2:B$1892,"EQ")</f>
        <v>0</v>
      </c>
      <c r="M4" s="101">
        <f t="shared" si="0"/>
        <v>0</v>
      </c>
      <c r="N4" s="101">
        <f t="shared" si="1"/>
        <v>16369.967428667351</v>
      </c>
      <c r="O4" s="101">
        <f t="shared" si="2"/>
        <v>0</v>
      </c>
      <c r="P4" s="101">
        <f t="shared" si="3"/>
        <v>16369.967428667351</v>
      </c>
      <c r="Q4" s="102">
        <f>COUNTIF(COMPOSICIÓN!$A:$A,A4)</f>
        <v>3</v>
      </c>
      <c r="R4" s="17" t="s">
        <v>1719</v>
      </c>
      <c r="S4" s="17" t="s">
        <v>1714</v>
      </c>
      <c r="T4" s="17"/>
      <c r="U4" s="17"/>
      <c r="V4" s="17"/>
    </row>
    <row r="5" spans="1:22" ht="14.25" hidden="1" customHeight="1" x14ac:dyDescent="0.35">
      <c r="A5" s="105" t="s">
        <v>1723</v>
      </c>
      <c r="B5" s="105" t="s">
        <v>1724</v>
      </c>
      <c r="C5" s="105" t="s">
        <v>2021</v>
      </c>
      <c r="D5" s="105" t="s">
        <v>1725</v>
      </c>
      <c r="E5" s="106" t="s">
        <v>50</v>
      </c>
      <c r="F5" s="106">
        <v>80</v>
      </c>
      <c r="G5" s="106">
        <v>0</v>
      </c>
      <c r="H5" s="106">
        <v>0</v>
      </c>
      <c r="I5" s="106">
        <v>1</v>
      </c>
      <c r="J5" s="96">
        <f>SUMIFS(COMPOSICIÓN!J$2:J$1892,COMPOSICIÓN!A$2:A$1892,A5,COMPOSICIÓN!B$2:B$1892,"MAT")</f>
        <v>1393.4781921157023</v>
      </c>
      <c r="K5" s="96">
        <f>SUMIFS(COMPOSICIÓN!J$2:J$1892,COMPOSICIÓN!A$2:A$1892,A5,COMPOSICIÓN!B$2:B$1892,"MO")*I5</f>
        <v>161417.63674380651</v>
      </c>
      <c r="L5" s="96">
        <f>SUMIFS(COMPOSICIÓN!J$2:J$1892,COMPOSICIÓN!A$2:A$1892,A5,COMPOSICIÓN!B$2:B$1892,"EQ")</f>
        <v>874.41130614484587</v>
      </c>
      <c r="M5" s="103">
        <f t="shared" si="0"/>
        <v>1393.4781921157023</v>
      </c>
      <c r="N5" s="103">
        <f t="shared" si="1"/>
        <v>2017.7204592975813</v>
      </c>
      <c r="O5" s="103">
        <f t="shared" si="2"/>
        <v>10.930141326810574</v>
      </c>
      <c r="P5" s="103">
        <f t="shared" si="3"/>
        <v>3422.128792740094</v>
      </c>
      <c r="Q5" s="95">
        <f>COUNTIF(COMPOSICIÓN!$A:$A,A5)</f>
        <v>8</v>
      </c>
      <c r="R5" s="32"/>
      <c r="S5" s="32" t="s">
        <v>1714</v>
      </c>
      <c r="T5" s="32">
        <v>1392.6097669880601</v>
      </c>
      <c r="U5" s="32">
        <v>2017.72045929758</v>
      </c>
      <c r="V5" s="32">
        <v>10.930141326810601</v>
      </c>
    </row>
    <row r="6" spans="1:22" ht="14.25" hidden="1" customHeight="1" x14ac:dyDescent="0.35">
      <c r="A6" s="12" t="s">
        <v>1726</v>
      </c>
      <c r="B6" s="12" t="s">
        <v>1727</v>
      </c>
      <c r="C6" s="12" t="s">
        <v>2021</v>
      </c>
      <c r="D6" s="12" t="s">
        <v>1728</v>
      </c>
      <c r="E6" s="14" t="s">
        <v>976</v>
      </c>
      <c r="F6" s="14">
        <v>60</v>
      </c>
      <c r="G6" s="14">
        <v>0</v>
      </c>
      <c r="H6" s="14">
        <v>0</v>
      </c>
      <c r="I6" s="14">
        <v>1</v>
      </c>
      <c r="J6" s="100">
        <f>SUMIFS(COMPOSICIÓN!J$2:J$1892,COMPOSICIÓN!A$2:A$1892,A6,COMPOSICIÓN!B$2:B$1892,"MAT")</f>
        <v>4401.8299670454553</v>
      </c>
      <c r="K6" s="100">
        <f>SUMIFS(COMPOSICIÓN!J$2:J$1892,COMPOSICIÓN!A$2:A$1892,A6,COMPOSICIÓN!B$2:B$1892,"MO")*I6</f>
        <v>161417.63674380651</v>
      </c>
      <c r="L6" s="100">
        <f>SUMIFS(COMPOSICIÓN!J$2:J$1892,COMPOSICIÓN!A$2:A$1892,A6,COMPOSICIÓN!B$2:B$1892,"EQ")</f>
        <v>874.41130614484587</v>
      </c>
      <c r="M6" s="101">
        <f t="shared" si="0"/>
        <v>4401.8299670454553</v>
      </c>
      <c r="N6" s="101">
        <f t="shared" si="1"/>
        <v>2690.2939457301086</v>
      </c>
      <c r="O6" s="101">
        <f t="shared" si="2"/>
        <v>14.573521769080765</v>
      </c>
      <c r="P6" s="101">
        <f t="shared" si="3"/>
        <v>7106.6974345446442</v>
      </c>
      <c r="Q6" s="102">
        <f>COUNTIF(COMPOSICIÓN!$A:$A,A6)</f>
        <v>11</v>
      </c>
      <c r="R6" s="17"/>
      <c r="S6" s="17" t="s">
        <v>1714</v>
      </c>
      <c r="T6" s="17">
        <v>3733.713225</v>
      </c>
      <c r="U6" s="17">
        <v>2690.29394573011</v>
      </c>
      <c r="V6" s="17">
        <v>14.5735217690808</v>
      </c>
    </row>
    <row r="7" spans="1:22" ht="14.25" hidden="1" customHeight="1" x14ac:dyDescent="0.35">
      <c r="A7" s="105" t="s">
        <v>1729</v>
      </c>
      <c r="B7" s="105" t="s">
        <v>1730</v>
      </c>
      <c r="C7" s="105" t="s">
        <v>2020</v>
      </c>
      <c r="D7" s="105" t="s">
        <v>1731</v>
      </c>
      <c r="E7" s="106" t="s">
        <v>50</v>
      </c>
      <c r="F7" s="106">
        <v>15</v>
      </c>
      <c r="G7" s="106">
        <v>0</v>
      </c>
      <c r="H7" s="106">
        <v>0</v>
      </c>
      <c r="I7" s="106">
        <v>1</v>
      </c>
      <c r="J7" s="96">
        <f>SUMIFS(COMPOSICIÓN!J$2:J$1892,COMPOSICIÓN!A$2:A$1892,A7,COMPOSICIÓN!B$2:B$1892,"MAT")</f>
        <v>3032.8064400000003</v>
      </c>
      <c r="K7" s="96">
        <f>SUMIFS(COMPOSICIÓN!J$2:J$1892,COMPOSICIÓN!A$2:A$1892,A7,COMPOSICIÓN!B$2:B$1892,"MO")*I7</f>
        <v>161417.63674380651</v>
      </c>
      <c r="L7" s="96">
        <f>SUMIFS(COMPOSICIÓN!J$2:J$1892,COMPOSICIÓN!A$2:A$1892,A7,COMPOSICIÓN!B$2:B$1892,"EQ")</f>
        <v>0</v>
      </c>
      <c r="M7" s="103">
        <f t="shared" si="0"/>
        <v>3032.8064400000003</v>
      </c>
      <c r="N7" s="103">
        <f t="shared" si="1"/>
        <v>10761.175782920434</v>
      </c>
      <c r="O7" s="103">
        <f t="shared" si="2"/>
        <v>0</v>
      </c>
      <c r="P7" s="103">
        <f t="shared" si="3"/>
        <v>13793.982222920435</v>
      </c>
      <c r="Q7" s="95">
        <f>COUNTIF(COMPOSICIÓN!$A:$A,A7)</f>
        <v>6</v>
      </c>
      <c r="R7" s="32" t="s">
        <v>1732</v>
      </c>
      <c r="S7" s="32" t="s">
        <v>1714</v>
      </c>
      <c r="T7" s="32">
        <v>2950.8968</v>
      </c>
      <c r="U7" s="32">
        <v>10761.1757829204</v>
      </c>
      <c r="V7" s="32">
        <v>0</v>
      </c>
    </row>
    <row r="8" spans="1:22" ht="14.25" hidden="1" customHeight="1" x14ac:dyDescent="0.35">
      <c r="A8" s="12" t="s">
        <v>1733</v>
      </c>
      <c r="B8" s="12" t="s">
        <v>1734</v>
      </c>
      <c r="C8" s="12" t="s">
        <v>2020</v>
      </c>
      <c r="D8" s="12" t="s">
        <v>1735</v>
      </c>
      <c r="E8" s="14" t="s">
        <v>50</v>
      </c>
      <c r="F8" s="14">
        <v>12</v>
      </c>
      <c r="G8" s="14">
        <v>0</v>
      </c>
      <c r="H8" s="14">
        <v>0</v>
      </c>
      <c r="I8" s="14">
        <v>1</v>
      </c>
      <c r="J8" s="100">
        <f>SUMIFS(COMPOSICIÓN!J$2:J$1892,COMPOSICIÓN!A$2:A$1892,A8,COMPOSICIÓN!B$2:B$1892,"MAT")</f>
        <v>16332.358593991332</v>
      </c>
      <c r="K8" s="100">
        <f>SUMIFS(COMPOSICIÓN!J$2:J$1892,COMPOSICIÓN!A$2:A$1892,A8,COMPOSICIÓN!B$2:B$1892,"MO")*I8</f>
        <v>166309.27624912901</v>
      </c>
      <c r="L8" s="100">
        <f>SUMIFS(COMPOSICIÓN!J$2:J$1892,COMPOSICIÓN!A$2:A$1892,A8,COMPOSICIÓN!B$2:B$1892,"EQ")</f>
        <v>2723.1401909404044</v>
      </c>
      <c r="M8" s="101">
        <f t="shared" si="0"/>
        <v>16332.358593991332</v>
      </c>
      <c r="N8" s="101">
        <f t="shared" si="1"/>
        <v>13859.106354094083</v>
      </c>
      <c r="O8" s="101">
        <f t="shared" si="2"/>
        <v>226.9283492450337</v>
      </c>
      <c r="P8" s="101">
        <f t="shared" si="3"/>
        <v>30418.393297330447</v>
      </c>
      <c r="Q8" s="102">
        <f>COUNTIF(COMPOSICIÓN!$A:$A,A8)</f>
        <v>11</v>
      </c>
      <c r="R8" s="17"/>
      <c r="S8" s="17" t="s">
        <v>1714</v>
      </c>
      <c r="T8" s="17">
        <v>16332.3005195241</v>
      </c>
      <c r="U8" s="17">
        <v>13859.1063540941</v>
      </c>
      <c r="V8" s="17">
        <v>226.928349820856</v>
      </c>
    </row>
    <row r="9" spans="1:22" ht="14.25" hidden="1" customHeight="1" x14ac:dyDescent="0.35">
      <c r="A9" s="105" t="s">
        <v>1736</v>
      </c>
      <c r="B9" s="105" t="s">
        <v>1737</v>
      </c>
      <c r="C9" s="105" t="s">
        <v>2006</v>
      </c>
      <c r="D9" s="105" t="s">
        <v>1738</v>
      </c>
      <c r="E9" s="106" t="s">
        <v>36</v>
      </c>
      <c r="F9" s="106">
        <v>15</v>
      </c>
      <c r="G9" s="106">
        <v>0</v>
      </c>
      <c r="H9" s="106">
        <v>0</v>
      </c>
      <c r="I9" s="106">
        <v>1</v>
      </c>
      <c r="J9" s="96">
        <f>SUMIFS(COMPOSICIÓN!J$2:J$1892,COMPOSICIÓN!A$2:A$1892,A9,COMPOSICIÓN!B$2:B$1892,"MAT")</f>
        <v>987.17449980000015</v>
      </c>
      <c r="K9" s="96">
        <f>SUMIFS(COMPOSICIÓN!J$2:J$1892,COMPOSICIÓN!A$2:A$1892,A9,COMPOSICIÓN!B$2:B$1892,"MO")*I9</f>
        <v>94177.137883538904</v>
      </c>
      <c r="L9" s="96">
        <f>SUMIFS(COMPOSICIÓN!J$2:J$1892,COMPOSICIÓN!A$2:A$1892,A9,COMPOSICIÓN!B$2:B$1892,"EQ")</f>
        <v>2723.1401909404044</v>
      </c>
      <c r="M9" s="103">
        <f t="shared" si="0"/>
        <v>987.17449980000015</v>
      </c>
      <c r="N9" s="103">
        <f t="shared" si="1"/>
        <v>6278.4758589025932</v>
      </c>
      <c r="O9" s="103">
        <f t="shared" si="2"/>
        <v>181.54267939602695</v>
      </c>
      <c r="P9" s="103">
        <f t="shared" si="3"/>
        <v>7447.1930380986205</v>
      </c>
      <c r="Q9" s="95">
        <f>COUNTIF(COMPOSICIÓN!$A:$A,A9)</f>
        <v>5</v>
      </c>
      <c r="R9" s="32"/>
      <c r="S9" s="32" t="s">
        <v>1714</v>
      </c>
      <c r="T9" s="32">
        <v>987.17450099173595</v>
      </c>
      <c r="U9" s="32">
        <v>6278.4758589025896</v>
      </c>
      <c r="V9" s="32">
        <v>181.542679856685</v>
      </c>
    </row>
    <row r="10" spans="1:22" ht="14.25" hidden="1" customHeight="1" x14ac:dyDescent="0.35">
      <c r="A10" s="12" t="s">
        <v>1739</v>
      </c>
      <c r="B10" s="12" t="s">
        <v>1740</v>
      </c>
      <c r="C10" s="105" t="s">
        <v>2006</v>
      </c>
      <c r="D10" s="12" t="s">
        <v>1741</v>
      </c>
      <c r="E10" s="14" t="s">
        <v>50</v>
      </c>
      <c r="F10" s="14">
        <v>11.5</v>
      </c>
      <c r="G10" s="14">
        <v>0</v>
      </c>
      <c r="H10" s="106">
        <v>0</v>
      </c>
      <c r="I10" s="106">
        <v>1</v>
      </c>
      <c r="J10" s="96">
        <f>SUMIFS(COMPOSICIÓN!J$2:J$1892,COMPOSICIÓN!A$2:A$1892,A10,COMPOSICIÓN!B$2:B$1892,"MAT")</f>
        <v>12733.788773411199</v>
      </c>
      <c r="K10" s="96">
        <f>SUMIFS(COMPOSICIÓN!J$2:J$1892,COMPOSICIÓN!A$2:A$1892,A10,COMPOSICIÓN!B$2:B$1892,"MO")*I10</f>
        <v>148276.24165773147</v>
      </c>
      <c r="L10" s="96">
        <f>SUMIFS(COMPOSICIÓN!J$2:J$1892,COMPOSICIÓN!A$2:A$1892,A10,COMPOSICIÓN!B$2:B$1892,"EQ")</f>
        <v>3836.7078361185131</v>
      </c>
      <c r="M10" s="101">
        <f t="shared" si="0"/>
        <v>12733.788773411199</v>
      </c>
      <c r="N10" s="101">
        <f t="shared" si="1"/>
        <v>12893.586231107085</v>
      </c>
      <c r="O10" s="101">
        <f t="shared" si="2"/>
        <v>333.62676835813159</v>
      </c>
      <c r="P10" s="101">
        <f t="shared" si="3"/>
        <v>25961.001772876414</v>
      </c>
      <c r="Q10" s="102">
        <f>COUNTIF(COMPOSICIÓN!$A:$A,A10)</f>
        <v>11</v>
      </c>
      <c r="R10" s="17" t="s">
        <v>1742</v>
      </c>
      <c r="S10" s="17" t="s">
        <v>1714</v>
      </c>
      <c r="T10" s="17">
        <v>12733.788773411199</v>
      </c>
      <c r="U10" s="17">
        <v>12574.566263368701</v>
      </c>
      <c r="V10" s="17">
        <v>333.62676835813102</v>
      </c>
    </row>
    <row r="11" spans="1:22" ht="14.25" hidden="1" customHeight="1" x14ac:dyDescent="0.35">
      <c r="A11" s="105" t="s">
        <v>1743</v>
      </c>
      <c r="B11" s="105" t="s">
        <v>1744</v>
      </c>
      <c r="C11" s="105" t="s">
        <v>2028</v>
      </c>
      <c r="D11" s="105" t="s">
        <v>1745</v>
      </c>
      <c r="E11" s="106" t="s">
        <v>50</v>
      </c>
      <c r="F11" s="106">
        <v>11.5</v>
      </c>
      <c r="G11" s="106">
        <v>0</v>
      </c>
      <c r="H11" s="106">
        <v>0</v>
      </c>
      <c r="I11" s="106">
        <v>1</v>
      </c>
      <c r="J11" s="96">
        <f>SUMIFS(COMPOSICIÓN!J$2:J$1892,COMPOSICIÓN!A$2:A$1892,A11,COMPOSICIÓN!B$2:B$1892,"MAT")</f>
        <v>18247.942492990001</v>
      </c>
      <c r="K11" s="96">
        <f>SUMIFS(COMPOSICIÓN!J$2:J$1892,COMPOSICIÓN!A$2:A$1892,A11,COMPOSICIÓN!B$2:B$1892,"MO")*I11</f>
        <v>148276.24165773147</v>
      </c>
      <c r="L11" s="96">
        <f>SUMIFS(COMPOSICIÓN!J$2:J$1892,COMPOSICIÓN!A$2:A$1892,A11,COMPOSICIÓN!B$2:B$1892,"EQ")</f>
        <v>3836.7078361185131</v>
      </c>
      <c r="M11" s="103">
        <f t="shared" si="0"/>
        <v>18247.942492990001</v>
      </c>
      <c r="N11" s="103">
        <f t="shared" si="1"/>
        <v>12893.586231107085</v>
      </c>
      <c r="O11" s="103">
        <f t="shared" si="2"/>
        <v>333.62676835813159</v>
      </c>
      <c r="P11" s="103">
        <f t="shared" si="3"/>
        <v>31475.155492455218</v>
      </c>
      <c r="Q11" s="95">
        <f>COUNTIF(COMPOSICIÓN!$A:$A,A11)</f>
        <v>11</v>
      </c>
      <c r="R11" s="32" t="s">
        <v>1742</v>
      </c>
      <c r="S11" s="32" t="s">
        <v>1714</v>
      </c>
      <c r="T11" s="32">
        <v>18247.942492989801</v>
      </c>
      <c r="U11" s="32">
        <v>12574.566263368701</v>
      </c>
      <c r="V11" s="32">
        <v>333.62676835813102</v>
      </c>
    </row>
    <row r="12" spans="1:22" ht="14.25" hidden="1" customHeight="1" x14ac:dyDescent="0.35">
      <c r="A12" s="12" t="s">
        <v>1746</v>
      </c>
      <c r="B12" s="12" t="s">
        <v>1747</v>
      </c>
      <c r="C12" s="12" t="s">
        <v>2007</v>
      </c>
      <c r="D12" s="12" t="s">
        <v>1748</v>
      </c>
      <c r="E12" s="14" t="s">
        <v>50</v>
      </c>
      <c r="F12" s="14">
        <v>3.25</v>
      </c>
      <c r="G12" s="14">
        <v>0</v>
      </c>
      <c r="H12" s="106">
        <v>0</v>
      </c>
      <c r="I12" s="106">
        <v>1</v>
      </c>
      <c r="J12" s="96">
        <f>SUMIFS(COMPOSICIÓN!J$2:J$1892,COMPOSICIÓN!A$2:A$1892,A12,COMPOSICIÓN!B$2:B$1892,"MAT")</f>
        <v>17610.205144401665</v>
      </c>
      <c r="K12" s="96">
        <f>SUMIFS(COMPOSICIÓN!J$2:J$1892,COMPOSICIÓN!A$2:A$1892,A12,COMPOSICIÓN!B$2:B$1892,"MO")*I12</f>
        <v>161417.63674380651</v>
      </c>
      <c r="L12" s="96">
        <f>SUMIFS(COMPOSICIÓN!J$2:J$1892,COMPOSICIÓN!A$2:A$1892,A12,COMPOSICIÓN!B$2:B$1892,"EQ")</f>
        <v>5889.6359669933499</v>
      </c>
      <c r="M12" s="101">
        <f t="shared" si="0"/>
        <v>17610.205144401665</v>
      </c>
      <c r="N12" s="101">
        <f t="shared" si="1"/>
        <v>49666.965151940465</v>
      </c>
      <c r="O12" s="101">
        <f t="shared" si="2"/>
        <v>1812.1956821517999</v>
      </c>
      <c r="P12" s="101">
        <f t="shared" si="3"/>
        <v>69089.365978493923</v>
      </c>
      <c r="Q12" s="102">
        <f>COUNTIF(COMPOSICIÓN!$A:$A,A12)</f>
        <v>14</v>
      </c>
      <c r="R12" s="17"/>
      <c r="S12" s="17" t="s">
        <v>1714</v>
      </c>
      <c r="T12" s="17">
        <v>17610.205138368801</v>
      </c>
      <c r="U12" s="17">
        <v>49666.965151940502</v>
      </c>
      <c r="V12" s="17">
        <v>1812.1956821517999</v>
      </c>
    </row>
    <row r="13" spans="1:22" ht="14.25" hidden="1" customHeight="1" x14ac:dyDescent="0.35">
      <c r="A13" s="105" t="s">
        <v>1749</v>
      </c>
      <c r="B13" s="105" t="s">
        <v>1750</v>
      </c>
      <c r="C13" s="105" t="s">
        <v>2007</v>
      </c>
      <c r="D13" s="105" t="s">
        <v>1751</v>
      </c>
      <c r="E13" s="106" t="s">
        <v>50</v>
      </c>
      <c r="F13" s="106">
        <v>3.25</v>
      </c>
      <c r="G13" s="106">
        <v>0</v>
      </c>
      <c r="H13" s="106">
        <v>0</v>
      </c>
      <c r="I13" s="106">
        <v>1</v>
      </c>
      <c r="J13" s="96">
        <f>SUMIFS(COMPOSICIÓN!J$2:J$1892,COMPOSICIÓN!A$2:A$1892,A13,COMPOSICIÓN!B$2:B$1892,"MAT")</f>
        <v>15896.430680150002</v>
      </c>
      <c r="K13" s="96">
        <f>SUMIFS(COMPOSICIÓN!J$2:J$1892,COMPOSICIÓN!A$2:A$1892,A13,COMPOSICIÓN!B$2:B$1892,"MO")*I13</f>
        <v>161417.63674380651</v>
      </c>
      <c r="L13" s="96">
        <f>SUMIFS(COMPOSICIÓN!J$2:J$1892,COMPOSICIÓN!A$2:A$1892,A13,COMPOSICIÓN!B$2:B$1892,"EQ")</f>
        <v>5889.6359669933499</v>
      </c>
      <c r="M13" s="103">
        <f t="shared" si="0"/>
        <v>15896.430680150002</v>
      </c>
      <c r="N13" s="103">
        <f t="shared" si="1"/>
        <v>49666.965151940465</v>
      </c>
      <c r="O13" s="103">
        <f t="shared" si="2"/>
        <v>1812.1956821517999</v>
      </c>
      <c r="P13" s="103">
        <f t="shared" si="3"/>
        <v>67375.59151424226</v>
      </c>
      <c r="Q13" s="95">
        <f>COUNTIF(COMPOSICIÓN!$A:$A,A13)</f>
        <v>12</v>
      </c>
      <c r="R13" s="32"/>
      <c r="S13" s="32" t="s">
        <v>1714</v>
      </c>
      <c r="T13" s="32">
        <v>15896.430633907999</v>
      </c>
      <c r="U13" s="32">
        <v>49666.965151940502</v>
      </c>
      <c r="V13" s="32">
        <v>1812.1956821517999</v>
      </c>
    </row>
    <row r="14" spans="1:22" ht="14.25" hidden="1" customHeight="1" x14ac:dyDescent="0.35">
      <c r="A14" s="12" t="s">
        <v>1752</v>
      </c>
      <c r="B14" s="12" t="s">
        <v>1753</v>
      </c>
      <c r="C14" s="12" t="s">
        <v>1717</v>
      </c>
      <c r="D14" s="12" t="s">
        <v>1754</v>
      </c>
      <c r="E14" s="14" t="s">
        <v>50</v>
      </c>
      <c r="F14" s="14">
        <v>12</v>
      </c>
      <c r="G14" s="14">
        <v>0</v>
      </c>
      <c r="H14" s="14">
        <v>0</v>
      </c>
      <c r="I14" s="14">
        <v>1</v>
      </c>
      <c r="J14" s="100">
        <f>SUMIFS(COMPOSICIÓN!J$2:J$1892,COMPOSICIÓN!A$2:A$1892,A14,COMPOSICIÓN!B$2:B$1892,"MAT")</f>
        <v>18848.234598616</v>
      </c>
      <c r="K14" s="100">
        <f>SUMIFS(COMPOSICIÓN!J$2:J$1892,COMPOSICIÓN!A$2:A$1892,A14,COMPOSICIÓN!B$2:B$1892,"MO")*I14</f>
        <v>134013.78818341007</v>
      </c>
      <c r="L14" s="100">
        <f>SUMIFS(COMPOSICIÓN!J$2:J$1892,COMPOSICIÓN!A$2:A$1892,A14,COMPOSICIÓN!B$2:B$1892,"EQ")</f>
        <v>0</v>
      </c>
      <c r="M14" s="101">
        <f t="shared" si="0"/>
        <v>18848.234598616</v>
      </c>
      <c r="N14" s="101">
        <f t="shared" si="1"/>
        <v>11167.815681950839</v>
      </c>
      <c r="O14" s="101">
        <f t="shared" si="2"/>
        <v>0</v>
      </c>
      <c r="P14" s="101">
        <f t="shared" si="3"/>
        <v>30016.050280566837</v>
      </c>
      <c r="Q14" s="102">
        <f>COUNTIF(COMPOSICIÓN!$A:$A,A14)</f>
        <v>11</v>
      </c>
      <c r="R14" s="17" t="s">
        <v>1755</v>
      </c>
      <c r="S14" s="17" t="s">
        <v>1714</v>
      </c>
      <c r="T14" s="17">
        <v>18848.234598287501</v>
      </c>
      <c r="U14" s="17">
        <v>11167.8156819508</v>
      </c>
      <c r="V14" s="17">
        <v>0</v>
      </c>
    </row>
    <row r="15" spans="1:22" ht="14.25" hidden="1" customHeight="1" x14ac:dyDescent="0.35">
      <c r="A15" s="105" t="s">
        <v>1756</v>
      </c>
      <c r="B15" s="105" t="s">
        <v>1757</v>
      </c>
      <c r="C15" s="105" t="s">
        <v>2004</v>
      </c>
      <c r="D15" s="105" t="s">
        <v>1758</v>
      </c>
      <c r="E15" s="106" t="s">
        <v>53</v>
      </c>
      <c r="F15" s="106">
        <v>12</v>
      </c>
      <c r="G15" s="106">
        <v>0</v>
      </c>
      <c r="H15" s="106">
        <v>0</v>
      </c>
      <c r="I15" s="106">
        <v>1</v>
      </c>
      <c r="J15" s="96">
        <f>SUMIFS(COMPOSICIÓN!J$2:J$1892,COMPOSICIÓN!A$2:A$1892,A15,COMPOSICIÓN!B$2:B$1892,"MAT")</f>
        <v>1.1000000000000001</v>
      </c>
      <c r="K15" s="96">
        <f>SUMIFS(COMPOSICIÓN!J$2:J$1892,COMPOSICIÓN!A$2:A$1892,A15,COMPOSICIÓN!B$2:B$1892,"MO")*I15</f>
        <v>148276.24165773147</v>
      </c>
      <c r="L15" s="96">
        <f>SUMIFS(COMPOSICIÓN!J$2:J$1892,COMPOSICIÓN!A$2:A$1892,A15,COMPOSICIÓN!B$2:B$1892,"EQ")</f>
        <v>0</v>
      </c>
      <c r="M15" s="103">
        <f t="shared" si="0"/>
        <v>1.1000000000000001</v>
      </c>
      <c r="N15" s="103">
        <f t="shared" si="1"/>
        <v>12356.353471477623</v>
      </c>
      <c r="O15" s="103">
        <f t="shared" si="2"/>
        <v>0</v>
      </c>
      <c r="P15" s="103">
        <f t="shared" si="3"/>
        <v>12357.453471477624</v>
      </c>
      <c r="Q15" s="95">
        <f>COUNTIF(COMPOSICIÓN!$A:$A,A15)</f>
        <v>3</v>
      </c>
      <c r="R15" s="32" t="s">
        <v>1719</v>
      </c>
      <c r="S15" s="32" t="s">
        <v>1714</v>
      </c>
      <c r="T15" s="32"/>
      <c r="U15" s="32"/>
      <c r="V15" s="32"/>
    </row>
    <row r="16" spans="1:22" ht="14.25" hidden="1" customHeight="1" x14ac:dyDescent="0.35">
      <c r="A16" s="12" t="s">
        <v>1759</v>
      </c>
      <c r="B16" s="12" t="s">
        <v>1760</v>
      </c>
      <c r="C16" s="105" t="s">
        <v>2004</v>
      </c>
      <c r="D16" s="12" t="s">
        <v>1761</v>
      </c>
      <c r="E16" s="14" t="s">
        <v>53</v>
      </c>
      <c r="F16" s="14">
        <v>12</v>
      </c>
      <c r="G16" s="14">
        <v>0</v>
      </c>
      <c r="H16" s="14">
        <v>0</v>
      </c>
      <c r="I16" s="14">
        <v>1</v>
      </c>
      <c r="J16" s="100">
        <f>SUMIFS(COMPOSICIÓN!J$2:J$1892,COMPOSICIÓN!A$2:A$1892,A16,COMPOSICIÓN!B$2:B$1892,"MAT")</f>
        <v>2.1</v>
      </c>
      <c r="K16" s="100">
        <f>SUMIFS(COMPOSICIÓN!J$2:J$1892,COMPOSICIÓN!A$2:A$1892,A16,COMPOSICIÓN!B$2:B$1892,"MO")*I16</f>
        <v>148276.24165773147</v>
      </c>
      <c r="L16" s="100">
        <f>SUMIFS(COMPOSICIÓN!J$2:J$1892,COMPOSICIÓN!A$2:A$1892,A16,COMPOSICIÓN!B$2:B$1892,"EQ")</f>
        <v>0</v>
      </c>
      <c r="M16" s="101">
        <f t="shared" si="0"/>
        <v>2.1</v>
      </c>
      <c r="N16" s="101">
        <f t="shared" si="1"/>
        <v>12356.353471477623</v>
      </c>
      <c r="O16" s="101">
        <f t="shared" si="2"/>
        <v>0</v>
      </c>
      <c r="P16" s="101">
        <f t="shared" si="3"/>
        <v>12358.453471477624</v>
      </c>
      <c r="Q16" s="102">
        <f>COUNTIF(COMPOSICIÓN!$A:$A,A16)</f>
        <v>4</v>
      </c>
      <c r="R16" s="17" t="s">
        <v>1719</v>
      </c>
      <c r="S16" s="17" t="s">
        <v>1714</v>
      </c>
      <c r="T16" s="17"/>
      <c r="U16" s="17"/>
      <c r="V16" s="17"/>
    </row>
    <row r="17" spans="1:22" ht="14.25" hidden="1" customHeight="1" x14ac:dyDescent="0.35">
      <c r="A17" s="105" t="s">
        <v>1762</v>
      </c>
      <c r="B17" s="105" t="s">
        <v>1763</v>
      </c>
      <c r="C17" s="105" t="s">
        <v>2023</v>
      </c>
      <c r="D17" s="105" t="s">
        <v>1764</v>
      </c>
      <c r="E17" s="106" t="s">
        <v>50</v>
      </c>
      <c r="F17" s="106">
        <v>18</v>
      </c>
      <c r="G17" s="106">
        <v>0</v>
      </c>
      <c r="H17" s="106">
        <v>0</v>
      </c>
      <c r="I17" s="106">
        <v>1</v>
      </c>
      <c r="J17" s="96">
        <f>SUMIFS(COMPOSICIÓN!J$2:J$1892,COMPOSICIÓN!A$2:A$1892,A17,COMPOSICIÓN!B$2:B$1892,"MAT")</f>
        <v>1553.2760760000001</v>
      </c>
      <c r="K17" s="96">
        <f>SUMIFS(COMPOSICIÓN!J$2:J$1892,COMPOSICIÓN!A$2:A$1892,A17,COMPOSICIÓN!B$2:B$1892,"MO")*I17</f>
        <v>144607.51202873961</v>
      </c>
      <c r="L17" s="96">
        <f>SUMIFS(COMPOSICIÓN!J$2:J$1892,COMPOSICIÓN!A$2:A$1892,A17,COMPOSICIÓN!B$2:B$1892,"EQ")</f>
        <v>3106.6817784365817</v>
      </c>
      <c r="M17" s="103">
        <f t="shared" si="0"/>
        <v>1553.2760760000001</v>
      </c>
      <c r="N17" s="103">
        <f t="shared" si="1"/>
        <v>8033.750668263312</v>
      </c>
      <c r="O17" s="103">
        <f t="shared" si="2"/>
        <v>172.59343213536565</v>
      </c>
      <c r="P17" s="103">
        <f t="shared" si="3"/>
        <v>9759.6201763986774</v>
      </c>
      <c r="Q17" s="95">
        <f>COUNTIF(COMPOSICIÓN!$A:$A,A17)</f>
        <v>8</v>
      </c>
      <c r="R17" s="32" t="s">
        <v>1765</v>
      </c>
      <c r="S17" s="32" t="s">
        <v>1714</v>
      </c>
      <c r="T17" s="32">
        <v>1553.2760760000001</v>
      </c>
      <c r="U17" s="32">
        <v>8033.7506682633102</v>
      </c>
      <c r="V17" s="32">
        <v>172.59343213536499</v>
      </c>
    </row>
    <row r="18" spans="1:22" ht="14.25" hidden="1" customHeight="1" x14ac:dyDescent="0.35">
      <c r="A18" s="12" t="s">
        <v>1766</v>
      </c>
      <c r="B18" s="12" t="s">
        <v>1767</v>
      </c>
      <c r="C18" s="12" t="s">
        <v>2023</v>
      </c>
      <c r="D18" s="12" t="s">
        <v>1768</v>
      </c>
      <c r="E18" s="14" t="s">
        <v>50</v>
      </c>
      <c r="F18" s="14">
        <v>9</v>
      </c>
      <c r="G18" s="14">
        <v>0</v>
      </c>
      <c r="H18" s="106">
        <v>0</v>
      </c>
      <c r="I18" s="106">
        <v>1</v>
      </c>
      <c r="J18" s="96">
        <f>SUMIFS(COMPOSICIÓN!J$2:J$1892,COMPOSICIÓN!A$2:A$1892,A18,COMPOSICIÓN!B$2:B$1892,"MAT")</f>
        <v>1337.9414620000002</v>
      </c>
      <c r="K18" s="96">
        <f>SUMIFS(COMPOSICIÓN!J$2:J$1892,COMPOSICIÓN!A$2:A$1892,A18,COMPOSICIÓN!B$2:B$1892,"MO")*I18</f>
        <v>134521.43719969946</v>
      </c>
      <c r="L18" s="96">
        <f>SUMIFS(COMPOSICIÓN!J$2:J$1892,COMPOSICIÓN!A$2:A$1892,A18,COMPOSICIÓN!B$2:B$1892,"EQ")</f>
        <v>4147.1132271071056</v>
      </c>
      <c r="M18" s="101">
        <f t="shared" si="0"/>
        <v>1337.9414620000002</v>
      </c>
      <c r="N18" s="101">
        <f t="shared" si="1"/>
        <v>14946.826355522162</v>
      </c>
      <c r="O18" s="101">
        <f t="shared" si="2"/>
        <v>460.79035856745617</v>
      </c>
      <c r="P18" s="101">
        <f t="shared" si="3"/>
        <v>16745.55817608962</v>
      </c>
      <c r="Q18" s="102">
        <f>COUNTIF(COMPOSICIÓN!$A:$A,A18)</f>
        <v>8</v>
      </c>
      <c r="R18" s="17"/>
      <c r="S18" s="17" t="s">
        <v>1714</v>
      </c>
      <c r="T18" s="17">
        <v>1337.941462</v>
      </c>
      <c r="U18" s="17">
        <v>14946.8263555222</v>
      </c>
      <c r="V18" s="17">
        <v>460.790358567456</v>
      </c>
    </row>
    <row r="19" spans="1:22" ht="14.25" hidden="1" customHeight="1" x14ac:dyDescent="0.35">
      <c r="A19" s="105" t="s">
        <v>1769</v>
      </c>
      <c r="B19" s="105" t="s">
        <v>1770</v>
      </c>
      <c r="C19" s="105" t="s">
        <v>2023</v>
      </c>
      <c r="D19" s="105" t="s">
        <v>1771</v>
      </c>
      <c r="E19" s="106" t="s">
        <v>50</v>
      </c>
      <c r="F19" s="106">
        <v>14.5</v>
      </c>
      <c r="G19" s="106">
        <v>0</v>
      </c>
      <c r="H19" s="106">
        <v>0</v>
      </c>
      <c r="I19" s="106">
        <v>1</v>
      </c>
      <c r="J19" s="96">
        <f>SUMIFS(COMPOSICIÓN!J$2:J$1892,COMPOSICIÓN!A$2:A$1892,A19,COMPOSICIÓN!B$2:B$1892,"MAT")</f>
        <v>2755.4985040000001</v>
      </c>
      <c r="K19" s="96">
        <f>SUMIFS(COMPOSICIÓN!J$2:J$1892,COMPOSICIÓN!A$2:A$1892,A19,COMPOSICIÓN!B$2:B$1892,"MO")*I19</f>
        <v>124435.36237065932</v>
      </c>
      <c r="L19" s="96">
        <f>SUMIFS(COMPOSICIÓN!J$2:J$1892,COMPOSICIÓN!A$2:A$1892,A19,COMPOSICIÓN!B$2:B$1892,"EQ")</f>
        <v>3526.3024451299216</v>
      </c>
      <c r="M19" s="103">
        <f t="shared" si="0"/>
        <v>2755.4985040000001</v>
      </c>
      <c r="N19" s="103">
        <f t="shared" si="1"/>
        <v>8581.7491290109883</v>
      </c>
      <c r="O19" s="103">
        <f t="shared" si="2"/>
        <v>243.19327207792563</v>
      </c>
      <c r="P19" s="103">
        <f t="shared" si="3"/>
        <v>11580.440905088915</v>
      </c>
      <c r="Q19" s="95">
        <f>COUNTIF(COMPOSICIÓN!$A:$A,A19)</f>
        <v>7</v>
      </c>
      <c r="R19" s="32"/>
      <c r="S19" s="32" t="s">
        <v>1714</v>
      </c>
      <c r="T19" s="32">
        <v>2755.4985040000001</v>
      </c>
      <c r="U19" s="32">
        <v>8581.7491290109901</v>
      </c>
      <c r="V19" s="32">
        <v>243.193272077925</v>
      </c>
    </row>
    <row r="20" spans="1:22" ht="14.25" hidden="1" customHeight="1" x14ac:dyDescent="0.35">
      <c r="A20" s="12" t="s">
        <v>1772</v>
      </c>
      <c r="B20" s="12" t="s">
        <v>1773</v>
      </c>
      <c r="C20" s="12" t="s">
        <v>2023</v>
      </c>
      <c r="D20" s="12" t="s">
        <v>1774</v>
      </c>
      <c r="E20" s="14" t="s">
        <v>50</v>
      </c>
      <c r="F20" s="14">
        <v>20</v>
      </c>
      <c r="G20" s="14">
        <v>0</v>
      </c>
      <c r="H20" s="14">
        <v>0</v>
      </c>
      <c r="I20" s="14">
        <v>1</v>
      </c>
      <c r="J20" s="100">
        <f>SUMIFS(COMPOSICIÓN!J$2:J$1892,COMPOSICIÓN!A$2:A$1892,A20,COMPOSICIÓN!B$2:B$1892,"MAT")</f>
        <v>2880.1572817933875</v>
      </c>
      <c r="K20" s="100">
        <f>SUMIFS(COMPOSICIÓN!J$2:J$1892,COMPOSICIÓN!A$2:A$1892,A20,COMPOSICIÓN!B$2:B$1892,"MO")*I20</f>
        <v>94177.137883538904</v>
      </c>
      <c r="L20" s="100">
        <f>SUMIFS(COMPOSICIÓN!J$2:J$1892,COMPOSICIÓN!A$2:A$1892,A20,COMPOSICIÓN!B$2:B$1892,"EQ")</f>
        <v>2091.0499580304627</v>
      </c>
      <c r="M20" s="101">
        <f t="shared" si="0"/>
        <v>2880.1572817933875</v>
      </c>
      <c r="N20" s="101">
        <f t="shared" si="1"/>
        <v>4708.8568941769454</v>
      </c>
      <c r="O20" s="101">
        <f t="shared" si="2"/>
        <v>104.55249790152314</v>
      </c>
      <c r="P20" s="101">
        <f t="shared" si="3"/>
        <v>7693.5666738718564</v>
      </c>
      <c r="Q20" s="102">
        <f>COUNTIF(COMPOSICIÓN!$A:$A,A20)</f>
        <v>14</v>
      </c>
      <c r="R20" s="17" t="s">
        <v>1775</v>
      </c>
      <c r="S20" s="17" t="s">
        <v>1714</v>
      </c>
      <c r="T20" s="17">
        <v>2880.1572752851198</v>
      </c>
      <c r="U20" s="17">
        <v>4708.8568941769399</v>
      </c>
      <c r="V20" s="17">
        <v>104.552497901523</v>
      </c>
    </row>
    <row r="21" spans="1:22" ht="14.25" hidden="1" customHeight="1" x14ac:dyDescent="0.35">
      <c r="A21" s="12" t="s">
        <v>1776</v>
      </c>
      <c r="B21" s="12" t="s">
        <v>1777</v>
      </c>
      <c r="C21" s="12" t="s">
        <v>2028</v>
      </c>
      <c r="D21" s="12" t="s">
        <v>1778</v>
      </c>
      <c r="E21" s="14" t="s">
        <v>50</v>
      </c>
      <c r="F21" s="14">
        <v>25</v>
      </c>
      <c r="G21" s="14">
        <v>0</v>
      </c>
      <c r="H21" s="14">
        <v>0</v>
      </c>
      <c r="I21" s="14">
        <v>1</v>
      </c>
      <c r="J21" s="100">
        <f>SUMIFS(COMPOSICIÓN!J$2:J$1892,COMPOSICIÓN!A$2:A$1892,A21,COMPOSICIÓN!B$2:B$1892,"MAT")</f>
        <v>2664.5680255950401</v>
      </c>
      <c r="K21" s="100">
        <f>SUMIFS(COMPOSICIÓN!J$2:J$1892,COMPOSICIÓN!A$2:A$1892,A21,COMPOSICIÓN!B$2:B$1892,"MO")*I21</f>
        <v>94177.137883538904</v>
      </c>
      <c r="L21" s="100">
        <f>SUMIFS(COMPOSICIÓN!J$2:J$1892,COMPOSICIÓN!A$2:A$1892,A21,COMPOSICIÓN!B$2:B$1892,"EQ")</f>
        <v>2091.0499580304627</v>
      </c>
      <c r="M21" s="101">
        <f t="shared" si="0"/>
        <v>2664.5680255950401</v>
      </c>
      <c r="N21" s="101">
        <f t="shared" si="1"/>
        <v>3767.0855153415559</v>
      </c>
      <c r="O21" s="101">
        <f t="shared" si="2"/>
        <v>83.641998321218509</v>
      </c>
      <c r="P21" s="101">
        <f t="shared" si="3"/>
        <v>6515.2955392578142</v>
      </c>
      <c r="Q21" s="102">
        <f>COUNTIF(COMPOSICIÓN!$A:$A,A21)</f>
        <v>11</v>
      </c>
      <c r="R21" s="17" t="s">
        <v>1779</v>
      </c>
      <c r="S21" s="17" t="s">
        <v>1714</v>
      </c>
      <c r="T21" s="17">
        <v>2664.5680190867802</v>
      </c>
      <c r="U21" s="17">
        <v>3767.08551534156</v>
      </c>
      <c r="V21" s="17">
        <v>83.641998321218395</v>
      </c>
    </row>
    <row r="22" spans="1:22" ht="14.25" hidden="1" customHeight="1" x14ac:dyDescent="0.35">
      <c r="A22" s="12" t="s">
        <v>1780</v>
      </c>
      <c r="B22" s="12" t="s">
        <v>1781</v>
      </c>
      <c r="C22" s="114" t="s">
        <v>2003</v>
      </c>
      <c r="D22" s="12" t="s">
        <v>1782</v>
      </c>
      <c r="E22" s="14" t="s">
        <v>53</v>
      </c>
      <c r="F22" s="14">
        <v>25</v>
      </c>
      <c r="G22" s="14">
        <v>0</v>
      </c>
      <c r="H22" s="106">
        <v>0</v>
      </c>
      <c r="I22" s="106">
        <v>1</v>
      </c>
      <c r="J22" s="96">
        <f>SUMIFS(COMPOSICIÓN!J$2:J$1892,COMPOSICIÓN!A$2:A$1892,A22,COMPOSICIÓN!B$2:B$1892,"MAT")</f>
        <v>12754.673333999999</v>
      </c>
      <c r="K22" s="96">
        <f>SUMIFS(COMPOSICIÓN!J$2:J$1892,COMPOSICIÓN!A$2:A$1892,A22,COMPOSICIÓN!B$2:B$1892,"MO")*I22</f>
        <v>166309.27624912901</v>
      </c>
      <c r="L22" s="96">
        <f>SUMIFS(COMPOSICIÓN!J$2:J$1892,COMPOSICIÓN!A$2:A$1892,A22,COMPOSICIÓN!B$2:B$1892,"EQ")</f>
        <v>1004999.99196</v>
      </c>
      <c r="M22" s="101">
        <f t="shared" si="0"/>
        <v>12754.673333999999</v>
      </c>
      <c r="N22" s="101">
        <f t="shared" si="1"/>
        <v>6652.3710499651606</v>
      </c>
      <c r="O22" s="101">
        <f t="shared" si="2"/>
        <v>40199.999678400003</v>
      </c>
      <c r="P22" s="101">
        <f t="shared" si="3"/>
        <v>59607.044062365167</v>
      </c>
      <c r="Q22" s="102">
        <f>COUNTIF(COMPOSICIÓN!$A:$A,A22)</f>
        <v>4</v>
      </c>
      <c r="R22" s="17" t="s">
        <v>1783</v>
      </c>
      <c r="S22" s="17" t="s">
        <v>1714</v>
      </c>
      <c r="T22" s="17">
        <v>12754.6733337154</v>
      </c>
      <c r="U22" s="17">
        <v>6652.3710499651597</v>
      </c>
      <c r="V22" s="17">
        <v>40200</v>
      </c>
    </row>
    <row r="23" spans="1:22" ht="14.25" hidden="1" customHeight="1" x14ac:dyDescent="0.35">
      <c r="A23" s="105" t="s">
        <v>1784</v>
      </c>
      <c r="B23" s="105" t="s">
        <v>1785</v>
      </c>
      <c r="C23" s="105" t="s">
        <v>2017</v>
      </c>
      <c r="D23" s="105" t="s">
        <v>1786</v>
      </c>
      <c r="E23" s="106" t="s">
        <v>50</v>
      </c>
      <c r="F23" s="106">
        <v>7</v>
      </c>
      <c r="G23" s="106">
        <v>0</v>
      </c>
      <c r="H23" s="106">
        <v>0</v>
      </c>
      <c r="I23" s="106">
        <v>1</v>
      </c>
      <c r="J23" s="96">
        <f>SUMIFS(COMPOSICIÓN!J$2:J$1892,COMPOSICIÓN!A$2:A$1892,A23,COMPOSICIÓN!B$2:B$1892,"MAT")</f>
        <v>14000.87724</v>
      </c>
      <c r="K23" s="96">
        <f>SUMIFS(COMPOSICIÓN!J$2:J$1892,COMPOSICIÓN!A$2:A$1892,A23,COMPOSICIÓN!B$2:B$1892,"MO")*I23</f>
        <v>161417.63674380651</v>
      </c>
      <c r="L23" s="96">
        <f>SUMIFS(COMPOSICIÓN!J$2:J$1892,COMPOSICIÓN!A$2:A$1892,A23,COMPOSICIÓN!B$2:B$1892,"EQ")</f>
        <v>3836.7078361185131</v>
      </c>
      <c r="M23" s="103">
        <f t="shared" si="0"/>
        <v>14000.87724</v>
      </c>
      <c r="N23" s="103">
        <f t="shared" si="1"/>
        <v>23059.662391972357</v>
      </c>
      <c r="O23" s="103">
        <f t="shared" si="2"/>
        <v>548.10111944550192</v>
      </c>
      <c r="P23" s="103">
        <f t="shared" si="3"/>
        <v>37608.640751417857</v>
      </c>
      <c r="Q23" s="95">
        <f>COUNTIF(COMPOSICIÓN!$A:$A,A23)</f>
        <v>11</v>
      </c>
      <c r="R23" s="32"/>
      <c r="S23" s="32" t="s">
        <v>1714</v>
      </c>
      <c r="T23" s="32">
        <v>14000.877265932</v>
      </c>
      <c r="U23" s="32">
        <v>23059.662391972401</v>
      </c>
      <c r="V23" s="32">
        <v>548.10111944550101</v>
      </c>
    </row>
    <row r="24" spans="1:22" ht="14.25" hidden="1" customHeight="1" x14ac:dyDescent="0.35">
      <c r="A24" s="12" t="s">
        <v>1787</v>
      </c>
      <c r="B24" s="12" t="s">
        <v>1788</v>
      </c>
      <c r="C24" s="12" t="s">
        <v>2017</v>
      </c>
      <c r="D24" s="12" t="s">
        <v>1789</v>
      </c>
      <c r="E24" s="14" t="s">
        <v>50</v>
      </c>
      <c r="F24" s="14">
        <v>15</v>
      </c>
      <c r="G24" s="14">
        <v>0</v>
      </c>
      <c r="H24" s="106">
        <v>0</v>
      </c>
      <c r="I24" s="106">
        <v>1</v>
      </c>
      <c r="J24" s="96">
        <f>SUMIFS(COMPOSICIÓN!J$2:J$1892,COMPOSICIÓN!A$2:A$1892,A24,COMPOSICIÓN!B$2:B$1892,"MAT")</f>
        <v>10053.788125999999</v>
      </c>
      <c r="K24" s="96">
        <f>SUMIFS(COMPOSICIÓN!J$2:J$1892,COMPOSICIÓN!A$2:A$1892,A24,COMPOSICIÓN!B$2:B$1892,"MO")*I24</f>
        <v>161417.63674380651</v>
      </c>
      <c r="L24" s="96">
        <f>SUMIFS(COMPOSICIÓN!J$2:J$1892,COMPOSICIÓN!A$2:A$1892,A24,COMPOSICIÓN!B$2:B$1892,"EQ")</f>
        <v>3836.7078361185131</v>
      </c>
      <c r="M24" s="101">
        <f t="shared" si="0"/>
        <v>10053.788125999999</v>
      </c>
      <c r="N24" s="101">
        <f t="shared" si="1"/>
        <v>10761.175782920434</v>
      </c>
      <c r="O24" s="101">
        <f t="shared" si="2"/>
        <v>255.78052240790086</v>
      </c>
      <c r="P24" s="101">
        <f t="shared" si="3"/>
        <v>21070.744431328338</v>
      </c>
      <c r="Q24" s="102">
        <f>COUNTIF(COMPOSICIÓN!$A:$A,A24)</f>
        <v>11</v>
      </c>
      <c r="R24" s="17"/>
      <c r="S24" s="17" t="s">
        <v>1714</v>
      </c>
      <c r="T24" s="17">
        <v>10053.788111207799</v>
      </c>
      <c r="U24" s="17">
        <v>10761.1757829204</v>
      </c>
      <c r="V24" s="17">
        <v>255.780522407901</v>
      </c>
    </row>
    <row r="25" spans="1:22" ht="14.25" hidden="1" customHeight="1" x14ac:dyDescent="0.35">
      <c r="A25" s="105" t="s">
        <v>1790</v>
      </c>
      <c r="B25" s="105" t="s">
        <v>1791</v>
      </c>
      <c r="C25" s="105" t="s">
        <v>2017</v>
      </c>
      <c r="D25" s="105" t="s">
        <v>1792</v>
      </c>
      <c r="E25" s="106" t="s">
        <v>50</v>
      </c>
      <c r="F25" s="106">
        <v>15</v>
      </c>
      <c r="G25" s="106">
        <v>0</v>
      </c>
      <c r="H25" s="106">
        <v>0</v>
      </c>
      <c r="I25" s="106">
        <v>1</v>
      </c>
      <c r="J25" s="96">
        <f>SUMIFS(COMPOSICIÓN!J$2:J$1892,COMPOSICIÓN!A$2:A$1892,A25,COMPOSICIÓN!B$2:B$1892,"MAT")</f>
        <v>12465.037584000003</v>
      </c>
      <c r="K25" s="96">
        <f>SUMIFS(COMPOSICIÓN!J$2:J$1892,COMPOSICIÓN!A$2:A$1892,A25,COMPOSICIÓN!B$2:B$1892,"MO")*I25</f>
        <v>161417.63674380651</v>
      </c>
      <c r="L25" s="96">
        <f>SUMIFS(COMPOSICIÓN!J$2:J$1892,COMPOSICIÓN!A$2:A$1892,A25,COMPOSICIÓN!B$2:B$1892,"EQ")</f>
        <v>3836.7078361185131</v>
      </c>
      <c r="M25" s="103">
        <f t="shared" si="0"/>
        <v>12465.037584000003</v>
      </c>
      <c r="N25" s="103">
        <f t="shared" si="1"/>
        <v>10761.175782920434</v>
      </c>
      <c r="O25" s="103">
        <f t="shared" si="2"/>
        <v>255.78052240790086</v>
      </c>
      <c r="P25" s="103">
        <f t="shared" si="3"/>
        <v>23481.99388932834</v>
      </c>
      <c r="Q25" s="95">
        <f>COUNTIF(COMPOSICIÓN!$A:$A,A25)</f>
        <v>10</v>
      </c>
      <c r="R25" s="32"/>
      <c r="S25" s="32" t="s">
        <v>1714</v>
      </c>
      <c r="T25" s="32">
        <v>12465.037584</v>
      </c>
      <c r="U25" s="32">
        <v>10761.1757829204</v>
      </c>
      <c r="V25" s="32">
        <v>255.780522407901</v>
      </c>
    </row>
    <row r="26" spans="1:22" ht="14.25" hidden="1" customHeight="1" x14ac:dyDescent="0.35">
      <c r="A26" s="12" t="s">
        <v>1793</v>
      </c>
      <c r="B26" s="12" t="s">
        <v>1794</v>
      </c>
      <c r="C26" s="12" t="s">
        <v>2017</v>
      </c>
      <c r="D26" s="12" t="s">
        <v>1795</v>
      </c>
      <c r="E26" s="14" t="s">
        <v>50</v>
      </c>
      <c r="F26" s="14">
        <v>15</v>
      </c>
      <c r="G26" s="14">
        <v>0</v>
      </c>
      <c r="H26" s="14">
        <v>0</v>
      </c>
      <c r="I26" s="14">
        <v>1</v>
      </c>
      <c r="J26" s="100">
        <f>SUMIFS(COMPOSICIÓN!J$2:J$1892,COMPOSICIÓN!A$2:A$1892,A26,COMPOSICIÓN!B$2:B$1892,"MAT")</f>
        <v>17538.995242000001</v>
      </c>
      <c r="K26" s="100">
        <f>SUMIFS(COMPOSICIÓN!J$2:J$1892,COMPOSICIÓN!A$2:A$1892,A26,COMPOSICIÓN!B$2:B$1892,"MO")*I26</f>
        <v>161417.63674380651</v>
      </c>
      <c r="L26" s="100">
        <f>SUMIFS(COMPOSICIÓN!J$2:J$1892,COMPOSICIÓN!A$2:A$1892,A26,COMPOSICIÓN!B$2:B$1892,"EQ")</f>
        <v>3836.7078361185131</v>
      </c>
      <c r="M26" s="101">
        <f t="shared" si="0"/>
        <v>17538.995242000001</v>
      </c>
      <c r="N26" s="101">
        <f t="shared" si="1"/>
        <v>10761.175782920434</v>
      </c>
      <c r="O26" s="101">
        <f t="shared" si="2"/>
        <v>255.78052240790086</v>
      </c>
      <c r="P26" s="101">
        <f t="shared" si="3"/>
        <v>28555.951547328335</v>
      </c>
      <c r="Q26" s="102">
        <f>COUNTIF(COMPOSICIÓN!$A:$A,A26)</f>
        <v>11</v>
      </c>
      <c r="R26" s="17"/>
      <c r="S26" s="17" t="s">
        <v>1714</v>
      </c>
      <c r="T26" s="17">
        <v>17538.995251022599</v>
      </c>
      <c r="U26" s="17">
        <v>10761.1757829204</v>
      </c>
      <c r="V26" s="17">
        <v>255.780522407901</v>
      </c>
    </row>
    <row r="27" spans="1:22" ht="14.25" hidden="1" customHeight="1" x14ac:dyDescent="0.35">
      <c r="A27" s="105" t="s">
        <v>1796</v>
      </c>
      <c r="B27" s="105" t="s">
        <v>1797</v>
      </c>
      <c r="C27" s="105" t="s">
        <v>2017</v>
      </c>
      <c r="D27" s="105" t="s">
        <v>1798</v>
      </c>
      <c r="E27" s="106" t="s">
        <v>50</v>
      </c>
      <c r="F27" s="106">
        <v>4</v>
      </c>
      <c r="G27" s="106">
        <v>0</v>
      </c>
      <c r="H27" s="106">
        <v>0</v>
      </c>
      <c r="I27" s="106">
        <v>1</v>
      </c>
      <c r="J27" s="96">
        <f>SUMIFS(COMPOSICIÓN!J$2:J$1892,COMPOSICIÓN!A$2:A$1892,A27,COMPOSICIÓN!B$2:B$1892,"MAT")</f>
        <v>31798.203857589608</v>
      </c>
      <c r="K27" s="96">
        <f>SUMIFS(COMPOSICIÓN!J$2:J$1892,COMPOSICIÓN!A$2:A$1892,A27,COMPOSICIÓN!B$2:B$1892,"MO")*I27</f>
        <v>155365.99184638241</v>
      </c>
      <c r="L27" s="96">
        <f>SUMIFS(COMPOSICIÓN!J$2:J$1892,COMPOSICIÓN!A$2:A$1892,A27,COMPOSICIÓN!B$2:B$1892,"EQ")</f>
        <v>3836.7078361185131</v>
      </c>
      <c r="M27" s="103">
        <f t="shared" si="0"/>
        <v>31798.203857589608</v>
      </c>
      <c r="N27" s="103">
        <f t="shared" si="1"/>
        <v>38841.497961595604</v>
      </c>
      <c r="O27" s="103">
        <f t="shared" si="2"/>
        <v>959.17695902962828</v>
      </c>
      <c r="P27" s="103">
        <f t="shared" si="3"/>
        <v>71598.878778214843</v>
      </c>
      <c r="Q27" s="95">
        <f>COUNTIF(COMPOSICIÓN!$A:$A,A27)</f>
        <v>16</v>
      </c>
      <c r="R27" s="32"/>
      <c r="S27" s="32" t="s">
        <v>1714</v>
      </c>
      <c r="T27" s="32">
        <v>31798.203777716499</v>
      </c>
      <c r="U27" s="32">
        <v>38841.497961595604</v>
      </c>
      <c r="V27" s="32">
        <v>959.17695902962703</v>
      </c>
    </row>
    <row r="28" spans="1:22" ht="14.25" hidden="1" customHeight="1" x14ac:dyDescent="0.35">
      <c r="A28" s="12" t="s">
        <v>1799</v>
      </c>
      <c r="B28" s="12" t="s">
        <v>1800</v>
      </c>
      <c r="C28" s="12" t="s">
        <v>2017</v>
      </c>
      <c r="D28" s="12" t="s">
        <v>1801</v>
      </c>
      <c r="E28" s="14" t="s">
        <v>50</v>
      </c>
      <c r="F28" s="14">
        <v>15</v>
      </c>
      <c r="G28" s="14">
        <v>0</v>
      </c>
      <c r="H28" s="106">
        <v>0</v>
      </c>
      <c r="I28" s="106">
        <v>1</v>
      </c>
      <c r="J28" s="96">
        <f>SUMIFS(COMPOSICIÓN!J$2:J$1892,COMPOSICIÓN!A$2:A$1892,A28,COMPOSICIÓN!B$2:B$1892,"MAT")</f>
        <v>18207.260483999999</v>
      </c>
      <c r="K28" s="96">
        <f>SUMIFS(COMPOSICIÓN!J$2:J$1892,COMPOSICIÓN!A$2:A$1892,A28,COMPOSICIÓN!B$2:B$1892,"MO")*I28</f>
        <v>161417.63674380651</v>
      </c>
      <c r="L28" s="96">
        <f>SUMIFS(COMPOSICIÓN!J$2:J$1892,COMPOSICIÓN!A$2:A$1892,A28,COMPOSICIÓN!B$2:B$1892,"EQ")</f>
        <v>3836.7078361185131</v>
      </c>
      <c r="M28" s="101">
        <f t="shared" si="0"/>
        <v>18207.260483999999</v>
      </c>
      <c r="N28" s="101">
        <f t="shared" si="1"/>
        <v>10761.175782920434</v>
      </c>
      <c r="O28" s="101">
        <f t="shared" si="2"/>
        <v>255.78052240790086</v>
      </c>
      <c r="P28" s="101">
        <f t="shared" si="3"/>
        <v>29224.216789328337</v>
      </c>
      <c r="Q28" s="102">
        <f>COUNTIF(COMPOSICIÓN!$A:$A,A28)</f>
        <v>11</v>
      </c>
      <c r="R28" s="17"/>
      <c r="S28" s="17" t="s">
        <v>1714</v>
      </c>
      <c r="T28" s="17">
        <v>18207.260451115199</v>
      </c>
      <c r="U28" s="17">
        <v>10761.1757829204</v>
      </c>
      <c r="V28" s="17">
        <v>255.780522407901</v>
      </c>
    </row>
    <row r="29" spans="1:22" ht="14.25" hidden="1" customHeight="1" x14ac:dyDescent="0.35">
      <c r="A29" s="105" t="s">
        <v>1802</v>
      </c>
      <c r="B29" s="105" t="s">
        <v>1803</v>
      </c>
      <c r="C29" s="105" t="s">
        <v>2017</v>
      </c>
      <c r="D29" s="105" t="s">
        <v>1804</v>
      </c>
      <c r="E29" s="106" t="s">
        <v>98</v>
      </c>
      <c r="F29" s="106">
        <v>2</v>
      </c>
      <c r="G29" s="106">
        <v>0</v>
      </c>
      <c r="H29" s="106">
        <v>0</v>
      </c>
      <c r="I29" s="106">
        <v>1</v>
      </c>
      <c r="J29" s="96">
        <f>SUMIFS(COMPOSICIÓN!J$2:J$1892,COMPOSICIÓN!A$2:A$1892,A29,COMPOSICIÓN!B$2:B$1892,"MAT")</f>
        <v>4104.3831840000003</v>
      </c>
      <c r="K29" s="96">
        <f>SUMIFS(COMPOSICIÓN!J$2:J$1892,COMPOSICIÓN!A$2:A$1892,A29,COMPOSICIÓN!B$2:B$1892,"MO")*I29</f>
        <v>121063.22755785487</v>
      </c>
      <c r="L29" s="96">
        <f>SUMIFS(COMPOSICIÓN!J$2:J$1892,COMPOSICIÓN!A$2:A$1892,A29,COMPOSICIÓN!B$2:B$1892,"EQ")</f>
        <v>881.57561128248039</v>
      </c>
      <c r="M29" s="103">
        <f t="shared" si="0"/>
        <v>4104.3831840000003</v>
      </c>
      <c r="N29" s="103">
        <f t="shared" si="1"/>
        <v>60531.613778927436</v>
      </c>
      <c r="O29" s="103">
        <f t="shared" si="2"/>
        <v>440.7878056412402</v>
      </c>
      <c r="P29" s="103">
        <f t="shared" si="3"/>
        <v>65076.784768568672</v>
      </c>
      <c r="Q29" s="95">
        <f>COUNTIF(COMPOSICIÓN!$A:$A,A29)</f>
        <v>6</v>
      </c>
      <c r="R29" s="32"/>
      <c r="S29" s="32" t="s">
        <v>1714</v>
      </c>
      <c r="T29" s="32">
        <v>4104.3831840000003</v>
      </c>
      <c r="U29" s="32">
        <v>60531.6137789274</v>
      </c>
      <c r="V29" s="32">
        <v>440.78780564124003</v>
      </c>
    </row>
    <row r="30" spans="1:22" ht="14.25" hidden="1" customHeight="1" x14ac:dyDescent="0.35">
      <c r="A30" s="12" t="s">
        <v>1805</v>
      </c>
      <c r="B30" s="12" t="s">
        <v>1806</v>
      </c>
      <c r="C30" s="12" t="s">
        <v>2017</v>
      </c>
      <c r="D30" s="12" t="s">
        <v>1807</v>
      </c>
      <c r="E30" s="14" t="s">
        <v>98</v>
      </c>
      <c r="F30" s="14">
        <v>4</v>
      </c>
      <c r="G30" s="14">
        <v>0</v>
      </c>
      <c r="H30" s="106">
        <v>0</v>
      </c>
      <c r="I30" s="106">
        <v>1</v>
      </c>
      <c r="J30" s="96">
        <f>SUMIFS(COMPOSICIÓN!J$2:J$1892,COMPOSICIÓN!A$2:A$1892,A30,COMPOSICIÓN!B$2:B$1892,"MAT")</f>
        <v>1501.8311196</v>
      </c>
      <c r="K30" s="96">
        <f>SUMIFS(COMPOSICIÓN!J$2:J$1892,COMPOSICIÓN!A$2:A$1892,A30,COMPOSICIÓN!B$2:B$1892,"MO")*I30</f>
        <v>161417.63674380651</v>
      </c>
      <c r="L30" s="96">
        <f>SUMIFS(COMPOSICIÓN!J$2:J$1892,COMPOSICIÓN!A$2:A$1892,A30,COMPOSICIÓN!B$2:B$1892,"EQ")</f>
        <v>881.57561128248039</v>
      </c>
      <c r="M30" s="101">
        <f t="shared" si="0"/>
        <v>1501.8311196</v>
      </c>
      <c r="N30" s="101">
        <f t="shared" si="1"/>
        <v>40354.409185951627</v>
      </c>
      <c r="O30" s="101">
        <f t="shared" si="2"/>
        <v>220.3939028206201</v>
      </c>
      <c r="P30" s="101">
        <f t="shared" si="3"/>
        <v>42076.634208372248</v>
      </c>
      <c r="Q30" s="102">
        <f>COUNTIF(COMPOSICIÓN!$A:$A,A30)</f>
        <v>6</v>
      </c>
      <c r="R30" s="17"/>
      <c r="S30" s="17" t="s">
        <v>1714</v>
      </c>
      <c r="T30" s="17">
        <v>1501.8311196</v>
      </c>
      <c r="U30" s="17">
        <v>40354.409185951597</v>
      </c>
      <c r="V30" s="17">
        <v>220.39390282062001</v>
      </c>
    </row>
    <row r="31" spans="1:22" ht="14.25" hidden="1" customHeight="1" x14ac:dyDescent="0.35">
      <c r="A31" s="105" t="s">
        <v>1808</v>
      </c>
      <c r="B31" s="105" t="s">
        <v>1809</v>
      </c>
      <c r="C31" s="105" t="s">
        <v>2017</v>
      </c>
      <c r="D31" s="105" t="s">
        <v>1810</v>
      </c>
      <c r="E31" s="106" t="s">
        <v>36</v>
      </c>
      <c r="F31" s="106">
        <v>5</v>
      </c>
      <c r="G31" s="106">
        <v>0</v>
      </c>
      <c r="H31" s="106">
        <v>0</v>
      </c>
      <c r="I31" s="106">
        <v>1</v>
      </c>
      <c r="J31" s="96">
        <f>SUMIFS(COMPOSICIÓN!J$2:J$1892,COMPOSICIÓN!A$2:A$1892,A31,COMPOSICIÓN!B$2:B$1892,"MAT")</f>
        <v>310.90705919999999</v>
      </c>
      <c r="K31" s="96">
        <f>SUMIFS(COMPOSICIÓN!J$2:J$1892,COMPOSICIÓN!A$2:A$1892,A31,COMPOSICIÓN!B$2:B$1892,"MO")*I31</f>
        <v>161417.63674380651</v>
      </c>
      <c r="L31" s="96">
        <f>SUMIFS(COMPOSICIÓN!J$2:J$1892,COMPOSICIÓN!A$2:A$1892,A31,COMPOSICIÓN!B$2:B$1892,"EQ")</f>
        <v>1503.0433603973299</v>
      </c>
      <c r="M31" s="103">
        <f t="shared" si="0"/>
        <v>310.90705919999999</v>
      </c>
      <c r="N31" s="103">
        <f t="shared" si="1"/>
        <v>32283.527348761301</v>
      </c>
      <c r="O31" s="103">
        <f t="shared" si="2"/>
        <v>300.60867207946598</v>
      </c>
      <c r="P31" s="103">
        <f t="shared" si="3"/>
        <v>32895.043080040763</v>
      </c>
      <c r="Q31" s="95">
        <f>COUNTIF(COMPOSICIÓN!$A:$A,A31)</f>
        <v>7</v>
      </c>
      <c r="R31" s="32" t="s">
        <v>1811</v>
      </c>
      <c r="S31" s="32" t="s">
        <v>1714</v>
      </c>
      <c r="T31" s="32">
        <v>310.90702618799997</v>
      </c>
      <c r="U31" s="32">
        <v>32283.527348761301</v>
      </c>
      <c r="V31" s="32">
        <v>300.60867207946598</v>
      </c>
    </row>
    <row r="32" spans="1:22" ht="14.25" hidden="1" customHeight="1" x14ac:dyDescent="0.35">
      <c r="A32" s="12" t="s">
        <v>1812</v>
      </c>
      <c r="B32" s="12" t="s">
        <v>1813</v>
      </c>
      <c r="C32" s="12" t="s">
        <v>2005</v>
      </c>
      <c r="D32" s="12" t="s">
        <v>1814</v>
      </c>
      <c r="E32" s="14" t="s">
        <v>50</v>
      </c>
      <c r="F32" s="14">
        <v>28</v>
      </c>
      <c r="G32" s="14">
        <v>0</v>
      </c>
      <c r="H32" s="106">
        <v>0</v>
      </c>
      <c r="I32" s="106">
        <v>1</v>
      </c>
      <c r="J32" s="96">
        <f>SUMIFS(COMPOSICIÓN!J$2:J$1892,COMPOSICIÓN!A$2:A$1892,A32,COMPOSICIÓN!B$2:B$1892,"MAT")</f>
        <v>827.27861400000006</v>
      </c>
      <c r="K32" s="96">
        <f>SUMIFS(COMPOSICIÓN!J$2:J$1892,COMPOSICIÓN!A$2:A$1892,A32,COMPOSICIÓN!B$2:B$1892,"MO")*I32</f>
        <v>121073.33742764595</v>
      </c>
      <c r="L32" s="96">
        <f>SUMIFS(COMPOSICIÓN!J$2:J$1892,COMPOSICIÓN!A$2:A$1892,A32,COMPOSICIÓN!B$2:B$1892,"EQ")</f>
        <v>3836.7078361185131</v>
      </c>
      <c r="M32" s="101">
        <f t="shared" si="0"/>
        <v>827.27861400000006</v>
      </c>
      <c r="N32" s="101">
        <f t="shared" si="1"/>
        <v>4324.0477652730697</v>
      </c>
      <c r="O32" s="101">
        <f t="shared" si="2"/>
        <v>137.02527986137548</v>
      </c>
      <c r="P32" s="101">
        <f t="shared" si="3"/>
        <v>5288.3516591344451</v>
      </c>
      <c r="Q32" s="102">
        <f>COUNTIF(COMPOSICIÓN!$A:$A,A32)</f>
        <v>8</v>
      </c>
      <c r="R32" s="17"/>
      <c r="S32" s="17" t="s">
        <v>1714</v>
      </c>
      <c r="T32" s="17">
        <v>827.27861399999995</v>
      </c>
      <c r="U32" s="17">
        <v>4324.0477652730697</v>
      </c>
      <c r="V32" s="17">
        <v>137.025279861375</v>
      </c>
    </row>
    <row r="33" spans="1:22" ht="14.25" hidden="1" customHeight="1" x14ac:dyDescent="0.35">
      <c r="A33" s="105" t="s">
        <v>1815</v>
      </c>
      <c r="B33" s="105" t="s">
        <v>1816</v>
      </c>
      <c r="C33" s="105" t="s">
        <v>2020</v>
      </c>
      <c r="D33" s="105" t="s">
        <v>1817</v>
      </c>
      <c r="E33" s="106" t="s">
        <v>50</v>
      </c>
      <c r="F33" s="106">
        <v>6</v>
      </c>
      <c r="G33" s="106">
        <v>0</v>
      </c>
      <c r="H33" s="106">
        <v>0</v>
      </c>
      <c r="I33" s="106">
        <v>1</v>
      </c>
      <c r="J33" s="96">
        <f>SUMIFS(COMPOSICIÓN!J$2:J$1892,COMPOSICIÓN!A$2:A$1892,A33,COMPOSICIÓN!B$2:B$1892,"MAT")</f>
        <v>2891.2175380000003</v>
      </c>
      <c r="K33" s="96">
        <f>SUMIFS(COMPOSICIÓN!J$2:J$1892,COMPOSICIÓN!A$2:A$1892,A33,COMPOSICIÓN!B$2:B$1892,"MO")*I33</f>
        <v>137883.46214271284</v>
      </c>
      <c r="L33" s="96">
        <f>SUMIFS(COMPOSICIÓN!J$2:J$1892,COMPOSICIÓN!A$2:A$1892,A33,COMPOSICIÓN!B$2:B$1892,"EQ")</f>
        <v>3836.7078361185131</v>
      </c>
      <c r="M33" s="103">
        <f t="shared" si="0"/>
        <v>2891.2175380000003</v>
      </c>
      <c r="N33" s="103">
        <f t="shared" si="1"/>
        <v>22980.577023785474</v>
      </c>
      <c r="O33" s="103">
        <f t="shared" si="2"/>
        <v>639.45130601975222</v>
      </c>
      <c r="P33" s="103">
        <f t="shared" si="3"/>
        <v>26511.245867805228</v>
      </c>
      <c r="Q33" s="95">
        <f>COUNTIF(COMPOSICIÓN!$A:$A,A33)</f>
        <v>9</v>
      </c>
      <c r="R33" s="32"/>
      <c r="S33" s="32" t="s">
        <v>1714</v>
      </c>
      <c r="T33" s="32">
        <v>2891.2175379999999</v>
      </c>
      <c r="U33" s="32">
        <v>22980.577023785499</v>
      </c>
      <c r="V33" s="32">
        <v>639.45130601975097</v>
      </c>
    </row>
    <row r="34" spans="1:22" ht="14.25" hidden="1" customHeight="1" x14ac:dyDescent="0.35">
      <c r="A34" s="12" t="s">
        <v>1818</v>
      </c>
      <c r="B34" s="12" t="s">
        <v>1819</v>
      </c>
      <c r="C34" s="12" t="s">
        <v>2020</v>
      </c>
      <c r="D34" s="12" t="s">
        <v>1820</v>
      </c>
      <c r="E34" s="14" t="s">
        <v>50</v>
      </c>
      <c r="F34" s="14">
        <v>11.5</v>
      </c>
      <c r="G34" s="14">
        <v>0</v>
      </c>
      <c r="H34" s="106">
        <v>0</v>
      </c>
      <c r="I34" s="106">
        <v>1</v>
      </c>
      <c r="J34" s="96">
        <f>SUMIFS(COMPOSICIÓN!J$2:J$1892,COMPOSICIÓN!A$2:A$1892,A34,COMPOSICIÓN!B$2:B$1892,"MAT")</f>
        <v>4061.1650940000004</v>
      </c>
      <c r="K34" s="96">
        <f>SUMIFS(COMPOSICIÓN!J$2:J$1892,COMPOSICIÓN!A$2:A$1892,A34,COMPOSICIÓN!B$2:B$1892,"MO")*I34</f>
        <v>134521.43719969946</v>
      </c>
      <c r="L34" s="96">
        <f>SUMIFS(COMPOSICIÓN!J$2:J$1892,COMPOSICIÓN!A$2:A$1892,A34,COMPOSICIÓN!B$2:B$1892,"EQ")</f>
        <v>3836.7078361185131</v>
      </c>
      <c r="M34" s="101">
        <f t="shared" si="0"/>
        <v>4061.1650940000004</v>
      </c>
      <c r="N34" s="101">
        <f t="shared" si="1"/>
        <v>11697.516278234736</v>
      </c>
      <c r="O34" s="101">
        <f t="shared" ref="O34:O65" si="4">IF(F34=0,0,L34/F34)</f>
        <v>333.62676835813159</v>
      </c>
      <c r="P34" s="101">
        <f t="shared" si="3"/>
        <v>16092.308140592868</v>
      </c>
      <c r="Q34" s="102">
        <f>COUNTIF(COMPOSICIÓN!$A:$A,A34)</f>
        <v>9</v>
      </c>
      <c r="R34" s="17"/>
      <c r="S34" s="17" t="s">
        <v>1714</v>
      </c>
      <c r="T34" s="17">
        <v>4061.165094</v>
      </c>
      <c r="U34" s="17">
        <v>11697.5162782347</v>
      </c>
      <c r="V34" s="17">
        <v>333.62676835813102</v>
      </c>
    </row>
    <row r="35" spans="1:22" ht="14.25" hidden="1" customHeight="1" x14ac:dyDescent="0.35">
      <c r="A35" s="105" t="s">
        <v>1821</v>
      </c>
      <c r="B35" s="105" t="s">
        <v>1822</v>
      </c>
      <c r="C35" s="105" t="s">
        <v>2020</v>
      </c>
      <c r="D35" s="105" t="s">
        <v>1823</v>
      </c>
      <c r="E35" s="106" t="s">
        <v>50</v>
      </c>
      <c r="F35" s="106">
        <v>8</v>
      </c>
      <c r="G35" s="106">
        <v>0</v>
      </c>
      <c r="H35" s="106">
        <v>0</v>
      </c>
      <c r="I35" s="106">
        <v>1</v>
      </c>
      <c r="J35" s="96">
        <f>SUMIFS(COMPOSICIÓN!J$2:J$1892,COMPOSICIÓN!A$2:A$1892,A35,COMPOSICIÓN!B$2:B$1892,"MAT")</f>
        <v>4061.1650940000004</v>
      </c>
      <c r="K35" s="96">
        <f>SUMIFS(COMPOSICIÓN!J$2:J$1892,COMPOSICIÓN!A$2:A$1892,A35,COMPOSICIÓN!B$2:B$1892,"MO")*I35</f>
        <v>134521.43719969946</v>
      </c>
      <c r="L35" s="96">
        <f>SUMIFS(COMPOSICIÓN!J$2:J$1892,COMPOSICIÓN!A$2:A$1892,A35,COMPOSICIÓN!B$2:B$1892,"EQ")</f>
        <v>6906.9024451299219</v>
      </c>
      <c r="M35" s="103">
        <f t="shared" si="0"/>
        <v>4061.1650940000004</v>
      </c>
      <c r="N35" s="103">
        <f t="shared" si="1"/>
        <v>16815.179649962432</v>
      </c>
      <c r="O35" s="103">
        <f t="shared" si="4"/>
        <v>863.36280564124024</v>
      </c>
      <c r="P35" s="103">
        <f t="shared" si="3"/>
        <v>21739.707549603674</v>
      </c>
      <c r="Q35" s="95">
        <f>COUNTIF(COMPOSICIÓN!$A:$A,A35)</f>
        <v>10</v>
      </c>
      <c r="R35" s="32"/>
      <c r="S35" s="32" t="s">
        <v>1714</v>
      </c>
      <c r="T35" s="32">
        <v>4061.165094</v>
      </c>
      <c r="U35" s="32">
        <v>16815.1796499624</v>
      </c>
      <c r="V35" s="32">
        <v>863.36280564124002</v>
      </c>
    </row>
    <row r="36" spans="1:22" ht="14.25" hidden="1" customHeight="1" x14ac:dyDescent="0.35">
      <c r="A36" s="12" t="s">
        <v>1824</v>
      </c>
      <c r="B36" s="12" t="s">
        <v>1825</v>
      </c>
      <c r="C36" s="12" t="s">
        <v>2020</v>
      </c>
      <c r="D36" s="12" t="s">
        <v>1826</v>
      </c>
      <c r="E36" s="14" t="s">
        <v>53</v>
      </c>
      <c r="F36" s="14">
        <v>1.4</v>
      </c>
      <c r="G36" s="14">
        <v>0</v>
      </c>
      <c r="H36" s="14">
        <v>0</v>
      </c>
      <c r="I36" s="14">
        <v>1</v>
      </c>
      <c r="J36" s="100">
        <f>SUMIFS(COMPOSICIÓN!J$2:J$1892,COMPOSICIÓN!A$2:A$1892,A36,COMPOSICIÓN!B$2:B$1892,"MAT")</f>
        <v>67976.634462000002</v>
      </c>
      <c r="K36" s="100">
        <f>SUMIFS(COMPOSICIÓN!J$2:J$1892,COMPOSICIÓN!A$2:A$1892,A36,COMPOSICIÓN!B$2:B$1892,"MO")*I36</f>
        <v>137873.35227292177</v>
      </c>
      <c r="L36" s="100">
        <f>SUMIFS(COMPOSICIÓN!J$2:J$1892,COMPOSICIÓN!A$2:A$1892,A36,COMPOSICIÓN!B$2:B$1892,"EQ")</f>
        <v>3526.3024451299216</v>
      </c>
      <c r="M36" s="101">
        <f t="shared" si="0"/>
        <v>67976.634462000002</v>
      </c>
      <c r="N36" s="101">
        <f t="shared" si="1"/>
        <v>98480.965909229839</v>
      </c>
      <c r="O36" s="101">
        <f t="shared" si="4"/>
        <v>2518.787460807087</v>
      </c>
      <c r="P36" s="101">
        <f t="shared" si="3"/>
        <v>168976.38783203694</v>
      </c>
      <c r="Q36" s="102">
        <f>COUNTIF(COMPOSICIÓN!$A:$A,A36)</f>
        <v>8</v>
      </c>
      <c r="R36" s="17"/>
      <c r="S36" s="17" t="s">
        <v>1714</v>
      </c>
      <c r="T36" s="17">
        <v>67976.634462000002</v>
      </c>
      <c r="U36" s="17">
        <v>98480.965909229795</v>
      </c>
      <c r="V36" s="17">
        <v>2518.7874608070802</v>
      </c>
    </row>
    <row r="37" spans="1:22" ht="14.25" hidden="1" customHeight="1" x14ac:dyDescent="0.35">
      <c r="A37" s="105" t="s">
        <v>1827</v>
      </c>
      <c r="B37" s="105" t="s">
        <v>1828</v>
      </c>
      <c r="C37" s="105" t="s">
        <v>2020</v>
      </c>
      <c r="D37" s="105" t="s">
        <v>1829</v>
      </c>
      <c r="E37" s="106" t="s">
        <v>50</v>
      </c>
      <c r="F37" s="106">
        <v>15</v>
      </c>
      <c r="G37" s="106">
        <v>0</v>
      </c>
      <c r="H37" s="106">
        <v>0</v>
      </c>
      <c r="I37" s="106">
        <v>1</v>
      </c>
      <c r="J37" s="96">
        <f>SUMIFS(COMPOSICIÓN!J$2:J$1892,COMPOSICIÓN!A$2:A$1892,A37,COMPOSICIÓN!B$2:B$1892,"MAT")</f>
        <v>3420.3193200000005</v>
      </c>
      <c r="K37" s="96">
        <f>SUMIFS(COMPOSICIÓN!J$2:J$1892,COMPOSICIÓN!A$2:A$1892,A37,COMPOSICIÓN!B$2:B$1892,"MO")*I37</f>
        <v>124435.36237065932</v>
      </c>
      <c r="L37" s="96">
        <f>SUMIFS(COMPOSICIÓN!J$2:J$1892,COMPOSICIÓN!A$2:A$1892,A37,COMPOSICIÓN!B$2:B$1892,"EQ")</f>
        <v>3526.3024451299216</v>
      </c>
      <c r="M37" s="103">
        <f t="shared" si="0"/>
        <v>3420.3193200000005</v>
      </c>
      <c r="N37" s="103">
        <f t="shared" si="1"/>
        <v>8295.6908247106221</v>
      </c>
      <c r="O37" s="103">
        <f t="shared" si="4"/>
        <v>235.08682967532812</v>
      </c>
      <c r="P37" s="103">
        <f t="shared" si="3"/>
        <v>11951.096974385951</v>
      </c>
      <c r="Q37" s="95">
        <f>COUNTIF(COMPOSICIÓN!$A:$A,A37)</f>
        <v>6</v>
      </c>
      <c r="R37" s="32"/>
      <c r="S37" s="32" t="s">
        <v>1714</v>
      </c>
      <c r="T37" s="32">
        <v>3420.3193200000001</v>
      </c>
      <c r="U37" s="32">
        <v>8295.6908247106203</v>
      </c>
      <c r="V37" s="32">
        <v>235.086829675328</v>
      </c>
    </row>
    <row r="38" spans="1:22" ht="14.25" hidden="1" customHeight="1" x14ac:dyDescent="0.35">
      <c r="A38" s="12" t="s">
        <v>1830</v>
      </c>
      <c r="B38" s="12" t="s">
        <v>1831</v>
      </c>
      <c r="C38" s="12" t="s">
        <v>2020</v>
      </c>
      <c r="D38" s="12" t="s">
        <v>1832</v>
      </c>
      <c r="E38" s="14" t="s">
        <v>50</v>
      </c>
      <c r="F38" s="14">
        <v>35</v>
      </c>
      <c r="G38" s="14">
        <v>0</v>
      </c>
      <c r="H38" s="14">
        <v>0</v>
      </c>
      <c r="I38" s="14">
        <v>1</v>
      </c>
      <c r="J38" s="100">
        <f>SUMIFS(COMPOSICIÓN!J$2:J$1892,COMPOSICIÓN!A$2:A$1892,A38,COMPOSICIÓN!B$2:B$1892,"MAT")</f>
        <v>6717.8752369750009</v>
      </c>
      <c r="K38" s="100">
        <f>SUMIFS(COMPOSICIÓN!J$2:J$1892,COMPOSICIÓN!A$2:A$1892,A38,COMPOSICIÓN!B$2:B$1892,"MO")*I38</f>
        <v>390075.77234788064</v>
      </c>
      <c r="L38" s="100">
        <f>SUMIFS(COMPOSICIÓN!J$2:J$1892,COMPOSICIÓN!A$2:A$1892,A38,COMPOSICIÓN!B$2:B$1892,"EQ")</f>
        <v>4566.733893800445</v>
      </c>
      <c r="M38" s="101">
        <f t="shared" si="0"/>
        <v>6717.8752369750009</v>
      </c>
      <c r="N38" s="101">
        <f t="shared" si="1"/>
        <v>11145.022067082304</v>
      </c>
      <c r="O38" s="101">
        <f t="shared" si="4"/>
        <v>130.47811125144128</v>
      </c>
      <c r="P38" s="101">
        <f t="shared" si="3"/>
        <v>17993.375415308747</v>
      </c>
      <c r="Q38" s="102">
        <f>COUNTIF(COMPOSICIÓN!$A:$A,A38)</f>
        <v>8</v>
      </c>
      <c r="R38" s="17"/>
      <c r="S38" s="17" t="s">
        <v>1714</v>
      </c>
      <c r="T38" s="17">
        <v>6717.875236975</v>
      </c>
      <c r="U38" s="17">
        <v>11145.0220670823</v>
      </c>
      <c r="V38" s="17">
        <v>130.47811125144099</v>
      </c>
    </row>
    <row r="39" spans="1:22" ht="14.25" hidden="1" customHeight="1" x14ac:dyDescent="0.35">
      <c r="A39" s="105" t="s">
        <v>1833</v>
      </c>
      <c r="B39" s="105" t="s">
        <v>1834</v>
      </c>
      <c r="C39" s="105" t="s">
        <v>2020</v>
      </c>
      <c r="D39" s="105" t="s">
        <v>1835</v>
      </c>
      <c r="E39" s="106" t="s">
        <v>50</v>
      </c>
      <c r="F39" s="106">
        <v>15</v>
      </c>
      <c r="G39" s="106">
        <v>0</v>
      </c>
      <c r="H39" s="106">
        <v>0</v>
      </c>
      <c r="I39" s="106">
        <v>1</v>
      </c>
      <c r="J39" s="96">
        <f>SUMIFS(COMPOSICIÓN!J$2:J$1892,COMPOSICIÓN!A$2:A$1892,A39,COMPOSICIÓN!B$2:B$1892,"MAT")</f>
        <v>4136.3930700000001</v>
      </c>
      <c r="K39" s="96">
        <f>SUMIFS(COMPOSICIÓN!J$2:J$1892,COMPOSICIÓN!A$2:A$1892,A39,COMPOSICIÓN!B$2:B$1892,"MO")*I39</f>
        <v>124435.36237065932</v>
      </c>
      <c r="L39" s="96">
        <f>SUMIFS(COMPOSICIÓN!J$2:J$1892,COMPOSICIÓN!A$2:A$1892,A39,COMPOSICIÓN!B$2:B$1892,"EQ")</f>
        <v>3526.3024451299216</v>
      </c>
      <c r="M39" s="103">
        <f t="shared" si="0"/>
        <v>4136.3930700000001</v>
      </c>
      <c r="N39" s="103">
        <f t="shared" si="1"/>
        <v>8295.6908247106221</v>
      </c>
      <c r="O39" s="103">
        <f t="shared" si="4"/>
        <v>235.08682967532812</v>
      </c>
      <c r="P39" s="103">
        <f t="shared" si="3"/>
        <v>12667.170724385951</v>
      </c>
      <c r="Q39" s="95">
        <f>COUNTIF(COMPOSICIÓN!$A:$A,A39)</f>
        <v>7</v>
      </c>
      <c r="R39" s="32"/>
      <c r="S39" s="32" t="s">
        <v>1714</v>
      </c>
      <c r="T39" s="32">
        <v>4136.3930700000001</v>
      </c>
      <c r="U39" s="32">
        <v>8295.6908247106203</v>
      </c>
      <c r="V39" s="32">
        <v>235.086829675328</v>
      </c>
    </row>
    <row r="40" spans="1:22" ht="14.25" hidden="1" customHeight="1" x14ac:dyDescent="0.35">
      <c r="A40" s="105" t="s">
        <v>1836</v>
      </c>
      <c r="B40" s="105" t="s">
        <v>1837</v>
      </c>
      <c r="C40" s="105" t="s">
        <v>2019</v>
      </c>
      <c r="D40" s="105" t="s">
        <v>1838</v>
      </c>
      <c r="E40" s="106" t="s">
        <v>50</v>
      </c>
      <c r="F40" s="106">
        <v>11.5</v>
      </c>
      <c r="G40" s="106">
        <v>0</v>
      </c>
      <c r="H40" s="106">
        <v>0</v>
      </c>
      <c r="I40" s="106">
        <v>1</v>
      </c>
      <c r="J40" s="96">
        <f>SUMIFS(COMPOSICIÓN!J$2:J$1892,COMPOSICIÓN!A$2:A$1892,A40,COMPOSICIÓN!B$2:B$1892,"MAT")</f>
        <v>4104.3831840000003</v>
      </c>
      <c r="K40" s="96">
        <f>SUMIFS(COMPOSICIÓN!J$2:J$1892,COMPOSICIÓN!A$2:A$1892,A40,COMPOSICIÓN!B$2:B$1892,"MO")*I40</f>
        <v>127797.38731367271</v>
      </c>
      <c r="L40" s="96">
        <f>SUMIFS(COMPOSICIÓN!J$2:J$1892,COMPOSICIÓN!A$2:A$1892,A40,COMPOSICIÓN!B$2:B$1892,"EQ")</f>
        <v>3526.3024451299216</v>
      </c>
      <c r="M40" s="103">
        <f t="shared" si="0"/>
        <v>4104.3831840000003</v>
      </c>
      <c r="N40" s="103">
        <f t="shared" si="1"/>
        <v>11112.816288145452</v>
      </c>
      <c r="O40" s="103">
        <f t="shared" si="4"/>
        <v>306.63499522868881</v>
      </c>
      <c r="P40" s="103">
        <f t="shared" si="3"/>
        <v>15523.834467374141</v>
      </c>
      <c r="Q40" s="95">
        <f>COUNTIF(COMPOSICIÓN!$A:$A,A40)</f>
        <v>6</v>
      </c>
      <c r="R40" s="32"/>
      <c r="S40" s="32" t="s">
        <v>1714</v>
      </c>
      <c r="T40" s="32">
        <v>4104.3831840000003</v>
      </c>
      <c r="U40" s="32">
        <v>11112.816288145499</v>
      </c>
      <c r="V40" s="32">
        <v>306.63499522868801</v>
      </c>
    </row>
    <row r="41" spans="1:22" ht="14.25" hidden="1" customHeight="1" x14ac:dyDescent="0.35">
      <c r="A41" s="12" t="s">
        <v>1839</v>
      </c>
      <c r="B41" s="12" t="s">
        <v>1840</v>
      </c>
      <c r="C41" s="12" t="s">
        <v>2019</v>
      </c>
      <c r="D41" s="12" t="s">
        <v>1841</v>
      </c>
      <c r="E41" s="14" t="s">
        <v>50</v>
      </c>
      <c r="F41" s="14">
        <v>22</v>
      </c>
      <c r="G41" s="14">
        <v>0</v>
      </c>
      <c r="H41" s="14">
        <v>0</v>
      </c>
      <c r="I41" s="14">
        <v>1</v>
      </c>
      <c r="J41" s="100">
        <f>SUMIFS(COMPOSICIÓN!J$2:J$1892,COMPOSICIÓN!A$2:A$1892,A41,COMPOSICIÓN!B$2:B$1892,"MAT")</f>
        <v>4251.3981947210741</v>
      </c>
      <c r="K41" s="100">
        <f>SUMIFS(COMPOSICIÓN!J$2:J$1892,COMPOSICIÓN!A$2:A$1892,A41,COMPOSICIÓN!B$2:B$1892,"MO")*I41</f>
        <v>184342.31084052654</v>
      </c>
      <c r="L41" s="100">
        <f>SUMIFS(COMPOSICIÓN!J$2:J$1892,COMPOSICIÓN!A$2:A$1892,A41,COMPOSICIÓN!B$2:B$1892,"EQ")</f>
        <v>4182.0999160609254</v>
      </c>
      <c r="M41" s="101">
        <f t="shared" si="0"/>
        <v>4251.3981947210741</v>
      </c>
      <c r="N41" s="101">
        <f t="shared" si="1"/>
        <v>8379.195947296661</v>
      </c>
      <c r="O41" s="101">
        <f t="shared" si="4"/>
        <v>190.09545073004207</v>
      </c>
      <c r="P41" s="101">
        <f t="shared" si="3"/>
        <v>12820.689592747776</v>
      </c>
      <c r="Q41" s="102">
        <f>COUNTIF(COMPOSICIÓN!$A:$A,A41)</f>
        <v>14</v>
      </c>
      <c r="R41" s="17" t="s">
        <v>1842</v>
      </c>
      <c r="S41" s="17" t="s">
        <v>1714</v>
      </c>
      <c r="T41" s="17">
        <v>4251.3981882128101</v>
      </c>
      <c r="U41" s="17">
        <v>8379.1959472966591</v>
      </c>
      <c r="V41" s="17">
        <v>190.09545073004199</v>
      </c>
    </row>
    <row r="42" spans="1:22" ht="14.25" hidden="1" customHeight="1" x14ac:dyDescent="0.35">
      <c r="A42" s="12" t="s">
        <v>1843</v>
      </c>
      <c r="B42" s="12" t="s">
        <v>1844</v>
      </c>
      <c r="C42" s="12" t="s">
        <v>2019</v>
      </c>
      <c r="D42" s="12" t="s">
        <v>1845</v>
      </c>
      <c r="E42" s="14" t="s">
        <v>50</v>
      </c>
      <c r="F42" s="14">
        <v>17.5</v>
      </c>
      <c r="G42" s="14">
        <v>0</v>
      </c>
      <c r="H42" s="14">
        <v>0</v>
      </c>
      <c r="I42" s="14">
        <v>1</v>
      </c>
      <c r="J42" s="100">
        <f>SUMIFS(COMPOSICIÓN!J$2:J$1892,COMPOSICIÓN!A$2:A$1892,A42,COMPOSICIÓN!B$2:B$1892,"MAT")</f>
        <v>4251.3981947210741</v>
      </c>
      <c r="K42" s="100">
        <f>SUMIFS(COMPOSICIÓN!J$2:J$1892,COMPOSICIÓN!A$2:A$1892,A42,COMPOSICIÓN!B$2:B$1892,"MO")*I42</f>
        <v>166309.27624912901</v>
      </c>
      <c r="L42" s="100">
        <f>SUMIFS(COMPOSICIÓN!J$2:J$1892,COMPOSICIÓN!A$2:A$1892,A42,COMPOSICIÓN!B$2:B$1892,"EQ")</f>
        <v>4585.257100843327</v>
      </c>
      <c r="M42" s="101">
        <f t="shared" si="0"/>
        <v>4251.3981947210741</v>
      </c>
      <c r="N42" s="101">
        <f t="shared" si="1"/>
        <v>9503.3872142359432</v>
      </c>
      <c r="O42" s="101">
        <f t="shared" si="4"/>
        <v>262.01469147676153</v>
      </c>
      <c r="P42" s="101">
        <f t="shared" si="3"/>
        <v>14016.800100433778</v>
      </c>
      <c r="Q42" s="102">
        <f>COUNTIF(COMPOSICIÓN!$A:$A,A42)</f>
        <v>15</v>
      </c>
      <c r="R42" s="17" t="s">
        <v>1846</v>
      </c>
      <c r="S42" s="17" t="s">
        <v>1714</v>
      </c>
      <c r="T42" s="17">
        <v>4251.3981882128101</v>
      </c>
      <c r="U42" s="17">
        <v>9503.3872142359396</v>
      </c>
      <c r="V42" s="17">
        <v>262.01469147676102</v>
      </c>
    </row>
    <row r="43" spans="1:22" ht="14.25" hidden="1" customHeight="1" x14ac:dyDescent="0.35">
      <c r="A43" s="105" t="s">
        <v>1847</v>
      </c>
      <c r="B43" s="105" t="s">
        <v>1848</v>
      </c>
      <c r="C43" s="105" t="s">
        <v>2019</v>
      </c>
      <c r="D43" s="105" t="s">
        <v>1849</v>
      </c>
      <c r="E43" s="106" t="s">
        <v>50</v>
      </c>
      <c r="F43" s="106">
        <v>15.5</v>
      </c>
      <c r="G43" s="106">
        <v>0</v>
      </c>
      <c r="H43" s="106">
        <v>0</v>
      </c>
      <c r="I43" s="106">
        <v>1</v>
      </c>
      <c r="J43" s="96">
        <f>SUMIFS(COMPOSICIÓN!J$2:J$1892,COMPOSICIÓN!A$2:A$1892,A43,COMPOSICIÓN!B$2:B$1892,"MAT")</f>
        <v>2901.8566594008266</v>
      </c>
      <c r="K43" s="96">
        <f>SUMIFS(COMPOSICIÓN!J$2:J$1892,COMPOSICIÓN!A$2:A$1892,A43,COMPOSICIÓN!B$2:B$1892,"MO")*I43</f>
        <v>94177.137883538904</v>
      </c>
      <c r="L43" s="96">
        <f>SUMIFS(COMPOSICIÓN!J$2:J$1892,COMPOSICIÓN!A$2:A$1892,A43,COMPOSICIÓN!B$2:B$1892,"EQ")</f>
        <v>2091.0499580304627</v>
      </c>
      <c r="M43" s="103">
        <f t="shared" si="0"/>
        <v>2901.8566594008266</v>
      </c>
      <c r="N43" s="103">
        <f t="shared" si="1"/>
        <v>6075.9443795831548</v>
      </c>
      <c r="O43" s="103">
        <f t="shared" si="4"/>
        <v>134.90644890519113</v>
      </c>
      <c r="P43" s="103">
        <f t="shared" si="3"/>
        <v>9112.7074878891726</v>
      </c>
      <c r="Q43" s="95">
        <f>COUNTIF(COMPOSICIÓN!$A:$A,A43)</f>
        <v>11</v>
      </c>
      <c r="R43" s="32"/>
      <c r="S43" s="32" t="s">
        <v>1714</v>
      </c>
      <c r="T43" s="32">
        <v>2901.8566528925599</v>
      </c>
      <c r="U43" s="32">
        <v>6075.9443795831503</v>
      </c>
      <c r="V43" s="32">
        <v>134.90644890519101</v>
      </c>
    </row>
    <row r="44" spans="1:22" ht="14.25" hidden="1" customHeight="1" x14ac:dyDescent="0.35">
      <c r="A44" s="12" t="s">
        <v>1850</v>
      </c>
      <c r="B44" s="12" t="s">
        <v>1848</v>
      </c>
      <c r="C44" s="12" t="s">
        <v>2019</v>
      </c>
      <c r="D44" s="12" t="s">
        <v>1851</v>
      </c>
      <c r="E44" s="14" t="s">
        <v>50</v>
      </c>
      <c r="F44" s="14">
        <v>15.5</v>
      </c>
      <c r="G44" s="14">
        <v>0</v>
      </c>
      <c r="H44" s="106">
        <v>0</v>
      </c>
      <c r="I44" s="106">
        <v>1</v>
      </c>
      <c r="J44" s="96">
        <f>SUMIFS(COMPOSICIÓN!J$2:J$1892,COMPOSICIÓN!A$2:A$1892,A44,COMPOSICIÓN!B$2:B$1892,"MAT")</f>
        <v>2901.8566594008266</v>
      </c>
      <c r="K44" s="96">
        <f>SUMIFS(COMPOSICIÓN!J$2:J$1892,COMPOSICIÓN!A$2:A$1892,A44,COMPOSICIÓN!B$2:B$1892,"MO")*I44</f>
        <v>94177.137883538904</v>
      </c>
      <c r="L44" s="96">
        <f>SUMIFS(COMPOSICIÓN!J$2:J$1892,COMPOSICIÓN!A$2:A$1892,A44,COMPOSICIÓN!B$2:B$1892,"EQ")</f>
        <v>3884.3377457550941</v>
      </c>
      <c r="M44" s="101">
        <f t="shared" si="0"/>
        <v>2901.8566594008266</v>
      </c>
      <c r="N44" s="101">
        <f t="shared" si="1"/>
        <v>6075.9443795831548</v>
      </c>
      <c r="O44" s="101">
        <f t="shared" si="4"/>
        <v>250.60243521000606</v>
      </c>
      <c r="P44" s="101">
        <f t="shared" si="3"/>
        <v>9228.4034741939886</v>
      </c>
      <c r="Q44" s="102">
        <f>COUNTIF(COMPOSICIÓN!$A:$A,A44)</f>
        <v>13</v>
      </c>
      <c r="R44" s="17" t="s">
        <v>1852</v>
      </c>
      <c r="S44" s="17" t="s">
        <v>1714</v>
      </c>
      <c r="T44" s="17">
        <v>2901.8566528925599</v>
      </c>
      <c r="U44" s="17">
        <v>6075.9443795831503</v>
      </c>
      <c r="V44" s="17">
        <v>134.90644890519101</v>
      </c>
    </row>
    <row r="45" spans="1:22" ht="14.25" hidden="1" customHeight="1" x14ac:dyDescent="0.35">
      <c r="A45" s="105" t="s">
        <v>1853</v>
      </c>
      <c r="B45" s="105" t="s">
        <v>1854</v>
      </c>
      <c r="C45" s="105" t="s">
        <v>2019</v>
      </c>
      <c r="D45" s="105" t="s">
        <v>1855</v>
      </c>
      <c r="E45" s="106" t="s">
        <v>50</v>
      </c>
      <c r="F45" s="106">
        <v>8</v>
      </c>
      <c r="G45" s="106">
        <v>0</v>
      </c>
      <c r="H45" s="106">
        <v>0</v>
      </c>
      <c r="I45" s="106">
        <v>1</v>
      </c>
      <c r="J45" s="96">
        <f>SUMIFS(COMPOSICIÓN!J$2:J$1892,COMPOSICIÓN!A$2:A$1892,A45,COMPOSICIÓN!B$2:B$1892,"MAT")</f>
        <v>4461.1630382231388</v>
      </c>
      <c r="K45" s="96">
        <f>SUMIFS(COMPOSICIÓN!J$2:J$1892,COMPOSICIÓN!A$2:A$1892,A45,COMPOSICIÓN!B$2:B$1892,"MO")*I45</f>
        <v>94177.137883538904</v>
      </c>
      <c r="L45" s="96">
        <f>SUMIFS(COMPOSICIÓN!J$2:J$1892,COMPOSICIÓN!A$2:A$1892,A45,COMPOSICIÓN!B$2:B$1892,"EQ")</f>
        <v>2091.0499580304627</v>
      </c>
      <c r="M45" s="103">
        <f t="shared" si="0"/>
        <v>4461.1630382231388</v>
      </c>
      <c r="N45" s="103">
        <f t="shared" si="1"/>
        <v>11772.142235442363</v>
      </c>
      <c r="O45" s="103">
        <f t="shared" si="4"/>
        <v>261.38124475380783</v>
      </c>
      <c r="P45" s="103">
        <f t="shared" si="3"/>
        <v>16494.686518419308</v>
      </c>
      <c r="Q45" s="95">
        <f>COUNTIF(COMPOSICIÓN!$A:$A,A45)</f>
        <v>11</v>
      </c>
      <c r="R45" s="32" t="s">
        <v>1856</v>
      </c>
      <c r="S45" s="32" t="s">
        <v>1714</v>
      </c>
      <c r="T45" s="32">
        <v>4460.73119834711</v>
      </c>
      <c r="U45" s="32">
        <v>11772.142235442399</v>
      </c>
      <c r="V45" s="32">
        <v>261.38124475380698</v>
      </c>
    </row>
    <row r="46" spans="1:22" ht="14.25" hidden="1" customHeight="1" x14ac:dyDescent="0.35">
      <c r="A46" s="12" t="s">
        <v>1857</v>
      </c>
      <c r="B46" s="12" t="s">
        <v>1858</v>
      </c>
      <c r="C46" s="12" t="s">
        <v>2022</v>
      </c>
      <c r="D46" s="12" t="s">
        <v>1859</v>
      </c>
      <c r="E46" s="14" t="s">
        <v>50</v>
      </c>
      <c r="F46" s="14">
        <v>20</v>
      </c>
      <c r="G46" s="14">
        <v>0</v>
      </c>
      <c r="H46" s="106">
        <v>0</v>
      </c>
      <c r="I46" s="106">
        <v>1</v>
      </c>
      <c r="J46" s="96">
        <f>SUMIFS(COMPOSICIÓN!J$2:J$1892,COMPOSICIÓN!A$2:A$1892,A46,COMPOSICIÓN!B$2:B$1892,"MAT")</f>
        <v>6910.6244692855635</v>
      </c>
      <c r="K46" s="96">
        <f>SUMIFS(COMPOSICIÓN!J$2:J$1892,COMPOSICIÓN!A$2:A$1892,A46,COMPOSICIÓN!B$2:B$1892,"MO")*I46</f>
        <v>249463.91437369352</v>
      </c>
      <c r="L46" s="96">
        <f>SUMIFS(COMPOSICIÓN!J$2:J$1892,COMPOSICIÓN!A$2:A$1892,A46,COMPOSICIÓN!B$2:B$1892,"EQ")</f>
        <v>3949.6110686761381</v>
      </c>
      <c r="M46" s="101">
        <f t="shared" si="0"/>
        <v>6910.6244692855635</v>
      </c>
      <c r="N46" s="101">
        <f t="shared" si="1"/>
        <v>12473.195718684676</v>
      </c>
      <c r="O46" s="101">
        <f t="shared" si="4"/>
        <v>197.4805534338069</v>
      </c>
      <c r="P46" s="101">
        <f t="shared" si="3"/>
        <v>19581.300741404048</v>
      </c>
      <c r="Q46" s="102">
        <f>COUNTIF(COMPOSICIÓN!$A:$A,A46)</f>
        <v>13</v>
      </c>
      <c r="R46" s="17" t="s">
        <v>1860</v>
      </c>
      <c r="S46" s="17" t="s">
        <v>1714</v>
      </c>
      <c r="T46" s="17">
        <v>6929.17800826447</v>
      </c>
      <c r="U46" s="17">
        <v>12350.9047310516</v>
      </c>
      <c r="V46" s="17">
        <v>197.48055343380699</v>
      </c>
    </row>
    <row r="47" spans="1:22" ht="14.25" hidden="1" customHeight="1" x14ac:dyDescent="0.35">
      <c r="A47" s="105" t="s">
        <v>1861</v>
      </c>
      <c r="B47" s="105" t="s">
        <v>1862</v>
      </c>
      <c r="C47" s="105" t="s">
        <v>2022</v>
      </c>
      <c r="D47" s="105" t="s">
        <v>1863</v>
      </c>
      <c r="E47" s="106" t="s">
        <v>50</v>
      </c>
      <c r="F47" s="106">
        <v>13</v>
      </c>
      <c r="G47" s="106">
        <v>0</v>
      </c>
      <c r="H47" s="106">
        <v>0</v>
      </c>
      <c r="I47" s="106">
        <v>1</v>
      </c>
      <c r="J47" s="96">
        <f>SUMIFS(COMPOSICIÓN!J$2:J$1892,COMPOSICIÓN!A$2:A$1892,A47,COMPOSICIÓN!B$2:B$1892,"MAT")</f>
        <v>6932.2708051239679</v>
      </c>
      <c r="K47" s="96">
        <f>SUMIFS(COMPOSICIÓN!J$2:J$1892,COMPOSICIÓN!A$2:A$1892,A47,COMPOSICIÓN!B$2:B$1892,"MO")*I47</f>
        <v>166309.27624912901</v>
      </c>
      <c r="L47" s="96">
        <f>SUMIFS(COMPOSICIÓN!J$2:J$1892,COMPOSICIÓN!A$2:A$1892,A47,COMPOSICIÓN!B$2:B$1892,"EQ")</f>
        <v>3190.6447257539321</v>
      </c>
      <c r="M47" s="103">
        <f t="shared" si="0"/>
        <v>6932.2708051239679</v>
      </c>
      <c r="N47" s="103">
        <f t="shared" si="1"/>
        <v>12793.021249933001</v>
      </c>
      <c r="O47" s="103">
        <f t="shared" si="4"/>
        <v>245.4342096733794</v>
      </c>
      <c r="P47" s="103">
        <f t="shared" si="3"/>
        <v>19970.726264730347</v>
      </c>
      <c r="Q47" s="95">
        <f>COUNTIF(COMPOSICIÓN!$A:$A,A47)</f>
        <v>9</v>
      </c>
      <c r="R47" s="32" t="s">
        <v>1864</v>
      </c>
      <c r="S47" s="32" t="s">
        <v>1714</v>
      </c>
      <c r="T47" s="32">
        <v>6932.2708051239697</v>
      </c>
      <c r="U47" s="32">
        <v>12793.021249932999</v>
      </c>
      <c r="V47" s="32">
        <v>245.43420967338</v>
      </c>
    </row>
    <row r="48" spans="1:22" ht="14.25" hidden="1" customHeight="1" x14ac:dyDescent="0.35">
      <c r="A48" s="12" t="s">
        <v>1865</v>
      </c>
      <c r="B48" s="12" t="s">
        <v>1866</v>
      </c>
      <c r="C48" s="12" t="s">
        <v>2022</v>
      </c>
      <c r="D48" s="12" t="s">
        <v>1867</v>
      </c>
      <c r="E48" s="14" t="s">
        <v>50</v>
      </c>
      <c r="F48" s="14">
        <v>10</v>
      </c>
      <c r="G48" s="14">
        <v>0</v>
      </c>
      <c r="H48" s="106">
        <v>0</v>
      </c>
      <c r="I48" s="106">
        <v>1</v>
      </c>
      <c r="J48" s="96">
        <f>SUMIFS(COMPOSICIÓN!J$2:J$1892,COMPOSICIÓN!A$2:A$1892,A48,COMPOSICIÓN!B$2:B$1892,"MAT")</f>
        <v>6932.2708051239679</v>
      </c>
      <c r="K48" s="96">
        <f>SUMIFS(COMPOSICIÓN!J$2:J$1892,COMPOSICIÓN!A$2:A$1892,A48,COMPOSICIÓN!B$2:B$1892,"MO")*I48</f>
        <v>166309.27624912901</v>
      </c>
      <c r="L48" s="96">
        <f>SUMIFS(COMPOSICIÓN!J$2:J$1892,COMPOSICIÓN!A$2:A$1892,A48,COMPOSICIÓN!B$2:B$1892,"EQ")</f>
        <v>3190.6447257539321</v>
      </c>
      <c r="M48" s="101">
        <f t="shared" si="0"/>
        <v>6932.2708051239679</v>
      </c>
      <c r="N48" s="101">
        <f t="shared" si="1"/>
        <v>16630.9276249129</v>
      </c>
      <c r="O48" s="101">
        <f t="shared" si="4"/>
        <v>319.06447257539321</v>
      </c>
      <c r="P48" s="101">
        <f t="shared" si="3"/>
        <v>23882.262902612259</v>
      </c>
      <c r="Q48" s="102">
        <f>COUNTIF(COMPOSICIÓN!$A:$A,A48)</f>
        <v>9</v>
      </c>
      <c r="R48" s="17"/>
      <c r="S48" s="17" t="s">
        <v>1714</v>
      </c>
      <c r="T48" s="17">
        <v>6932.2708051239697</v>
      </c>
      <c r="U48" s="17">
        <v>16630.9276249129</v>
      </c>
      <c r="V48" s="17">
        <v>319.06447257539401</v>
      </c>
    </row>
    <row r="49" spans="1:22" ht="14.25" hidden="1" customHeight="1" x14ac:dyDescent="0.35">
      <c r="A49" s="105" t="s">
        <v>1868</v>
      </c>
      <c r="B49" s="105" t="s">
        <v>1869</v>
      </c>
      <c r="C49" s="105" t="s">
        <v>2023</v>
      </c>
      <c r="D49" s="105" t="s">
        <v>1870</v>
      </c>
      <c r="E49" s="106" t="s">
        <v>36</v>
      </c>
      <c r="F49" s="106">
        <v>30</v>
      </c>
      <c r="G49" s="106">
        <v>0</v>
      </c>
      <c r="H49" s="106">
        <v>0</v>
      </c>
      <c r="I49" s="106">
        <v>1</v>
      </c>
      <c r="J49" s="96">
        <f>SUMIFS(COMPOSICIÓN!J$2:J$1892,COMPOSICIÓN!A$2:A$1892,A49,COMPOSICIÓN!B$2:B$1892,"MAT")</f>
        <v>1001.4972036694214</v>
      </c>
      <c r="K49" s="96">
        <f>SUMIFS(COMPOSICIÓN!J$2:J$1892,COMPOSICIÓN!A$2:A$1892,A49,COMPOSICIÓN!B$2:B$1892,"MO")*I49</f>
        <v>166309.27624912901</v>
      </c>
      <c r="L49" s="96">
        <f>SUMIFS(COMPOSICIÓN!J$2:J$1892,COMPOSICIÓN!A$2:A$1892,A49,COMPOSICIÓN!B$2:B$1892,"EQ")</f>
        <v>3190.6447257539321</v>
      </c>
      <c r="M49" s="103">
        <f t="shared" si="0"/>
        <v>1001.4972036694214</v>
      </c>
      <c r="N49" s="103">
        <f t="shared" si="1"/>
        <v>5543.6425416376333</v>
      </c>
      <c r="O49" s="103">
        <f t="shared" si="4"/>
        <v>106.35482419179773</v>
      </c>
      <c r="P49" s="103">
        <f t="shared" si="3"/>
        <v>6651.4945694988528</v>
      </c>
      <c r="Q49" s="95">
        <f>COUNTIF(COMPOSICIÓN!$A:$A,A49)</f>
        <v>8</v>
      </c>
      <c r="R49" s="32" t="s">
        <v>1864</v>
      </c>
      <c r="S49" s="32" t="s">
        <v>1714</v>
      </c>
      <c r="T49" s="32">
        <v>1001.4972036694199</v>
      </c>
      <c r="U49" s="32">
        <v>5543.6425416376296</v>
      </c>
      <c r="V49" s="32">
        <v>106.354824191798</v>
      </c>
    </row>
    <row r="50" spans="1:22" ht="14.25" hidden="1" customHeight="1" x14ac:dyDescent="0.35">
      <c r="A50" s="105" t="s">
        <v>1871</v>
      </c>
      <c r="B50" s="105" t="s">
        <v>1872</v>
      </c>
      <c r="C50" s="105" t="s">
        <v>2023</v>
      </c>
      <c r="D50" s="105" t="s">
        <v>1873</v>
      </c>
      <c r="E50" s="106" t="s">
        <v>50</v>
      </c>
      <c r="F50" s="106">
        <v>11</v>
      </c>
      <c r="G50" s="106">
        <v>0</v>
      </c>
      <c r="H50" s="106">
        <v>0</v>
      </c>
      <c r="I50" s="106">
        <v>1</v>
      </c>
      <c r="J50" s="96">
        <f>SUMIFS(COMPOSICIÓN!J$2:J$1892,COMPOSICIÓN!A$2:A$1892,A50,COMPOSICIÓN!B$2:B$1892,"MAT")</f>
        <v>6691.9787732334698</v>
      </c>
      <c r="K50" s="96">
        <f>SUMIFS(COMPOSICIÓN!J$2:J$1892,COMPOSICIÓN!A$2:A$1892,A50,COMPOSICIÓN!B$2:B$1892,"MO")*I50</f>
        <v>166309.27624912901</v>
      </c>
      <c r="L50" s="96">
        <f>SUMIFS(COMPOSICIÓN!J$2:J$1892,COMPOSICIÓN!A$2:A$1892,A50,COMPOSICIÓN!B$2:B$1892,"EQ")</f>
        <v>3964.4463188661434</v>
      </c>
      <c r="M50" s="103">
        <f t="shared" si="0"/>
        <v>6691.9787732334698</v>
      </c>
      <c r="N50" s="103">
        <f t="shared" si="1"/>
        <v>15119.025113557182</v>
      </c>
      <c r="O50" s="103">
        <f t="shared" si="4"/>
        <v>360.40421080601305</v>
      </c>
      <c r="P50" s="103">
        <f t="shared" si="3"/>
        <v>22171.408097596664</v>
      </c>
      <c r="Q50" s="95">
        <f>COUNTIF(COMPOSICIÓN!$A:$A,A50)</f>
        <v>14</v>
      </c>
      <c r="R50" s="32" t="s">
        <v>1874</v>
      </c>
      <c r="S50" s="32" t="s">
        <v>1714</v>
      </c>
      <c r="T50" s="32">
        <v>6691.9787667252103</v>
      </c>
      <c r="U50" s="32">
        <v>15119.0251135572</v>
      </c>
      <c r="V50" s="32">
        <v>360.404210806013</v>
      </c>
    </row>
    <row r="51" spans="1:22" ht="14.25" hidden="1" customHeight="1" x14ac:dyDescent="0.35">
      <c r="A51" s="12" t="s">
        <v>1875</v>
      </c>
      <c r="B51" s="12" t="s">
        <v>1876</v>
      </c>
      <c r="C51" s="12" t="s">
        <v>2023</v>
      </c>
      <c r="D51" s="12" t="s">
        <v>1877</v>
      </c>
      <c r="E51" s="14" t="s">
        <v>50</v>
      </c>
      <c r="F51" s="14">
        <v>9.5</v>
      </c>
      <c r="G51" s="14">
        <v>0</v>
      </c>
      <c r="H51" s="14">
        <v>0</v>
      </c>
      <c r="I51" s="14">
        <v>1</v>
      </c>
      <c r="J51" s="100">
        <f>SUMIFS(COMPOSICIÓN!J$2:J$1892,COMPOSICIÓN!A$2:A$1892,A51,COMPOSICIÓN!B$2:B$1892,"MAT")</f>
        <v>10666.377278400001</v>
      </c>
      <c r="K51" s="100">
        <f>SUMIFS(COMPOSICIÓN!J$2:J$1892,COMPOSICIÓN!A$2:A$1892,A51,COMPOSICIÓN!B$2:B$1892,"MO")*I51</f>
        <v>166309.27624912901</v>
      </c>
      <c r="L51" s="100">
        <f>SUMIFS(COMPOSICIÓN!J$2:J$1892,COMPOSICIÓN!A$2:A$1892,A51,COMPOSICIÓN!B$2:B$1892,"EQ")</f>
        <v>2723.1401909404044</v>
      </c>
      <c r="M51" s="101">
        <f t="shared" si="0"/>
        <v>10666.377278400001</v>
      </c>
      <c r="N51" s="101">
        <f t="shared" si="1"/>
        <v>17506.239605171475</v>
      </c>
      <c r="O51" s="101">
        <f t="shared" si="4"/>
        <v>286.64633588846362</v>
      </c>
      <c r="P51" s="101">
        <f t="shared" si="3"/>
        <v>28459.263219459943</v>
      </c>
      <c r="Q51" s="102">
        <f>COUNTIF(COMPOSICIÓN!$A:$A,A51)</f>
        <v>12</v>
      </c>
      <c r="R51" s="17"/>
      <c r="S51" s="17" t="s">
        <v>1714</v>
      </c>
      <c r="T51" s="17">
        <v>10667.044969531</v>
      </c>
      <c r="U51" s="17">
        <v>17506.2396051715</v>
      </c>
      <c r="V51" s="17">
        <v>286.64633661581797</v>
      </c>
    </row>
    <row r="52" spans="1:22" ht="14.25" hidden="1" customHeight="1" x14ac:dyDescent="0.35">
      <c r="A52" s="105" t="s">
        <v>1878</v>
      </c>
      <c r="B52" s="105" t="s">
        <v>1879</v>
      </c>
      <c r="C52" s="105" t="s">
        <v>2023</v>
      </c>
      <c r="D52" s="105" t="s">
        <v>1880</v>
      </c>
      <c r="E52" s="106" t="s">
        <v>50</v>
      </c>
      <c r="F52" s="106">
        <v>9.5</v>
      </c>
      <c r="G52" s="106">
        <v>0</v>
      </c>
      <c r="H52" s="106">
        <v>0</v>
      </c>
      <c r="I52" s="106">
        <v>1</v>
      </c>
      <c r="J52" s="96">
        <f>SUMIFS(COMPOSICIÓN!J$2:J$1892,COMPOSICIÓN!A$2:A$1892,A52,COMPOSICIÓN!B$2:B$1892,"MAT")</f>
        <v>14748.067092800002</v>
      </c>
      <c r="K52" s="96">
        <f>SUMIFS(COMPOSICIÓN!J$2:J$1892,COMPOSICIÓN!A$2:A$1892,A52,COMPOSICIÓN!B$2:B$1892,"MO")*I52</f>
        <v>166309.27624912901</v>
      </c>
      <c r="L52" s="96">
        <f>SUMIFS(COMPOSICIÓN!J$2:J$1892,COMPOSICIÓN!A$2:A$1892,A52,COMPOSICIÓN!B$2:B$1892,"EQ")</f>
        <v>2723.1401909404044</v>
      </c>
      <c r="M52" s="103">
        <f t="shared" si="0"/>
        <v>14748.067092800002</v>
      </c>
      <c r="N52" s="103">
        <f t="shared" si="1"/>
        <v>17506.239605171475</v>
      </c>
      <c r="O52" s="103">
        <f t="shared" si="4"/>
        <v>286.64633588846362</v>
      </c>
      <c r="P52" s="103">
        <f t="shared" si="3"/>
        <v>32540.953033859943</v>
      </c>
      <c r="Q52" s="95">
        <f>COUNTIF(COMPOSICIÓN!$A:$A,A52)</f>
        <v>12</v>
      </c>
      <c r="R52" s="32"/>
      <c r="S52" s="32" t="s">
        <v>1714</v>
      </c>
      <c r="T52" s="32">
        <v>14748.700231069401</v>
      </c>
      <c r="U52" s="32">
        <v>17506.2396051715</v>
      </c>
      <c r="V52" s="32">
        <v>286.64633661581797</v>
      </c>
    </row>
    <row r="53" spans="1:22" ht="14.25" hidden="1" customHeight="1" x14ac:dyDescent="0.35">
      <c r="A53" s="105" t="s">
        <v>1881</v>
      </c>
      <c r="B53" s="105" t="s">
        <v>1882</v>
      </c>
      <c r="C53" s="105" t="s">
        <v>2023</v>
      </c>
      <c r="D53" s="105" t="s">
        <v>1883</v>
      </c>
      <c r="E53" s="106" t="s">
        <v>50</v>
      </c>
      <c r="F53" s="106">
        <v>9.5</v>
      </c>
      <c r="G53" s="106">
        <v>0</v>
      </c>
      <c r="H53" s="106">
        <v>0</v>
      </c>
      <c r="I53" s="106">
        <v>1</v>
      </c>
      <c r="J53" s="96">
        <f>SUMIFS(COMPOSICIÓN!J$2:J$1892,COMPOSICIÓN!A$2:A$1892,A53,COMPOSICIÓN!B$2:B$1892,"MAT")</f>
        <v>13947.2362928</v>
      </c>
      <c r="K53" s="96">
        <f>SUMIFS(COMPOSICIÓN!J$2:J$1892,COMPOSICIÓN!A$2:A$1892,A53,COMPOSICIÓN!B$2:B$1892,"MO")*I53</f>
        <v>166309.27624912901</v>
      </c>
      <c r="L53" s="96">
        <f>SUMIFS(COMPOSICIÓN!J$2:J$1892,COMPOSICIÓN!A$2:A$1892,A53,COMPOSICIÓN!B$2:B$1892,"EQ")</f>
        <v>2723.1401909404044</v>
      </c>
      <c r="M53" s="103">
        <f t="shared" si="0"/>
        <v>13947.2362928</v>
      </c>
      <c r="N53" s="103">
        <f t="shared" si="1"/>
        <v>17506.239605171475</v>
      </c>
      <c r="O53" s="103">
        <f t="shared" si="4"/>
        <v>286.64633588846362</v>
      </c>
      <c r="P53" s="103">
        <f t="shared" si="3"/>
        <v>31740.12223385994</v>
      </c>
      <c r="Q53" s="95">
        <f>COUNTIF(COMPOSICIÓN!$A:$A,A53)</f>
        <v>12</v>
      </c>
      <c r="R53" s="32"/>
      <c r="S53" s="32" t="s">
        <v>1714</v>
      </c>
      <c r="T53" s="32">
        <v>13947.895533138601</v>
      </c>
      <c r="U53" s="32">
        <v>17506.2396051715</v>
      </c>
      <c r="V53" s="32">
        <v>286.64633661581797</v>
      </c>
    </row>
    <row r="54" spans="1:22" ht="14.25" hidden="1" customHeight="1" x14ac:dyDescent="0.35">
      <c r="A54" s="12" t="s">
        <v>1884</v>
      </c>
      <c r="B54" s="12" t="s">
        <v>1885</v>
      </c>
      <c r="C54" s="12" t="s">
        <v>2023</v>
      </c>
      <c r="D54" s="12" t="s">
        <v>1886</v>
      </c>
      <c r="E54" s="14" t="s">
        <v>50</v>
      </c>
      <c r="F54" s="14">
        <v>10</v>
      </c>
      <c r="G54" s="14">
        <v>0</v>
      </c>
      <c r="H54" s="106">
        <v>0</v>
      </c>
      <c r="I54" s="106">
        <v>1</v>
      </c>
      <c r="J54" s="96">
        <f>SUMIFS(COMPOSICIÓN!J$2:J$1892,COMPOSICIÓN!A$2:A$1892,A54,COMPOSICIÓN!B$2:B$1892,"MAT")</f>
        <v>6636.1993523280007</v>
      </c>
      <c r="K54" s="96">
        <f>SUMIFS(COMPOSICIÓN!J$2:J$1892,COMPOSICIÓN!A$2:A$1892,A54,COMPOSICIÓN!B$2:B$1892,"MO")*I54</f>
        <v>166309.27624912901</v>
      </c>
      <c r="L54" s="96">
        <f>SUMIFS(COMPOSICIÓN!J$2:J$1892,COMPOSICIÓN!A$2:A$1892,A54,COMPOSICIÓN!B$2:B$1892,"EQ")</f>
        <v>2723.1401909404044</v>
      </c>
      <c r="M54" s="101">
        <f t="shared" si="0"/>
        <v>6636.1993523280007</v>
      </c>
      <c r="N54" s="101">
        <f t="shared" si="1"/>
        <v>16630.9276249129</v>
      </c>
      <c r="O54" s="101">
        <f t="shared" si="4"/>
        <v>272.31401909404042</v>
      </c>
      <c r="P54" s="101">
        <f t="shared" si="3"/>
        <v>23539.440996334939</v>
      </c>
      <c r="Q54" s="102">
        <f>COUNTIF(COMPOSICIÓN!$A:$A,A54)</f>
        <v>9</v>
      </c>
      <c r="R54" s="17"/>
      <c r="S54" s="17" t="s">
        <v>1714</v>
      </c>
      <c r="T54" s="17">
        <v>6636.1993553719003</v>
      </c>
      <c r="U54" s="17">
        <v>16630.9276249129</v>
      </c>
      <c r="V54" s="17">
        <v>272.31401978502703</v>
      </c>
    </row>
    <row r="55" spans="1:22" ht="14.25" hidden="1" customHeight="1" x14ac:dyDescent="0.35">
      <c r="A55" s="12" t="s">
        <v>1887</v>
      </c>
      <c r="B55" s="12" t="s">
        <v>1885</v>
      </c>
      <c r="C55" s="12" t="s">
        <v>2023</v>
      </c>
      <c r="D55" s="12" t="s">
        <v>1888</v>
      </c>
      <c r="E55" s="14" t="s">
        <v>50</v>
      </c>
      <c r="F55" s="14">
        <v>10</v>
      </c>
      <c r="G55" s="14">
        <v>0</v>
      </c>
      <c r="H55" s="106">
        <v>0</v>
      </c>
      <c r="I55" s="106">
        <v>1</v>
      </c>
      <c r="J55" s="96">
        <f>SUMIFS(COMPOSICIÓN!J$2:J$1892,COMPOSICIÓN!A$2:A$1892,A55,COMPOSICIÓN!B$2:B$1892,"MAT")</f>
        <v>6636.1993523280007</v>
      </c>
      <c r="K55" s="96">
        <f>SUMIFS(COMPOSICIÓN!J$2:J$1892,COMPOSICIÓN!A$2:A$1892,A55,COMPOSICIÓN!B$2:B$1892,"MO")*I55</f>
        <v>166309.27624912901</v>
      </c>
      <c r="L55" s="96">
        <f>SUMIFS(COMPOSICIÓN!J$2:J$1892,COMPOSICIÓN!A$2:A$1892,A55,COMPOSICIÓN!B$2:B$1892,"EQ")</f>
        <v>2723.1401909404044</v>
      </c>
      <c r="M55" s="101">
        <f t="shared" si="0"/>
        <v>6636.1993523280007</v>
      </c>
      <c r="N55" s="101">
        <f t="shared" si="1"/>
        <v>16630.9276249129</v>
      </c>
      <c r="O55" s="101">
        <f t="shared" si="4"/>
        <v>272.31401909404042</v>
      </c>
      <c r="P55" s="101">
        <f t="shared" si="3"/>
        <v>23539.440996334939</v>
      </c>
      <c r="Q55" s="102">
        <f>COUNTIF(COMPOSICIÓN!$A:$A,A55)</f>
        <v>9</v>
      </c>
      <c r="R55" s="17" t="s">
        <v>1889</v>
      </c>
      <c r="S55" s="17" t="s">
        <v>1714</v>
      </c>
      <c r="T55" s="17">
        <v>6636.1993553719003</v>
      </c>
      <c r="U55" s="17">
        <v>16630.9276249129</v>
      </c>
      <c r="V55" s="17">
        <v>272.31401978502703</v>
      </c>
    </row>
    <row r="56" spans="1:22" ht="14.25" hidden="1" customHeight="1" x14ac:dyDescent="0.35">
      <c r="A56" s="105" t="s">
        <v>1890</v>
      </c>
      <c r="B56" s="105" t="s">
        <v>1891</v>
      </c>
      <c r="C56" s="105" t="s">
        <v>2023</v>
      </c>
      <c r="D56" s="105" t="s">
        <v>1892</v>
      </c>
      <c r="E56" s="106" t="s">
        <v>50</v>
      </c>
      <c r="F56" s="106">
        <v>7</v>
      </c>
      <c r="G56" s="106">
        <v>0</v>
      </c>
      <c r="H56" s="106">
        <v>0</v>
      </c>
      <c r="I56" s="106">
        <v>1</v>
      </c>
      <c r="J56" s="96">
        <f>SUMIFS(COMPOSICIÓN!J$2:J$1892,COMPOSICIÓN!A$2:A$1892,A56,COMPOSICIÓN!B$2:B$1892,"MAT")</f>
        <v>16393.634110474999</v>
      </c>
      <c r="K56" s="96">
        <f>SUMIFS(COMPOSICIÓN!J$2:J$1892,COMPOSICIÓN!A$2:A$1892,A56,COMPOSICIÓN!B$2:B$1892,"MO")*I56</f>
        <v>166309.27624912901</v>
      </c>
      <c r="L56" s="96">
        <f>SUMIFS(COMPOSICIÓN!J$2:J$1892,COMPOSICIÓN!A$2:A$1892,A56,COMPOSICIÓN!B$2:B$1892,"EQ")</f>
        <v>2646.9500538035354</v>
      </c>
      <c r="M56" s="103">
        <f t="shared" si="0"/>
        <v>16393.634110474999</v>
      </c>
      <c r="N56" s="103">
        <f t="shared" si="1"/>
        <v>23758.468035589856</v>
      </c>
      <c r="O56" s="103">
        <f t="shared" si="4"/>
        <v>378.13572197193361</v>
      </c>
      <c r="P56" s="103">
        <f t="shared" si="3"/>
        <v>40530.237868036791</v>
      </c>
      <c r="Q56" s="95">
        <f>COUNTIF(COMPOSICIÓN!$A:$A,A56)</f>
        <v>13</v>
      </c>
      <c r="R56" s="32"/>
      <c r="S56" s="32" t="s">
        <v>1714</v>
      </c>
      <c r="T56" s="32">
        <v>16393.9365229168</v>
      </c>
      <c r="U56" s="32">
        <v>23758.4680355899</v>
      </c>
      <c r="V56" s="32">
        <v>378.13572295905698</v>
      </c>
    </row>
    <row r="57" spans="1:22" ht="14.25" hidden="1" customHeight="1" x14ac:dyDescent="0.35">
      <c r="A57" s="12" t="s">
        <v>1893</v>
      </c>
      <c r="B57" s="12" t="s">
        <v>1894</v>
      </c>
      <c r="C57" s="12" t="s">
        <v>2035</v>
      </c>
      <c r="D57" s="12" t="s">
        <v>1895</v>
      </c>
      <c r="E57" s="14" t="s">
        <v>50</v>
      </c>
      <c r="F57" s="14">
        <v>6</v>
      </c>
      <c r="G57" s="14">
        <v>0</v>
      </c>
      <c r="H57" s="106">
        <v>0</v>
      </c>
      <c r="I57" s="106">
        <v>1</v>
      </c>
      <c r="J57" s="96">
        <f>SUMIFS(COMPOSICIÓN!J$2:J$1892,COMPOSICIÓN!A$2:A$1892,A57,COMPOSICIÓN!B$2:B$1892,"MAT")</f>
        <v>28944.117259275001</v>
      </c>
      <c r="K57" s="96">
        <f>SUMIFS(COMPOSICIÓN!J$2:J$1892,COMPOSICIÓN!A$2:A$1892,A57,COMPOSICIÓN!B$2:B$1892,"MO")*I57</f>
        <v>166309.27624912901</v>
      </c>
      <c r="L57" s="96">
        <f>SUMIFS(COMPOSICIÓN!J$2:J$1892,COMPOSICIÓN!A$2:A$1892,A57,COMPOSICIÓN!B$2:B$1892,"EQ")</f>
        <v>2646.9500538035354</v>
      </c>
      <c r="M57" s="101">
        <f t="shared" si="0"/>
        <v>28944.117259275001</v>
      </c>
      <c r="N57" s="101">
        <f t="shared" si="1"/>
        <v>27718.212708188166</v>
      </c>
      <c r="O57" s="101">
        <f t="shared" si="4"/>
        <v>441.15834230058925</v>
      </c>
      <c r="P57" s="101">
        <f t="shared" si="3"/>
        <v>57103.488309763758</v>
      </c>
      <c r="Q57" s="102">
        <f>COUNTIF(COMPOSICIÓN!$A:$A,A57)</f>
        <v>14</v>
      </c>
      <c r="R57" s="17"/>
      <c r="S57" s="17" t="s">
        <v>1714</v>
      </c>
      <c r="T57" s="17">
        <v>28944.105044419699</v>
      </c>
      <c r="U57" s="17">
        <v>27718.212708188199</v>
      </c>
      <c r="V57" s="17">
        <v>441.158343452233</v>
      </c>
    </row>
    <row r="58" spans="1:22" ht="14.25" hidden="1" customHeight="1" x14ac:dyDescent="0.35">
      <c r="A58" s="105" t="s">
        <v>1896</v>
      </c>
      <c r="B58" s="105" t="s">
        <v>1897</v>
      </c>
      <c r="C58" s="12" t="s">
        <v>2035</v>
      </c>
      <c r="D58" s="105" t="s">
        <v>1898</v>
      </c>
      <c r="E58" s="106" t="s">
        <v>50</v>
      </c>
      <c r="F58" s="106">
        <v>11</v>
      </c>
      <c r="G58" s="106">
        <v>0</v>
      </c>
      <c r="H58" s="106">
        <v>0</v>
      </c>
      <c r="I58" s="106">
        <v>1</v>
      </c>
      <c r="J58" s="96">
        <f>SUMIFS(COMPOSICIÓN!J$2:J$1892,COMPOSICIÓN!A$2:A$1892,A58,COMPOSICIÓN!B$2:B$1892,"MAT")</f>
        <v>11506.657448550002</v>
      </c>
      <c r="K58" s="96">
        <f>SUMIFS(COMPOSICIÓN!J$2:J$1892,COMPOSICIÓN!A$2:A$1892,A58,COMPOSICIÓN!B$2:B$1892,"MO")*I58</f>
        <v>166309.27624912901</v>
      </c>
      <c r="L58" s="96">
        <f>SUMIFS(COMPOSICIÓN!J$2:J$1892,COMPOSICIÓN!A$2:A$1892,A58,COMPOSICIÓN!B$2:B$1892,"EQ")</f>
        <v>2646.9500538035354</v>
      </c>
      <c r="M58" s="103">
        <f t="shared" si="0"/>
        <v>11506.657448550002</v>
      </c>
      <c r="N58" s="103">
        <f t="shared" si="1"/>
        <v>15119.025113557182</v>
      </c>
      <c r="O58" s="103">
        <f t="shared" si="4"/>
        <v>240.63182307304868</v>
      </c>
      <c r="P58" s="103">
        <f t="shared" si="3"/>
        <v>26866.314385180234</v>
      </c>
      <c r="Q58" s="95">
        <f>COUNTIF(COMPOSICIÓN!$A:$A,A58)</f>
        <v>12</v>
      </c>
      <c r="R58" s="32" t="s">
        <v>1899</v>
      </c>
      <c r="S58" s="32" t="s">
        <v>1714</v>
      </c>
      <c r="T58" s="32">
        <v>11507.596936772999</v>
      </c>
      <c r="U58" s="32">
        <v>15119.0251135572</v>
      </c>
      <c r="V58" s="32">
        <v>441.158343452233</v>
      </c>
    </row>
    <row r="59" spans="1:22" ht="14.25" hidden="1" customHeight="1" x14ac:dyDescent="0.35">
      <c r="A59" s="12" t="s">
        <v>1900</v>
      </c>
      <c r="B59" s="12" t="s">
        <v>1901</v>
      </c>
      <c r="C59" s="12" t="s">
        <v>2035</v>
      </c>
      <c r="D59" s="12" t="s">
        <v>1902</v>
      </c>
      <c r="E59" s="14" t="s">
        <v>50</v>
      </c>
      <c r="F59" s="14">
        <v>20</v>
      </c>
      <c r="G59" s="14">
        <v>0</v>
      </c>
      <c r="H59" s="14">
        <v>0</v>
      </c>
      <c r="I59" s="14">
        <v>1</v>
      </c>
      <c r="J59" s="100">
        <f>SUMIFS(COMPOSICIÓN!J$2:J$1892,COMPOSICIÓN!A$2:A$1892,A59,COMPOSICIÓN!B$2:B$1892,"MAT")</f>
        <v>4981.3708807851235</v>
      </c>
      <c r="K59" s="100">
        <f>SUMIFS(COMPOSICIÓN!J$2:J$1892,COMPOSICIÓN!A$2:A$1892,A59,COMPOSICIÓN!B$2:B$1892,"MO")*I59</f>
        <v>166309.27624912901</v>
      </c>
      <c r="L59" s="100">
        <f>SUMIFS(COMPOSICIÓN!J$2:J$1892,COMPOSICIÓN!A$2:A$1892,A59,COMPOSICIÓN!B$2:B$1892,"EQ")</f>
        <v>2091.0499580304627</v>
      </c>
      <c r="M59" s="101">
        <f t="shared" si="0"/>
        <v>4981.3708807851235</v>
      </c>
      <c r="N59" s="101">
        <f t="shared" si="1"/>
        <v>8315.4638124564499</v>
      </c>
      <c r="O59" s="101">
        <f t="shared" si="4"/>
        <v>104.55249790152314</v>
      </c>
      <c r="P59" s="101">
        <f t="shared" si="3"/>
        <v>13401.387191143096</v>
      </c>
      <c r="Q59" s="102">
        <f>COUNTIF(COMPOSICIÓN!$A:$A,A59)</f>
        <v>13</v>
      </c>
      <c r="R59" s="17" t="s">
        <v>1903</v>
      </c>
      <c r="S59" s="17" t="s">
        <v>1714</v>
      </c>
      <c r="T59" s="17">
        <v>4981.3708677686</v>
      </c>
      <c r="U59" s="17">
        <v>8315.4638124564499</v>
      </c>
      <c r="V59" s="17">
        <v>104.552497901523</v>
      </c>
    </row>
    <row r="60" spans="1:22" ht="14.25" hidden="1" customHeight="1" x14ac:dyDescent="0.35">
      <c r="A60" s="105" t="s">
        <v>1904</v>
      </c>
      <c r="B60" s="105" t="s">
        <v>1905</v>
      </c>
      <c r="C60" s="12" t="s">
        <v>2035</v>
      </c>
      <c r="D60" s="105" t="s">
        <v>1906</v>
      </c>
      <c r="E60" s="106" t="s">
        <v>50</v>
      </c>
      <c r="F60" s="106">
        <v>15</v>
      </c>
      <c r="G60" s="106">
        <v>0</v>
      </c>
      <c r="H60" s="106">
        <v>0</v>
      </c>
      <c r="I60" s="106">
        <v>1</v>
      </c>
      <c r="J60" s="96">
        <f>SUMIFS(COMPOSICIÓN!J$2:J$1892,COMPOSICIÓN!A$2:A$1892,A60,COMPOSICIÓN!B$2:B$1892,"MAT")</f>
        <v>3751.4788050000006</v>
      </c>
      <c r="K60" s="96">
        <f>SUMIFS(COMPOSICIÓN!J$2:J$1892,COMPOSICIÓN!A$2:A$1892,A60,COMPOSICIÓN!B$2:B$1892,"MO")*I60</f>
        <v>161417.63674380651</v>
      </c>
      <c r="L60" s="96">
        <f>SUMIFS(COMPOSICIÓN!J$2:J$1892,COMPOSICIÓN!A$2:A$1892,A60,COMPOSICIÓN!B$2:B$1892,"EQ")</f>
        <v>3836.7078361185131</v>
      </c>
      <c r="M60" s="103">
        <f t="shared" si="0"/>
        <v>3751.4788050000006</v>
      </c>
      <c r="N60" s="103">
        <f t="shared" si="1"/>
        <v>10761.175782920434</v>
      </c>
      <c r="O60" s="103">
        <f t="shared" si="4"/>
        <v>255.78052240790086</v>
      </c>
      <c r="P60" s="103">
        <f t="shared" si="3"/>
        <v>14768.435110328335</v>
      </c>
      <c r="Q60" s="95">
        <f>COUNTIF(COMPOSICIÓN!$A:$A,A60)</f>
        <v>10</v>
      </c>
      <c r="R60" s="32"/>
      <c r="S60" s="32" t="s">
        <v>1714</v>
      </c>
      <c r="T60" s="32">
        <v>3751.4788050000002</v>
      </c>
      <c r="U60" s="32">
        <v>10761.1757829204</v>
      </c>
      <c r="V60" s="32">
        <v>255.780522407901</v>
      </c>
    </row>
    <row r="61" spans="1:22" ht="14.25" hidden="1" customHeight="1" x14ac:dyDescent="0.35">
      <c r="A61" s="12" t="s">
        <v>1907</v>
      </c>
      <c r="B61" s="12" t="s">
        <v>1908</v>
      </c>
      <c r="C61" s="12" t="s">
        <v>2005</v>
      </c>
      <c r="D61" s="12" t="s">
        <v>1909</v>
      </c>
      <c r="E61" s="14" t="s">
        <v>50</v>
      </c>
      <c r="F61" s="14">
        <v>25</v>
      </c>
      <c r="G61" s="14">
        <v>0</v>
      </c>
      <c r="H61" s="14">
        <v>0</v>
      </c>
      <c r="I61" s="14">
        <v>1</v>
      </c>
      <c r="J61" s="100">
        <f>SUMIFS(COMPOSICIÓN!J$2:J$1892,COMPOSICIÓN!A$2:A$1892,A61,COMPOSICIÓN!B$2:B$1892,"MAT")</f>
        <v>8716.8274071009109</v>
      </c>
      <c r="K61" s="100">
        <f>SUMIFS(COMPOSICIÓN!J$2:J$1892,COMPOSICIÓN!A$2:A$1892,A61,COMPOSICIÓN!B$2:B$1892,"MO")*I61</f>
        <v>161417.63674380651</v>
      </c>
      <c r="L61" s="100">
        <f>SUMIFS(COMPOSICIÓN!J$2:J$1892,COMPOSICIÓN!A$2:A$1892,A61,COMPOSICIÓN!B$2:B$1892,"EQ")</f>
        <v>874.41130614484587</v>
      </c>
      <c r="M61" s="101">
        <f t="shared" si="0"/>
        <v>8716.8274071009109</v>
      </c>
      <c r="N61" s="101">
        <f t="shared" si="1"/>
        <v>6456.7054697522599</v>
      </c>
      <c r="O61" s="101">
        <f t="shared" si="4"/>
        <v>34.976452245793837</v>
      </c>
      <c r="P61" s="101">
        <f t="shared" si="3"/>
        <v>15208.509329098964</v>
      </c>
      <c r="Q61" s="102">
        <f>COUNTIF(COMPOSICIÓN!$A:$A,A61)</f>
        <v>11</v>
      </c>
      <c r="R61" s="17"/>
      <c r="S61" s="17" t="s">
        <v>1714</v>
      </c>
      <c r="T61" s="17">
        <v>8716.8187099632705</v>
      </c>
      <c r="U61" s="17">
        <v>6456.7054697522599</v>
      </c>
      <c r="V61" s="17">
        <v>34.976452245793801</v>
      </c>
    </row>
    <row r="62" spans="1:22" ht="14.25" hidden="1" customHeight="1" x14ac:dyDescent="0.35">
      <c r="A62" s="12" t="s">
        <v>1910</v>
      </c>
      <c r="B62" s="12" t="s">
        <v>1911</v>
      </c>
      <c r="C62" s="12" t="s">
        <v>2027</v>
      </c>
      <c r="D62" s="12" t="s">
        <v>1912</v>
      </c>
      <c r="E62" s="14" t="s">
        <v>50</v>
      </c>
      <c r="F62" s="14">
        <v>50</v>
      </c>
      <c r="G62" s="14">
        <v>0</v>
      </c>
      <c r="H62" s="14">
        <v>0</v>
      </c>
      <c r="I62" s="14">
        <v>1</v>
      </c>
      <c r="J62" s="100">
        <f>SUMIFS(COMPOSICIÓN!J$2:J$1892,COMPOSICIÓN!A$2:A$1892,A62,COMPOSICIÓN!B$2:B$1892,"MAT")</f>
        <v>8765.0843105371969</v>
      </c>
      <c r="K62" s="100">
        <f>SUMIFS(COMPOSICIÓN!J$2:J$1892,COMPOSICIÓN!A$2:A$1892,A62,COMPOSICIÓN!B$2:B$1892,"MO")*I62</f>
        <v>161417.63674380651</v>
      </c>
      <c r="L62" s="100">
        <f>SUMIFS(COMPOSICIÓN!J$2:J$1892,COMPOSICIÓN!A$2:A$1892,A62,COMPOSICIÓN!B$2:B$1892,"EQ")</f>
        <v>2025.776635109419</v>
      </c>
      <c r="M62" s="101">
        <f t="shared" si="0"/>
        <v>8765.0843105371969</v>
      </c>
      <c r="N62" s="101">
        <f t="shared" si="1"/>
        <v>3228.3527348761299</v>
      </c>
      <c r="O62" s="101">
        <f t="shared" si="4"/>
        <v>40.515532702188381</v>
      </c>
      <c r="P62" s="101">
        <f t="shared" si="3"/>
        <v>12033.952578115515</v>
      </c>
      <c r="Q62" s="102">
        <f>COUNTIF(COMPOSICIÓN!$A:$A,A62)</f>
        <v>10</v>
      </c>
      <c r="R62" s="17" t="s">
        <v>1913</v>
      </c>
      <c r="S62" s="17" t="s">
        <v>1714</v>
      </c>
      <c r="T62" s="17">
        <v>8638.6330578512407</v>
      </c>
      <c r="U62" s="17">
        <v>3228.3527348761299</v>
      </c>
      <c r="V62" s="17">
        <v>40.515532702188302</v>
      </c>
    </row>
    <row r="63" spans="1:22" ht="14.25" hidden="1" customHeight="1" x14ac:dyDescent="0.35">
      <c r="A63" s="105" t="s">
        <v>1914</v>
      </c>
      <c r="B63" s="105" t="s">
        <v>1915</v>
      </c>
      <c r="C63" s="105" t="s">
        <v>2021</v>
      </c>
      <c r="D63" s="105" t="s">
        <v>1916</v>
      </c>
      <c r="E63" s="106" t="s">
        <v>50</v>
      </c>
      <c r="F63" s="106">
        <v>35</v>
      </c>
      <c r="G63" s="106">
        <v>0</v>
      </c>
      <c r="H63" s="106">
        <v>0</v>
      </c>
      <c r="I63" s="106">
        <v>1</v>
      </c>
      <c r="J63" s="96">
        <f>SUMIFS(COMPOSICIÓN!J$2:J$1892,COMPOSICIÓN!A$2:A$1892,A63,COMPOSICIÓN!B$2:B$1892,"MAT")</f>
        <v>13018.852000000001</v>
      </c>
      <c r="K63" s="96">
        <f>SUMIFS(COMPOSICIÓN!J$2:J$1892,COMPOSICIÓN!A$2:A$1892,A63,COMPOSICIÓN!B$2:B$1892,"MO")*I63</f>
        <v>267170.02453953039</v>
      </c>
      <c r="L63" s="96">
        <f>SUMIFS(COMPOSICIÓN!J$2:J$1892,COMPOSICIÓN!A$2:A$1892,A63,COMPOSICIÓN!B$2:B$1892,"EQ")</f>
        <v>44106.681794836579</v>
      </c>
      <c r="M63" s="103">
        <f t="shared" si="0"/>
        <v>13018.852000000001</v>
      </c>
      <c r="N63" s="103">
        <f t="shared" si="1"/>
        <v>7633.4292725580117</v>
      </c>
      <c r="O63" s="103">
        <f t="shared" si="4"/>
        <v>1260.1909084239023</v>
      </c>
      <c r="P63" s="103">
        <f t="shared" si="3"/>
        <v>21912.472180981913</v>
      </c>
      <c r="Q63" s="95">
        <f>COUNTIF(COMPOSICIÓN!$A:$A,A63)</f>
        <v>8</v>
      </c>
      <c r="R63" s="32" t="s">
        <v>1917</v>
      </c>
      <c r="S63" s="32" t="s">
        <v>1714</v>
      </c>
      <c r="T63" s="32">
        <v>13018.852000000001</v>
      </c>
      <c r="U63" s="32">
        <v>7633.4292725580099</v>
      </c>
      <c r="V63" s="32">
        <v>1260.19090795533</v>
      </c>
    </row>
    <row r="64" spans="1:22" ht="14.25" hidden="1" customHeight="1" x14ac:dyDescent="0.35">
      <c r="A64" s="105" t="s">
        <v>1918</v>
      </c>
      <c r="B64" s="105" t="s">
        <v>1919</v>
      </c>
      <c r="C64" s="105" t="s">
        <v>2021</v>
      </c>
      <c r="D64" s="105" t="s">
        <v>1920</v>
      </c>
      <c r="E64" s="106" t="s">
        <v>50</v>
      </c>
      <c r="F64" s="106">
        <v>20</v>
      </c>
      <c r="G64" s="106">
        <v>0</v>
      </c>
      <c r="H64" s="106">
        <v>0</v>
      </c>
      <c r="I64" s="106">
        <v>1</v>
      </c>
      <c r="J64" s="96">
        <f>SUMIFS(COMPOSICIÓN!J$2:J$1892,COMPOSICIÓN!A$2:A$1892,A64,COMPOSICIÓN!B$2:B$1892,"MAT")</f>
        <v>2616.1484660123951</v>
      </c>
      <c r="K64" s="96">
        <f>SUMIFS(COMPOSICIÓN!J$2:J$1892,COMPOSICIÓN!A$2:A$1892,A64,COMPOSICIÓN!B$2:B$1892,"MO")*I64</f>
        <v>94177.137883538904</v>
      </c>
      <c r="L64" s="96">
        <f>SUMIFS(COMPOSICIÓN!J$2:J$1892,COMPOSICIÓN!A$2:A$1892,A64,COMPOSICIÓN!B$2:B$1892,"EQ")</f>
        <v>2091.0499580304627</v>
      </c>
      <c r="M64" s="103">
        <f t="shared" si="0"/>
        <v>2616.1484660123951</v>
      </c>
      <c r="N64" s="103">
        <f t="shared" si="1"/>
        <v>4708.8568941769454</v>
      </c>
      <c r="O64" s="103">
        <f t="shared" si="4"/>
        <v>104.55249790152314</v>
      </c>
      <c r="P64" s="103">
        <f t="shared" si="3"/>
        <v>7429.5578580908641</v>
      </c>
      <c r="Q64" s="95">
        <f>COUNTIF(COMPOSICIÓN!$A:$A,A64)</f>
        <v>10</v>
      </c>
      <c r="R64" s="32" t="s">
        <v>1903</v>
      </c>
      <c r="S64" s="32" t="s">
        <v>1714</v>
      </c>
      <c r="T64" s="32">
        <v>2616.1484595041302</v>
      </c>
      <c r="U64" s="32">
        <v>4708.8568941769399</v>
      </c>
      <c r="V64" s="32">
        <v>104.552497901523</v>
      </c>
    </row>
    <row r="65" spans="1:22" ht="14.25" hidden="1" customHeight="1" x14ac:dyDescent="0.35">
      <c r="A65" s="105" t="s">
        <v>1921</v>
      </c>
      <c r="B65" s="105" t="s">
        <v>1922</v>
      </c>
      <c r="C65" s="105" t="s">
        <v>2021</v>
      </c>
      <c r="D65" s="105" t="s">
        <v>1923</v>
      </c>
      <c r="E65" s="106" t="s">
        <v>50</v>
      </c>
      <c r="F65" s="106">
        <v>15</v>
      </c>
      <c r="G65" s="106">
        <v>0</v>
      </c>
      <c r="H65" s="106">
        <v>0</v>
      </c>
      <c r="I65" s="106">
        <v>1</v>
      </c>
      <c r="J65" s="96">
        <f>SUMIFS(COMPOSICIÓN!J$2:J$1892,COMPOSICIÓN!A$2:A$1892,A65,COMPOSICIÓN!B$2:B$1892,"MAT")</f>
        <v>22250.605042000003</v>
      </c>
      <c r="K65" s="96">
        <f>SUMIFS(COMPOSICIÓN!J$2:J$1892,COMPOSICIÓN!A$2:A$1892,A65,COMPOSICIÓN!B$2:B$1892,"MO")*I65</f>
        <v>166309.27624912901</v>
      </c>
      <c r="L65" s="96">
        <f>SUMIFS(COMPOSICIÓN!J$2:J$1892,COMPOSICIÓN!A$2:A$1892,A65,COMPOSICIÓN!B$2:B$1892,"EQ")</f>
        <v>3836.7078361185131</v>
      </c>
      <c r="M65" s="103">
        <f t="shared" si="0"/>
        <v>22250.605042000003</v>
      </c>
      <c r="N65" s="103">
        <f t="shared" si="1"/>
        <v>11087.285083275267</v>
      </c>
      <c r="O65" s="103">
        <f t="shared" si="4"/>
        <v>255.78052240790086</v>
      </c>
      <c r="P65" s="103">
        <f t="shared" si="3"/>
        <v>33593.670647683168</v>
      </c>
      <c r="Q65" s="95">
        <f>COUNTIF(COMPOSICIÓN!$A:$A,A65)</f>
        <v>11</v>
      </c>
      <c r="R65" s="32"/>
      <c r="S65" s="32" t="s">
        <v>1714</v>
      </c>
      <c r="T65" s="32">
        <v>22250.605073522602</v>
      </c>
      <c r="U65" s="32">
        <v>11087.285083275299</v>
      </c>
      <c r="V65" s="32">
        <v>255.780522407901</v>
      </c>
    </row>
    <row r="66" spans="1:22" ht="14.25" hidden="1" customHeight="1" x14ac:dyDescent="0.35">
      <c r="A66" s="105" t="s">
        <v>1924</v>
      </c>
      <c r="B66" s="105" t="s">
        <v>1925</v>
      </c>
      <c r="C66" s="105" t="s">
        <v>2028</v>
      </c>
      <c r="D66" s="105" t="s">
        <v>1926</v>
      </c>
      <c r="E66" s="106" t="s">
        <v>1927</v>
      </c>
      <c r="F66" s="106">
        <v>450</v>
      </c>
      <c r="G66" s="106">
        <v>0</v>
      </c>
      <c r="H66" s="106">
        <v>0</v>
      </c>
      <c r="I66" s="106">
        <v>1</v>
      </c>
      <c r="J66" s="96">
        <f>SUMIFS(COMPOSICIÓN!J$2:J$1892,COMPOSICIÓN!A$2:A$1892,A66,COMPOSICIÓN!B$2:B$1892,"MAT")</f>
        <v>1639.3993520491699</v>
      </c>
      <c r="K66" s="96">
        <f>SUMIFS(COMPOSICIÓN!J$2:J$1892,COMPOSICIÓN!A$2:A$1892,A66,COMPOSICIÓN!B$2:B$1892,"MO")*I66</f>
        <v>399859.05135852564</v>
      </c>
      <c r="L66" s="96">
        <f>SUMIFS(COMPOSICIÓN!J$2:J$1892,COMPOSICIÓN!A$2:A$1892,A66,COMPOSICIÓN!B$2:B$1892,"EQ")</f>
        <v>0</v>
      </c>
      <c r="M66" s="103">
        <f t="shared" ref="M66:M129" si="5">J66</f>
        <v>1639.3993520491699</v>
      </c>
      <c r="N66" s="103">
        <f t="shared" ref="N66:N129" si="6">IF(F66=0,0,K66/F66)</f>
        <v>888.57566968561252</v>
      </c>
      <c r="O66" s="103">
        <f t="shared" ref="O66:O97" si="7">IF(F66=0,0,L66/F66)</f>
        <v>0</v>
      </c>
      <c r="P66" s="103">
        <f t="shared" ref="P66:P129" si="8">M66+N66+O66</f>
        <v>2527.9750217347823</v>
      </c>
      <c r="Q66" s="95">
        <f>COUNTIF(COMPOSICIÓN!$A:$A,A66)</f>
        <v>5</v>
      </c>
      <c r="R66" s="32"/>
      <c r="S66" s="32" t="s">
        <v>1714</v>
      </c>
      <c r="T66" s="32"/>
      <c r="U66" s="32"/>
      <c r="V66" s="32"/>
    </row>
    <row r="67" spans="1:22" ht="14.25" hidden="1" customHeight="1" x14ac:dyDescent="0.35">
      <c r="A67" s="12" t="s">
        <v>1928</v>
      </c>
      <c r="B67" s="12" t="s">
        <v>1929</v>
      </c>
      <c r="C67" s="12" t="s">
        <v>2028</v>
      </c>
      <c r="D67" s="12" t="s">
        <v>1930</v>
      </c>
      <c r="E67" s="14" t="s">
        <v>1927</v>
      </c>
      <c r="F67" s="14">
        <v>380</v>
      </c>
      <c r="G67" s="14">
        <v>0</v>
      </c>
      <c r="H67" s="14">
        <v>0</v>
      </c>
      <c r="I67" s="14">
        <v>1</v>
      </c>
      <c r="J67" s="100">
        <f>SUMIFS(COMPOSICIÓN!J$2:J$1892,COMPOSICIÓN!A$2:A$1892,A67,COMPOSICIÓN!B$2:B$1892,"MAT")</f>
        <v>1634.6030845940002</v>
      </c>
      <c r="K67" s="100">
        <f>SUMIFS(COMPOSICIÓN!J$2:J$1892,COMPOSICIÓN!A$2:A$1892,A67,COMPOSICIÓN!B$2:B$1892,"MO")*I67</f>
        <v>399859.05135852564</v>
      </c>
      <c r="L67" s="100">
        <f>SUMIFS(COMPOSICIÓN!J$2:J$1892,COMPOSICIÓN!A$2:A$1892,A67,COMPOSICIÓN!B$2:B$1892,"EQ")</f>
        <v>0</v>
      </c>
      <c r="M67" s="101">
        <f t="shared" si="5"/>
        <v>1634.6030845940002</v>
      </c>
      <c r="N67" s="101">
        <f t="shared" si="6"/>
        <v>1052.2606614698043</v>
      </c>
      <c r="O67" s="101">
        <f t="shared" si="7"/>
        <v>0</v>
      </c>
      <c r="P67" s="101">
        <f t="shared" si="8"/>
        <v>2686.8637460638047</v>
      </c>
      <c r="Q67" s="102">
        <f>COUNTIF(COMPOSICIÓN!$A:$A,A67)</f>
        <v>5</v>
      </c>
      <c r="R67" s="17"/>
      <c r="S67" s="17" t="s">
        <v>1714</v>
      </c>
      <c r="T67" s="17"/>
      <c r="U67" s="17"/>
      <c r="V67" s="17"/>
    </row>
    <row r="68" spans="1:22" ht="14.25" hidden="1" customHeight="1" x14ac:dyDescent="0.35">
      <c r="A68" s="12" t="s">
        <v>1931</v>
      </c>
      <c r="B68" s="12" t="s">
        <v>1932</v>
      </c>
      <c r="C68" s="12" t="s">
        <v>2028</v>
      </c>
      <c r="D68" s="12" t="s">
        <v>1933</v>
      </c>
      <c r="E68" s="14" t="s">
        <v>1927</v>
      </c>
      <c r="F68" s="14">
        <v>420</v>
      </c>
      <c r="G68" s="14">
        <v>0</v>
      </c>
      <c r="H68" s="14">
        <v>0</v>
      </c>
      <c r="I68" s="14">
        <v>1</v>
      </c>
      <c r="J68" s="100">
        <f>SUMIFS(COMPOSICIÓN!J$2:J$1892,COMPOSICIÓN!A$2:A$1892,A68,COMPOSICIÓN!B$2:B$1892,"MAT")</f>
        <v>1641.5727885522799</v>
      </c>
      <c r="K68" s="100">
        <f>SUMIFS(COMPOSICIÓN!J$2:J$1892,COMPOSICIÓN!A$2:A$1892,A68,COMPOSICIÓN!B$2:B$1892,"MO")*I68</f>
        <v>399859.05135852564</v>
      </c>
      <c r="L68" s="100">
        <f>SUMIFS(COMPOSICIÓN!J$2:J$1892,COMPOSICIÓN!A$2:A$1892,A68,COMPOSICIÓN!B$2:B$1892,"EQ")</f>
        <v>0</v>
      </c>
      <c r="M68" s="101">
        <f t="shared" si="5"/>
        <v>1641.5727885522799</v>
      </c>
      <c r="N68" s="101">
        <f t="shared" si="6"/>
        <v>952.04536037744197</v>
      </c>
      <c r="O68" s="101">
        <f t="shared" si="7"/>
        <v>0</v>
      </c>
      <c r="P68" s="101">
        <f t="shared" si="8"/>
        <v>2593.6181489297219</v>
      </c>
      <c r="Q68" s="102">
        <f>COUNTIF(COMPOSICIÓN!$A:$A,A68)</f>
        <v>5</v>
      </c>
      <c r="R68" s="17"/>
      <c r="S68" s="17" t="s">
        <v>1714</v>
      </c>
      <c r="T68" s="17"/>
      <c r="U68" s="17"/>
      <c r="V68" s="17"/>
    </row>
    <row r="69" spans="1:22" ht="14.25" hidden="1" customHeight="1" x14ac:dyDescent="0.35">
      <c r="A69" s="12" t="s">
        <v>1934</v>
      </c>
      <c r="B69" s="12" t="s">
        <v>1935</v>
      </c>
      <c r="C69" s="12" t="s">
        <v>2028</v>
      </c>
      <c r="D69" s="12" t="s">
        <v>1936</v>
      </c>
      <c r="E69" s="14" t="s">
        <v>1927</v>
      </c>
      <c r="F69" s="14">
        <v>400</v>
      </c>
      <c r="G69" s="14">
        <v>0</v>
      </c>
      <c r="H69" s="14">
        <v>0</v>
      </c>
      <c r="I69" s="14">
        <v>1</v>
      </c>
      <c r="J69" s="100">
        <f>SUMIFS(COMPOSICIÓN!J$2:J$1892,COMPOSICIÓN!A$2:A$1892,A69,COMPOSICIÓN!B$2:B$1892,"MAT")</f>
        <v>1637.6055598596599</v>
      </c>
      <c r="K69" s="100">
        <f>SUMIFS(COMPOSICIÓN!J$2:J$1892,COMPOSICIÓN!A$2:A$1892,A69,COMPOSICIÓN!B$2:B$1892,"MO")*I69</f>
        <v>399859.05135852564</v>
      </c>
      <c r="L69" s="100">
        <f>SUMIFS(COMPOSICIÓN!J$2:J$1892,COMPOSICIÓN!A$2:A$1892,A69,COMPOSICIÓN!B$2:B$1892,"EQ")</f>
        <v>0</v>
      </c>
      <c r="M69" s="101">
        <f t="shared" si="5"/>
        <v>1637.6055598596599</v>
      </c>
      <c r="N69" s="101">
        <f t="shared" si="6"/>
        <v>999.64762839631408</v>
      </c>
      <c r="O69" s="101">
        <f t="shared" si="7"/>
        <v>0</v>
      </c>
      <c r="P69" s="101">
        <f t="shared" si="8"/>
        <v>2637.2531882559742</v>
      </c>
      <c r="Q69" s="102">
        <f>COUNTIF(COMPOSICIÓN!$A:$A,A69)</f>
        <v>5</v>
      </c>
      <c r="R69" s="17"/>
      <c r="S69" s="17" t="s">
        <v>1714</v>
      </c>
      <c r="T69" s="17"/>
      <c r="U69" s="17"/>
      <c r="V69" s="17"/>
    </row>
    <row r="70" spans="1:22" ht="14.25" hidden="1" customHeight="1" x14ac:dyDescent="0.35">
      <c r="A70" s="105" t="s">
        <v>1937</v>
      </c>
      <c r="B70" s="105" t="s">
        <v>1938</v>
      </c>
      <c r="C70" s="105" t="s">
        <v>2028</v>
      </c>
      <c r="D70" s="105" t="s">
        <v>1939</v>
      </c>
      <c r="E70" s="106" t="s">
        <v>50</v>
      </c>
      <c r="F70" s="106">
        <v>150</v>
      </c>
      <c r="G70" s="106">
        <v>0</v>
      </c>
      <c r="H70" s="106">
        <v>0</v>
      </c>
      <c r="I70" s="106">
        <v>1</v>
      </c>
      <c r="J70" s="96">
        <f>SUMIFS(COMPOSICIÓN!J$2:J$1892,COMPOSICIÓN!A$2:A$1892,A70,COMPOSICIÓN!B$2:B$1892,"MAT")</f>
        <v>319.00329315357999</v>
      </c>
      <c r="K70" s="96">
        <f>SUMIFS(COMPOSICIÓN!J$2:J$1892,COMPOSICIÓN!A$2:A$1892,A70,COMPOSICIÓN!B$2:B$1892,"MO")*I70</f>
        <v>426795.69038179691</v>
      </c>
      <c r="L70" s="96">
        <f>SUMIFS(COMPOSICIÓN!J$2:J$1892,COMPOSICIÓN!A$2:A$1892,A70,COMPOSICIÓN!B$2:B$1892,"EQ")</f>
        <v>0</v>
      </c>
      <c r="M70" s="103">
        <f t="shared" si="5"/>
        <v>319.00329315357999</v>
      </c>
      <c r="N70" s="103">
        <f t="shared" si="6"/>
        <v>2845.3046025453127</v>
      </c>
      <c r="O70" s="103">
        <f t="shared" si="7"/>
        <v>0</v>
      </c>
      <c r="P70" s="103">
        <f t="shared" si="8"/>
        <v>3164.3078956988929</v>
      </c>
      <c r="Q70" s="95">
        <f>COUNTIF(COMPOSICIÓN!$A:$A,A70)</f>
        <v>4</v>
      </c>
      <c r="R70" s="32"/>
      <c r="S70" s="32" t="s">
        <v>1714</v>
      </c>
      <c r="T70" s="32"/>
      <c r="U70" s="32"/>
      <c r="V70" s="32"/>
    </row>
    <row r="71" spans="1:22" ht="14.25" hidden="1" customHeight="1" x14ac:dyDescent="0.35">
      <c r="A71" s="12" t="s">
        <v>1940</v>
      </c>
      <c r="B71" s="12" t="s">
        <v>1941</v>
      </c>
      <c r="C71" s="12" t="s">
        <v>1712</v>
      </c>
      <c r="D71" s="12" t="s">
        <v>1942</v>
      </c>
      <c r="E71" s="14" t="s">
        <v>1927</v>
      </c>
      <c r="F71" s="14">
        <v>400</v>
      </c>
      <c r="G71" s="14">
        <v>0</v>
      </c>
      <c r="H71" s="106">
        <v>0</v>
      </c>
      <c r="I71" s="106">
        <v>1</v>
      </c>
      <c r="J71" s="96">
        <f>SUMIFS(COMPOSICIÓN!J$2:J$1892,COMPOSICIÓN!A$2:A$1892,A71,COMPOSICIÓN!B$2:B$1892,"MAT")</f>
        <v>1.6894704275999999</v>
      </c>
      <c r="K71" s="96">
        <f>SUMIFS(COMPOSICIÓN!J$2:J$1892,COMPOSICIÓN!A$2:A$1892,A71,COMPOSICIÓN!B$2:B$1892,"MO")*I71</f>
        <v>399859.05135852564</v>
      </c>
      <c r="L71" s="96">
        <f>SUMIFS(COMPOSICIÓN!J$2:J$1892,COMPOSICIÓN!A$2:A$1892,A71,COMPOSICIÓN!B$2:B$1892,"EQ")</f>
        <v>0</v>
      </c>
      <c r="M71" s="101">
        <f t="shared" si="5"/>
        <v>1.6894704275999999</v>
      </c>
      <c r="N71" s="101">
        <f t="shared" si="6"/>
        <v>999.64762839631408</v>
      </c>
      <c r="O71" s="101">
        <f t="shared" si="7"/>
        <v>0</v>
      </c>
      <c r="P71" s="101">
        <f t="shared" si="8"/>
        <v>1001.3370988239141</v>
      </c>
      <c r="Q71" s="102">
        <f>COUNTIF(COMPOSICIÓN!$A:$A,A71)</f>
        <v>5</v>
      </c>
      <c r="R71" s="17"/>
      <c r="S71" s="17" t="s">
        <v>1714</v>
      </c>
      <c r="T71" s="17"/>
      <c r="U71" s="17"/>
      <c r="V71" s="17"/>
    </row>
    <row r="72" spans="1:22" ht="14.25" hidden="1" customHeight="1" x14ac:dyDescent="0.35">
      <c r="A72" s="105" t="s">
        <v>1943</v>
      </c>
      <c r="B72" s="105" t="s">
        <v>1944</v>
      </c>
      <c r="C72" s="105" t="s">
        <v>2028</v>
      </c>
      <c r="D72" s="105" t="s">
        <v>1945</v>
      </c>
      <c r="E72" s="106" t="s">
        <v>1927</v>
      </c>
      <c r="F72" s="106">
        <v>400</v>
      </c>
      <c r="G72" s="106">
        <v>0</v>
      </c>
      <c r="H72" s="106">
        <v>0</v>
      </c>
      <c r="I72" s="106">
        <v>1</v>
      </c>
      <c r="J72" s="96">
        <f>SUMIFS(COMPOSICIÓN!J$2:J$1892,COMPOSICIÓN!A$2:A$1892,A72,COMPOSICIÓN!B$2:B$1892,"MAT")</f>
        <v>1637.0086739674309</v>
      </c>
      <c r="K72" s="96">
        <f>SUMIFS(COMPOSICIÓN!J$2:J$1892,COMPOSICIÓN!A$2:A$1892,A72,COMPOSICIÓN!B$2:B$1892,"MO")*I72</f>
        <v>399859.05135852564</v>
      </c>
      <c r="L72" s="96">
        <f>SUMIFS(COMPOSICIÓN!J$2:J$1892,COMPOSICIÓN!A$2:A$1892,A72,COMPOSICIÓN!B$2:B$1892,"EQ")</f>
        <v>0</v>
      </c>
      <c r="M72" s="103">
        <f t="shared" si="5"/>
        <v>1637.0086739674309</v>
      </c>
      <c r="N72" s="103">
        <f t="shared" si="6"/>
        <v>999.64762839631408</v>
      </c>
      <c r="O72" s="103">
        <f t="shared" si="7"/>
        <v>0</v>
      </c>
      <c r="P72" s="103">
        <f t="shared" si="8"/>
        <v>2636.656302363745</v>
      </c>
      <c r="Q72" s="95">
        <f>COUNTIF(COMPOSICIÓN!$A:$A,A72)</f>
        <v>5</v>
      </c>
      <c r="R72" s="32"/>
      <c r="S72" s="32" t="s">
        <v>1714</v>
      </c>
      <c r="T72" s="32"/>
      <c r="U72" s="32"/>
      <c r="V72" s="32"/>
    </row>
    <row r="73" spans="1:22" ht="14.25" hidden="1" customHeight="1" x14ac:dyDescent="0.35">
      <c r="A73" s="12" t="s">
        <v>1946</v>
      </c>
      <c r="B73" s="12" t="s">
        <v>1947</v>
      </c>
      <c r="C73" s="12" t="s">
        <v>2037</v>
      </c>
      <c r="D73" s="12" t="s">
        <v>1948</v>
      </c>
      <c r="E73" s="14" t="s">
        <v>50</v>
      </c>
      <c r="F73" s="14">
        <v>24</v>
      </c>
      <c r="G73" s="14">
        <v>0</v>
      </c>
      <c r="H73" s="106">
        <v>0</v>
      </c>
      <c r="I73" s="106">
        <v>1</v>
      </c>
      <c r="J73" s="96">
        <f>SUMIFS(COMPOSICIÓN!J$2:J$1892,COMPOSICIÓN!A$2:A$1892,A73,COMPOSICIÓN!B$2:B$1892,"MAT")</f>
        <v>385.61185649296749</v>
      </c>
      <c r="K73" s="96">
        <f>SUMIFS(COMPOSICIÓN!J$2:J$1892,COMPOSICIÓN!A$2:A$1892,A73,COMPOSICIÓN!B$2:B$1892,"MO")*I73</f>
        <v>166309.27624912901</v>
      </c>
      <c r="L73" s="96">
        <f>SUMIFS(COMPOSICIÓN!J$2:J$1892,COMPOSICIÓN!A$2:A$1892,A73,COMPOSICIÓN!B$2:B$1892,"EQ")</f>
        <v>0</v>
      </c>
      <c r="M73" s="101">
        <f t="shared" si="5"/>
        <v>385.61185649296749</v>
      </c>
      <c r="N73" s="101">
        <f t="shared" si="6"/>
        <v>6929.5531770470416</v>
      </c>
      <c r="O73" s="101">
        <f t="shared" si="7"/>
        <v>0</v>
      </c>
      <c r="P73" s="101">
        <f t="shared" si="8"/>
        <v>7315.1650335400091</v>
      </c>
      <c r="Q73" s="102">
        <f>COUNTIF(COMPOSICIÓN!$A:$A,A73)</f>
        <v>4</v>
      </c>
      <c r="R73" s="17" t="s">
        <v>1719</v>
      </c>
      <c r="S73" s="17" t="s">
        <v>1714</v>
      </c>
      <c r="T73" s="17"/>
      <c r="U73" s="17"/>
      <c r="V73" s="17"/>
    </row>
    <row r="74" spans="1:22" ht="14.25" hidden="1" customHeight="1" x14ac:dyDescent="0.35">
      <c r="A74" s="105" t="s">
        <v>1949</v>
      </c>
      <c r="B74" s="105" t="s">
        <v>1950</v>
      </c>
      <c r="C74" s="12" t="s">
        <v>2037</v>
      </c>
      <c r="D74" s="105" t="s">
        <v>1951</v>
      </c>
      <c r="E74" s="106" t="s">
        <v>50</v>
      </c>
      <c r="F74" s="106">
        <v>28</v>
      </c>
      <c r="G74" s="106">
        <v>0</v>
      </c>
      <c r="H74" s="106">
        <v>0</v>
      </c>
      <c r="I74" s="106">
        <v>1</v>
      </c>
      <c r="J74" s="96">
        <f>SUMIFS(COMPOSICIÓN!J$2:J$1892,COMPOSICIÓN!A$2:A$1892,A74,COMPOSICIÓN!B$2:B$1892,"MAT")</f>
        <v>7524.0023749665306</v>
      </c>
      <c r="K74" s="96">
        <f>SUMIFS(COMPOSICIÓN!J$2:J$1892,COMPOSICIÓN!A$2:A$1892,A74,COMPOSICIÓN!B$2:B$1892,"MO")*I74</f>
        <v>233549.77510939661</v>
      </c>
      <c r="L74" s="96">
        <f>SUMIFS(COMPOSICIÓN!J$2:J$1892,COMPOSICIÓN!A$2:A$1892,A74,COMPOSICIÓN!B$2:B$1892,"EQ")</f>
        <v>0</v>
      </c>
      <c r="M74" s="103">
        <f t="shared" si="5"/>
        <v>7524.0023749665306</v>
      </c>
      <c r="N74" s="103">
        <f t="shared" si="6"/>
        <v>8341.0633967641643</v>
      </c>
      <c r="O74" s="103">
        <f t="shared" si="7"/>
        <v>0</v>
      </c>
      <c r="P74" s="103">
        <f t="shared" si="8"/>
        <v>15865.065771730695</v>
      </c>
      <c r="Q74" s="95">
        <f>COUNTIF(COMPOSICIÓN!$A:$A,A74)</f>
        <v>8</v>
      </c>
      <c r="R74" s="32" t="s">
        <v>1719</v>
      </c>
      <c r="S74" s="32" t="s">
        <v>1714</v>
      </c>
      <c r="T74" s="32"/>
      <c r="U74" s="32"/>
      <c r="V74" s="32"/>
    </row>
    <row r="75" spans="1:22" ht="14.25" hidden="1" customHeight="1" x14ac:dyDescent="0.35">
      <c r="A75" s="12" t="s">
        <v>1952</v>
      </c>
      <c r="B75" s="12" t="s">
        <v>1953</v>
      </c>
      <c r="C75" s="12" t="s">
        <v>2037</v>
      </c>
      <c r="D75" s="12" t="s">
        <v>1954</v>
      </c>
      <c r="E75" s="14" t="s">
        <v>50</v>
      </c>
      <c r="F75" s="14">
        <v>25</v>
      </c>
      <c r="G75" s="14">
        <v>0</v>
      </c>
      <c r="H75" s="106">
        <v>0</v>
      </c>
      <c r="I75" s="106">
        <v>1</v>
      </c>
      <c r="J75" s="96">
        <f>SUMIFS(COMPOSICIÓN!J$2:J$1892,COMPOSICIÓN!A$2:A$1892,A75,COMPOSICIÓN!B$2:B$1892,"MAT")</f>
        <v>7524.477784646253</v>
      </c>
      <c r="K75" s="96">
        <f>SUMIFS(COMPOSICIÓN!J$2:J$1892,COMPOSICIÓN!A$2:A$1892,A75,COMPOSICIÓN!B$2:B$1892,"MO")*I75</f>
        <v>233549.77510939661</v>
      </c>
      <c r="L75" s="96">
        <f>SUMIFS(COMPOSICIÓN!J$2:J$1892,COMPOSICIÓN!A$2:A$1892,A75,COMPOSICIÓN!B$2:B$1892,"EQ")</f>
        <v>0</v>
      </c>
      <c r="M75" s="101">
        <f t="shared" si="5"/>
        <v>7524.477784646253</v>
      </c>
      <c r="N75" s="101">
        <f t="shared" si="6"/>
        <v>9341.9910043758646</v>
      </c>
      <c r="O75" s="101">
        <f t="shared" si="7"/>
        <v>0</v>
      </c>
      <c r="P75" s="101">
        <f t="shared" si="8"/>
        <v>16866.468789022118</v>
      </c>
      <c r="Q75" s="102">
        <f>COUNTIF(COMPOSICIÓN!$A:$A,A75)</f>
        <v>8</v>
      </c>
      <c r="R75" s="17" t="s">
        <v>1719</v>
      </c>
      <c r="S75" s="17" t="s">
        <v>1714</v>
      </c>
      <c r="T75" s="17"/>
      <c r="U75" s="17"/>
      <c r="V75" s="17"/>
    </row>
    <row r="76" spans="1:22" ht="14.25" hidden="1" customHeight="1" x14ac:dyDescent="0.35">
      <c r="A76" s="105" t="s">
        <v>1955</v>
      </c>
      <c r="B76" s="105" t="s">
        <v>1956</v>
      </c>
      <c r="C76" s="12" t="s">
        <v>2037</v>
      </c>
      <c r="D76" s="105" t="s">
        <v>1957</v>
      </c>
      <c r="E76" s="106" t="s">
        <v>50</v>
      </c>
      <c r="F76" s="106">
        <v>28</v>
      </c>
      <c r="G76" s="106">
        <v>0</v>
      </c>
      <c r="H76" s="106">
        <v>0</v>
      </c>
      <c r="I76" s="106">
        <v>1</v>
      </c>
      <c r="J76" s="96">
        <f>SUMIFS(COMPOSICIÓN!J$2:J$1892,COMPOSICIÓN!A$2:A$1892,A76,COMPOSICIÓN!B$2:B$1892,"MAT")</f>
        <v>25808.122054612188</v>
      </c>
      <c r="K76" s="96">
        <f>SUMIFS(COMPOSICIÓN!J$2:J$1892,COMPOSICIÓN!A$2:A$1892,A76,COMPOSICIÓN!B$2:B$1892,"MO")*I76</f>
        <v>233549.77510939661</v>
      </c>
      <c r="L76" s="96">
        <f>SUMIFS(COMPOSICIÓN!J$2:J$1892,COMPOSICIÓN!A$2:A$1892,A76,COMPOSICIÓN!B$2:B$1892,"EQ")</f>
        <v>0</v>
      </c>
      <c r="M76" s="103">
        <f t="shared" si="5"/>
        <v>25808.122054612188</v>
      </c>
      <c r="N76" s="103">
        <f t="shared" si="6"/>
        <v>8341.0633967641643</v>
      </c>
      <c r="O76" s="103">
        <f t="shared" si="7"/>
        <v>0</v>
      </c>
      <c r="P76" s="103">
        <f t="shared" si="8"/>
        <v>34149.185451376354</v>
      </c>
      <c r="Q76" s="95">
        <f>COUNTIF(COMPOSICIÓN!$A:$A,A76)</f>
        <v>8</v>
      </c>
      <c r="R76" s="32" t="s">
        <v>1719</v>
      </c>
      <c r="S76" s="32" t="s">
        <v>1714</v>
      </c>
      <c r="T76" s="32"/>
      <c r="U76" s="32"/>
      <c r="V76" s="32"/>
    </row>
    <row r="77" spans="1:22" ht="14.25" hidden="1" customHeight="1" x14ac:dyDescent="0.35">
      <c r="A77" s="12" t="s">
        <v>1958</v>
      </c>
      <c r="B77" s="12" t="s">
        <v>1959</v>
      </c>
      <c r="C77" s="12" t="s">
        <v>2037</v>
      </c>
      <c r="D77" s="12" t="s">
        <v>1960</v>
      </c>
      <c r="E77" s="14" t="s">
        <v>50</v>
      </c>
      <c r="F77" s="14">
        <v>26</v>
      </c>
      <c r="G77" s="14">
        <v>0</v>
      </c>
      <c r="H77" s="14">
        <v>0</v>
      </c>
      <c r="I77" s="14">
        <v>1</v>
      </c>
      <c r="J77" s="100">
        <f>SUMIFS(COMPOSICIÓN!J$2:J$1892,COMPOSICIÓN!A$2:A$1892,A77,COMPOSICIÓN!B$2:B$1892,"MAT")</f>
        <v>11226.809313926617</v>
      </c>
      <c r="K77" s="100">
        <f>SUMIFS(COMPOSICIÓN!J$2:J$1892,COMPOSICIÓN!A$2:A$1892,A77,COMPOSICIÓN!B$2:B$1892,"MO")*I77</f>
        <v>233549.77510939661</v>
      </c>
      <c r="L77" s="100">
        <f>SUMIFS(COMPOSICIÓN!J$2:J$1892,COMPOSICIÓN!A$2:A$1892,A77,COMPOSICIÓN!B$2:B$1892,"EQ")</f>
        <v>0</v>
      </c>
      <c r="M77" s="101">
        <f t="shared" si="5"/>
        <v>11226.809313926617</v>
      </c>
      <c r="N77" s="101">
        <f t="shared" si="6"/>
        <v>8982.6836580537165</v>
      </c>
      <c r="O77" s="101">
        <f t="shared" si="7"/>
        <v>0</v>
      </c>
      <c r="P77" s="101">
        <f t="shared" si="8"/>
        <v>20209.492971980333</v>
      </c>
      <c r="Q77" s="102">
        <f>COUNTIF(COMPOSICIÓN!$A:$A,A77)</f>
        <v>8</v>
      </c>
      <c r="R77" s="17" t="s">
        <v>1719</v>
      </c>
      <c r="S77" s="17" t="s">
        <v>1714</v>
      </c>
      <c r="T77" s="17"/>
      <c r="U77" s="17"/>
      <c r="V77" s="17"/>
    </row>
    <row r="78" spans="1:22" ht="14.25" hidden="1" customHeight="1" x14ac:dyDescent="0.35">
      <c r="A78" s="105" t="s">
        <v>27</v>
      </c>
      <c r="B78" s="105"/>
      <c r="C78" s="105" t="s">
        <v>2015</v>
      </c>
      <c r="D78" s="105" t="s">
        <v>25</v>
      </c>
      <c r="E78" s="106" t="s">
        <v>26</v>
      </c>
      <c r="F78" s="106">
        <v>1</v>
      </c>
      <c r="G78" s="106">
        <v>0</v>
      </c>
      <c r="H78" s="106">
        <v>0</v>
      </c>
      <c r="I78" s="106">
        <v>1</v>
      </c>
      <c r="J78" s="96">
        <f>SUMIFS(COMPOSICIÓN!J$2:J$1892,COMPOSICIÓN!A$2:A$1892,A78,COMPOSICIÓN!B$2:B$1892,"MAT")</f>
        <v>0</v>
      </c>
      <c r="K78" s="96">
        <f>SUMIFS(COMPOSICIÓN!J$2:J$1892,COMPOSICIÓN!A$2:A$1892,A78,COMPOSICIÓN!B$2:B$1892,"MO")*I78</f>
        <v>0</v>
      </c>
      <c r="L78" s="96">
        <f>SUMIFS(COMPOSICIÓN!J$2:J$1892,COMPOSICIÓN!A$2:A$1892,A78,COMPOSICIÓN!B$2:B$1892,"EQ")</f>
        <v>0</v>
      </c>
      <c r="M78" s="103">
        <f t="shared" si="5"/>
        <v>0</v>
      </c>
      <c r="N78" s="103">
        <f t="shared" si="6"/>
        <v>0</v>
      </c>
      <c r="O78" s="103">
        <f t="shared" si="7"/>
        <v>0</v>
      </c>
      <c r="P78" s="103">
        <f t="shared" si="8"/>
        <v>0</v>
      </c>
      <c r="Q78" s="95">
        <f>COUNTIF(COMPOSICIÓN!$A:$A,A78)</f>
        <v>0</v>
      </c>
      <c r="R78" s="32"/>
      <c r="S78" s="32" t="s">
        <v>28</v>
      </c>
      <c r="T78" s="32">
        <v>0</v>
      </c>
      <c r="U78" s="32">
        <v>0</v>
      </c>
      <c r="V78" s="32">
        <v>0</v>
      </c>
    </row>
    <row r="79" spans="1:22" ht="14.25" hidden="1" customHeight="1" x14ac:dyDescent="0.35">
      <c r="A79" s="105" t="s">
        <v>31</v>
      </c>
      <c r="B79" s="105"/>
      <c r="C79" s="105" t="s">
        <v>2015</v>
      </c>
      <c r="D79" s="105" t="s">
        <v>29</v>
      </c>
      <c r="E79" s="106" t="s">
        <v>30</v>
      </c>
      <c r="F79" s="106">
        <v>1</v>
      </c>
      <c r="G79" s="106">
        <v>0</v>
      </c>
      <c r="H79" s="106">
        <v>0</v>
      </c>
      <c r="I79" s="106">
        <v>1</v>
      </c>
      <c r="J79" s="96">
        <f>SUMIFS(COMPOSICIÓN!J$2:J$1892,COMPOSICIÓN!A$2:A$1892,A79,COMPOSICIÓN!B$2:B$1892,"MAT")</f>
        <v>25000</v>
      </c>
      <c r="K79" s="96">
        <f>SUMIFS(COMPOSICIÓN!J$2:J$1892,COMPOSICIÓN!A$2:A$1892,A79,COMPOSICIÓN!B$2:B$1892,"MO")*I79</f>
        <v>281634.5606343656</v>
      </c>
      <c r="L79" s="96">
        <f>SUMIFS(COMPOSICIÓN!J$2:J$1892,COMPOSICIÓN!A$2:A$1892,A79,COMPOSICIÓN!B$2:B$1892,"EQ")</f>
        <v>4599.51840951549</v>
      </c>
      <c r="M79" s="103">
        <f t="shared" si="5"/>
        <v>25000</v>
      </c>
      <c r="N79" s="103">
        <f t="shared" si="6"/>
        <v>281634.5606343656</v>
      </c>
      <c r="O79" s="103">
        <f t="shared" si="7"/>
        <v>4599.51840951549</v>
      </c>
      <c r="P79" s="103">
        <f t="shared" si="8"/>
        <v>311234.07904388109</v>
      </c>
      <c r="Q79" s="95">
        <f>COUNTIF(COMPOSICIÓN!$A:$A,A79)</f>
        <v>4</v>
      </c>
      <c r="R79" s="32"/>
      <c r="S79" s="32" t="s">
        <v>32</v>
      </c>
      <c r="T79" s="32">
        <v>25000</v>
      </c>
      <c r="U79" s="32">
        <v>281634.560634366</v>
      </c>
      <c r="V79" s="32">
        <v>4599.51840951549</v>
      </c>
    </row>
    <row r="80" spans="1:22" ht="14.25" hidden="1" customHeight="1" x14ac:dyDescent="0.35">
      <c r="A80" s="105" t="s">
        <v>34</v>
      </c>
      <c r="B80" s="105"/>
      <c r="C80" s="105" t="s">
        <v>2015</v>
      </c>
      <c r="D80" s="105" t="s">
        <v>33</v>
      </c>
      <c r="E80" s="106" t="s">
        <v>26</v>
      </c>
      <c r="F80" s="106">
        <v>1</v>
      </c>
      <c r="G80" s="106">
        <v>0</v>
      </c>
      <c r="H80" s="106">
        <v>0</v>
      </c>
      <c r="I80" s="106">
        <v>1</v>
      </c>
      <c r="J80" s="96">
        <f>SUMIFS(COMPOSICIÓN!J$2:J$1892,COMPOSICIÓN!A$2:A$1892,A80,COMPOSICIÓN!B$2:B$1892,"MAT")</f>
        <v>0</v>
      </c>
      <c r="K80" s="96">
        <f>SUMIFS(COMPOSICIÓN!J$2:J$1892,COMPOSICIÓN!A$2:A$1892,A80,COMPOSICIÓN!B$2:B$1892,"MO")*I80</f>
        <v>0</v>
      </c>
      <c r="L80" s="96">
        <f>SUMIFS(COMPOSICIÓN!J$2:J$1892,COMPOSICIÓN!A$2:A$1892,A80,COMPOSICIÓN!B$2:B$1892,"EQ")</f>
        <v>0</v>
      </c>
      <c r="M80" s="103">
        <f t="shared" si="5"/>
        <v>0</v>
      </c>
      <c r="N80" s="103">
        <f t="shared" si="6"/>
        <v>0</v>
      </c>
      <c r="O80" s="103">
        <f t="shared" si="7"/>
        <v>0</v>
      </c>
      <c r="P80" s="103">
        <f t="shared" si="8"/>
        <v>0</v>
      </c>
      <c r="Q80" s="95">
        <f>COUNTIF(COMPOSICIÓN!$A:$A,A80)</f>
        <v>0</v>
      </c>
      <c r="R80" s="32"/>
      <c r="S80" s="32" t="s">
        <v>28</v>
      </c>
      <c r="T80" s="32">
        <v>0</v>
      </c>
      <c r="U80" s="32">
        <v>0</v>
      </c>
      <c r="V80" s="32">
        <v>0</v>
      </c>
    </row>
    <row r="81" spans="1:22" ht="14.25" hidden="1" customHeight="1" x14ac:dyDescent="0.35">
      <c r="A81" s="12" t="s">
        <v>37</v>
      </c>
      <c r="B81" s="12"/>
      <c r="C81" s="12" t="s">
        <v>2015</v>
      </c>
      <c r="D81" s="12" t="s">
        <v>35</v>
      </c>
      <c r="E81" s="14" t="s">
        <v>36</v>
      </c>
      <c r="F81" s="14">
        <v>1</v>
      </c>
      <c r="G81" s="14">
        <v>0</v>
      </c>
      <c r="H81" s="14">
        <v>0</v>
      </c>
      <c r="I81" s="14">
        <v>1</v>
      </c>
      <c r="J81" s="100">
        <f>SUMIFS(COMPOSICIÓN!J$2:J$1892,COMPOSICIÓN!A$2:A$1892,A81,COMPOSICIÓN!B$2:B$1892,"MAT")</f>
        <v>98815.568159228627</v>
      </c>
      <c r="K81" s="100">
        <f>SUMIFS(COMPOSICIÓN!J$2:J$1892,COMPOSICIÓN!A$2:A$1892,A81,COMPOSICIÓN!B$2:B$1892,"MO")*I81</f>
        <v>111992.57496771206</v>
      </c>
      <c r="L81" s="100">
        <f>SUMIFS(COMPOSICIÓN!J$2:J$1892,COMPOSICIÓN!A$2:A$1892,A81,COMPOSICIÓN!B$2:B$1892,"EQ")</f>
        <v>3162.1221469041102</v>
      </c>
      <c r="M81" s="101">
        <f t="shared" si="5"/>
        <v>98815.568159228627</v>
      </c>
      <c r="N81" s="101">
        <f t="shared" si="6"/>
        <v>111992.57496771206</v>
      </c>
      <c r="O81" s="101">
        <f t="shared" si="7"/>
        <v>3162.1221469041102</v>
      </c>
      <c r="P81" s="101">
        <f t="shared" si="8"/>
        <v>213970.26527384482</v>
      </c>
      <c r="Q81" s="102">
        <f>COUNTIF(COMPOSICIÓN!$A:$A,A81)</f>
        <v>13</v>
      </c>
      <c r="R81" s="17"/>
      <c r="S81" s="17" t="s">
        <v>32</v>
      </c>
      <c r="T81" s="17">
        <v>98815.5681592287</v>
      </c>
      <c r="U81" s="17">
        <v>111992.574967712</v>
      </c>
      <c r="V81" s="17">
        <v>3162.1221469041102</v>
      </c>
    </row>
    <row r="82" spans="1:22" ht="14.25" hidden="1" customHeight="1" x14ac:dyDescent="0.35">
      <c r="A82" s="105" t="s">
        <v>39</v>
      </c>
      <c r="B82" s="105"/>
      <c r="C82" s="105" t="s">
        <v>2015</v>
      </c>
      <c r="D82" s="105" t="s">
        <v>38</v>
      </c>
      <c r="E82" s="106" t="s">
        <v>26</v>
      </c>
      <c r="F82" s="106">
        <v>1</v>
      </c>
      <c r="G82" s="106">
        <v>0</v>
      </c>
      <c r="H82" s="106">
        <v>0</v>
      </c>
      <c r="I82" s="106">
        <v>1</v>
      </c>
      <c r="J82" s="96">
        <f>SUMIFS(COMPOSICIÓN!J$2:J$1892,COMPOSICIÓN!A$2:A$1892,A82,COMPOSICIÓN!B$2:B$1892,"MAT")</f>
        <v>2570625.1745922863</v>
      </c>
      <c r="K82" s="96">
        <f>SUMIFS(COMPOSICIÓN!J$2:J$1892,COMPOSICIÓN!A$2:A$1892,A82,COMPOSICIÓN!B$2:B$1892,"MO")*I82</f>
        <v>6023936.3544306941</v>
      </c>
      <c r="L82" s="96">
        <f>SUMIFS(COMPOSICIÓN!J$2:J$1892,COMPOSICIÓN!A$2:A$1892,A82,COMPOSICIÓN!B$2:B$1892,"EQ")</f>
        <v>128918.42293534501</v>
      </c>
      <c r="M82" s="103">
        <f t="shared" si="5"/>
        <v>2570625.1745922863</v>
      </c>
      <c r="N82" s="103">
        <f t="shared" si="6"/>
        <v>6023936.3544306941</v>
      </c>
      <c r="O82" s="103">
        <f t="shared" si="7"/>
        <v>128918.42293534501</v>
      </c>
      <c r="P82" s="103">
        <f t="shared" si="8"/>
        <v>8723479.9519583248</v>
      </c>
      <c r="Q82" s="95">
        <f>COUNTIF(COMPOSICIÓN!$A:$A,A82)</f>
        <v>22</v>
      </c>
      <c r="R82" s="32"/>
      <c r="S82" s="32" t="s">
        <v>32</v>
      </c>
      <c r="T82" s="32">
        <v>2570625.1745922901</v>
      </c>
      <c r="U82" s="32">
        <v>6023936.3544306904</v>
      </c>
      <c r="V82" s="32">
        <v>128918.42293534501</v>
      </c>
    </row>
    <row r="83" spans="1:22" ht="14.25" hidden="1" customHeight="1" x14ac:dyDescent="0.35">
      <c r="A83" s="12" t="s">
        <v>42</v>
      </c>
      <c r="B83" s="12"/>
      <c r="C83" s="12" t="s">
        <v>2015</v>
      </c>
      <c r="D83" s="12" t="s">
        <v>40</v>
      </c>
      <c r="E83" s="14" t="s">
        <v>41</v>
      </c>
      <c r="F83" s="14">
        <v>1</v>
      </c>
      <c r="G83" s="14">
        <v>0</v>
      </c>
      <c r="H83" s="106">
        <v>0</v>
      </c>
      <c r="I83" s="106">
        <v>1</v>
      </c>
      <c r="J83" s="96">
        <f>SUMIFS(COMPOSICIÓN!J$2:J$1892,COMPOSICIÓN!A$2:A$1892,A83,COMPOSICIÓN!B$2:B$1892,"MAT")</f>
        <v>0</v>
      </c>
      <c r="K83" s="96">
        <f>SUMIFS(COMPOSICIÓN!J$2:J$1892,COMPOSICIÓN!A$2:A$1892,A83,COMPOSICIÓN!B$2:B$1892,"MO")*I83</f>
        <v>260000</v>
      </c>
      <c r="L83" s="96">
        <f>SUMIFS(COMPOSICIÓN!J$2:J$1892,COMPOSICIÓN!A$2:A$1892,A83,COMPOSICIÓN!B$2:B$1892,"EQ")</f>
        <v>0</v>
      </c>
      <c r="M83" s="101">
        <f t="shared" si="5"/>
        <v>0</v>
      </c>
      <c r="N83" s="101">
        <f t="shared" si="6"/>
        <v>260000</v>
      </c>
      <c r="O83" s="101">
        <f t="shared" si="7"/>
        <v>0</v>
      </c>
      <c r="P83" s="101">
        <f t="shared" si="8"/>
        <v>260000</v>
      </c>
      <c r="Q83" s="102">
        <f>COUNTIF(COMPOSICIÓN!$A:$A,A83)</f>
        <v>4</v>
      </c>
      <c r="R83" s="17"/>
      <c r="S83" s="17" t="s">
        <v>32</v>
      </c>
      <c r="T83" s="17">
        <v>0</v>
      </c>
      <c r="U83" s="17">
        <v>260000</v>
      </c>
      <c r="V83" s="17">
        <v>0</v>
      </c>
    </row>
    <row r="84" spans="1:22" ht="14.25" hidden="1" customHeight="1" x14ac:dyDescent="0.35">
      <c r="A84" s="105" t="s">
        <v>44</v>
      </c>
      <c r="B84" s="105"/>
      <c r="C84" s="105" t="s">
        <v>2015</v>
      </c>
      <c r="D84" s="105" t="s">
        <v>43</v>
      </c>
      <c r="E84" s="106" t="s">
        <v>26</v>
      </c>
      <c r="F84" s="106">
        <v>1</v>
      </c>
      <c r="G84" s="106">
        <v>0</v>
      </c>
      <c r="H84" s="106">
        <v>0</v>
      </c>
      <c r="I84" s="106">
        <v>1</v>
      </c>
      <c r="J84" s="96">
        <f>SUMIFS(COMPOSICIÓN!J$2:J$1892,COMPOSICIÓN!A$2:A$1892,A84,COMPOSICIÓN!B$2:B$1892,"MAT")</f>
        <v>1390000</v>
      </c>
      <c r="K84" s="96">
        <f>SUMIFS(COMPOSICIÓN!J$2:J$1892,COMPOSICIÓN!A$2:A$1892,A84,COMPOSICIÓN!B$2:B$1892,"MO")*I84</f>
        <v>661285.32432587864</v>
      </c>
      <c r="L84" s="96">
        <f>SUMIFS(COMPOSICIÓN!J$2:J$1892,COMPOSICIÓN!A$2:A$1892,A84,COMPOSICIÓN!B$2:B$1892,"EQ")</f>
        <v>30769.279864888202</v>
      </c>
      <c r="M84" s="103">
        <f t="shared" si="5"/>
        <v>1390000</v>
      </c>
      <c r="N84" s="103">
        <f t="shared" si="6"/>
        <v>661285.32432587864</v>
      </c>
      <c r="O84" s="103">
        <f t="shared" si="7"/>
        <v>30769.279864888202</v>
      </c>
      <c r="P84" s="103">
        <f t="shared" si="8"/>
        <v>2082054.6041907668</v>
      </c>
      <c r="Q84" s="95">
        <f>COUNTIF(COMPOSICIÓN!$A:$A,A84)</f>
        <v>9</v>
      </c>
      <c r="R84" s="32"/>
      <c r="S84" s="32" t="s">
        <v>32</v>
      </c>
      <c r="T84" s="32">
        <v>1390000</v>
      </c>
      <c r="U84" s="32">
        <v>661285.32432587899</v>
      </c>
      <c r="V84" s="32">
        <v>30769.279864888202</v>
      </c>
    </row>
    <row r="85" spans="1:22" ht="14.25" hidden="1" customHeight="1" x14ac:dyDescent="0.35">
      <c r="A85" s="12" t="s">
        <v>46</v>
      </c>
      <c r="B85" s="12"/>
      <c r="C85" s="12" t="s">
        <v>2015</v>
      </c>
      <c r="D85" s="12" t="s">
        <v>45</v>
      </c>
      <c r="E85" s="14" t="s">
        <v>26</v>
      </c>
      <c r="F85" s="14">
        <v>1</v>
      </c>
      <c r="G85" s="14">
        <v>0</v>
      </c>
      <c r="H85" s="106">
        <v>0</v>
      </c>
      <c r="I85" s="106">
        <v>1</v>
      </c>
      <c r="J85" s="96">
        <f>SUMIFS(COMPOSICIÓN!J$2:J$1892,COMPOSICIÓN!A$2:A$1892,A85,COMPOSICIÓN!B$2:B$1892,"MAT")</f>
        <v>936000</v>
      </c>
      <c r="K85" s="96">
        <f>SUMIFS(COMPOSICIÓN!J$2:J$1892,COMPOSICIÓN!A$2:A$1892,A85,COMPOSICIÓN!B$2:B$1892,"MO")*I85</f>
        <v>536368.95177931595</v>
      </c>
      <c r="L85" s="96">
        <f>SUMIFS(COMPOSICIÓN!J$2:J$1892,COMPOSICIÓN!A$2:A$1892,A85,COMPOSICIÓN!B$2:B$1892,"EQ")</f>
        <v>22085.534276689701</v>
      </c>
      <c r="M85" s="101">
        <f t="shared" si="5"/>
        <v>936000</v>
      </c>
      <c r="N85" s="101">
        <f t="shared" si="6"/>
        <v>536368.95177931595</v>
      </c>
      <c r="O85" s="101">
        <f t="shared" si="7"/>
        <v>22085.534276689701</v>
      </c>
      <c r="P85" s="101">
        <f t="shared" si="8"/>
        <v>1494454.4860560056</v>
      </c>
      <c r="Q85" s="102">
        <f>COUNTIF(COMPOSICIÓN!$A:$A,A85)</f>
        <v>11</v>
      </c>
      <c r="R85" s="17"/>
      <c r="S85" s="17" t="s">
        <v>32</v>
      </c>
      <c r="T85" s="17">
        <v>936000</v>
      </c>
      <c r="U85" s="17">
        <v>536368.95177931595</v>
      </c>
      <c r="V85" s="17">
        <v>22085.534276689701</v>
      </c>
    </row>
    <row r="86" spans="1:22" ht="14.25" hidden="1" customHeight="1" x14ac:dyDescent="0.35">
      <c r="A86" s="105" t="s">
        <v>48</v>
      </c>
      <c r="B86" s="105"/>
      <c r="C86" s="105" t="s">
        <v>2015</v>
      </c>
      <c r="D86" s="105" t="s">
        <v>47</v>
      </c>
      <c r="E86" s="106" t="s">
        <v>26</v>
      </c>
      <c r="F86" s="106">
        <v>1</v>
      </c>
      <c r="G86" s="106">
        <v>0</v>
      </c>
      <c r="H86" s="106">
        <v>0</v>
      </c>
      <c r="I86" s="106">
        <v>1</v>
      </c>
      <c r="J86" s="96">
        <f>SUMIFS(COMPOSICIÓN!J$2:J$1892,COMPOSICIÓN!A$2:A$1892,A86,COMPOSICIÓN!B$2:B$1892,"MAT")</f>
        <v>0</v>
      </c>
      <c r="K86" s="96">
        <f>SUMIFS(COMPOSICIÓN!J$2:J$1892,COMPOSICIÓN!A$2:A$1892,A86,COMPOSICIÓN!B$2:B$1892,"MO")*I86</f>
        <v>482995.30539154151</v>
      </c>
      <c r="L86" s="96">
        <f>SUMIFS(COMPOSICIÓN!J$2:J$1892,COMPOSICIÓN!A$2:A$1892,A86,COMPOSICIÓN!B$2:B$1892,"EQ")</f>
        <v>0</v>
      </c>
      <c r="M86" s="103">
        <f t="shared" si="5"/>
        <v>0</v>
      </c>
      <c r="N86" s="103">
        <f t="shared" si="6"/>
        <v>482995.30539154151</v>
      </c>
      <c r="O86" s="103">
        <f t="shared" si="7"/>
        <v>0</v>
      </c>
      <c r="P86" s="103">
        <f t="shared" si="8"/>
        <v>482995.30539154151</v>
      </c>
      <c r="Q86" s="95">
        <f>COUNTIF(COMPOSICIÓN!$A:$A,A86)</f>
        <v>3</v>
      </c>
      <c r="R86" s="32"/>
      <c r="S86" s="32" t="s">
        <v>32</v>
      </c>
      <c r="T86" s="32">
        <v>0</v>
      </c>
      <c r="U86" s="32">
        <v>482995.30539153999</v>
      </c>
      <c r="V86" s="32">
        <v>0</v>
      </c>
    </row>
    <row r="87" spans="1:22" ht="14.25" hidden="1" customHeight="1" x14ac:dyDescent="0.35">
      <c r="A87" s="12" t="s">
        <v>51</v>
      </c>
      <c r="B87" s="12"/>
      <c r="C87" s="114" t="s">
        <v>2003</v>
      </c>
      <c r="D87" s="12" t="s">
        <v>49</v>
      </c>
      <c r="E87" s="14" t="s">
        <v>50</v>
      </c>
      <c r="F87" s="14">
        <v>1</v>
      </c>
      <c r="G87" s="14">
        <v>0</v>
      </c>
      <c r="H87" s="106">
        <v>0</v>
      </c>
      <c r="I87" s="106">
        <v>1</v>
      </c>
      <c r="J87" s="96">
        <f>SUMIFS(COMPOSICIÓN!J$2:J$1892,COMPOSICIÓN!A$2:A$1892,A87,COMPOSICIÓN!B$2:B$1892,"MAT")</f>
        <v>0</v>
      </c>
      <c r="K87" s="96">
        <f>SUMIFS(COMPOSICIÓN!J$2:J$1892,COMPOSICIÓN!A$2:A$1892,A87,COMPOSICIÓN!B$2:B$1892,"MO")*I87</f>
        <v>28977.780103401961</v>
      </c>
      <c r="L87" s="96">
        <f>SUMIFS(COMPOSICIÓN!J$2:J$1892,COMPOSICIÓN!A$2:A$1892,A87,COMPOSICIÓN!B$2:B$1892,"EQ")</f>
        <v>0</v>
      </c>
      <c r="M87" s="101">
        <f t="shared" si="5"/>
        <v>0</v>
      </c>
      <c r="N87" s="101">
        <f t="shared" si="6"/>
        <v>28977.780103401961</v>
      </c>
      <c r="O87" s="101">
        <f t="shared" si="7"/>
        <v>0</v>
      </c>
      <c r="P87" s="101">
        <f t="shared" si="8"/>
        <v>28977.780103401961</v>
      </c>
      <c r="Q87" s="102">
        <f>COUNTIF(COMPOSICIÓN!$A:$A,A87)</f>
        <v>2</v>
      </c>
      <c r="R87" s="17"/>
      <c r="S87" s="17" t="s">
        <v>32</v>
      </c>
      <c r="T87" s="17">
        <v>0</v>
      </c>
      <c r="U87" s="17">
        <v>28977.786858155301</v>
      </c>
      <c r="V87" s="17">
        <v>0</v>
      </c>
    </row>
    <row r="88" spans="1:22" ht="14.25" hidden="1" customHeight="1" x14ac:dyDescent="0.35">
      <c r="A88" s="105" t="s">
        <v>54</v>
      </c>
      <c r="B88" s="105"/>
      <c r="C88" s="114" t="s">
        <v>2003</v>
      </c>
      <c r="D88" s="105" t="s">
        <v>52</v>
      </c>
      <c r="E88" s="106" t="s">
        <v>53</v>
      </c>
      <c r="F88" s="106">
        <v>1</v>
      </c>
      <c r="G88" s="106">
        <v>0</v>
      </c>
      <c r="H88" s="106">
        <v>0</v>
      </c>
      <c r="I88" s="106">
        <v>1</v>
      </c>
      <c r="J88" s="96">
        <f>SUMIFS(COMPOSICIÓN!J$2:J$1892,COMPOSICIÓN!A$2:A$1892,A88,COMPOSICIÓN!B$2:B$1892,"MAT")</f>
        <v>0</v>
      </c>
      <c r="K88" s="96">
        <f>SUMIFS(COMPOSICIÓN!J$2:J$1892,COMPOSICIÓN!A$2:A$1892,A88,COMPOSICIÓN!B$2:B$1892,"MO")*I88</f>
        <v>31164.049886026762</v>
      </c>
      <c r="L88" s="96">
        <f>SUMIFS(COMPOSICIÓN!J$2:J$1892,COMPOSICIÓN!A$2:A$1892,A88,COMPOSICIÓN!B$2:B$1892,"EQ")</f>
        <v>467.460748290401</v>
      </c>
      <c r="M88" s="103">
        <f t="shared" si="5"/>
        <v>0</v>
      </c>
      <c r="N88" s="103">
        <f t="shared" si="6"/>
        <v>31164.049886026762</v>
      </c>
      <c r="O88" s="103">
        <f t="shared" si="7"/>
        <v>467.460748290401</v>
      </c>
      <c r="P88" s="103">
        <f t="shared" si="8"/>
        <v>31631.510634317161</v>
      </c>
      <c r="Q88" s="95">
        <f>COUNTIF(COMPOSICIÓN!$A:$A,A88)</f>
        <v>5</v>
      </c>
      <c r="R88" s="32"/>
      <c r="S88" s="32" t="s">
        <v>32</v>
      </c>
      <c r="T88" s="32">
        <v>0</v>
      </c>
      <c r="U88" s="32">
        <v>31164.049886026802</v>
      </c>
      <c r="V88" s="32">
        <v>467.460748290401</v>
      </c>
    </row>
    <row r="89" spans="1:22" ht="14.25" hidden="1" customHeight="1" x14ac:dyDescent="0.35">
      <c r="A89" s="12" t="s">
        <v>56</v>
      </c>
      <c r="B89" s="12"/>
      <c r="C89" s="114" t="s">
        <v>2003</v>
      </c>
      <c r="D89" s="12" t="s">
        <v>55</v>
      </c>
      <c r="E89" s="14" t="s">
        <v>53</v>
      </c>
      <c r="F89" s="14">
        <v>1</v>
      </c>
      <c r="G89" s="14">
        <v>0</v>
      </c>
      <c r="H89" s="106">
        <v>0</v>
      </c>
      <c r="I89" s="106">
        <v>1</v>
      </c>
      <c r="J89" s="96">
        <f>SUMIFS(COMPOSICIÓN!J$2:J$1892,COMPOSICIÓN!A$2:A$1892,A89,COMPOSICIÓN!B$2:B$1892,"MAT")</f>
        <v>0</v>
      </c>
      <c r="K89" s="96">
        <f>SUMIFS(COMPOSICIÓN!J$2:J$1892,COMPOSICIÓN!A$2:A$1892,A89,COMPOSICIÓN!B$2:B$1892,"MO")*I89</f>
        <v>67240.498860267602</v>
      </c>
      <c r="L89" s="96">
        <f>SUMIFS(COMPOSICIÓN!J$2:J$1892,COMPOSICIÓN!A$2:A$1892,A89,COMPOSICIÓN!B$2:B$1892,"EQ")</f>
        <v>0</v>
      </c>
      <c r="M89" s="101">
        <f t="shared" si="5"/>
        <v>0</v>
      </c>
      <c r="N89" s="101">
        <f t="shared" si="6"/>
        <v>67240.498860267602</v>
      </c>
      <c r="O89" s="101">
        <f t="shared" si="7"/>
        <v>0</v>
      </c>
      <c r="P89" s="101">
        <f t="shared" si="8"/>
        <v>67240.498860267602</v>
      </c>
      <c r="Q89" s="102">
        <f>COUNTIF(COMPOSICIÓN!$A:$A,A89)</f>
        <v>1</v>
      </c>
      <c r="R89" s="17"/>
      <c r="S89" s="17" t="s">
        <v>28</v>
      </c>
      <c r="T89" s="17">
        <v>0</v>
      </c>
      <c r="U89" s="17">
        <v>67240.498860267602</v>
      </c>
      <c r="V89" s="17">
        <v>0</v>
      </c>
    </row>
    <row r="90" spans="1:22" ht="14.25" hidden="1" customHeight="1" x14ac:dyDescent="0.35">
      <c r="A90" s="105" t="s">
        <v>58</v>
      </c>
      <c r="B90" s="105"/>
      <c r="C90" s="114" t="s">
        <v>2003</v>
      </c>
      <c r="D90" s="105" t="s">
        <v>57</v>
      </c>
      <c r="E90" s="106" t="s">
        <v>26</v>
      </c>
      <c r="F90" s="106">
        <v>1</v>
      </c>
      <c r="G90" s="106">
        <v>0</v>
      </c>
      <c r="H90" s="106">
        <v>0</v>
      </c>
      <c r="I90" s="106">
        <v>1</v>
      </c>
      <c r="J90" s="96">
        <f>SUMIFS(COMPOSICIÓN!J$2:J$1892,COMPOSICIÓN!A$2:A$1892,A90,COMPOSICIÓN!B$2:B$1892,"MAT")</f>
        <v>0</v>
      </c>
      <c r="K90" s="96">
        <f>SUMIFS(COMPOSICIÓN!J$2:J$1892,COMPOSICIÓN!A$2:A$1892,A90,COMPOSICIÓN!B$2:B$1892,"MO")*I90</f>
        <v>0</v>
      </c>
      <c r="L90" s="96">
        <f>SUMIFS(COMPOSICIÓN!J$2:J$1892,COMPOSICIÓN!A$2:A$1892,A90,COMPOSICIÓN!B$2:B$1892,"EQ")</f>
        <v>0</v>
      </c>
      <c r="M90" s="103">
        <f t="shared" si="5"/>
        <v>0</v>
      </c>
      <c r="N90" s="103">
        <f t="shared" si="6"/>
        <v>0</v>
      </c>
      <c r="O90" s="103">
        <f t="shared" si="7"/>
        <v>0</v>
      </c>
      <c r="P90" s="103">
        <f t="shared" si="8"/>
        <v>0</v>
      </c>
      <c r="Q90" s="95">
        <f>COUNTIF(COMPOSICIÓN!$A:$A,A90)</f>
        <v>0</v>
      </c>
      <c r="R90" s="32"/>
      <c r="S90" s="32" t="s">
        <v>28</v>
      </c>
      <c r="T90" s="32">
        <v>0</v>
      </c>
      <c r="U90" s="32">
        <v>0</v>
      </c>
      <c r="V90" s="32">
        <v>0</v>
      </c>
    </row>
    <row r="91" spans="1:22" ht="14.25" customHeight="1" x14ac:dyDescent="0.35">
      <c r="A91" s="12" t="s">
        <v>60</v>
      </c>
      <c r="B91" s="12"/>
      <c r="C91" s="105" t="s">
        <v>2004</v>
      </c>
      <c r="D91" s="12" t="s">
        <v>59</v>
      </c>
      <c r="E91" s="14" t="s">
        <v>53</v>
      </c>
      <c r="F91" s="14">
        <v>1</v>
      </c>
      <c r="G91" s="14">
        <v>0</v>
      </c>
      <c r="H91" s="14">
        <v>0</v>
      </c>
      <c r="I91" s="14">
        <v>1</v>
      </c>
      <c r="J91" s="100">
        <f>SUMIFS(COMPOSICIÓN!J$2:J$1892,COMPOSICIÓN!A$2:A$1892,A91,COMPOSICIÓN!B$2:B$1892,"MAT")</f>
        <v>120430</v>
      </c>
      <c r="K91" s="100">
        <f>SUMIFS(COMPOSICIÓN!J$2:J$1892,COMPOSICIÓN!A$2:A$1892,A91,COMPOSICIÓN!B$2:B$1892,"MO")*I91</f>
        <v>155041.21677294979</v>
      </c>
      <c r="L91" s="100">
        <f>SUMIFS(COMPOSICIÓN!J$2:J$1892,COMPOSICIÓN!A$2:A$1892,A91,COMPOSICIÓN!B$2:B$1892,"EQ")</f>
        <v>4132.0682994173703</v>
      </c>
      <c r="M91" s="101">
        <f t="shared" si="5"/>
        <v>120430</v>
      </c>
      <c r="N91" s="101">
        <f t="shared" si="6"/>
        <v>155041.21677294979</v>
      </c>
      <c r="O91" s="101">
        <f t="shared" si="7"/>
        <v>4132.0682994173703</v>
      </c>
      <c r="P91" s="101">
        <f t="shared" si="8"/>
        <v>279603.28507236717</v>
      </c>
      <c r="Q91" s="102">
        <f>COUNTIF(COMPOSICIÓN!$A:$A,A91)</f>
        <v>7</v>
      </c>
      <c r="R91" s="17"/>
      <c r="S91" s="17" t="s">
        <v>32</v>
      </c>
      <c r="T91" s="17">
        <v>120430</v>
      </c>
      <c r="U91" s="17">
        <v>155041.219961158</v>
      </c>
      <c r="V91" s="17">
        <v>4132.0682994173703</v>
      </c>
    </row>
    <row r="92" spans="1:22" ht="14.25" hidden="1" customHeight="1" x14ac:dyDescent="0.35">
      <c r="A92" s="105" t="s">
        <v>62</v>
      </c>
      <c r="B92" s="105"/>
      <c r="C92" s="105" t="s">
        <v>2004</v>
      </c>
      <c r="D92" s="105" t="s">
        <v>61</v>
      </c>
      <c r="E92" s="106" t="s">
        <v>26</v>
      </c>
      <c r="F92" s="106">
        <v>1</v>
      </c>
      <c r="G92" s="106">
        <v>0</v>
      </c>
      <c r="H92" s="106">
        <v>0</v>
      </c>
      <c r="I92" s="106">
        <v>1</v>
      </c>
      <c r="J92" s="96">
        <f>SUMIFS(COMPOSICIÓN!J$2:J$1892,COMPOSICIÓN!A$2:A$1892,A92,COMPOSICIÓN!B$2:B$1892,"MAT")</f>
        <v>11090041.199999999</v>
      </c>
      <c r="K92" s="96">
        <f>SUMIFS(COMPOSICIÓN!J$2:J$1892,COMPOSICIÓN!A$2:A$1892,A92,COMPOSICIÓN!B$2:B$1892,"MO")*I92</f>
        <v>37760301.494533725</v>
      </c>
      <c r="L92" s="96">
        <f>SUMIFS(COMPOSICIÓN!J$2:J$1892,COMPOSICIÓN!A$2:A$1892,A92,COMPOSICIÓN!B$2:B$1892,"EQ")</f>
        <v>718505.14041800599</v>
      </c>
      <c r="M92" s="103">
        <f t="shared" si="5"/>
        <v>11090041.199999999</v>
      </c>
      <c r="N92" s="103">
        <f t="shared" si="6"/>
        <v>37760301.494533725</v>
      </c>
      <c r="O92" s="103">
        <f t="shared" si="7"/>
        <v>718505.14041800599</v>
      </c>
      <c r="P92" s="103">
        <f t="shared" si="8"/>
        <v>49568847.834951729</v>
      </c>
      <c r="Q92" s="95">
        <f>COUNTIF(COMPOSICIÓN!$A:$A,A92)</f>
        <v>10</v>
      </c>
      <c r="R92" s="32" t="s">
        <v>1961</v>
      </c>
      <c r="S92" s="32" t="s">
        <v>32</v>
      </c>
      <c r="T92" s="32">
        <v>11090041.199999999</v>
      </c>
      <c r="U92" s="32">
        <v>36810301.494533703</v>
      </c>
      <c r="V92" s="32">
        <v>718505.14041800599</v>
      </c>
    </row>
    <row r="93" spans="1:22" ht="14.25" hidden="1" customHeight="1" x14ac:dyDescent="0.35">
      <c r="A93" s="12" t="s">
        <v>64</v>
      </c>
      <c r="B93" s="12"/>
      <c r="C93" s="105" t="s">
        <v>2004</v>
      </c>
      <c r="D93" s="12" t="s">
        <v>63</v>
      </c>
      <c r="E93" s="14" t="s">
        <v>53</v>
      </c>
      <c r="F93" s="14">
        <v>1</v>
      </c>
      <c r="G93" s="14">
        <v>0</v>
      </c>
      <c r="H93" s="106">
        <v>0</v>
      </c>
      <c r="I93" s="106">
        <v>1</v>
      </c>
      <c r="J93" s="96">
        <f>SUMIFS(COMPOSICIÓN!J$2:J$1892,COMPOSICIÓN!A$2:A$1892,A93,COMPOSICIÓN!B$2:B$1892,"MAT")</f>
        <v>357146.16970278037</v>
      </c>
      <c r="K93" s="96">
        <f>SUMIFS(COMPOSICIÓN!J$2:J$1892,COMPOSICIÓN!A$2:A$1892,A93,COMPOSICIÓN!B$2:B$1892,"MO")*I93</f>
        <v>222927.95987015401</v>
      </c>
      <c r="L93" s="96">
        <f>SUMIFS(COMPOSICIÓN!J$2:J$1892,COMPOSICIÓN!A$2:A$1892,A93,COMPOSICIÓN!B$2:B$1892,"EQ")</f>
        <v>8701.11194359402</v>
      </c>
      <c r="M93" s="101">
        <f t="shared" si="5"/>
        <v>357146.16970278037</v>
      </c>
      <c r="N93" s="101">
        <f t="shared" si="6"/>
        <v>222927.95987015401</v>
      </c>
      <c r="O93" s="101">
        <f t="shared" si="7"/>
        <v>8701.11194359402</v>
      </c>
      <c r="P93" s="101">
        <f t="shared" si="8"/>
        <v>588775.24151652842</v>
      </c>
      <c r="Q93" s="102">
        <f>COUNTIF(COMPOSICIÓN!$A:$A,A93)</f>
        <v>5</v>
      </c>
      <c r="R93" s="17"/>
      <c r="S93" s="17" t="s">
        <v>28</v>
      </c>
      <c r="T93" s="17">
        <v>357146.16970278003</v>
      </c>
      <c r="U93" s="17">
        <v>222927.95987015401</v>
      </c>
      <c r="V93" s="17">
        <v>8701.11194359402</v>
      </c>
    </row>
    <row r="94" spans="1:22" ht="14.25" hidden="1" customHeight="1" x14ac:dyDescent="0.35">
      <c r="A94" s="105" t="s">
        <v>66</v>
      </c>
      <c r="B94" s="105"/>
      <c r="C94" s="105" t="s">
        <v>2004</v>
      </c>
      <c r="D94" s="105" t="s">
        <v>65</v>
      </c>
      <c r="E94" s="106" t="s">
        <v>53</v>
      </c>
      <c r="F94" s="106">
        <v>1</v>
      </c>
      <c r="G94" s="106">
        <v>0</v>
      </c>
      <c r="H94" s="106">
        <v>0</v>
      </c>
      <c r="I94" s="106">
        <v>1</v>
      </c>
      <c r="J94" s="96">
        <f>SUMIFS(COMPOSICIÓN!J$2:J$1892,COMPOSICIÓN!A$2:A$1892,A94,COMPOSICIÓN!B$2:B$1892,"MAT")</f>
        <v>537813.28786424536</v>
      </c>
      <c r="K94" s="96">
        <f>SUMIFS(COMPOSICIÓN!J$2:J$1892,COMPOSICIÓN!A$2:A$1892,A94,COMPOSICIÓN!B$2:B$1892,"MO")*I94</f>
        <v>323083.99981181801</v>
      </c>
      <c r="L94" s="96">
        <f>SUMIFS(COMPOSICIÓN!J$2:J$1892,COMPOSICIÓN!A$2:A$1892,A94,COMPOSICIÓN!B$2:B$1892,"EQ")</f>
        <v>12913.459315141001</v>
      </c>
      <c r="M94" s="103">
        <f t="shared" si="5"/>
        <v>537813.28786424536</v>
      </c>
      <c r="N94" s="103">
        <f t="shared" si="6"/>
        <v>323083.99981181801</v>
      </c>
      <c r="O94" s="103">
        <f t="shared" si="7"/>
        <v>12913.459315141001</v>
      </c>
      <c r="P94" s="103">
        <f t="shared" si="8"/>
        <v>873810.74699120433</v>
      </c>
      <c r="Q94" s="95">
        <f>COUNTIF(COMPOSICIÓN!$A:$A,A94)</f>
        <v>5</v>
      </c>
      <c r="R94" s="32"/>
      <c r="S94" s="32" t="s">
        <v>28</v>
      </c>
      <c r="T94" s="32">
        <v>537813.28786424501</v>
      </c>
      <c r="U94" s="32">
        <v>323083.99981181801</v>
      </c>
      <c r="V94" s="32">
        <v>12913.459315141001</v>
      </c>
    </row>
    <row r="95" spans="1:22" ht="14.25" hidden="1" customHeight="1" x14ac:dyDescent="0.35">
      <c r="A95" s="105" t="s">
        <v>68</v>
      </c>
      <c r="B95" s="105"/>
      <c r="C95" s="105" t="s">
        <v>2004</v>
      </c>
      <c r="D95" s="105" t="s">
        <v>67</v>
      </c>
      <c r="E95" s="106" t="s">
        <v>53</v>
      </c>
      <c r="F95" s="106">
        <v>1</v>
      </c>
      <c r="G95" s="106">
        <v>0</v>
      </c>
      <c r="H95" s="106">
        <v>0</v>
      </c>
      <c r="I95" s="106">
        <v>1</v>
      </c>
      <c r="J95" s="96">
        <f>SUMIFS(COMPOSICIÓN!J$2:J$1892,COMPOSICIÓN!A$2:A$1892,A95,COMPOSICIÓN!B$2:B$1892,"MAT")</f>
        <v>357146.16970278003</v>
      </c>
      <c r="K95" s="96">
        <f>SUMIFS(COMPOSICIÓN!J$2:J$1892,COMPOSICIÓN!A$2:A$1892,A95,COMPOSICIÓN!B$2:B$1892,"MO")*I95</f>
        <v>222927.95987015401</v>
      </c>
      <c r="L95" s="96">
        <f>SUMIFS(COMPOSICIÓN!J$2:J$1892,COMPOSICIÓN!A$2:A$1892,A95,COMPOSICIÓN!B$2:B$1892,"EQ")</f>
        <v>8701.11194359402</v>
      </c>
      <c r="M95" s="103">
        <f t="shared" si="5"/>
        <v>357146.16970278003</v>
      </c>
      <c r="N95" s="103">
        <f t="shared" si="6"/>
        <v>222927.95987015401</v>
      </c>
      <c r="O95" s="103">
        <f t="shared" si="7"/>
        <v>8701.11194359402</v>
      </c>
      <c r="P95" s="103">
        <f t="shared" si="8"/>
        <v>588775.24151652807</v>
      </c>
      <c r="Q95" s="95">
        <f>COUNTIF(COMPOSICIÓN!$A:$A,A95)</f>
        <v>3</v>
      </c>
      <c r="R95" s="32"/>
      <c r="S95" s="32" t="s">
        <v>28</v>
      </c>
      <c r="T95" s="32">
        <v>357146.16970278003</v>
      </c>
      <c r="U95" s="32">
        <v>222927.95987015401</v>
      </c>
      <c r="V95" s="32">
        <v>8701.11194359402</v>
      </c>
    </row>
    <row r="96" spans="1:22" ht="14.25" hidden="1" customHeight="1" x14ac:dyDescent="0.35">
      <c r="A96" s="12" t="s">
        <v>70</v>
      </c>
      <c r="B96" s="12"/>
      <c r="C96" s="105" t="s">
        <v>2004</v>
      </c>
      <c r="D96" s="12" t="s">
        <v>69</v>
      </c>
      <c r="E96" s="14" t="s">
        <v>53</v>
      </c>
      <c r="F96" s="14">
        <v>1</v>
      </c>
      <c r="G96" s="14">
        <v>0</v>
      </c>
      <c r="H96" s="106">
        <v>0</v>
      </c>
      <c r="I96" s="106">
        <v>1</v>
      </c>
      <c r="J96" s="96">
        <f>SUMIFS(COMPOSICIÓN!J$2:J$1892,COMPOSICIÓN!A$2:A$1892,A96,COMPOSICIÓN!B$2:B$1892,"MAT")</f>
        <v>392586.16970278037</v>
      </c>
      <c r="K96" s="96">
        <f>SUMIFS(COMPOSICIÓN!J$2:J$1892,COMPOSICIÓN!A$2:A$1892,A96,COMPOSICIÓN!B$2:B$1892,"MO")*I96</f>
        <v>222927.95987015401</v>
      </c>
      <c r="L96" s="96">
        <f>SUMIFS(COMPOSICIÓN!J$2:J$1892,COMPOSICIÓN!A$2:A$1892,A96,COMPOSICIÓN!B$2:B$1892,"EQ")</f>
        <v>9232.7119435940203</v>
      </c>
      <c r="M96" s="101">
        <f t="shared" si="5"/>
        <v>392586.16970278037</v>
      </c>
      <c r="N96" s="101">
        <f t="shared" si="6"/>
        <v>222927.95987015401</v>
      </c>
      <c r="O96" s="101">
        <f t="shared" si="7"/>
        <v>9232.7119435940203</v>
      </c>
      <c r="P96" s="101">
        <f t="shared" si="8"/>
        <v>624746.8415165284</v>
      </c>
      <c r="Q96" s="102">
        <f>COUNTIF(COMPOSICIÓN!$A:$A,A96)</f>
        <v>5</v>
      </c>
      <c r="R96" s="17"/>
      <c r="S96" s="17" t="s">
        <v>28</v>
      </c>
      <c r="T96" s="17">
        <v>392586.16970278003</v>
      </c>
      <c r="U96" s="17">
        <v>222927.95987015401</v>
      </c>
      <c r="V96" s="17">
        <v>9232.7119435940203</v>
      </c>
    </row>
    <row r="97" spans="1:22" ht="14.25" hidden="1" customHeight="1" x14ac:dyDescent="0.35">
      <c r="A97" s="105" t="s">
        <v>72</v>
      </c>
      <c r="B97" s="105"/>
      <c r="C97" s="105" t="s">
        <v>2004</v>
      </c>
      <c r="D97" s="105" t="s">
        <v>71</v>
      </c>
      <c r="E97" s="106" t="s">
        <v>53</v>
      </c>
      <c r="F97" s="106">
        <v>1</v>
      </c>
      <c r="G97" s="106">
        <v>0</v>
      </c>
      <c r="H97" s="106">
        <v>0</v>
      </c>
      <c r="I97" s="106">
        <v>1</v>
      </c>
      <c r="J97" s="96">
        <f>SUMIFS(COMPOSICIÓN!J$2:J$1892,COMPOSICIÓN!A$2:A$1892,A97,COMPOSICIÓN!B$2:B$1892,"MAT")</f>
        <v>537813.28786424536</v>
      </c>
      <c r="K97" s="96">
        <f>SUMIFS(COMPOSICIÓN!J$2:J$1892,COMPOSICIÓN!A$2:A$1892,A97,COMPOSICIÓN!B$2:B$1892,"MO")*I97</f>
        <v>323083.99981181801</v>
      </c>
      <c r="L97" s="96">
        <f>SUMIFS(COMPOSICIÓN!J$2:J$1892,COMPOSICIÓN!A$2:A$1892,A97,COMPOSICIÓN!B$2:B$1892,"EQ")</f>
        <v>12913.459315141001</v>
      </c>
      <c r="M97" s="103">
        <f t="shared" si="5"/>
        <v>537813.28786424536</v>
      </c>
      <c r="N97" s="103">
        <f t="shared" si="6"/>
        <v>323083.99981181801</v>
      </c>
      <c r="O97" s="103">
        <f t="shared" si="7"/>
        <v>12913.459315141001</v>
      </c>
      <c r="P97" s="103">
        <f t="shared" si="8"/>
        <v>873810.74699120433</v>
      </c>
      <c r="Q97" s="95">
        <f>COUNTIF(COMPOSICIÓN!$A:$A,A97)</f>
        <v>5</v>
      </c>
      <c r="R97" s="32"/>
      <c r="S97" s="32" t="s">
        <v>28</v>
      </c>
      <c r="T97" s="32">
        <v>537813.28786424501</v>
      </c>
      <c r="U97" s="32">
        <v>323083.99981181801</v>
      </c>
      <c r="V97" s="32">
        <v>12913.459315141001</v>
      </c>
    </row>
    <row r="98" spans="1:22" ht="14.25" hidden="1" customHeight="1" x14ac:dyDescent="0.35">
      <c r="A98" s="12" t="s">
        <v>74</v>
      </c>
      <c r="B98" s="12"/>
      <c r="C98" s="105" t="s">
        <v>2004</v>
      </c>
      <c r="D98" s="12" t="s">
        <v>73</v>
      </c>
      <c r="E98" s="14" t="s">
        <v>53</v>
      </c>
      <c r="F98" s="14">
        <v>1</v>
      </c>
      <c r="G98" s="14">
        <v>0</v>
      </c>
      <c r="H98" s="14">
        <v>0</v>
      </c>
      <c r="I98" s="14">
        <v>1</v>
      </c>
      <c r="J98" s="100">
        <f>SUMIFS(COMPOSICIÓN!J$2:J$1892,COMPOSICIÓN!A$2:A$1892,A98,COMPOSICIÓN!B$2:B$1892,"MAT")</f>
        <v>394401.88571428572</v>
      </c>
      <c r="K98" s="100">
        <f>SUMIFS(COMPOSICIÓN!J$2:J$1892,COMPOSICIÓN!A$2:A$1892,A98,COMPOSICIÓN!B$2:B$1892,"MO")*I98</f>
        <v>392678.734102213</v>
      </c>
      <c r="L98" s="100">
        <f>SUMIFS(COMPOSICIÓN!J$2:J$1892,COMPOSICIÓN!A$2:A$1892,A98,COMPOSICIÓN!B$2:B$1892,"EQ")</f>
        <v>11806.2092972475</v>
      </c>
      <c r="M98" s="101">
        <f t="shared" si="5"/>
        <v>394401.88571428572</v>
      </c>
      <c r="N98" s="101">
        <f t="shared" si="6"/>
        <v>392678.734102213</v>
      </c>
      <c r="O98" s="101">
        <f t="shared" ref="O98:O118" si="9">IF(F98=0,0,L98/F98)</f>
        <v>11806.2092972475</v>
      </c>
      <c r="P98" s="101">
        <f t="shared" si="8"/>
        <v>798886.82911374618</v>
      </c>
      <c r="Q98" s="102">
        <f>COUNTIF(COMPOSICIÓN!$A:$A,A98)</f>
        <v>5</v>
      </c>
      <c r="R98" s="17"/>
      <c r="S98" s="17" t="s">
        <v>28</v>
      </c>
      <c r="T98" s="17">
        <v>394401.88571428601</v>
      </c>
      <c r="U98" s="17">
        <v>392678.734102213</v>
      </c>
      <c r="V98" s="17">
        <v>11806.2092972475</v>
      </c>
    </row>
    <row r="99" spans="1:22" ht="14.25" hidden="1" customHeight="1" x14ac:dyDescent="0.35">
      <c r="A99" s="105" t="s">
        <v>76</v>
      </c>
      <c r="B99" s="105"/>
      <c r="C99" s="105" t="s">
        <v>2004</v>
      </c>
      <c r="D99" s="105" t="s">
        <v>75</v>
      </c>
      <c r="E99" s="106" t="s">
        <v>53</v>
      </c>
      <c r="F99" s="106">
        <v>1</v>
      </c>
      <c r="G99" s="106">
        <v>0</v>
      </c>
      <c r="H99" s="106">
        <v>0</v>
      </c>
      <c r="I99" s="106">
        <v>1</v>
      </c>
      <c r="J99" s="96">
        <f>SUMIFS(COMPOSICIÓN!J$2:J$1892,COMPOSICIÓN!A$2:A$1892,A99,COMPOSICIÓN!B$2:B$1892,"MAT")</f>
        <v>542036.05081495701</v>
      </c>
      <c r="K99" s="96">
        <f>SUMIFS(COMPOSICIÓN!J$2:J$1892,COMPOSICIÓN!A$2:A$1892,A99,COMPOSICIÓN!B$2:B$1892,"MO")*I99</f>
        <v>362209.60749629402</v>
      </c>
      <c r="L99" s="96">
        <f>SUMIFS(COMPOSICIÓN!J$2:J$1892,COMPOSICIÓN!A$2:A$1892,A99,COMPOSICIÓN!B$2:B$1892,"EQ")</f>
        <v>13563.684874668799</v>
      </c>
      <c r="M99" s="103">
        <f t="shared" si="5"/>
        <v>542036.05081495701</v>
      </c>
      <c r="N99" s="103">
        <f t="shared" si="6"/>
        <v>362209.60749629402</v>
      </c>
      <c r="O99" s="103">
        <f t="shared" si="9"/>
        <v>13563.684874668799</v>
      </c>
      <c r="P99" s="103">
        <f t="shared" si="8"/>
        <v>917809.34318591992</v>
      </c>
      <c r="Q99" s="95">
        <f>COUNTIF(COMPOSICIÓN!$A:$A,A99)</f>
        <v>3</v>
      </c>
      <c r="R99" s="32"/>
      <c r="S99" s="32" t="s">
        <v>28</v>
      </c>
      <c r="T99" s="32">
        <v>542036.05081495701</v>
      </c>
      <c r="U99" s="32">
        <v>362209.60749629402</v>
      </c>
      <c r="V99" s="32">
        <v>13563.684874668799</v>
      </c>
    </row>
    <row r="100" spans="1:22" ht="14.25" hidden="1" customHeight="1" x14ac:dyDescent="0.35">
      <c r="A100" s="12" t="s">
        <v>78</v>
      </c>
      <c r="B100" s="12"/>
      <c r="C100" s="105" t="s">
        <v>2004</v>
      </c>
      <c r="D100" s="12" t="s">
        <v>77</v>
      </c>
      <c r="E100" s="14" t="s">
        <v>53</v>
      </c>
      <c r="F100" s="14">
        <v>1</v>
      </c>
      <c r="G100" s="14">
        <v>0</v>
      </c>
      <c r="H100" s="106">
        <v>0</v>
      </c>
      <c r="I100" s="106">
        <v>1</v>
      </c>
      <c r="J100" s="96">
        <f>SUMIFS(COMPOSICIÓN!J$2:J$1892,COMPOSICIÓN!A$2:A$1892,A100,COMPOSICIÓN!B$2:B$1892,"MAT")</f>
        <v>648356.05081495689</v>
      </c>
      <c r="K100" s="96">
        <f>SUMIFS(COMPOSICIÓN!J$2:J$1892,COMPOSICIÓN!A$2:A$1892,A100,COMPOSICIÓN!B$2:B$1892,"MO")*I100</f>
        <v>362209.60749629402</v>
      </c>
      <c r="L100" s="96">
        <f>SUMIFS(COMPOSICIÓN!J$2:J$1892,COMPOSICIÓN!A$2:A$1892,A100,COMPOSICIÓN!B$2:B$1892,"EQ")</f>
        <v>15158.4848746688</v>
      </c>
      <c r="M100" s="101">
        <f t="shared" si="5"/>
        <v>648356.05081495689</v>
      </c>
      <c r="N100" s="101">
        <f t="shared" si="6"/>
        <v>362209.60749629402</v>
      </c>
      <c r="O100" s="101">
        <f t="shared" si="9"/>
        <v>15158.4848746688</v>
      </c>
      <c r="P100" s="101">
        <f t="shared" si="8"/>
        <v>1025724.1431859196</v>
      </c>
      <c r="Q100" s="102">
        <f>COUNTIF(COMPOSICIÓN!$A:$A,A100)</f>
        <v>5</v>
      </c>
      <c r="R100" s="17"/>
      <c r="S100" s="17" t="s">
        <v>28</v>
      </c>
      <c r="T100" s="17">
        <v>648356.05081495701</v>
      </c>
      <c r="U100" s="17">
        <v>362209.60749629402</v>
      </c>
      <c r="V100" s="17">
        <v>15158.4848746688</v>
      </c>
    </row>
    <row r="101" spans="1:22" ht="14.25" hidden="1" customHeight="1" x14ac:dyDescent="0.35">
      <c r="A101" s="105" t="s">
        <v>80</v>
      </c>
      <c r="B101" s="105"/>
      <c r="C101" s="105" t="s">
        <v>2004</v>
      </c>
      <c r="D101" s="105" t="s">
        <v>79</v>
      </c>
      <c r="E101" s="106" t="s">
        <v>53</v>
      </c>
      <c r="F101" s="106">
        <v>1</v>
      </c>
      <c r="G101" s="106">
        <v>0</v>
      </c>
      <c r="H101" s="106">
        <v>0</v>
      </c>
      <c r="I101" s="106">
        <v>1</v>
      </c>
      <c r="J101" s="96">
        <f>SUMIFS(COMPOSICIÓN!J$2:J$1892,COMPOSICIÓN!A$2:A$1892,A101,COMPOSICIÓN!B$2:B$1892,"MAT")</f>
        <v>447561.88571428572</v>
      </c>
      <c r="K101" s="96">
        <f>SUMIFS(COMPOSICIÓN!J$2:J$1892,COMPOSICIÓN!A$2:A$1892,A101,COMPOSICIÓN!B$2:B$1892,"MO")*I101</f>
        <v>392678.734102213</v>
      </c>
      <c r="L101" s="96">
        <f>SUMIFS(COMPOSICIÓN!J$2:J$1892,COMPOSICIÓN!A$2:A$1892,A101,COMPOSICIÓN!B$2:B$1892,"EQ")</f>
        <v>12603.6092972475</v>
      </c>
      <c r="M101" s="103">
        <f t="shared" si="5"/>
        <v>447561.88571428572</v>
      </c>
      <c r="N101" s="103">
        <f t="shared" si="6"/>
        <v>392678.734102213</v>
      </c>
      <c r="O101" s="103">
        <f t="shared" si="9"/>
        <v>12603.6092972475</v>
      </c>
      <c r="P101" s="103">
        <f t="shared" si="8"/>
        <v>852844.2291137462</v>
      </c>
      <c r="Q101" s="95">
        <f>COUNTIF(COMPOSICIÓN!$A:$A,A101)</f>
        <v>5</v>
      </c>
      <c r="R101" s="32"/>
      <c r="S101" s="32" t="s">
        <v>28</v>
      </c>
      <c r="T101" s="32">
        <v>447561.88571428601</v>
      </c>
      <c r="U101" s="32">
        <v>392678.734102213</v>
      </c>
      <c r="V101" s="32">
        <v>12603.6092972475</v>
      </c>
    </row>
    <row r="102" spans="1:22" ht="14.25" hidden="1" customHeight="1" x14ac:dyDescent="0.35">
      <c r="A102" s="12" t="s">
        <v>82</v>
      </c>
      <c r="B102" s="12"/>
      <c r="C102" s="105" t="s">
        <v>2004</v>
      </c>
      <c r="D102" s="12" t="s">
        <v>81</v>
      </c>
      <c r="E102" s="14" t="s">
        <v>53</v>
      </c>
      <c r="F102" s="14">
        <v>1</v>
      </c>
      <c r="G102" s="14">
        <v>0</v>
      </c>
      <c r="H102" s="106">
        <v>0</v>
      </c>
      <c r="I102" s="106">
        <v>1</v>
      </c>
      <c r="J102" s="96">
        <f>SUMIFS(COMPOSICIÓN!J$2:J$1892,COMPOSICIÓN!A$2:A$1892,A102,COMPOSICIÓN!B$2:B$1892,"MAT")</f>
        <v>466389.29851905268</v>
      </c>
      <c r="K102" s="96">
        <f>SUMIFS(COMPOSICIÓN!J$2:J$1892,COMPOSICIÓN!A$2:A$1892,A102,COMPOSICIÓN!B$2:B$1892,"MO")*I102</f>
        <v>786980.44420506305</v>
      </c>
      <c r="L102" s="96">
        <f>SUMIFS(COMPOSICIÓN!J$2:J$1892,COMPOSICIÓN!A$2:A$1892,A102,COMPOSICIÓN!B$2:B$1892,"EQ")</f>
        <v>18800.546137111702</v>
      </c>
      <c r="M102" s="101">
        <f t="shared" si="5"/>
        <v>466389.29851905268</v>
      </c>
      <c r="N102" s="101">
        <f t="shared" si="6"/>
        <v>786980.44420506305</v>
      </c>
      <c r="O102" s="101">
        <f t="shared" si="9"/>
        <v>18800.546137111702</v>
      </c>
      <c r="P102" s="101">
        <f t="shared" si="8"/>
        <v>1272170.2888612275</v>
      </c>
      <c r="Q102" s="102">
        <f>COUNTIF(COMPOSICIÓN!$A:$A,A102)</f>
        <v>6</v>
      </c>
      <c r="R102" s="17"/>
      <c r="S102" s="17" t="s">
        <v>28</v>
      </c>
      <c r="T102" s="17">
        <v>466389.29851905297</v>
      </c>
      <c r="U102" s="17">
        <v>786980.44395506196</v>
      </c>
      <c r="V102" s="17">
        <v>18800.546137111702</v>
      </c>
    </row>
    <row r="103" spans="1:22" ht="14.25" hidden="1" customHeight="1" x14ac:dyDescent="0.35">
      <c r="A103" s="105" t="s">
        <v>84</v>
      </c>
      <c r="B103" s="105"/>
      <c r="C103" s="105" t="s">
        <v>2004</v>
      </c>
      <c r="D103" s="105" t="s">
        <v>83</v>
      </c>
      <c r="E103" s="106" t="s">
        <v>53</v>
      </c>
      <c r="F103" s="106">
        <v>1</v>
      </c>
      <c r="G103" s="106">
        <v>0</v>
      </c>
      <c r="H103" s="106">
        <v>0</v>
      </c>
      <c r="I103" s="106">
        <v>1</v>
      </c>
      <c r="J103" s="96">
        <f>SUMIFS(COMPOSICIÓN!J$2:J$1892,COMPOSICIÓN!A$2:A$1892,A103,COMPOSICIÓN!B$2:B$1892,"MAT")</f>
        <v>578369.50878875039</v>
      </c>
      <c r="K103" s="96">
        <f>SUMIFS(COMPOSICIÓN!J$2:J$1892,COMPOSICIÓN!A$2:A$1892,A103,COMPOSICIÓN!B$2:B$1892,"MO")*I103</f>
        <v>786980.44420506305</v>
      </c>
      <c r="L103" s="96">
        <f>SUMIFS(COMPOSICIÓN!J$2:J$1892,COMPOSICIÓN!A$2:A$1892,A103,COMPOSICIÓN!B$2:B$1892,"EQ")</f>
        <v>20480.249291157201</v>
      </c>
      <c r="M103" s="103">
        <f t="shared" si="5"/>
        <v>578369.50878875039</v>
      </c>
      <c r="N103" s="103">
        <f t="shared" si="6"/>
        <v>786980.44420506305</v>
      </c>
      <c r="O103" s="103">
        <f t="shared" si="9"/>
        <v>20480.249291157201</v>
      </c>
      <c r="P103" s="103">
        <f t="shared" si="8"/>
        <v>1385830.2022849706</v>
      </c>
      <c r="Q103" s="95">
        <f>COUNTIF(COMPOSICIÓN!$A:$A,A103)</f>
        <v>6</v>
      </c>
      <c r="R103" s="32"/>
      <c r="S103" s="32" t="s">
        <v>28</v>
      </c>
      <c r="T103" s="32">
        <v>578369.50878875004</v>
      </c>
      <c r="U103" s="32">
        <v>786980.44395506196</v>
      </c>
      <c r="V103" s="32">
        <v>20480.249291157201</v>
      </c>
    </row>
    <row r="104" spans="1:22" ht="14.25" hidden="1" customHeight="1" x14ac:dyDescent="0.35">
      <c r="A104" s="105" t="s">
        <v>86</v>
      </c>
      <c r="B104" s="105"/>
      <c r="C104" s="105" t="s">
        <v>2004</v>
      </c>
      <c r="D104" s="105" t="s">
        <v>85</v>
      </c>
      <c r="E104" s="106" t="s">
        <v>53</v>
      </c>
      <c r="F104" s="106">
        <v>1</v>
      </c>
      <c r="G104" s="106">
        <v>0</v>
      </c>
      <c r="H104" s="106">
        <v>0</v>
      </c>
      <c r="I104" s="106">
        <v>1</v>
      </c>
      <c r="J104" s="96">
        <f>SUMIFS(COMPOSICIÓN!J$2:J$1892,COMPOSICIÓN!A$2:A$1892,A104,COMPOSICIÓN!B$2:B$1892,"MAT")</f>
        <v>472049.50878875039</v>
      </c>
      <c r="K104" s="96">
        <f>SUMIFS(COMPOSICIÓN!J$2:J$1892,COMPOSICIÓN!A$2:A$1892,A104,COMPOSICIÓN!B$2:B$1892,"MO")*I104</f>
        <v>629584.35516405001</v>
      </c>
      <c r="L104" s="96">
        <f>SUMIFS(COMPOSICIÓN!J$2:J$1892,COMPOSICIÓN!A$2:A$1892,A104,COMPOSICIÓN!B$2:B$1892,"EQ")</f>
        <v>16524.507959292001</v>
      </c>
      <c r="M104" s="103">
        <f t="shared" si="5"/>
        <v>472049.50878875039</v>
      </c>
      <c r="N104" s="103">
        <f t="shared" si="6"/>
        <v>629584.35516405001</v>
      </c>
      <c r="O104" s="103">
        <f t="shared" si="9"/>
        <v>16524.507959292001</v>
      </c>
      <c r="P104" s="103">
        <f t="shared" si="8"/>
        <v>1118158.3719120924</v>
      </c>
      <c r="Q104" s="95">
        <f>COUNTIF(COMPOSICIÓN!$A:$A,A104)</f>
        <v>5</v>
      </c>
      <c r="R104" s="32"/>
      <c r="S104" s="32" t="s">
        <v>28</v>
      </c>
      <c r="T104" s="32">
        <v>472049.50878874998</v>
      </c>
      <c r="U104" s="32">
        <v>629584.35516405001</v>
      </c>
      <c r="V104" s="32">
        <v>16524.507959292001</v>
      </c>
    </row>
    <row r="105" spans="1:22" ht="14.25" hidden="1" customHeight="1" x14ac:dyDescent="0.35">
      <c r="A105" s="12" t="s">
        <v>88</v>
      </c>
      <c r="B105" s="12"/>
      <c r="C105" s="105" t="s">
        <v>2004</v>
      </c>
      <c r="D105" s="12" t="s">
        <v>87</v>
      </c>
      <c r="E105" s="14" t="s">
        <v>53</v>
      </c>
      <c r="F105" s="14">
        <v>1</v>
      </c>
      <c r="G105" s="14">
        <v>0</v>
      </c>
      <c r="H105" s="14">
        <v>0</v>
      </c>
      <c r="I105" s="14">
        <v>1</v>
      </c>
      <c r="J105" s="100">
        <f>SUMIFS(COMPOSICIÓN!J$2:J$1892,COMPOSICIÓN!A$2:A$1892,A105,COMPOSICIÓN!B$2:B$1892,"MAT")</f>
        <v>361563.22243528278</v>
      </c>
      <c r="K105" s="100">
        <f>SUMIFS(COMPOSICIÓN!J$2:J$1892,COMPOSICIÓN!A$2:A$1892,A105,COMPOSICIÓN!B$2:B$1892,"MO")*I105</f>
        <v>253632.45059711899</v>
      </c>
      <c r="L105" s="100">
        <f>SUMIFS(COMPOSICIÓN!J$2:J$1892,COMPOSICIÓN!A$2:A$1892,A105,COMPOSICIÓN!B$2:B$1892,"EQ")</f>
        <v>9227.9350954860201</v>
      </c>
      <c r="M105" s="101">
        <f t="shared" si="5"/>
        <v>361563.22243528278</v>
      </c>
      <c r="N105" s="101">
        <f t="shared" si="6"/>
        <v>253632.45059711899</v>
      </c>
      <c r="O105" s="101">
        <f t="shared" si="9"/>
        <v>9227.9350954860201</v>
      </c>
      <c r="P105" s="101">
        <f t="shared" si="8"/>
        <v>624423.60812788783</v>
      </c>
      <c r="Q105" s="102">
        <f>COUNTIF(COMPOSICIÓN!$A:$A,A105)</f>
        <v>5</v>
      </c>
      <c r="R105" s="17"/>
      <c r="S105" s="17" t="s">
        <v>28</v>
      </c>
      <c r="T105" s="17">
        <v>361563.22243528301</v>
      </c>
      <c r="U105" s="17">
        <v>253632.45059711899</v>
      </c>
      <c r="V105" s="17">
        <v>9227.9350954860201</v>
      </c>
    </row>
    <row r="106" spans="1:22" ht="14.25" hidden="1" customHeight="1" x14ac:dyDescent="0.35">
      <c r="A106" s="105" t="s">
        <v>90</v>
      </c>
      <c r="B106" s="105"/>
      <c r="C106" s="105" t="s">
        <v>2004</v>
      </c>
      <c r="D106" s="105" t="s">
        <v>89</v>
      </c>
      <c r="E106" s="106" t="s">
        <v>53</v>
      </c>
      <c r="F106" s="106">
        <v>1</v>
      </c>
      <c r="G106" s="106">
        <v>0</v>
      </c>
      <c r="H106" s="106">
        <v>0</v>
      </c>
      <c r="I106" s="106">
        <v>1</v>
      </c>
      <c r="J106" s="96">
        <f>SUMIFS(COMPOSICIÓN!J$2:J$1892,COMPOSICIÓN!A$2:A$1892,A106,COMPOSICIÓN!B$2:B$1892,"MAT")</f>
        <v>367994.55172222527</v>
      </c>
      <c r="K106" s="96">
        <f>SUMIFS(COMPOSICIÓN!J$2:J$1892,COMPOSICIÓN!A$2:A$1892,A106,COMPOSICIÓN!B$2:B$1892,"MO")*I106</f>
        <v>317040.56324639881</v>
      </c>
      <c r="L106" s="96">
        <f>SUMIFS(COMPOSICIÓN!J$2:J$1892,COMPOSICIÓN!A$2:A$1892,A106,COMPOSICIÓN!B$2:B$1892,"EQ")</f>
        <v>10275.5267245294</v>
      </c>
      <c r="M106" s="103">
        <f t="shared" si="5"/>
        <v>367994.55172222527</v>
      </c>
      <c r="N106" s="103">
        <f t="shared" si="6"/>
        <v>317040.56324639881</v>
      </c>
      <c r="O106" s="103">
        <f t="shared" si="9"/>
        <v>10275.5267245294</v>
      </c>
      <c r="P106" s="103">
        <f t="shared" si="8"/>
        <v>695310.64169315354</v>
      </c>
      <c r="Q106" s="95">
        <f>COUNTIF(COMPOSICIÓN!$A:$A,A106)</f>
        <v>6</v>
      </c>
      <c r="R106" s="32"/>
      <c r="S106" s="32" t="s">
        <v>28</v>
      </c>
      <c r="T106" s="32">
        <v>367994.55172222498</v>
      </c>
      <c r="U106" s="32">
        <v>317040.563246398</v>
      </c>
      <c r="V106" s="32">
        <v>10275.5267245294</v>
      </c>
    </row>
    <row r="107" spans="1:22" ht="14.25" hidden="1" customHeight="1" x14ac:dyDescent="0.35">
      <c r="A107" s="12" t="s">
        <v>92</v>
      </c>
      <c r="B107" s="12"/>
      <c r="C107" s="105" t="s">
        <v>2004</v>
      </c>
      <c r="D107" s="12" t="s">
        <v>91</v>
      </c>
      <c r="E107" s="14" t="s">
        <v>53</v>
      </c>
      <c r="F107" s="14">
        <v>1</v>
      </c>
      <c r="G107" s="14">
        <v>0</v>
      </c>
      <c r="H107" s="14">
        <v>0</v>
      </c>
      <c r="I107" s="14">
        <v>1</v>
      </c>
      <c r="J107" s="100">
        <f>SUMIFS(COMPOSICIÓN!J$2:J$1892,COMPOSICIÓN!A$2:A$1892,A107,COMPOSICIÓN!B$2:B$1892,"MAT")</f>
        <v>404870.23328859062</v>
      </c>
      <c r="K107" s="100">
        <f>SUMIFS(COMPOSICIÓN!J$2:J$1892,COMPOSICIÓN!A$2:A$1892,A107,COMPOSICIÓN!B$2:B$1892,"MO")*I107</f>
        <v>370454.15079626901</v>
      </c>
      <c r="L107" s="100">
        <f>SUMIFS(COMPOSICIÓN!J$2:J$1892,COMPOSICIÓN!A$2:A$1892,A107,COMPOSICIÓN!B$2:B$1892,"EQ")</f>
        <v>11629.8657612729</v>
      </c>
      <c r="M107" s="101">
        <f t="shared" si="5"/>
        <v>404870.23328859062</v>
      </c>
      <c r="N107" s="101">
        <f t="shared" si="6"/>
        <v>370454.15079626901</v>
      </c>
      <c r="O107" s="101">
        <f t="shared" si="9"/>
        <v>11629.8657612729</v>
      </c>
      <c r="P107" s="101">
        <f t="shared" si="8"/>
        <v>786954.24984613247</v>
      </c>
      <c r="Q107" s="102">
        <f>COUNTIF(COMPOSICIÓN!$A:$A,A107)</f>
        <v>5</v>
      </c>
      <c r="R107" s="17"/>
      <c r="S107" s="17" t="s">
        <v>28</v>
      </c>
      <c r="T107" s="17">
        <v>404870.23328859097</v>
      </c>
      <c r="U107" s="17">
        <v>370454.15079626901</v>
      </c>
      <c r="V107" s="17">
        <v>11629.8657612729</v>
      </c>
    </row>
    <row r="108" spans="1:22" ht="14.25" hidden="1" customHeight="1" x14ac:dyDescent="0.35">
      <c r="A108" s="105" t="s">
        <v>94</v>
      </c>
      <c r="B108" s="105"/>
      <c r="C108" s="105" t="s">
        <v>2004</v>
      </c>
      <c r="D108" s="105" t="s">
        <v>93</v>
      </c>
      <c r="E108" s="106" t="s">
        <v>53</v>
      </c>
      <c r="F108" s="106">
        <v>1</v>
      </c>
      <c r="G108" s="106">
        <v>0</v>
      </c>
      <c r="H108" s="106">
        <v>0</v>
      </c>
      <c r="I108" s="106">
        <v>1</v>
      </c>
      <c r="J108" s="96">
        <f>SUMIFS(COMPOSICIÓN!J$2:J$1892,COMPOSICIÓN!A$2:A$1892,A108,COMPOSICIÓN!B$2:B$1892,"MAT")</f>
        <v>466389.29851905268</v>
      </c>
      <c r="K108" s="96">
        <f>SUMIFS(COMPOSICIÓN!J$2:J$1892,COMPOSICIÓN!A$2:A$1892,A108,COMPOSICIÓN!B$2:B$1892,"MO")*I108</f>
        <v>786980.44420506305</v>
      </c>
      <c r="L108" s="96">
        <f>SUMIFS(COMPOSICIÓN!J$2:J$1892,COMPOSICIÓN!A$2:A$1892,A108,COMPOSICIÓN!B$2:B$1892,"EQ")</f>
        <v>18800.546137111702</v>
      </c>
      <c r="M108" s="103">
        <f t="shared" si="5"/>
        <v>466389.29851905268</v>
      </c>
      <c r="N108" s="103">
        <f t="shared" si="6"/>
        <v>786980.44420506305</v>
      </c>
      <c r="O108" s="103">
        <f t="shared" si="9"/>
        <v>18800.546137111702</v>
      </c>
      <c r="P108" s="103">
        <f t="shared" si="8"/>
        <v>1272170.2888612275</v>
      </c>
      <c r="Q108" s="95">
        <f>COUNTIF(COMPOSICIÓN!$A:$A,A108)</f>
        <v>6</v>
      </c>
      <c r="R108" s="32"/>
      <c r="S108" s="32" t="s">
        <v>28</v>
      </c>
      <c r="T108" s="32">
        <v>466389.29851905297</v>
      </c>
      <c r="U108" s="32">
        <v>786980.44395506196</v>
      </c>
      <c r="V108" s="32">
        <v>18800.546137111702</v>
      </c>
    </row>
    <row r="109" spans="1:22" ht="14.25" hidden="1" customHeight="1" x14ac:dyDescent="0.35">
      <c r="A109" s="12" t="s">
        <v>96</v>
      </c>
      <c r="B109" s="12"/>
      <c r="C109" s="105" t="s">
        <v>2004</v>
      </c>
      <c r="D109" s="12" t="s">
        <v>95</v>
      </c>
      <c r="E109" s="14" t="s">
        <v>26</v>
      </c>
      <c r="F109" s="14">
        <v>1</v>
      </c>
      <c r="G109" s="14">
        <v>0</v>
      </c>
      <c r="H109" s="106">
        <v>0</v>
      </c>
      <c r="I109" s="106">
        <v>1</v>
      </c>
      <c r="J109" s="96">
        <f>SUMIFS(COMPOSICIÓN!J$2:J$1892,COMPOSICIÓN!A$2:A$1892,A109,COMPOSICIÓN!B$2:B$1892,"MAT")</f>
        <v>0</v>
      </c>
      <c r="K109" s="96">
        <f>SUMIFS(COMPOSICIÓN!J$2:J$1892,COMPOSICIÓN!A$2:A$1892,A109,COMPOSICIÓN!B$2:B$1892,"MO")*I109</f>
        <v>0</v>
      </c>
      <c r="L109" s="96">
        <f>SUMIFS(COMPOSICIÓN!J$2:J$1892,COMPOSICIÓN!A$2:A$1892,A109,COMPOSICIÓN!B$2:B$1892,"EQ")</f>
        <v>10584987.9932345</v>
      </c>
      <c r="M109" s="101">
        <f t="shared" si="5"/>
        <v>0</v>
      </c>
      <c r="N109" s="101">
        <f t="shared" si="6"/>
        <v>0</v>
      </c>
      <c r="O109" s="101">
        <f t="shared" si="9"/>
        <v>10584987.9932345</v>
      </c>
      <c r="P109" s="101">
        <f t="shared" si="8"/>
        <v>10584987.9932345</v>
      </c>
      <c r="Q109" s="102">
        <f>COUNTIF(COMPOSICIÓN!$A:$A,A109)</f>
        <v>1</v>
      </c>
      <c r="R109" s="17"/>
      <c r="S109" s="17" t="s">
        <v>28</v>
      </c>
      <c r="T109" s="17">
        <v>0</v>
      </c>
      <c r="U109" s="17">
        <v>0</v>
      </c>
      <c r="V109" s="17">
        <v>10584987.9932345</v>
      </c>
    </row>
    <row r="110" spans="1:22" ht="14.25" hidden="1" customHeight="1" x14ac:dyDescent="0.35">
      <c r="A110" s="105" t="s">
        <v>99</v>
      </c>
      <c r="B110" s="105"/>
      <c r="C110" s="105" t="s">
        <v>2004</v>
      </c>
      <c r="D110" s="105" t="s">
        <v>97</v>
      </c>
      <c r="E110" s="106" t="s">
        <v>98</v>
      </c>
      <c r="F110" s="106">
        <v>1</v>
      </c>
      <c r="G110" s="106">
        <v>0</v>
      </c>
      <c r="H110" s="106">
        <v>0</v>
      </c>
      <c r="I110" s="106">
        <v>1</v>
      </c>
      <c r="J110" s="96">
        <f>SUMIFS(COMPOSICIÓN!J$2:J$1892,COMPOSICIÓN!A$2:A$1892,A110,COMPOSICIÓN!B$2:B$1892,"MAT")</f>
        <v>0</v>
      </c>
      <c r="K110" s="96">
        <f>SUMIFS(COMPOSICIÓN!J$2:J$1892,COMPOSICIÓN!A$2:A$1892,A110,COMPOSICIÓN!B$2:B$1892,"MO")*I110</f>
        <v>246942.14876033101</v>
      </c>
      <c r="L110" s="96">
        <f>SUMIFS(COMPOSICIÓN!J$2:J$1892,COMPOSICIÓN!A$2:A$1892,A110,COMPOSICIÓN!B$2:B$1892,"EQ")</f>
        <v>0</v>
      </c>
      <c r="M110" s="103">
        <f t="shared" si="5"/>
        <v>0</v>
      </c>
      <c r="N110" s="103">
        <f t="shared" si="6"/>
        <v>246942.14876033101</v>
      </c>
      <c r="O110" s="103">
        <f t="shared" si="9"/>
        <v>0</v>
      </c>
      <c r="P110" s="103">
        <f t="shared" si="8"/>
        <v>246942.14876033101</v>
      </c>
      <c r="Q110" s="95">
        <f>COUNTIF(COMPOSICIÓN!$A:$A,A110)</f>
        <v>1</v>
      </c>
      <c r="R110" s="32"/>
      <c r="S110" s="32" t="s">
        <v>28</v>
      </c>
      <c r="T110" s="32">
        <v>0</v>
      </c>
      <c r="U110" s="32">
        <v>246942.14876033101</v>
      </c>
      <c r="V110" s="32">
        <v>0</v>
      </c>
    </row>
    <row r="111" spans="1:22" ht="14.25" hidden="1" customHeight="1" x14ac:dyDescent="0.35">
      <c r="A111" s="12" t="s">
        <v>101</v>
      </c>
      <c r="B111" s="12"/>
      <c r="C111" s="105" t="s">
        <v>2004</v>
      </c>
      <c r="D111" s="12" t="s">
        <v>100</v>
      </c>
      <c r="E111" s="14" t="s">
        <v>26</v>
      </c>
      <c r="F111" s="14">
        <v>1</v>
      </c>
      <c r="G111" s="14">
        <v>0</v>
      </c>
      <c r="H111" s="14">
        <v>0</v>
      </c>
      <c r="I111" s="14">
        <v>1</v>
      </c>
      <c r="J111" s="100">
        <f>SUMIFS(COMPOSICIÓN!J$2:J$1892,COMPOSICIÓN!A$2:A$1892,A111,COMPOSICIÓN!B$2:B$1892,"MAT")</f>
        <v>55000</v>
      </c>
      <c r="K111" s="100">
        <f>SUMIFS(COMPOSICIÓN!J$2:J$1892,COMPOSICIÓN!A$2:A$1892,A111,COMPOSICIÓN!B$2:B$1892,"MO")*I111</f>
        <v>0</v>
      </c>
      <c r="L111" s="100">
        <f>SUMIFS(COMPOSICIÓN!J$2:J$1892,COMPOSICIÓN!A$2:A$1892,A111,COMPOSICIÓN!B$2:B$1892,"EQ")</f>
        <v>0</v>
      </c>
      <c r="M111" s="101">
        <f t="shared" si="5"/>
        <v>55000</v>
      </c>
      <c r="N111" s="101">
        <f t="shared" si="6"/>
        <v>0</v>
      </c>
      <c r="O111" s="101">
        <f t="shared" si="9"/>
        <v>0</v>
      </c>
      <c r="P111" s="101">
        <f t="shared" si="8"/>
        <v>55000</v>
      </c>
      <c r="Q111" s="102">
        <f>COUNTIF(COMPOSICIÓN!$A:$A,A111)</f>
        <v>1</v>
      </c>
      <c r="R111" s="17"/>
      <c r="S111" s="17" t="s">
        <v>28</v>
      </c>
      <c r="T111" s="17">
        <v>55000</v>
      </c>
      <c r="U111" s="17">
        <v>0</v>
      </c>
      <c r="V111" s="17">
        <v>0</v>
      </c>
    </row>
    <row r="112" spans="1:22" ht="14.25" hidden="1" customHeight="1" x14ac:dyDescent="0.35">
      <c r="A112" s="105" t="s">
        <v>103</v>
      </c>
      <c r="B112" s="105"/>
      <c r="C112" s="105" t="s">
        <v>2004</v>
      </c>
      <c r="D112" s="105" t="s">
        <v>102</v>
      </c>
      <c r="E112" s="106" t="s">
        <v>50</v>
      </c>
      <c r="F112" s="106">
        <v>1</v>
      </c>
      <c r="G112" s="106">
        <v>0</v>
      </c>
      <c r="H112" s="106">
        <v>0</v>
      </c>
      <c r="I112" s="106">
        <v>1</v>
      </c>
      <c r="J112" s="96">
        <f>SUMIFS(COMPOSICIÓN!J$2:J$1892,COMPOSICIÓN!A$2:A$1892,A112,COMPOSICIÓN!B$2:B$1892,"MAT")</f>
        <v>9230.7846150000005</v>
      </c>
      <c r="K112" s="96">
        <f>SUMIFS(COMPOSICIÓN!J$2:J$1892,COMPOSICIÓN!A$2:A$1892,A112,COMPOSICIÓN!B$2:B$1892,"MO")*I112</f>
        <v>20224.016520282959</v>
      </c>
      <c r="L112" s="96">
        <f>SUMIFS(COMPOSICIÓN!J$2:J$1892,COMPOSICIÓN!A$2:A$1892,A112,COMPOSICIÓN!B$2:B$1892,"EQ")</f>
        <v>441.82178367244802</v>
      </c>
      <c r="M112" s="103">
        <f t="shared" si="5"/>
        <v>9230.7846150000005</v>
      </c>
      <c r="N112" s="103">
        <f t="shared" si="6"/>
        <v>20224.016520282959</v>
      </c>
      <c r="O112" s="103">
        <f t="shared" si="9"/>
        <v>441.82178367244802</v>
      </c>
      <c r="P112" s="103">
        <f t="shared" si="8"/>
        <v>29896.622918955407</v>
      </c>
      <c r="Q112" s="95">
        <f>COUNTIF(COMPOSICIÓN!$A:$A,A112)</f>
        <v>5</v>
      </c>
      <c r="R112" s="32"/>
      <c r="S112" s="32" t="s">
        <v>32</v>
      </c>
      <c r="T112" s="32">
        <v>9230.7692307692305</v>
      </c>
      <c r="U112" s="32">
        <v>20224.016347394001</v>
      </c>
      <c r="V112" s="32">
        <v>441.82178367244802</v>
      </c>
    </row>
    <row r="113" spans="1:22" ht="14.25" hidden="1" customHeight="1" x14ac:dyDescent="0.35">
      <c r="A113" s="12" t="s">
        <v>105</v>
      </c>
      <c r="B113" s="12"/>
      <c r="C113" s="12" t="s">
        <v>2017</v>
      </c>
      <c r="D113" s="12" t="s">
        <v>104</v>
      </c>
      <c r="E113" s="14" t="s">
        <v>50</v>
      </c>
      <c r="F113" s="14">
        <v>15</v>
      </c>
      <c r="G113" s="14">
        <v>0</v>
      </c>
      <c r="H113" s="14">
        <v>0</v>
      </c>
      <c r="I113" s="14">
        <v>1</v>
      </c>
      <c r="J113" s="100">
        <f>SUMIFS(COMPOSICIÓN!J$2:J$1892,COMPOSICIÓN!A$2:A$1892,A113,COMPOSICIÓN!B$2:B$1892,"MAT")</f>
        <v>10053.788125999999</v>
      </c>
      <c r="K113" s="100">
        <f>SUMIFS(COMPOSICIÓN!J$2:J$1892,COMPOSICIÓN!A$2:A$1892,A113,COMPOSICIÓN!B$2:B$1892,"MO")*I113</f>
        <v>161417.63674380651</v>
      </c>
      <c r="L113" s="100">
        <f>SUMIFS(COMPOSICIÓN!J$2:J$1892,COMPOSICIÓN!A$2:A$1892,A113,COMPOSICIÓN!B$2:B$1892,"EQ")</f>
        <v>3836.7078361185131</v>
      </c>
      <c r="M113" s="101">
        <f t="shared" si="5"/>
        <v>10053.788125999999</v>
      </c>
      <c r="N113" s="101">
        <f t="shared" si="6"/>
        <v>10761.175782920434</v>
      </c>
      <c r="O113" s="101">
        <f t="shared" si="9"/>
        <v>255.78052240790086</v>
      </c>
      <c r="P113" s="101">
        <f t="shared" si="8"/>
        <v>21070.744431328338</v>
      </c>
      <c r="Q113" s="102">
        <f>COUNTIF(COMPOSICIÓN!$A:$A,A113)</f>
        <v>11</v>
      </c>
      <c r="R113" s="17"/>
      <c r="S113" s="17" t="s">
        <v>106</v>
      </c>
      <c r="T113" s="17">
        <v>10053.788111207799</v>
      </c>
      <c r="U113" s="17">
        <v>10761.1757829204</v>
      </c>
      <c r="V113" s="17">
        <v>255.780522407901</v>
      </c>
    </row>
    <row r="114" spans="1:22" ht="14.25" hidden="1" customHeight="1" x14ac:dyDescent="0.35">
      <c r="A114" s="105" t="s">
        <v>108</v>
      </c>
      <c r="B114" s="105"/>
      <c r="C114" s="105" t="s">
        <v>2017</v>
      </c>
      <c r="D114" s="105" t="s">
        <v>107</v>
      </c>
      <c r="E114" s="106" t="s">
        <v>50</v>
      </c>
      <c r="F114" s="106">
        <v>15</v>
      </c>
      <c r="G114" s="106">
        <v>0</v>
      </c>
      <c r="H114" s="106">
        <v>0</v>
      </c>
      <c r="I114" s="106">
        <v>1</v>
      </c>
      <c r="J114" s="96">
        <f>SUMIFS(COMPOSICIÓN!J$2:J$1892,COMPOSICIÓN!A$2:A$1892,A114,COMPOSICIÓN!B$2:B$1892,"MAT")</f>
        <v>18207.260483999999</v>
      </c>
      <c r="K114" s="96">
        <f>SUMIFS(COMPOSICIÓN!J$2:J$1892,COMPOSICIÓN!A$2:A$1892,A114,COMPOSICIÓN!B$2:B$1892,"MO")*I114</f>
        <v>161417.63674380651</v>
      </c>
      <c r="L114" s="96">
        <f>SUMIFS(COMPOSICIÓN!J$2:J$1892,COMPOSICIÓN!A$2:A$1892,A114,COMPOSICIÓN!B$2:B$1892,"EQ")</f>
        <v>3836.7078361185131</v>
      </c>
      <c r="M114" s="103">
        <f t="shared" si="5"/>
        <v>18207.260483999999</v>
      </c>
      <c r="N114" s="103">
        <f t="shared" si="6"/>
        <v>10761.175782920434</v>
      </c>
      <c r="O114" s="103">
        <f t="shared" si="9"/>
        <v>255.78052240790086</v>
      </c>
      <c r="P114" s="103">
        <f t="shared" si="8"/>
        <v>29224.216789328337</v>
      </c>
      <c r="Q114" s="95">
        <f>COUNTIF(COMPOSICIÓN!$A:$A,A114)</f>
        <v>11</v>
      </c>
      <c r="R114" s="32"/>
      <c r="S114" s="32" t="s">
        <v>109</v>
      </c>
      <c r="T114" s="32">
        <v>18207.260451115199</v>
      </c>
      <c r="U114" s="32">
        <v>10761.1757829204</v>
      </c>
      <c r="V114" s="32">
        <v>255.780522407901</v>
      </c>
    </row>
    <row r="115" spans="1:22" ht="14.25" hidden="1" customHeight="1" x14ac:dyDescent="0.35">
      <c r="A115" s="12" t="s">
        <v>111</v>
      </c>
      <c r="B115" s="12"/>
      <c r="C115" s="12" t="s">
        <v>2017</v>
      </c>
      <c r="D115" s="12" t="s">
        <v>110</v>
      </c>
      <c r="E115" s="14" t="s">
        <v>50</v>
      </c>
      <c r="F115" s="14">
        <v>15</v>
      </c>
      <c r="G115" s="14">
        <v>0</v>
      </c>
      <c r="H115" s="14">
        <v>0</v>
      </c>
      <c r="I115" s="14">
        <v>1</v>
      </c>
      <c r="J115" s="100">
        <f>SUMIFS(COMPOSICIÓN!J$2:J$1892,COMPOSICIÓN!A$2:A$1892,A115,COMPOSICIÓN!B$2:B$1892,"MAT")</f>
        <v>12465.047584000004</v>
      </c>
      <c r="K115" s="100">
        <f>SUMIFS(COMPOSICIÓN!J$2:J$1892,COMPOSICIÓN!A$2:A$1892,A115,COMPOSICIÓN!B$2:B$1892,"MO")*I115</f>
        <v>161417.63674380651</v>
      </c>
      <c r="L115" s="100">
        <f>SUMIFS(COMPOSICIÓN!J$2:J$1892,COMPOSICIÓN!A$2:A$1892,A115,COMPOSICIÓN!B$2:B$1892,"EQ")</f>
        <v>3836.7078361185131</v>
      </c>
      <c r="M115" s="101">
        <f t="shared" si="5"/>
        <v>12465.047584000004</v>
      </c>
      <c r="N115" s="101">
        <f t="shared" si="6"/>
        <v>10761.175782920434</v>
      </c>
      <c r="O115" s="101">
        <f t="shared" si="9"/>
        <v>255.78052240790086</v>
      </c>
      <c r="P115" s="101">
        <f t="shared" si="8"/>
        <v>23482.003889328338</v>
      </c>
      <c r="Q115" s="102">
        <f>COUNTIF(COMPOSICIÓN!$A:$A,A115)</f>
        <v>11</v>
      </c>
      <c r="R115" s="17"/>
      <c r="S115" s="17" t="s">
        <v>112</v>
      </c>
      <c r="T115" s="17">
        <v>12465.037584</v>
      </c>
      <c r="U115" s="17">
        <v>10761.1757829204</v>
      </c>
      <c r="V115" s="17">
        <v>255.780522407901</v>
      </c>
    </row>
    <row r="116" spans="1:22" ht="14.25" hidden="1" customHeight="1" x14ac:dyDescent="0.35">
      <c r="A116" s="105" t="s">
        <v>114</v>
      </c>
      <c r="B116" s="105"/>
      <c r="C116" s="105" t="s">
        <v>2017</v>
      </c>
      <c r="D116" s="105" t="s">
        <v>113</v>
      </c>
      <c r="E116" s="106" t="s">
        <v>50</v>
      </c>
      <c r="F116" s="106">
        <v>15</v>
      </c>
      <c r="G116" s="106">
        <v>0</v>
      </c>
      <c r="H116" s="106">
        <v>0</v>
      </c>
      <c r="I116" s="106">
        <v>1</v>
      </c>
      <c r="J116" s="96">
        <f>SUMIFS(COMPOSICIÓN!J$2:J$1892,COMPOSICIÓN!A$2:A$1892,A116,COMPOSICIÓN!B$2:B$1892,"MAT")</f>
        <v>6069.2195661000014</v>
      </c>
      <c r="K116" s="96">
        <f>SUMIFS(COMPOSICIÓN!J$2:J$1892,COMPOSICIÓN!A$2:A$1892,A116,COMPOSICIÓN!B$2:B$1892,"MO")*I116</f>
        <v>80708.818371903253</v>
      </c>
      <c r="L116" s="96">
        <f>SUMIFS(COMPOSICIÓN!J$2:J$1892,COMPOSICIÓN!A$2:A$1892,A116,COMPOSICIÓN!B$2:B$1892,"EQ")</f>
        <v>3836.7078361185131</v>
      </c>
      <c r="M116" s="103">
        <f t="shared" si="5"/>
        <v>6069.2195661000014</v>
      </c>
      <c r="N116" s="103">
        <f t="shared" si="6"/>
        <v>5380.5878914602172</v>
      </c>
      <c r="O116" s="103">
        <f t="shared" si="9"/>
        <v>255.78052240790086</v>
      </c>
      <c r="P116" s="103">
        <f t="shared" si="8"/>
        <v>11705.587979968119</v>
      </c>
      <c r="Q116" s="95">
        <f>COUNTIF(COMPOSICIÓN!$A:$A,A116)</f>
        <v>11</v>
      </c>
      <c r="R116" s="32"/>
      <c r="S116" s="32" t="s">
        <v>106</v>
      </c>
      <c r="T116" s="32">
        <v>6069.0868170384001</v>
      </c>
      <c r="U116" s="32">
        <v>5380.5878914602199</v>
      </c>
      <c r="V116" s="32">
        <v>255.780522407901</v>
      </c>
    </row>
    <row r="117" spans="1:22" ht="14.25" hidden="1" customHeight="1" x14ac:dyDescent="0.35">
      <c r="A117" s="12" t="s">
        <v>116</v>
      </c>
      <c r="B117" s="12"/>
      <c r="C117" s="12" t="s">
        <v>2017</v>
      </c>
      <c r="D117" s="12" t="s">
        <v>115</v>
      </c>
      <c r="E117" s="14" t="s">
        <v>50</v>
      </c>
      <c r="F117" s="14">
        <v>6</v>
      </c>
      <c r="G117" s="14">
        <v>0</v>
      </c>
      <c r="H117" s="106">
        <v>0</v>
      </c>
      <c r="I117" s="106">
        <v>1</v>
      </c>
      <c r="J117" s="96">
        <f>SUMIFS(COMPOSICIÓN!J$2:J$1892,COMPOSICIÓN!A$2:A$1892,A117,COMPOSICIÓN!B$2:B$1892,"MAT")</f>
        <v>28944.117259275001</v>
      </c>
      <c r="K117" s="96">
        <f>SUMIFS(COMPOSICIÓN!J$2:J$1892,COMPOSICIÓN!A$2:A$1892,A117,COMPOSICIÓN!B$2:B$1892,"MO")*I117</f>
        <v>166309.27624912901</v>
      </c>
      <c r="L117" s="96">
        <f>SUMIFS(COMPOSICIÓN!J$2:J$1892,COMPOSICIÓN!A$2:A$1892,A117,COMPOSICIÓN!B$2:B$1892,"EQ")</f>
        <v>2646.9500538035354</v>
      </c>
      <c r="M117" s="101">
        <f t="shared" si="5"/>
        <v>28944.117259275001</v>
      </c>
      <c r="N117" s="101">
        <f t="shared" si="6"/>
        <v>27718.212708188166</v>
      </c>
      <c r="O117" s="101">
        <f t="shared" si="9"/>
        <v>441.15834230058925</v>
      </c>
      <c r="P117" s="101">
        <f t="shared" si="8"/>
        <v>57103.488309763758</v>
      </c>
      <c r="Q117" s="102">
        <f>COUNTIF(COMPOSICIÓN!$A:$A,A117)</f>
        <v>14</v>
      </c>
      <c r="R117" s="17"/>
      <c r="S117" s="17" t="s">
        <v>117</v>
      </c>
      <c r="T117" s="17">
        <v>28944.105044419699</v>
      </c>
      <c r="U117" s="17">
        <v>27718.212708188199</v>
      </c>
      <c r="V117" s="17">
        <v>441.158343452233</v>
      </c>
    </row>
    <row r="118" spans="1:22" ht="14.25" hidden="1" customHeight="1" x14ac:dyDescent="0.35">
      <c r="A118" s="105" t="s">
        <v>119</v>
      </c>
      <c r="B118" s="105"/>
      <c r="C118" s="105" t="s">
        <v>2017</v>
      </c>
      <c r="D118" s="105" t="s">
        <v>118</v>
      </c>
      <c r="E118" s="106" t="s">
        <v>36</v>
      </c>
      <c r="F118" s="106">
        <v>1</v>
      </c>
      <c r="G118" s="106">
        <v>0</v>
      </c>
      <c r="H118" s="106">
        <v>0</v>
      </c>
      <c r="I118" s="106">
        <v>1</v>
      </c>
      <c r="J118" s="96">
        <f>SUMIFS(COMPOSICIÓN!J$2:J$1892,COMPOSICIÓN!A$2:A$1892,A118,COMPOSICIÓN!B$2:B$1892,"MAT")</f>
        <v>23405.00333333333</v>
      </c>
      <c r="K118" s="96">
        <f>SUMIFS(COMPOSICIÓN!J$2:J$1892,COMPOSICIÓN!A$2:A$1892,A118,COMPOSICIÓN!B$2:B$1892,"MO")*I118</f>
        <v>36357.143586693892</v>
      </c>
      <c r="L118" s="96">
        <f>SUMIFS(COMPOSICIÓN!J$2:J$1892,COMPOSICIÓN!A$2:A$1892,A118,COMPOSICIÓN!B$2:B$1892,"EQ")</f>
        <v>896.43232880040898</v>
      </c>
      <c r="M118" s="103">
        <f t="shared" si="5"/>
        <v>23405.00333333333</v>
      </c>
      <c r="N118" s="103">
        <f t="shared" si="6"/>
        <v>36357.143586693892</v>
      </c>
      <c r="O118" s="103">
        <f t="shared" si="9"/>
        <v>896.43232880040898</v>
      </c>
      <c r="P118" s="103">
        <f t="shared" si="8"/>
        <v>60658.579248827635</v>
      </c>
      <c r="Q118" s="95">
        <f>COUNTIF(COMPOSICIÓN!$A:$A,A118)</f>
        <v>12</v>
      </c>
      <c r="R118" s="32"/>
      <c r="S118" s="32" t="s">
        <v>32</v>
      </c>
      <c r="T118" s="32">
        <v>23405.011666666702</v>
      </c>
      <c r="U118" s="32">
        <v>36357.143586693899</v>
      </c>
      <c r="V118" s="32">
        <v>896.43232880040898</v>
      </c>
    </row>
    <row r="119" spans="1:22" ht="14.25" hidden="1" customHeight="1" x14ac:dyDescent="0.35">
      <c r="A119" s="12" t="s">
        <v>121</v>
      </c>
      <c r="B119" s="12"/>
      <c r="C119" s="12" t="s">
        <v>2005</v>
      </c>
      <c r="D119" s="12" t="s">
        <v>120</v>
      </c>
      <c r="E119" s="14" t="s">
        <v>50</v>
      </c>
      <c r="F119" s="14">
        <v>1</v>
      </c>
      <c r="G119" s="14">
        <v>0</v>
      </c>
      <c r="H119" s="14">
        <v>0</v>
      </c>
      <c r="I119" s="14">
        <v>1</v>
      </c>
      <c r="J119" s="100">
        <f>SUMIFS(COMPOSICIÓN!J$2:J$1892,COMPOSICIÓN!A$2:A$1892,A119,COMPOSICIÓN!B$2:B$1892,"MAT")</f>
        <v>11767.713955588051</v>
      </c>
      <c r="K119" s="100">
        <f>SUMIFS(COMPOSICIÓN!J$2:J$1892,COMPOSICIÓN!A$2:A$1892,A119,COMPOSICIÓN!B$2:B$1892,"MO")*I119</f>
        <v>17247.086079764951</v>
      </c>
      <c r="L119" s="100">
        <f>SUMIFS(COMPOSICIÓN!J$2:J$1892,COMPOSICIÓN!A$2:A$1892,A119,COMPOSICIÓN!B$2:B$1892,"EQ")</f>
        <v>874.41130614484587</v>
      </c>
      <c r="M119" s="101">
        <f t="shared" si="5"/>
        <v>11767.713955588051</v>
      </c>
      <c r="N119" s="101">
        <f t="shared" si="6"/>
        <v>17247.086079764951</v>
      </c>
      <c r="O119" s="101">
        <f>IF(F119=0,0,L119/25)</f>
        <v>34.976452245793837</v>
      </c>
      <c r="P119" s="101">
        <f t="shared" si="8"/>
        <v>29049.776487598796</v>
      </c>
      <c r="Q119" s="102">
        <f>COUNTIF(COMPOSICIÓN!$A:$A,A119)</f>
        <v>12</v>
      </c>
      <c r="R119" s="17"/>
      <c r="S119" s="17" t="s">
        <v>122</v>
      </c>
      <c r="T119" s="17">
        <v>11767.7052584504</v>
      </c>
      <c r="U119" s="17">
        <v>17247.086079764998</v>
      </c>
      <c r="V119" s="17">
        <v>34.976452245793801</v>
      </c>
    </row>
    <row r="120" spans="1:22" ht="14.25" hidden="1" customHeight="1" x14ac:dyDescent="0.35">
      <c r="A120" s="105" t="s">
        <v>124</v>
      </c>
      <c r="B120" s="105"/>
      <c r="C120" s="12" t="s">
        <v>2005</v>
      </c>
      <c r="D120" s="105" t="s">
        <v>123</v>
      </c>
      <c r="E120" s="106" t="s">
        <v>36</v>
      </c>
      <c r="F120" s="106">
        <v>28</v>
      </c>
      <c r="G120" s="106">
        <v>0</v>
      </c>
      <c r="H120" s="106">
        <v>0</v>
      </c>
      <c r="I120" s="106">
        <v>1</v>
      </c>
      <c r="J120" s="96">
        <f>SUMIFS(COMPOSICIÓN!J$2:J$1892,COMPOSICIÓN!A$2:A$1892,A120,COMPOSICIÓN!B$2:B$1892,"MAT")</f>
        <v>827.27861400000006</v>
      </c>
      <c r="K120" s="96">
        <f>SUMIFS(COMPOSICIÓN!J$2:J$1892,COMPOSICIÓN!A$2:A$1892,A120,COMPOSICIÓN!B$2:B$1892,"MO")*I120</f>
        <v>121073.33742764595</v>
      </c>
      <c r="L120" s="96">
        <f>SUMIFS(COMPOSICIÓN!J$2:J$1892,COMPOSICIÓN!A$2:A$1892,A120,COMPOSICIÓN!B$2:B$1892,"EQ")</f>
        <v>3836.7078361185131</v>
      </c>
      <c r="M120" s="103">
        <f t="shared" si="5"/>
        <v>827.27861400000006</v>
      </c>
      <c r="N120" s="103">
        <f t="shared" si="6"/>
        <v>4324.0477652730697</v>
      </c>
      <c r="O120" s="103">
        <f>IF(F120=0,0,L120/F120)</f>
        <v>137.02527986137548</v>
      </c>
      <c r="P120" s="103">
        <f t="shared" si="8"/>
        <v>5288.3516591344451</v>
      </c>
      <c r="Q120" s="95">
        <f>COUNTIF(COMPOSICIÓN!$A:$A,A120)</f>
        <v>8</v>
      </c>
      <c r="R120" s="32"/>
      <c r="S120" s="32" t="s">
        <v>125</v>
      </c>
      <c r="T120" s="32">
        <v>827.27861399999995</v>
      </c>
      <c r="U120" s="32">
        <v>4324.0477652730697</v>
      </c>
      <c r="V120" s="32">
        <v>137.025279861375</v>
      </c>
    </row>
    <row r="121" spans="1:22" ht="14.25" hidden="1" customHeight="1" x14ac:dyDescent="0.35">
      <c r="A121" s="12" t="s">
        <v>127</v>
      </c>
      <c r="B121" s="12"/>
      <c r="C121" s="12" t="s">
        <v>2005</v>
      </c>
      <c r="D121" s="12" t="s">
        <v>126</v>
      </c>
      <c r="E121" s="14" t="s">
        <v>50</v>
      </c>
      <c r="F121" s="14">
        <v>28</v>
      </c>
      <c r="G121" s="14">
        <v>0</v>
      </c>
      <c r="H121" s="14">
        <v>0</v>
      </c>
      <c r="I121" s="14">
        <v>1</v>
      </c>
      <c r="J121" s="100">
        <f>SUMIFS(COMPOSICIÓN!J$2:J$1892,COMPOSICIÓN!A$2:A$1892,A121,COMPOSICIÓN!B$2:B$1892,"MAT")</f>
        <v>827.27861400000006</v>
      </c>
      <c r="K121" s="100">
        <f>SUMIFS(COMPOSICIÓN!J$2:J$1892,COMPOSICIÓN!A$2:A$1892,A121,COMPOSICIÓN!B$2:B$1892,"MO")*I121</f>
        <v>121073.33742764595</v>
      </c>
      <c r="L121" s="100">
        <f>SUMIFS(COMPOSICIÓN!J$2:J$1892,COMPOSICIÓN!A$2:A$1892,A121,COMPOSICIÓN!B$2:B$1892,"EQ")</f>
        <v>3836.7078361185131</v>
      </c>
      <c r="M121" s="101">
        <f t="shared" si="5"/>
        <v>827.27861400000006</v>
      </c>
      <c r="N121" s="101">
        <f t="shared" si="6"/>
        <v>4324.0477652730697</v>
      </c>
      <c r="O121" s="101">
        <f>IF(F121=0,0,L121/F121)</f>
        <v>137.02527986137548</v>
      </c>
      <c r="P121" s="101">
        <f t="shared" si="8"/>
        <v>5288.3516591344451</v>
      </c>
      <c r="Q121" s="102">
        <f>COUNTIF(COMPOSICIÓN!$A:$A,A121)</f>
        <v>8</v>
      </c>
      <c r="R121" s="17"/>
      <c r="S121" s="17" t="s">
        <v>125</v>
      </c>
      <c r="T121" s="17">
        <v>827.27861399999995</v>
      </c>
      <c r="U121" s="17">
        <v>4324.0477652730697</v>
      </c>
      <c r="V121" s="17">
        <v>137.025279861375</v>
      </c>
    </row>
    <row r="122" spans="1:22" ht="14.25" hidden="1" customHeight="1" x14ac:dyDescent="0.35">
      <c r="A122" s="105" t="s">
        <v>129</v>
      </c>
      <c r="B122" s="105"/>
      <c r="C122" s="12" t="s">
        <v>2005</v>
      </c>
      <c r="D122" s="105" t="s">
        <v>128</v>
      </c>
      <c r="E122" s="106" t="s">
        <v>50</v>
      </c>
      <c r="F122" s="106">
        <v>1</v>
      </c>
      <c r="G122" s="106">
        <v>0</v>
      </c>
      <c r="H122" s="106">
        <v>0</v>
      </c>
      <c r="I122" s="106">
        <v>1</v>
      </c>
      <c r="J122" s="96">
        <f>SUMIFS(COMPOSICIÓN!J$2:J$1892,COMPOSICIÓN!A$2:A$1892,A122,COMPOSICIÓN!B$2:B$1892,"MAT")</f>
        <v>3538.08</v>
      </c>
      <c r="K122" s="96">
        <f>SUMIFS(COMPOSICIÓN!J$2:J$1892,COMPOSICIÓN!A$2:A$1892,A122,COMPOSICIÓN!B$2:B$1892,"MO")*I122</f>
        <v>0</v>
      </c>
      <c r="L122" s="96">
        <f>SUMIFS(COMPOSICIÓN!J$2:J$1892,COMPOSICIÓN!A$2:A$1892,A122,COMPOSICIÓN!B$2:B$1892,"EQ")</f>
        <v>0</v>
      </c>
      <c r="M122" s="103">
        <f t="shared" si="5"/>
        <v>3538.08</v>
      </c>
      <c r="N122" s="103">
        <f t="shared" si="6"/>
        <v>0</v>
      </c>
      <c r="O122" s="103">
        <f>IF(F122=0,0,L122/F122)</f>
        <v>0</v>
      </c>
      <c r="P122" s="103">
        <f t="shared" si="8"/>
        <v>3538.08</v>
      </c>
      <c r="Q122" s="95">
        <f>COUNTIF(COMPOSICIÓN!$A:$A,A122)</f>
        <v>1</v>
      </c>
      <c r="R122" s="32"/>
      <c r="S122" s="32" t="s">
        <v>28</v>
      </c>
      <c r="T122" s="32">
        <v>3538.08</v>
      </c>
      <c r="U122" s="32">
        <v>0</v>
      </c>
      <c r="V122" s="32">
        <v>0</v>
      </c>
    </row>
    <row r="123" spans="1:22" ht="14.25" hidden="1" customHeight="1" x14ac:dyDescent="0.35">
      <c r="A123" s="12" t="s">
        <v>131</v>
      </c>
      <c r="B123" s="12"/>
      <c r="C123" s="12" t="s">
        <v>2005</v>
      </c>
      <c r="D123" s="12" t="s">
        <v>130</v>
      </c>
      <c r="E123" s="14" t="s">
        <v>50</v>
      </c>
      <c r="F123" s="14">
        <v>80</v>
      </c>
      <c r="G123" s="14">
        <v>0</v>
      </c>
      <c r="H123" s="106">
        <v>0</v>
      </c>
      <c r="I123" s="106">
        <v>1</v>
      </c>
      <c r="J123" s="96">
        <f>SUMIFS(COMPOSICIÓN!J$2:J$1892,COMPOSICIÓN!A$2:A$1892,A123,COMPOSICIÓN!B$2:B$1892,"MAT")</f>
        <v>1393.4781921157023</v>
      </c>
      <c r="K123" s="96">
        <f>SUMIFS(COMPOSICIÓN!J$2:J$1892,COMPOSICIÓN!A$2:A$1892,A123,COMPOSICIÓN!B$2:B$1892,"MO")*I123</f>
        <v>161417.63674380651</v>
      </c>
      <c r="L123" s="96">
        <f>SUMIFS(COMPOSICIÓN!J$2:J$1892,COMPOSICIÓN!A$2:A$1892,A123,COMPOSICIÓN!B$2:B$1892,"EQ")</f>
        <v>874.41130614484587</v>
      </c>
      <c r="M123" s="101">
        <f t="shared" si="5"/>
        <v>1393.4781921157023</v>
      </c>
      <c r="N123" s="101">
        <f t="shared" si="6"/>
        <v>2017.7204592975813</v>
      </c>
      <c r="O123" s="101">
        <f>IF(F123=0,0,L123/F123)</f>
        <v>10.930141326810574</v>
      </c>
      <c r="P123" s="101">
        <f t="shared" si="8"/>
        <v>3422.128792740094</v>
      </c>
      <c r="Q123" s="102">
        <f>COUNTIF(COMPOSICIÓN!$A:$A,A123)</f>
        <v>8</v>
      </c>
      <c r="R123" s="17"/>
      <c r="S123" s="17" t="s">
        <v>132</v>
      </c>
      <c r="T123" s="17">
        <v>1392.6097669880601</v>
      </c>
      <c r="U123" s="17">
        <v>2017.72045929758</v>
      </c>
      <c r="V123" s="17">
        <v>10.930141326810601</v>
      </c>
    </row>
    <row r="124" spans="1:22" ht="14.25" hidden="1" customHeight="1" x14ac:dyDescent="0.35">
      <c r="A124" s="105" t="s">
        <v>134</v>
      </c>
      <c r="B124" s="105"/>
      <c r="C124" s="12" t="s">
        <v>2005</v>
      </c>
      <c r="D124" s="105" t="s">
        <v>133</v>
      </c>
      <c r="E124" s="106" t="s">
        <v>50</v>
      </c>
      <c r="F124" s="106">
        <v>1</v>
      </c>
      <c r="G124" s="106">
        <v>0</v>
      </c>
      <c r="H124" s="106">
        <v>0</v>
      </c>
      <c r="I124" s="106">
        <v>1</v>
      </c>
      <c r="J124" s="96">
        <f>SUMIFS(COMPOSICIÓN!J$2:J$1892,COMPOSICIÓN!A$2:A$1892,A124,COMPOSICIÓN!B$2:B$1892,"MAT")</f>
        <v>10460.19114909356</v>
      </c>
      <c r="K124" s="96">
        <f>SUMIFS(COMPOSICIÓN!J$2:J$1892,COMPOSICIÓN!A$2:A$1892,A124,COMPOSICIÓN!B$2:B$1892,"MO")*I124</f>
        <v>15330.743182013279</v>
      </c>
      <c r="L124" s="96">
        <f>SUMIFS(COMPOSICIÓN!J$2:J$1892,COMPOSICIÓN!A$2:A$1892,A124,COMPOSICIÓN!B$2:B$1892,"EQ")</f>
        <v>874.41130614484587</v>
      </c>
      <c r="M124" s="103">
        <f t="shared" si="5"/>
        <v>10460.19114909356</v>
      </c>
      <c r="N124" s="103">
        <f t="shared" si="6"/>
        <v>15330.743182013279</v>
      </c>
      <c r="O124" s="103">
        <f>IF(F124=0,0,L124/25)</f>
        <v>34.976452245793837</v>
      </c>
      <c r="P124" s="103">
        <f t="shared" si="8"/>
        <v>25825.910783352632</v>
      </c>
      <c r="Q124" s="95">
        <f>COUNTIF(COMPOSICIÓN!$A:$A,A124)</f>
        <v>12</v>
      </c>
      <c r="R124" s="32"/>
      <c r="S124" s="32" t="s">
        <v>122</v>
      </c>
      <c r="T124" s="32">
        <v>10460.1824519559</v>
      </c>
      <c r="U124" s="32">
        <v>15330.743182013301</v>
      </c>
      <c r="V124" s="32">
        <v>34.976452245793801</v>
      </c>
    </row>
    <row r="125" spans="1:22" ht="14.25" hidden="1" customHeight="1" x14ac:dyDescent="0.35">
      <c r="A125" s="12" t="s">
        <v>136</v>
      </c>
      <c r="B125" s="12"/>
      <c r="C125" s="12" t="s">
        <v>2019</v>
      </c>
      <c r="D125" s="12" t="s">
        <v>135</v>
      </c>
      <c r="E125" s="14" t="s">
        <v>36</v>
      </c>
      <c r="F125" s="14">
        <v>1</v>
      </c>
      <c r="G125" s="14">
        <v>0</v>
      </c>
      <c r="H125" s="106">
        <v>0</v>
      </c>
      <c r="I125" s="106">
        <v>1</v>
      </c>
      <c r="J125" s="96">
        <f>SUMIFS(COMPOSICIÓN!J$2:J$1892,COMPOSICIÓN!A$2:A$1892,A125,COMPOSICIÓN!B$2:B$1892,"MAT")</f>
        <v>16294.976703090948</v>
      </c>
      <c r="K125" s="96">
        <f>SUMIFS(COMPOSICIÓN!J$2:J$1892,COMPOSICIÓN!A$2:A$1892,A125,COMPOSICIÓN!B$2:B$1892,"MO")*I125</f>
        <v>8126.8835677096013</v>
      </c>
      <c r="L125" s="96">
        <f>SUMIFS(COMPOSICIÓN!J$2:J$1892,COMPOSICIÓN!A$2:A$1892,A125,COMPOSICIÓN!B$2:B$1892,"EQ")</f>
        <v>366.32699978455503</v>
      </c>
      <c r="M125" s="101">
        <f t="shared" si="5"/>
        <v>16294.976703090948</v>
      </c>
      <c r="N125" s="101">
        <f t="shared" si="6"/>
        <v>8126.8835677096013</v>
      </c>
      <c r="O125" s="101">
        <f t="shared" ref="O125:O156" si="10">IF(F125=0,0,L125/F125)</f>
        <v>366.32699978455503</v>
      </c>
      <c r="P125" s="101">
        <f t="shared" si="8"/>
        <v>24788.187270585106</v>
      </c>
      <c r="Q125" s="102">
        <f>COUNTIF(COMPOSICIÓN!$A:$A,A125)</f>
        <v>6</v>
      </c>
      <c r="R125" s="17"/>
      <c r="S125" s="17" t="s">
        <v>32</v>
      </c>
      <c r="T125" s="17">
        <v>16294.9976859504</v>
      </c>
      <c r="U125" s="17">
        <v>8126.8022996866002</v>
      </c>
      <c r="V125" s="17">
        <v>366.32699978455503</v>
      </c>
    </row>
    <row r="126" spans="1:22" ht="14.25" hidden="1" customHeight="1" x14ac:dyDescent="0.35">
      <c r="A126" s="105" t="s">
        <v>138</v>
      </c>
      <c r="B126" s="105"/>
      <c r="C126" s="105" t="s">
        <v>2020</v>
      </c>
      <c r="D126" s="105" t="s">
        <v>137</v>
      </c>
      <c r="E126" s="106" t="s">
        <v>50</v>
      </c>
      <c r="F126" s="106">
        <v>11.5</v>
      </c>
      <c r="G126" s="106">
        <v>0</v>
      </c>
      <c r="H126" s="106">
        <v>0</v>
      </c>
      <c r="I126" s="106">
        <v>1</v>
      </c>
      <c r="J126" s="96">
        <f>SUMIFS(COMPOSICIÓN!J$2:J$1892,COMPOSICIÓN!A$2:A$1892,A126,COMPOSICIÓN!B$2:B$1892,"MAT")</f>
        <v>4061.1650940000004</v>
      </c>
      <c r="K126" s="96">
        <f>SUMIFS(COMPOSICIÓN!J$2:J$1892,COMPOSICIÓN!A$2:A$1892,A126,COMPOSICIÓN!B$2:B$1892,"MO")*I126</f>
        <v>134521.43719969946</v>
      </c>
      <c r="L126" s="96">
        <f>SUMIFS(COMPOSICIÓN!J$2:J$1892,COMPOSICIÓN!A$2:A$1892,A126,COMPOSICIÓN!B$2:B$1892,"EQ")</f>
        <v>3836.7078361185131</v>
      </c>
      <c r="M126" s="103">
        <f t="shared" si="5"/>
        <v>4061.1650940000004</v>
      </c>
      <c r="N126" s="103">
        <f t="shared" si="6"/>
        <v>11697.516278234736</v>
      </c>
      <c r="O126" s="103">
        <f t="shared" si="10"/>
        <v>333.62676835813159</v>
      </c>
      <c r="P126" s="103">
        <f t="shared" si="8"/>
        <v>16092.308140592868</v>
      </c>
      <c r="Q126" s="95">
        <f>COUNTIF(COMPOSICIÓN!$A:$A,A126)</f>
        <v>9</v>
      </c>
      <c r="R126" s="32"/>
      <c r="S126" s="32" t="s">
        <v>139</v>
      </c>
      <c r="T126" s="32">
        <v>4061.165094</v>
      </c>
      <c r="U126" s="32">
        <v>11697.5162782347</v>
      </c>
      <c r="V126" s="32">
        <v>333.62676835813102</v>
      </c>
    </row>
    <row r="127" spans="1:22" ht="14.25" hidden="1" customHeight="1" x14ac:dyDescent="0.35">
      <c r="A127" s="12" t="s">
        <v>141</v>
      </c>
      <c r="B127" s="12"/>
      <c r="C127" s="12" t="s">
        <v>2020</v>
      </c>
      <c r="D127" s="12" t="s">
        <v>140</v>
      </c>
      <c r="E127" s="14" t="s">
        <v>50</v>
      </c>
      <c r="F127" s="14">
        <v>8</v>
      </c>
      <c r="G127" s="14">
        <v>0</v>
      </c>
      <c r="H127" s="106">
        <v>0</v>
      </c>
      <c r="I127" s="106">
        <v>1</v>
      </c>
      <c r="J127" s="96">
        <f>SUMIFS(COMPOSICIÓN!J$2:J$1892,COMPOSICIÓN!A$2:A$1892,A127,COMPOSICIÓN!B$2:B$1892,"MAT")</f>
        <v>4061.1650940000004</v>
      </c>
      <c r="K127" s="96">
        <f>SUMIFS(COMPOSICIÓN!J$2:J$1892,COMPOSICIÓN!A$2:A$1892,A127,COMPOSICIÓN!B$2:B$1892,"MO")*I127</f>
        <v>134521.43719969946</v>
      </c>
      <c r="L127" s="96">
        <f>SUMIFS(COMPOSICIÓN!J$2:J$1892,COMPOSICIÓN!A$2:A$1892,A127,COMPOSICIÓN!B$2:B$1892,"EQ")</f>
        <v>6906.9024451299219</v>
      </c>
      <c r="M127" s="101">
        <f t="shared" si="5"/>
        <v>4061.1650940000004</v>
      </c>
      <c r="N127" s="101">
        <f t="shared" si="6"/>
        <v>16815.179649962432</v>
      </c>
      <c r="O127" s="101">
        <f t="shared" si="10"/>
        <v>863.36280564124024</v>
      </c>
      <c r="P127" s="101">
        <f t="shared" si="8"/>
        <v>21739.707549603674</v>
      </c>
      <c r="Q127" s="102">
        <f>COUNTIF(COMPOSICIÓN!$A:$A,A127)</f>
        <v>10</v>
      </c>
      <c r="R127" s="17"/>
      <c r="S127" s="17" t="s">
        <v>142</v>
      </c>
      <c r="T127" s="17">
        <v>4061.165094</v>
      </c>
      <c r="U127" s="17">
        <v>16815.1796499624</v>
      </c>
      <c r="V127" s="17">
        <v>863.36280564124002</v>
      </c>
    </row>
    <row r="128" spans="1:22" ht="14.25" hidden="1" customHeight="1" x14ac:dyDescent="0.35">
      <c r="A128" s="105" t="s">
        <v>144</v>
      </c>
      <c r="B128" s="105"/>
      <c r="C128" s="105" t="s">
        <v>2020</v>
      </c>
      <c r="D128" s="105" t="s">
        <v>143</v>
      </c>
      <c r="E128" s="106" t="s">
        <v>36</v>
      </c>
      <c r="F128" s="106">
        <v>1</v>
      </c>
      <c r="G128" s="106">
        <v>0</v>
      </c>
      <c r="H128" s="106">
        <v>0</v>
      </c>
      <c r="I128" s="106">
        <v>1</v>
      </c>
      <c r="J128" s="96">
        <f>SUMIFS(COMPOSICIÓN!J$2:J$1892,COMPOSICIÓN!A$2:A$1892,A128,COMPOSICIÓN!B$2:B$1892,"MAT")</f>
        <v>0</v>
      </c>
      <c r="K128" s="96">
        <f>SUMIFS(COMPOSICIÓN!J$2:J$1892,COMPOSICIÓN!A$2:A$1892,A128,COMPOSICIÓN!B$2:B$1892,"MO")*I128</f>
        <v>11122.3391600798</v>
      </c>
      <c r="L128" s="96">
        <f>SUMIFS(COMPOSICIÓN!J$2:J$1892,COMPOSICIÓN!A$2:A$1892,A128,COMPOSICIÓN!B$2:B$1892,"EQ")</f>
        <v>0</v>
      </c>
      <c r="M128" s="103">
        <f t="shared" si="5"/>
        <v>0</v>
      </c>
      <c r="N128" s="103">
        <f t="shared" si="6"/>
        <v>11122.3391600798</v>
      </c>
      <c r="O128" s="103">
        <f t="shared" si="10"/>
        <v>0</v>
      </c>
      <c r="P128" s="103">
        <f t="shared" si="8"/>
        <v>11122.3391600798</v>
      </c>
      <c r="Q128" s="95">
        <f>COUNTIF(COMPOSICIÓN!$A:$A,A128)</f>
        <v>1</v>
      </c>
      <c r="R128" s="32"/>
      <c r="S128" s="32" t="s">
        <v>28</v>
      </c>
      <c r="T128" s="32">
        <v>0</v>
      </c>
      <c r="U128" s="32">
        <v>11122.3391600798</v>
      </c>
      <c r="V128" s="32">
        <v>0</v>
      </c>
    </row>
    <row r="129" spans="1:22" ht="14.25" hidden="1" customHeight="1" x14ac:dyDescent="0.35">
      <c r="A129" s="12" t="s">
        <v>146</v>
      </c>
      <c r="B129" s="12"/>
      <c r="C129" s="12" t="s">
        <v>2020</v>
      </c>
      <c r="D129" s="12" t="s">
        <v>145</v>
      </c>
      <c r="E129" s="14" t="s">
        <v>50</v>
      </c>
      <c r="F129" s="14">
        <v>6</v>
      </c>
      <c r="G129" s="14">
        <v>0</v>
      </c>
      <c r="H129" s="106">
        <v>0</v>
      </c>
      <c r="I129" s="106">
        <v>1</v>
      </c>
      <c r="J129" s="96">
        <f>SUMIFS(COMPOSICIÓN!J$2:J$1892,COMPOSICIÓN!A$2:A$1892,A129,COMPOSICIÓN!B$2:B$1892,"MAT")</f>
        <v>2891.2175380000003</v>
      </c>
      <c r="K129" s="96">
        <f>SUMIFS(COMPOSICIÓN!J$2:J$1892,COMPOSICIÓN!A$2:A$1892,A129,COMPOSICIÓN!B$2:B$1892,"MO")*I129</f>
        <v>137883.46214271284</v>
      </c>
      <c r="L129" s="96">
        <f>SUMIFS(COMPOSICIÓN!J$2:J$1892,COMPOSICIÓN!A$2:A$1892,A129,COMPOSICIÓN!B$2:B$1892,"EQ")</f>
        <v>3836.7078361185131</v>
      </c>
      <c r="M129" s="101">
        <f t="shared" si="5"/>
        <v>2891.2175380000003</v>
      </c>
      <c r="N129" s="101">
        <f t="shared" si="6"/>
        <v>22980.577023785474</v>
      </c>
      <c r="O129" s="101">
        <f t="shared" si="10"/>
        <v>639.45130601975222</v>
      </c>
      <c r="P129" s="101">
        <f t="shared" si="8"/>
        <v>26511.245867805228</v>
      </c>
      <c r="Q129" s="102">
        <f>COUNTIF(COMPOSICIÓN!$A:$A,A129)</f>
        <v>9</v>
      </c>
      <c r="R129" s="17"/>
      <c r="S129" s="17" t="s">
        <v>147</v>
      </c>
      <c r="T129" s="17">
        <v>2891.2175379999999</v>
      </c>
      <c r="U129" s="17">
        <v>22980.577023785499</v>
      </c>
      <c r="V129" s="17">
        <v>639.45130601975097</v>
      </c>
    </row>
    <row r="130" spans="1:22" ht="14.25" hidden="1" customHeight="1" x14ac:dyDescent="0.35">
      <c r="A130" s="105" t="s">
        <v>149</v>
      </c>
      <c r="B130" s="105"/>
      <c r="C130" s="105" t="s">
        <v>2020</v>
      </c>
      <c r="D130" s="105" t="s">
        <v>148</v>
      </c>
      <c r="E130" s="106" t="s">
        <v>50</v>
      </c>
      <c r="F130" s="106">
        <v>1</v>
      </c>
      <c r="G130" s="106">
        <v>0</v>
      </c>
      <c r="H130" s="106">
        <v>0</v>
      </c>
      <c r="I130" s="106">
        <v>1</v>
      </c>
      <c r="J130" s="96">
        <f>SUMIFS(COMPOSICIÓN!J$2:J$1892,COMPOSICIÓN!A$2:A$1892,A130,COMPOSICIÓN!B$2:B$1892,"MAT")</f>
        <v>5780.83643536</v>
      </c>
      <c r="K130" s="96">
        <f>SUMIFS(COMPOSICIÓN!J$2:J$1892,COMPOSICIÓN!A$2:A$1892,A130,COMPOSICIÓN!B$2:B$1892,"MO")*I130</f>
        <v>12252.5485737202</v>
      </c>
      <c r="L130" s="96">
        <f>SUMIFS(COMPOSICIÓN!J$2:J$1892,COMPOSICIÓN!A$2:A$1892,A130,COMPOSICIÓN!B$2:B$1892,"EQ")</f>
        <v>270.50123209204202</v>
      </c>
      <c r="M130" s="103">
        <f t="shared" ref="M130:M193" si="11">J130</f>
        <v>5780.83643536</v>
      </c>
      <c r="N130" s="103">
        <f t="shared" ref="N130:N193" si="12">IF(F130=0,0,K130/F130)</f>
        <v>12252.5485737202</v>
      </c>
      <c r="O130" s="103">
        <f t="shared" si="10"/>
        <v>270.50123209204202</v>
      </c>
      <c r="P130" s="103">
        <f t="shared" ref="P130:P193" si="13">M130+N130+O130</f>
        <v>18303.886241172244</v>
      </c>
      <c r="Q130" s="95">
        <f>COUNTIF(COMPOSICIÓN!$A:$A,A130)</f>
        <v>5</v>
      </c>
      <c r="R130" s="32"/>
      <c r="S130" s="32" t="s">
        <v>32</v>
      </c>
      <c r="T130" s="32">
        <v>5780.8668990825699</v>
      </c>
      <c r="U130" s="32">
        <v>12252.5485737202</v>
      </c>
      <c r="V130" s="32">
        <v>270.50123209204202</v>
      </c>
    </row>
    <row r="131" spans="1:22" ht="14.25" hidden="1" customHeight="1" x14ac:dyDescent="0.35">
      <c r="A131" s="12" t="s">
        <v>151</v>
      </c>
      <c r="B131" s="12"/>
      <c r="C131" s="12" t="s">
        <v>2020</v>
      </c>
      <c r="D131" s="12" t="s">
        <v>150</v>
      </c>
      <c r="E131" s="14" t="s">
        <v>36</v>
      </c>
      <c r="F131" s="14">
        <v>1</v>
      </c>
      <c r="G131" s="14">
        <v>0</v>
      </c>
      <c r="H131" s="106">
        <v>0</v>
      </c>
      <c r="I131" s="106">
        <v>1</v>
      </c>
      <c r="J131" s="96">
        <f>SUMIFS(COMPOSICIÓN!J$2:J$1892,COMPOSICIÓN!A$2:A$1892,A131,COMPOSICIÓN!B$2:B$1892,"MAT")</f>
        <v>0</v>
      </c>
      <c r="K131" s="96">
        <f>SUMIFS(COMPOSICIÓN!J$2:J$1892,COMPOSICIÓN!A$2:A$1892,A131,COMPOSICIÓN!B$2:B$1892,"MO")*I131</f>
        <v>13144.582643730701</v>
      </c>
      <c r="L131" s="96">
        <f>SUMIFS(COMPOSICIÓN!J$2:J$1892,COMPOSICIÓN!A$2:A$1892,A131,COMPOSICIÓN!B$2:B$1892,"EQ")</f>
        <v>197.16873965596</v>
      </c>
      <c r="M131" s="101">
        <f t="shared" si="11"/>
        <v>0</v>
      </c>
      <c r="N131" s="101">
        <f t="shared" si="12"/>
        <v>13144.582643730701</v>
      </c>
      <c r="O131" s="101">
        <f t="shared" si="10"/>
        <v>197.16873965596</v>
      </c>
      <c r="P131" s="101">
        <f t="shared" si="13"/>
        <v>13341.75138338666</v>
      </c>
      <c r="Q131" s="102">
        <f>COUNTIF(COMPOSICIÓN!$A:$A,A131)</f>
        <v>2</v>
      </c>
      <c r="R131" s="17"/>
      <c r="S131" s="17" t="s">
        <v>32</v>
      </c>
      <c r="T131" s="17">
        <v>0</v>
      </c>
      <c r="U131" s="17">
        <v>13144.582643730701</v>
      </c>
      <c r="V131" s="17">
        <v>197.16873965596</v>
      </c>
    </row>
    <row r="132" spans="1:22" ht="14.25" hidden="1" customHeight="1" x14ac:dyDescent="0.35">
      <c r="A132" s="105" t="s">
        <v>153</v>
      </c>
      <c r="B132" s="105"/>
      <c r="C132" s="105" t="s">
        <v>2020</v>
      </c>
      <c r="D132" s="105" t="s">
        <v>152</v>
      </c>
      <c r="E132" s="106" t="s">
        <v>98</v>
      </c>
      <c r="F132" s="106">
        <v>1</v>
      </c>
      <c r="G132" s="106">
        <v>0</v>
      </c>
      <c r="H132" s="106">
        <v>0</v>
      </c>
      <c r="I132" s="106">
        <v>1</v>
      </c>
      <c r="J132" s="96">
        <f>SUMIFS(COMPOSICIÓN!J$2:J$1892,COMPOSICIÓN!A$2:A$1892,A132,COMPOSICIÓN!B$2:B$1892,"MAT")</f>
        <v>1658.1183839999999</v>
      </c>
      <c r="K132" s="96">
        <f>SUMIFS(COMPOSICIÓN!J$2:J$1892,COMPOSICIÓN!A$2:A$1892,A132,COMPOSICIÓN!B$2:B$1892,"MO")*I132</f>
        <v>13917.799573165516</v>
      </c>
      <c r="L132" s="96">
        <f>SUMIFS(COMPOSICIÓN!J$2:J$1892,COMPOSICIÓN!A$2:A$1892,A132,COMPOSICIÓN!B$2:B$1892,"EQ")</f>
        <v>233.63866551807499</v>
      </c>
      <c r="M132" s="103">
        <f t="shared" si="11"/>
        <v>1658.1183839999999</v>
      </c>
      <c r="N132" s="103">
        <f t="shared" si="12"/>
        <v>13917.799573165516</v>
      </c>
      <c r="O132" s="103">
        <f t="shared" si="10"/>
        <v>233.63866551807499</v>
      </c>
      <c r="P132" s="103">
        <f t="shared" si="13"/>
        <v>15809.556622683591</v>
      </c>
      <c r="Q132" s="95">
        <f>COUNTIF(COMPOSICIÓN!$A:$A,A132)</f>
        <v>3</v>
      </c>
      <c r="R132" s="32"/>
      <c r="S132" s="32" t="s">
        <v>32</v>
      </c>
      <c r="T132" s="32">
        <v>1658.11764705882</v>
      </c>
      <c r="U132" s="32">
        <v>13917.7933874795</v>
      </c>
      <c r="V132" s="32">
        <v>233.63866551807499</v>
      </c>
    </row>
    <row r="133" spans="1:22" ht="14.25" hidden="1" customHeight="1" x14ac:dyDescent="0.35">
      <c r="A133" s="12" t="s">
        <v>155</v>
      </c>
      <c r="B133" s="12"/>
      <c r="C133" s="12" t="s">
        <v>2020</v>
      </c>
      <c r="D133" s="12" t="s">
        <v>154</v>
      </c>
      <c r="E133" s="14" t="s">
        <v>50</v>
      </c>
      <c r="F133" s="14">
        <v>11.5</v>
      </c>
      <c r="G133" s="14">
        <v>0</v>
      </c>
      <c r="H133" s="14">
        <v>0</v>
      </c>
      <c r="I133" s="14">
        <v>1</v>
      </c>
      <c r="J133" s="100">
        <f>SUMIFS(COMPOSICIÓN!J$2:J$1892,COMPOSICIÓN!A$2:A$1892,A133,COMPOSICIÓN!B$2:B$1892,"MAT")</f>
        <v>4061.1650940000004</v>
      </c>
      <c r="K133" s="100">
        <f>SUMIFS(COMPOSICIÓN!J$2:J$1892,COMPOSICIÓN!A$2:A$1892,A133,COMPOSICIÓN!B$2:B$1892,"MO")*I133</f>
        <v>134521.43719969946</v>
      </c>
      <c r="L133" s="100">
        <f>SUMIFS(COMPOSICIÓN!J$2:J$1892,COMPOSICIÓN!A$2:A$1892,A133,COMPOSICIÓN!B$2:B$1892,"EQ")</f>
        <v>3836.7078361185131</v>
      </c>
      <c r="M133" s="101">
        <f t="shared" si="11"/>
        <v>4061.1650940000004</v>
      </c>
      <c r="N133" s="101">
        <f t="shared" si="12"/>
        <v>11697.516278234736</v>
      </c>
      <c r="O133" s="101">
        <f t="shared" si="10"/>
        <v>333.62676835813159</v>
      </c>
      <c r="P133" s="101">
        <f t="shared" si="13"/>
        <v>16092.308140592868</v>
      </c>
      <c r="Q133" s="102">
        <f>COUNTIF(COMPOSICIÓN!$A:$A,A133)</f>
        <v>9</v>
      </c>
      <c r="R133" s="17"/>
      <c r="S133" s="17" t="s">
        <v>139</v>
      </c>
      <c r="T133" s="17">
        <v>4061.165094</v>
      </c>
      <c r="U133" s="17">
        <v>11697.5162782347</v>
      </c>
      <c r="V133" s="17">
        <v>333.62676835813102</v>
      </c>
    </row>
    <row r="134" spans="1:22" ht="14.25" hidden="1" customHeight="1" x14ac:dyDescent="0.35">
      <c r="A134" s="105" t="s">
        <v>157</v>
      </c>
      <c r="B134" s="105"/>
      <c r="C134" s="105" t="s">
        <v>2021</v>
      </c>
      <c r="D134" s="105" t="s">
        <v>156</v>
      </c>
      <c r="E134" s="106" t="s">
        <v>50</v>
      </c>
      <c r="F134" s="106">
        <v>1.4</v>
      </c>
      <c r="G134" s="106">
        <v>0</v>
      </c>
      <c r="H134" s="106">
        <v>0</v>
      </c>
      <c r="I134" s="106">
        <v>1</v>
      </c>
      <c r="J134" s="96">
        <f>SUMIFS(COMPOSICIÓN!J$2:J$1892,COMPOSICIÓN!A$2:A$1892,A134,COMPOSICIÓN!B$2:B$1892,"MAT")</f>
        <v>13595.3268924</v>
      </c>
      <c r="K134" s="96">
        <f>SUMIFS(COMPOSICIÓN!J$2:J$1892,COMPOSICIÓN!A$2:A$1892,A134,COMPOSICIÓN!B$2:B$1892,"MO")*I134</f>
        <v>27574.670454584357</v>
      </c>
      <c r="L134" s="96">
        <f>SUMIFS(COMPOSICIÓN!J$2:J$1892,COMPOSICIÓN!A$2:A$1892,A134,COMPOSICIÓN!B$2:B$1892,"EQ")</f>
        <v>705.26048902598438</v>
      </c>
      <c r="M134" s="103">
        <f t="shared" si="11"/>
        <v>13595.3268924</v>
      </c>
      <c r="N134" s="103">
        <f t="shared" si="12"/>
        <v>19696.193181845971</v>
      </c>
      <c r="O134" s="103">
        <f t="shared" si="10"/>
        <v>503.75749216141747</v>
      </c>
      <c r="P134" s="103">
        <f t="shared" si="13"/>
        <v>33795.277566407385</v>
      </c>
      <c r="Q134" s="95">
        <f>COUNTIF(COMPOSICIÓN!$A:$A,A134)</f>
        <v>8</v>
      </c>
      <c r="R134" s="32"/>
      <c r="S134" s="32" t="s">
        <v>158</v>
      </c>
      <c r="T134" s="32">
        <v>13595.3268924</v>
      </c>
      <c r="U134" s="32">
        <v>19696.193181846</v>
      </c>
      <c r="V134" s="32">
        <v>503.75749216141702</v>
      </c>
    </row>
    <row r="135" spans="1:22" ht="14.25" hidden="1" customHeight="1" x14ac:dyDescent="0.35">
      <c r="A135" s="12" t="s">
        <v>160</v>
      </c>
      <c r="B135" s="12"/>
      <c r="C135" s="12" t="s">
        <v>2021</v>
      </c>
      <c r="D135" s="12" t="s">
        <v>159</v>
      </c>
      <c r="E135" s="14" t="s">
        <v>50</v>
      </c>
      <c r="F135" s="14">
        <v>1</v>
      </c>
      <c r="G135" s="14">
        <v>0</v>
      </c>
      <c r="H135" s="14">
        <v>0</v>
      </c>
      <c r="I135" s="14">
        <v>1</v>
      </c>
      <c r="J135" s="100">
        <f>SUMIFS(COMPOSICIÓN!J$2:J$1892,COMPOSICIÓN!A$2:A$1892,A135,COMPOSICIÓN!B$2:B$1892,"MAT")</f>
        <v>30954.653439200003</v>
      </c>
      <c r="K135" s="100">
        <f>SUMIFS(COMPOSICIÓN!J$2:J$1892,COMPOSICIÓN!A$2:A$1892,A135,COMPOSICIÓN!B$2:B$1892,"MO")*I135</f>
        <v>8768.7576875522227</v>
      </c>
      <c r="L135" s="100">
        <f>SUMIFS(COMPOSICIÓN!J$2:J$1892,COMPOSICIÓN!A$2:A$1892,A135,COMPOSICIÓN!B$2:B$1892,"EQ")</f>
        <v>595.85224768735895</v>
      </c>
      <c r="M135" s="101">
        <f t="shared" si="11"/>
        <v>30954.653439200003</v>
      </c>
      <c r="N135" s="101">
        <f t="shared" si="12"/>
        <v>8768.7576875522227</v>
      </c>
      <c r="O135" s="101">
        <f t="shared" si="10"/>
        <v>595.85224768735895</v>
      </c>
      <c r="P135" s="101">
        <f t="shared" si="13"/>
        <v>40319.263374439586</v>
      </c>
      <c r="Q135" s="102">
        <f>COUNTIF(COMPOSICIÓN!$A:$A,A135)</f>
        <v>10</v>
      </c>
      <c r="R135" s="17"/>
      <c r="S135" s="17" t="s">
        <v>32</v>
      </c>
      <c r="T135" s="17">
        <v>30954.752303482601</v>
      </c>
      <c r="U135" s="17">
        <v>8768.7308756746606</v>
      </c>
      <c r="V135" s="17">
        <v>595.85224768735895</v>
      </c>
    </row>
    <row r="136" spans="1:22" ht="14.25" hidden="1" customHeight="1" x14ac:dyDescent="0.35">
      <c r="A136" s="105" t="s">
        <v>162</v>
      </c>
      <c r="B136" s="105"/>
      <c r="C136" s="105" t="s">
        <v>2021</v>
      </c>
      <c r="D136" s="105" t="s">
        <v>161</v>
      </c>
      <c r="E136" s="106" t="s">
        <v>50</v>
      </c>
      <c r="F136" s="106">
        <v>1.4</v>
      </c>
      <c r="G136" s="106">
        <v>0</v>
      </c>
      <c r="H136" s="106">
        <v>0</v>
      </c>
      <c r="I136" s="106">
        <v>1</v>
      </c>
      <c r="J136" s="96">
        <f>SUMIFS(COMPOSICIÓN!J$2:J$1892,COMPOSICIÓN!A$2:A$1892,A136,COMPOSICIÓN!B$2:B$1892,"MAT")</f>
        <v>13595.3268924</v>
      </c>
      <c r="K136" s="96">
        <f>SUMIFS(COMPOSICIÓN!J$2:J$1892,COMPOSICIÓN!A$2:A$1892,A136,COMPOSICIÓN!B$2:B$1892,"MO")*I136</f>
        <v>27574.670454584357</v>
      </c>
      <c r="L136" s="96">
        <f>SUMIFS(COMPOSICIÓN!J$2:J$1892,COMPOSICIÓN!A$2:A$1892,A136,COMPOSICIÓN!B$2:B$1892,"EQ")</f>
        <v>705.26048902598438</v>
      </c>
      <c r="M136" s="103">
        <f t="shared" si="11"/>
        <v>13595.3268924</v>
      </c>
      <c r="N136" s="103">
        <f t="shared" si="12"/>
        <v>19696.193181845971</v>
      </c>
      <c r="O136" s="103">
        <f t="shared" si="10"/>
        <v>503.75749216141747</v>
      </c>
      <c r="P136" s="103">
        <f t="shared" si="13"/>
        <v>33795.277566407385</v>
      </c>
      <c r="Q136" s="95">
        <f>COUNTIF(COMPOSICIÓN!$A:$A,A136)</f>
        <v>8</v>
      </c>
      <c r="R136" s="32"/>
      <c r="S136" s="32" t="s">
        <v>158</v>
      </c>
      <c r="T136" s="32">
        <v>13595.3268924</v>
      </c>
      <c r="U136" s="32">
        <v>19696.193181846</v>
      </c>
      <c r="V136" s="32">
        <v>503.75749216141702</v>
      </c>
    </row>
    <row r="137" spans="1:22" ht="14.25" hidden="1" customHeight="1" x14ac:dyDescent="0.35">
      <c r="A137" s="12" t="s">
        <v>164</v>
      </c>
      <c r="B137" s="12"/>
      <c r="C137" s="12" t="s">
        <v>2021</v>
      </c>
      <c r="D137" s="12" t="s">
        <v>163</v>
      </c>
      <c r="E137" s="14" t="s">
        <v>50</v>
      </c>
      <c r="F137" s="14">
        <v>35</v>
      </c>
      <c r="G137" s="14">
        <v>0</v>
      </c>
      <c r="H137" s="106">
        <v>0</v>
      </c>
      <c r="I137" s="106">
        <v>1</v>
      </c>
      <c r="J137" s="96">
        <f>SUMIFS(COMPOSICIÓN!J$2:J$1892,COMPOSICIÓN!A$2:A$1892,A137,COMPOSICIÓN!B$2:B$1892,"MAT")</f>
        <v>6717.8752369750009</v>
      </c>
      <c r="K137" s="96">
        <f>SUMIFS(COMPOSICIÓN!J$2:J$1892,COMPOSICIÓN!A$2:A$1892,A137,COMPOSICIÓN!B$2:B$1892,"MO")*I137</f>
        <v>390075.77234788064</v>
      </c>
      <c r="L137" s="96">
        <f>SUMIFS(COMPOSICIÓN!J$2:J$1892,COMPOSICIÓN!A$2:A$1892,A137,COMPOSICIÓN!B$2:B$1892,"EQ")</f>
        <v>4566.733893800445</v>
      </c>
      <c r="M137" s="101">
        <f t="shared" si="11"/>
        <v>6717.8752369750009</v>
      </c>
      <c r="N137" s="101">
        <f t="shared" si="12"/>
        <v>11145.022067082304</v>
      </c>
      <c r="O137" s="101">
        <f t="shared" si="10"/>
        <v>130.47811125144128</v>
      </c>
      <c r="P137" s="101">
        <f t="shared" si="13"/>
        <v>17993.375415308747</v>
      </c>
      <c r="Q137" s="102">
        <f>COUNTIF(COMPOSICIÓN!$A:$A,A137)</f>
        <v>8</v>
      </c>
      <c r="R137" s="17"/>
      <c r="S137" s="17" t="s">
        <v>165</v>
      </c>
      <c r="T137" s="17">
        <v>6717.875236975</v>
      </c>
      <c r="U137" s="17">
        <v>11145.0220670823</v>
      </c>
      <c r="V137" s="17">
        <v>130.47811125144099</v>
      </c>
    </row>
    <row r="138" spans="1:22" ht="14.25" hidden="1" customHeight="1" x14ac:dyDescent="0.35">
      <c r="A138" s="105" t="s">
        <v>167</v>
      </c>
      <c r="B138" s="105"/>
      <c r="C138" s="105" t="s">
        <v>2021</v>
      </c>
      <c r="D138" s="105" t="s">
        <v>166</v>
      </c>
      <c r="E138" s="106" t="s">
        <v>50</v>
      </c>
      <c r="F138" s="106">
        <v>15</v>
      </c>
      <c r="G138" s="106">
        <v>0</v>
      </c>
      <c r="H138" s="106">
        <v>0</v>
      </c>
      <c r="I138" s="106">
        <v>1</v>
      </c>
      <c r="J138" s="96">
        <f>SUMIFS(COMPOSICIÓN!J$2:J$1892,COMPOSICIÓN!A$2:A$1892,A138,COMPOSICIÓN!B$2:B$1892,"MAT")</f>
        <v>3420.3193200000005</v>
      </c>
      <c r="K138" s="96">
        <f>SUMIFS(COMPOSICIÓN!J$2:J$1892,COMPOSICIÓN!A$2:A$1892,A138,COMPOSICIÓN!B$2:B$1892,"MO")*I138</f>
        <v>124435.36237065932</v>
      </c>
      <c r="L138" s="96">
        <f>SUMIFS(COMPOSICIÓN!J$2:J$1892,COMPOSICIÓN!A$2:A$1892,A138,COMPOSICIÓN!B$2:B$1892,"EQ")</f>
        <v>3526.3024451299216</v>
      </c>
      <c r="M138" s="103">
        <f t="shared" si="11"/>
        <v>3420.3193200000005</v>
      </c>
      <c r="N138" s="103">
        <f t="shared" si="12"/>
        <v>8295.6908247106221</v>
      </c>
      <c r="O138" s="103">
        <f t="shared" si="10"/>
        <v>235.08682967532812</v>
      </c>
      <c r="P138" s="103">
        <f t="shared" si="13"/>
        <v>11951.096974385951</v>
      </c>
      <c r="Q138" s="95">
        <f>COUNTIF(COMPOSICIÓN!$A:$A,A138)</f>
        <v>6</v>
      </c>
      <c r="R138" s="32"/>
      <c r="S138" s="32" t="s">
        <v>168</v>
      </c>
      <c r="T138" s="32">
        <v>3420.3193200000001</v>
      </c>
      <c r="U138" s="32">
        <v>8295.6908247106203</v>
      </c>
      <c r="V138" s="32">
        <v>235.086829675328</v>
      </c>
    </row>
    <row r="139" spans="1:22" ht="14.25" hidden="1" customHeight="1" x14ac:dyDescent="0.35">
      <c r="A139" s="12" t="s">
        <v>170</v>
      </c>
      <c r="B139" s="12"/>
      <c r="C139" s="12" t="s">
        <v>2021</v>
      </c>
      <c r="D139" s="12" t="s">
        <v>169</v>
      </c>
      <c r="E139" s="14" t="s">
        <v>50</v>
      </c>
      <c r="F139" s="14">
        <v>15</v>
      </c>
      <c r="G139" s="14">
        <v>0</v>
      </c>
      <c r="H139" s="106">
        <v>0</v>
      </c>
      <c r="I139" s="106">
        <v>1</v>
      </c>
      <c r="J139" s="96">
        <f>SUMIFS(COMPOSICIÓN!J$2:J$1892,COMPOSICIÓN!A$2:A$1892,A139,COMPOSICIÓN!B$2:B$1892,"MAT")</f>
        <v>3420.3193200000005</v>
      </c>
      <c r="K139" s="96">
        <f>SUMIFS(COMPOSICIÓN!J$2:J$1892,COMPOSICIÓN!A$2:A$1892,A139,COMPOSICIÓN!B$2:B$1892,"MO")*I139</f>
        <v>124435.36237065932</v>
      </c>
      <c r="L139" s="96">
        <f>SUMIFS(COMPOSICIÓN!J$2:J$1892,COMPOSICIÓN!A$2:A$1892,A139,COMPOSICIÓN!B$2:B$1892,"EQ")</f>
        <v>3526.3024451299216</v>
      </c>
      <c r="M139" s="101">
        <f t="shared" si="11"/>
        <v>3420.3193200000005</v>
      </c>
      <c r="N139" s="101">
        <f t="shared" si="12"/>
        <v>8295.6908247106221</v>
      </c>
      <c r="O139" s="101">
        <f t="shared" si="10"/>
        <v>235.08682967532812</v>
      </c>
      <c r="P139" s="101">
        <f t="shared" si="13"/>
        <v>11951.096974385951</v>
      </c>
      <c r="Q139" s="102">
        <f>COUNTIF(COMPOSICIÓN!$A:$A,A139)</f>
        <v>6</v>
      </c>
      <c r="R139" s="17"/>
      <c r="S139" s="17" t="s">
        <v>168</v>
      </c>
      <c r="T139" s="17">
        <v>3420.3193200000001</v>
      </c>
      <c r="U139" s="17">
        <v>8295.6908247106203</v>
      </c>
      <c r="V139" s="17">
        <v>235.086829675328</v>
      </c>
    </row>
    <row r="140" spans="1:22" ht="14.25" hidden="1" customHeight="1" x14ac:dyDescent="0.35">
      <c r="A140" s="12" t="s">
        <v>174</v>
      </c>
      <c r="B140" s="12"/>
      <c r="C140" s="12" t="s">
        <v>2021</v>
      </c>
      <c r="D140" s="12" t="s">
        <v>173</v>
      </c>
      <c r="E140" s="14" t="s">
        <v>26</v>
      </c>
      <c r="F140" s="14">
        <v>1</v>
      </c>
      <c r="G140" s="14">
        <v>0</v>
      </c>
      <c r="H140" s="106">
        <v>0</v>
      </c>
      <c r="I140" s="106">
        <v>1</v>
      </c>
      <c r="J140" s="96">
        <f>SUMIFS(COMPOSICIÓN!J$2:J$1892,COMPOSICIÓN!A$2:A$1892,A140,COMPOSICIÓN!B$2:B$1892,"MAT")</f>
        <v>88498.550382000016</v>
      </c>
      <c r="K140" s="96">
        <f>SUMIFS(COMPOSICIÓN!J$2:J$1892,COMPOSICIÓN!A$2:A$1892,A140,COMPOSICIÓN!B$2:B$1892,"MO")*I140</f>
        <v>303706.02313966805</v>
      </c>
      <c r="L140" s="96">
        <f>SUMIFS(COMPOSICIÓN!J$2:J$1892,COMPOSICIÓN!A$2:A$1892,A140,COMPOSICIÓN!B$2:B$1892,"EQ")</f>
        <v>5957.8657009641702</v>
      </c>
      <c r="M140" s="101">
        <f t="shared" si="11"/>
        <v>88498.550382000016</v>
      </c>
      <c r="N140" s="101">
        <f t="shared" si="12"/>
        <v>303706.02313966805</v>
      </c>
      <c r="O140" s="101">
        <f t="shared" si="10"/>
        <v>5957.8657009641702</v>
      </c>
      <c r="P140" s="101">
        <f t="shared" si="13"/>
        <v>398162.43922263227</v>
      </c>
      <c r="Q140" s="102">
        <f>COUNTIF(COMPOSICIÓN!$A:$A,A140)</f>
        <v>7</v>
      </c>
      <c r="R140" s="17" t="s">
        <v>1962</v>
      </c>
      <c r="S140" s="17" t="s">
        <v>32</v>
      </c>
      <c r="T140" s="17">
        <v>93485.023591276899</v>
      </c>
      <c r="U140" s="17">
        <v>303706.02313966799</v>
      </c>
      <c r="V140" s="17">
        <v>5957.8657009641702</v>
      </c>
    </row>
    <row r="141" spans="1:22" ht="14.25" hidden="1" customHeight="1" x14ac:dyDescent="0.35">
      <c r="A141" s="105" t="s">
        <v>177</v>
      </c>
      <c r="B141" s="105"/>
      <c r="C141" s="105" t="s">
        <v>2022</v>
      </c>
      <c r="D141" s="105" t="s">
        <v>176</v>
      </c>
      <c r="E141" s="106" t="s">
        <v>26</v>
      </c>
      <c r="F141" s="106">
        <v>1</v>
      </c>
      <c r="G141" s="106">
        <v>0</v>
      </c>
      <c r="H141" s="106">
        <v>0</v>
      </c>
      <c r="I141" s="106">
        <v>1</v>
      </c>
      <c r="J141" s="96">
        <f>SUMIFS(COMPOSICIÓN!J$2:J$1892,COMPOSICIÓN!A$2:A$1892,A141,COMPOSICIÓN!B$2:B$1892,"MAT")</f>
        <v>427516.45160946477</v>
      </c>
      <c r="K141" s="96">
        <f>SUMIFS(COMPOSICIÓN!J$2:J$1892,COMPOSICIÓN!A$2:A$1892,A141,COMPOSICIÓN!B$2:B$1892,"MO")*I141</f>
        <v>2044758.1970187633</v>
      </c>
      <c r="L141" s="96">
        <f>SUMIFS(COMPOSICIÓN!J$2:J$1892,COMPOSICIÓN!A$2:A$1892,A141,COMPOSICIÓN!B$2:B$1892,"EQ")</f>
        <v>37083.9965979279</v>
      </c>
      <c r="M141" s="103">
        <f t="shared" si="11"/>
        <v>427516.45160946477</v>
      </c>
      <c r="N141" s="103">
        <f t="shared" si="12"/>
        <v>2044758.1970187633</v>
      </c>
      <c r="O141" s="103">
        <f t="shared" si="10"/>
        <v>37083.9965979279</v>
      </c>
      <c r="P141" s="103">
        <f t="shared" si="13"/>
        <v>2509358.6452261559</v>
      </c>
      <c r="Q141" s="95">
        <f>COUNTIF(COMPOSICIÓN!$A:$A,A141)</f>
        <v>6</v>
      </c>
      <c r="R141" s="32"/>
      <c r="S141" s="32" t="s">
        <v>32</v>
      </c>
      <c r="T141" s="32">
        <v>427508.24284309702</v>
      </c>
      <c r="U141" s="32">
        <v>2044758.19701876</v>
      </c>
      <c r="V141" s="32">
        <v>37083.9965979279</v>
      </c>
    </row>
    <row r="142" spans="1:22" ht="14.25" hidden="1" customHeight="1" x14ac:dyDescent="0.35">
      <c r="A142" s="12" t="s">
        <v>179</v>
      </c>
      <c r="B142" s="12"/>
      <c r="C142" s="12" t="s">
        <v>2022</v>
      </c>
      <c r="D142" s="12" t="s">
        <v>178</v>
      </c>
      <c r="E142" s="14" t="s">
        <v>26</v>
      </c>
      <c r="F142" s="14">
        <v>1</v>
      </c>
      <c r="G142" s="14">
        <v>0</v>
      </c>
      <c r="H142" s="106">
        <v>0</v>
      </c>
      <c r="I142" s="106">
        <v>1</v>
      </c>
      <c r="J142" s="96">
        <f>SUMIFS(COMPOSICIÓN!J$2:J$1892,COMPOSICIÓN!A$2:A$1892,A142,COMPOSICIÓN!B$2:B$1892,"MAT")</f>
        <v>463902.76859503996</v>
      </c>
      <c r="K142" s="96">
        <f>SUMIFS(COMPOSICIÓN!J$2:J$1892,COMPOSICIÓN!A$2:A$1892,A142,COMPOSICIÓN!B$2:B$1892,"MO")*I142</f>
        <v>1775796.2015776928</v>
      </c>
      <c r="L142" s="96">
        <f>SUMIFS(COMPOSICIÓN!J$2:J$1892,COMPOSICIÓN!A$2:A$1892,A142,COMPOSICIÓN!B$2:B$1892,"EQ")</f>
        <v>33595.484552590999</v>
      </c>
      <c r="M142" s="101">
        <f t="shared" si="11"/>
        <v>463902.76859503996</v>
      </c>
      <c r="N142" s="101">
        <f t="shared" si="12"/>
        <v>1775796.2015776928</v>
      </c>
      <c r="O142" s="101">
        <f t="shared" si="10"/>
        <v>33595.484552590999</v>
      </c>
      <c r="P142" s="101">
        <f t="shared" si="13"/>
        <v>2273294.4547253237</v>
      </c>
      <c r="Q142" s="102">
        <f>COUNTIF(COMPOSICIÓN!$A:$A,A142)</f>
        <v>5</v>
      </c>
      <c r="R142" s="17"/>
      <c r="S142" s="17" t="s">
        <v>32</v>
      </c>
      <c r="T142" s="17">
        <v>463902.76859504101</v>
      </c>
      <c r="U142" s="17">
        <v>1775796.20157769</v>
      </c>
      <c r="V142" s="17">
        <v>33595.484552590999</v>
      </c>
    </row>
    <row r="143" spans="1:22" ht="14.25" hidden="1" customHeight="1" x14ac:dyDescent="0.35">
      <c r="A143" s="105" t="s">
        <v>181</v>
      </c>
      <c r="B143" s="105"/>
      <c r="C143" s="105" t="s">
        <v>2022</v>
      </c>
      <c r="D143" s="105" t="s">
        <v>180</v>
      </c>
      <c r="E143" s="106" t="s">
        <v>36</v>
      </c>
      <c r="F143" s="106">
        <v>28</v>
      </c>
      <c r="G143" s="106">
        <v>0</v>
      </c>
      <c r="H143" s="106">
        <v>0</v>
      </c>
      <c r="I143" s="106">
        <v>1</v>
      </c>
      <c r="J143" s="96">
        <f>SUMIFS(COMPOSICIÓN!J$2:J$1892,COMPOSICIÓN!A$2:A$1892,A143,COMPOSICIÓN!B$2:B$1892,"MAT")</f>
        <v>827.27861400000006</v>
      </c>
      <c r="K143" s="96">
        <f>SUMIFS(COMPOSICIÓN!J$2:J$1892,COMPOSICIÓN!A$2:A$1892,A143,COMPOSICIÓN!B$2:B$1892,"MO")*I143</f>
        <v>242146.6748552919</v>
      </c>
      <c r="L143" s="96">
        <f>SUMIFS(COMPOSICIÓN!J$2:J$1892,COMPOSICIÓN!A$2:A$1892,A143,COMPOSICIÓN!B$2:B$1892,"EQ")</f>
        <v>3836.7078361185131</v>
      </c>
      <c r="M143" s="103">
        <f t="shared" si="11"/>
        <v>827.27861400000006</v>
      </c>
      <c r="N143" s="103">
        <f t="shared" si="12"/>
        <v>8648.0955305461393</v>
      </c>
      <c r="O143" s="103">
        <f t="shared" si="10"/>
        <v>137.02527986137548</v>
      </c>
      <c r="P143" s="103">
        <f t="shared" si="13"/>
        <v>9612.3994244075147</v>
      </c>
      <c r="Q143" s="95">
        <f>COUNTIF(COMPOSICIÓN!$A:$A,A143)</f>
        <v>9</v>
      </c>
      <c r="R143" s="32" t="s">
        <v>1963</v>
      </c>
      <c r="S143" s="32" t="s">
        <v>125</v>
      </c>
      <c r="T143" s="32">
        <v>827.27861399999995</v>
      </c>
      <c r="U143" s="32">
        <v>8648.0955305461393</v>
      </c>
      <c r="V143" s="32">
        <v>137.025279861375</v>
      </c>
    </row>
    <row r="144" spans="1:22" ht="14.25" hidden="1" customHeight="1" x14ac:dyDescent="0.35">
      <c r="A144" s="12" t="s">
        <v>183</v>
      </c>
      <c r="B144" s="12"/>
      <c r="C144" s="12" t="s">
        <v>2023</v>
      </c>
      <c r="D144" s="12" t="s">
        <v>182</v>
      </c>
      <c r="E144" s="14" t="s">
        <v>26</v>
      </c>
      <c r="F144" s="14">
        <v>1</v>
      </c>
      <c r="G144" s="14">
        <v>0</v>
      </c>
      <c r="H144" s="14">
        <v>0</v>
      </c>
      <c r="I144" s="14">
        <v>1</v>
      </c>
      <c r="J144" s="100">
        <f>SUMIFS(COMPOSICIÓN!J$2:J$1892,COMPOSICIÓN!A$2:A$1892,A144,COMPOSICIÓN!B$2:B$1892,"MAT")</f>
        <v>250000</v>
      </c>
      <c r="K144" s="100">
        <f>SUMIFS(COMPOSICIÓN!J$2:J$1892,COMPOSICIÓN!A$2:A$1892,A144,COMPOSICIÓN!B$2:B$1892,"MO")*I144</f>
        <v>1663092.76249129</v>
      </c>
      <c r="L144" s="100">
        <f>SUMIFS(COMPOSICIÓN!J$2:J$1892,COMPOSICIÓN!A$2:A$1892,A144,COMPOSICIÓN!B$2:B$1892,"EQ")</f>
        <v>28696.391437369301</v>
      </c>
      <c r="M144" s="101">
        <f t="shared" si="11"/>
        <v>250000</v>
      </c>
      <c r="N144" s="101">
        <f t="shared" si="12"/>
        <v>1663092.76249129</v>
      </c>
      <c r="O144" s="101">
        <f t="shared" si="10"/>
        <v>28696.391437369301</v>
      </c>
      <c r="P144" s="101">
        <f t="shared" si="13"/>
        <v>1941789.1539286594</v>
      </c>
      <c r="Q144" s="102">
        <f>COUNTIF(COMPOSICIÓN!$A:$A,A144)</f>
        <v>4</v>
      </c>
      <c r="R144" s="17"/>
      <c r="S144" s="17" t="s">
        <v>32</v>
      </c>
      <c r="T144" s="17">
        <v>250000</v>
      </c>
      <c r="U144" s="17">
        <v>1663092.76249129</v>
      </c>
      <c r="V144" s="17">
        <v>28696.391437369301</v>
      </c>
    </row>
    <row r="145" spans="1:22" ht="14.25" hidden="1" customHeight="1" x14ac:dyDescent="0.35">
      <c r="A145" s="105" t="s">
        <v>185</v>
      </c>
      <c r="B145" s="105"/>
      <c r="C145" s="105" t="s">
        <v>2023</v>
      </c>
      <c r="D145" s="105" t="s">
        <v>184</v>
      </c>
      <c r="E145" s="106" t="s">
        <v>26</v>
      </c>
      <c r="F145" s="106">
        <v>1</v>
      </c>
      <c r="G145" s="106">
        <v>0</v>
      </c>
      <c r="H145" s="106">
        <v>0</v>
      </c>
      <c r="I145" s="106">
        <v>1</v>
      </c>
      <c r="J145" s="96">
        <f>SUMIFS(COMPOSICIÓN!J$2:J$1892,COMPOSICIÓN!A$2:A$1892,A145,COMPOSICIÓN!B$2:B$1892,"MAT")</f>
        <v>250000</v>
      </c>
      <c r="K145" s="96">
        <f>SUMIFS(COMPOSICIÓN!J$2:J$1892,COMPOSICIÓN!A$2:A$1892,A145,COMPOSICIÓN!B$2:B$1892,"MO")*I145</f>
        <v>1663092.76249129</v>
      </c>
      <c r="L145" s="96">
        <f>SUMIFS(COMPOSICIÓN!J$2:J$1892,COMPOSICIÓN!A$2:A$1892,A145,COMPOSICIÓN!B$2:B$1892,"EQ")</f>
        <v>28696.391437369301</v>
      </c>
      <c r="M145" s="103">
        <f t="shared" si="11"/>
        <v>250000</v>
      </c>
      <c r="N145" s="103">
        <f t="shared" si="12"/>
        <v>1663092.76249129</v>
      </c>
      <c r="O145" s="103">
        <f t="shared" si="10"/>
        <v>28696.391437369301</v>
      </c>
      <c r="P145" s="103">
        <f t="shared" si="13"/>
        <v>1941789.1539286594</v>
      </c>
      <c r="Q145" s="95">
        <f>COUNTIF(COMPOSICIÓN!$A:$A,A145)</f>
        <v>4</v>
      </c>
      <c r="R145" s="32"/>
      <c r="S145" s="32" t="s">
        <v>32</v>
      </c>
      <c r="T145" s="32">
        <v>250000</v>
      </c>
      <c r="U145" s="32">
        <v>1663092.76249129</v>
      </c>
      <c r="V145" s="32">
        <v>28696.391437369301</v>
      </c>
    </row>
    <row r="146" spans="1:22" ht="14.25" hidden="1" customHeight="1" x14ac:dyDescent="0.35">
      <c r="A146" s="12" t="s">
        <v>187</v>
      </c>
      <c r="B146" s="12"/>
      <c r="C146" s="12" t="s">
        <v>2023</v>
      </c>
      <c r="D146" s="12" t="s">
        <v>186</v>
      </c>
      <c r="E146" s="14" t="s">
        <v>98</v>
      </c>
      <c r="F146" s="14">
        <v>1</v>
      </c>
      <c r="G146" s="14">
        <v>0</v>
      </c>
      <c r="H146" s="106">
        <v>0</v>
      </c>
      <c r="I146" s="106">
        <v>1</v>
      </c>
      <c r="J146" s="96">
        <f>SUMIFS(COMPOSICIÓN!J$2:J$1892,COMPOSICIÓN!A$2:A$1892,A146,COMPOSICIÓN!B$2:B$1892,"MAT")</f>
        <v>31772.201561033078</v>
      </c>
      <c r="K146" s="96">
        <f>SUMIFS(COMPOSICIÓN!J$2:J$1892,COMPOSICIÓN!A$2:A$1892,A146,COMPOSICIÓN!B$2:B$1892,"MO")*I146</f>
        <v>95033.943417763541</v>
      </c>
      <c r="L146" s="96">
        <f>SUMIFS(COMPOSICIÓN!J$2:J$1892,COMPOSICIÓN!A$2:A$1892,A146,COMPOSICIÓN!B$2:B$1892,"EQ")</f>
        <v>1902.09229701142</v>
      </c>
      <c r="M146" s="101">
        <f t="shared" si="11"/>
        <v>31772.201561033078</v>
      </c>
      <c r="N146" s="101">
        <f t="shared" si="12"/>
        <v>95033.943417763541</v>
      </c>
      <c r="O146" s="101">
        <f t="shared" si="10"/>
        <v>1902.09229701142</v>
      </c>
      <c r="P146" s="101">
        <f t="shared" si="13"/>
        <v>128708.23727580805</v>
      </c>
      <c r="Q146" s="102">
        <f>COUNTIF(COMPOSICIÓN!$A:$A,A146)</f>
        <v>6</v>
      </c>
      <c r="R146" s="17"/>
      <c r="S146" s="17" t="s">
        <v>32</v>
      </c>
      <c r="T146" s="17">
        <v>31772.280991735501</v>
      </c>
      <c r="U146" s="17">
        <v>95033.872142359396</v>
      </c>
      <c r="V146" s="17">
        <v>1902.09229701142</v>
      </c>
    </row>
    <row r="147" spans="1:22" ht="14.25" hidden="1" customHeight="1" x14ac:dyDescent="0.35">
      <c r="A147" s="105" t="s">
        <v>189</v>
      </c>
      <c r="B147" s="105"/>
      <c r="C147" s="105" t="s">
        <v>2024</v>
      </c>
      <c r="D147" s="105" t="s">
        <v>188</v>
      </c>
      <c r="E147" s="106" t="s">
        <v>50</v>
      </c>
      <c r="F147" s="106">
        <v>13</v>
      </c>
      <c r="G147" s="106">
        <v>0</v>
      </c>
      <c r="H147" s="106">
        <v>0</v>
      </c>
      <c r="I147" s="106">
        <v>1</v>
      </c>
      <c r="J147" s="96">
        <f>SUMIFS(COMPOSICIÓN!J$2:J$1892,COMPOSICIÓN!A$2:A$1892,A147,COMPOSICIÓN!B$2:B$1892,"MAT")</f>
        <v>6932.2708051239679</v>
      </c>
      <c r="K147" s="96">
        <f>SUMIFS(COMPOSICIÓN!J$2:J$1892,COMPOSICIÓN!A$2:A$1892,A147,COMPOSICIÓN!B$2:B$1892,"MO")*I147</f>
        <v>166309.27624912901</v>
      </c>
      <c r="L147" s="96">
        <f>SUMIFS(COMPOSICIÓN!J$2:J$1892,COMPOSICIÓN!A$2:A$1892,A147,COMPOSICIÓN!B$2:B$1892,"EQ")</f>
        <v>3190.6447257539321</v>
      </c>
      <c r="M147" s="103">
        <f t="shared" si="11"/>
        <v>6932.2708051239679</v>
      </c>
      <c r="N147" s="103">
        <f t="shared" si="12"/>
        <v>12793.021249933001</v>
      </c>
      <c r="O147" s="103">
        <f t="shared" si="10"/>
        <v>245.4342096733794</v>
      </c>
      <c r="P147" s="103">
        <f t="shared" si="13"/>
        <v>19970.726264730347</v>
      </c>
      <c r="Q147" s="95">
        <f>COUNTIF(COMPOSICIÓN!$A:$A,A147)</f>
        <v>9</v>
      </c>
      <c r="R147" s="32"/>
      <c r="S147" s="32" t="s">
        <v>190</v>
      </c>
      <c r="T147" s="32">
        <v>6932.2708051239697</v>
      </c>
      <c r="U147" s="32">
        <v>12793.021249932999</v>
      </c>
      <c r="V147" s="32">
        <v>245.43420967338</v>
      </c>
    </row>
    <row r="148" spans="1:22" ht="14.25" hidden="1" customHeight="1" x14ac:dyDescent="0.35">
      <c r="A148" s="12" t="s">
        <v>192</v>
      </c>
      <c r="B148" s="12"/>
      <c r="C148" s="12" t="s">
        <v>2024</v>
      </c>
      <c r="D148" s="12" t="s">
        <v>191</v>
      </c>
      <c r="E148" s="14" t="s">
        <v>50</v>
      </c>
      <c r="F148" s="14">
        <v>13</v>
      </c>
      <c r="G148" s="14">
        <v>0</v>
      </c>
      <c r="H148" s="106">
        <v>0</v>
      </c>
      <c r="I148" s="106">
        <v>1</v>
      </c>
      <c r="J148" s="96">
        <f>SUMIFS(COMPOSICIÓN!J$2:J$1892,COMPOSICIÓN!A$2:A$1892,A148,COMPOSICIÓN!B$2:B$1892,"MAT")</f>
        <v>6932.2708051239679</v>
      </c>
      <c r="K148" s="96">
        <f>SUMIFS(COMPOSICIÓN!J$2:J$1892,COMPOSICIÓN!A$2:A$1892,A148,COMPOSICIÓN!B$2:B$1892,"MO")*I148</f>
        <v>166309.27624912901</v>
      </c>
      <c r="L148" s="96">
        <f>SUMIFS(COMPOSICIÓN!J$2:J$1892,COMPOSICIÓN!A$2:A$1892,A148,COMPOSICIÓN!B$2:B$1892,"EQ")</f>
        <v>3190.6447257539321</v>
      </c>
      <c r="M148" s="101">
        <f t="shared" si="11"/>
        <v>6932.2708051239679</v>
      </c>
      <c r="N148" s="101">
        <f t="shared" si="12"/>
        <v>12793.021249933001</v>
      </c>
      <c r="O148" s="101">
        <f t="shared" si="10"/>
        <v>245.4342096733794</v>
      </c>
      <c r="P148" s="101">
        <f t="shared" si="13"/>
        <v>19970.726264730347</v>
      </c>
      <c r="Q148" s="102">
        <f>COUNTIF(COMPOSICIÓN!$A:$A,A148)</f>
        <v>9</v>
      </c>
      <c r="R148" s="17"/>
      <c r="S148" s="17" t="s">
        <v>190</v>
      </c>
      <c r="T148" s="17">
        <v>6932.2708051239697</v>
      </c>
      <c r="U148" s="17">
        <v>12793.021249932999</v>
      </c>
      <c r="V148" s="17">
        <v>245.43420967338</v>
      </c>
    </row>
    <row r="149" spans="1:22" ht="14.25" hidden="1" customHeight="1" x14ac:dyDescent="0.35">
      <c r="A149" s="105" t="s">
        <v>194</v>
      </c>
      <c r="B149" s="105"/>
      <c r="C149" s="105" t="s">
        <v>2024</v>
      </c>
      <c r="D149" s="105" t="s">
        <v>193</v>
      </c>
      <c r="E149" s="106" t="s">
        <v>50</v>
      </c>
      <c r="F149" s="106">
        <v>10</v>
      </c>
      <c r="G149" s="106">
        <v>0</v>
      </c>
      <c r="H149" s="106">
        <v>0</v>
      </c>
      <c r="I149" s="106">
        <v>1</v>
      </c>
      <c r="J149" s="96">
        <f>SUMIFS(COMPOSICIÓN!J$2:J$1892,COMPOSICIÓN!A$2:A$1892,A149,COMPOSICIÓN!B$2:B$1892,"MAT")</f>
        <v>6932.2708051239679</v>
      </c>
      <c r="K149" s="96">
        <f>SUMIFS(COMPOSICIÓN!J$2:J$1892,COMPOSICIÓN!A$2:A$1892,A149,COMPOSICIÓN!B$2:B$1892,"MO")*I149</f>
        <v>166309.27624912901</v>
      </c>
      <c r="L149" s="96">
        <f>SUMIFS(COMPOSICIÓN!J$2:J$1892,COMPOSICIÓN!A$2:A$1892,A149,COMPOSICIÓN!B$2:B$1892,"EQ")</f>
        <v>3190.6447257539321</v>
      </c>
      <c r="M149" s="103">
        <f t="shared" si="11"/>
        <v>6932.2708051239679</v>
      </c>
      <c r="N149" s="103">
        <f t="shared" si="12"/>
        <v>16630.9276249129</v>
      </c>
      <c r="O149" s="103">
        <f t="shared" si="10"/>
        <v>319.06447257539321</v>
      </c>
      <c r="P149" s="103">
        <f t="shared" si="13"/>
        <v>23882.262902612259</v>
      </c>
      <c r="Q149" s="95">
        <f>COUNTIF(COMPOSICIÓN!$A:$A,A149)</f>
        <v>9</v>
      </c>
      <c r="R149" s="32"/>
      <c r="S149" s="32" t="s">
        <v>195</v>
      </c>
      <c r="T149" s="32">
        <v>6932.2708051239697</v>
      </c>
      <c r="U149" s="32">
        <v>16630.9276249129</v>
      </c>
      <c r="V149" s="32">
        <v>319.06447257539401</v>
      </c>
    </row>
    <row r="150" spans="1:22" ht="14.25" hidden="1" customHeight="1" x14ac:dyDescent="0.35">
      <c r="A150" s="12" t="s">
        <v>197</v>
      </c>
      <c r="B150" s="12"/>
      <c r="C150" s="12" t="s">
        <v>2024</v>
      </c>
      <c r="D150" s="12" t="s">
        <v>196</v>
      </c>
      <c r="E150" s="14" t="s">
        <v>50</v>
      </c>
      <c r="F150" s="14">
        <v>13</v>
      </c>
      <c r="G150" s="14">
        <v>0</v>
      </c>
      <c r="H150" s="106">
        <v>0</v>
      </c>
      <c r="I150" s="106">
        <v>1</v>
      </c>
      <c r="J150" s="96">
        <f>SUMIFS(COMPOSICIÓN!J$2:J$1892,COMPOSICIÓN!A$2:A$1892,A150,COMPOSICIÓN!B$2:B$1892,"MAT")</f>
        <v>6932.2708051239679</v>
      </c>
      <c r="K150" s="96">
        <f>SUMIFS(COMPOSICIÓN!J$2:J$1892,COMPOSICIÓN!A$2:A$1892,A150,COMPOSICIÓN!B$2:B$1892,"MO")*I150</f>
        <v>166309.27624912901</v>
      </c>
      <c r="L150" s="96">
        <f>SUMIFS(COMPOSICIÓN!J$2:J$1892,COMPOSICIÓN!A$2:A$1892,A150,COMPOSICIÓN!B$2:B$1892,"EQ")</f>
        <v>3190.6447257539321</v>
      </c>
      <c r="M150" s="101">
        <f t="shared" si="11"/>
        <v>6932.2708051239679</v>
      </c>
      <c r="N150" s="101">
        <f t="shared" si="12"/>
        <v>12793.021249933001</v>
      </c>
      <c r="O150" s="101">
        <f t="shared" si="10"/>
        <v>245.4342096733794</v>
      </c>
      <c r="P150" s="101">
        <f t="shared" si="13"/>
        <v>19970.726264730347</v>
      </c>
      <c r="Q150" s="102">
        <f>COUNTIF(COMPOSICIÓN!$A:$A,A150)</f>
        <v>9</v>
      </c>
      <c r="R150" s="17"/>
      <c r="S150" s="17" t="s">
        <v>190</v>
      </c>
      <c r="T150" s="17">
        <v>6932.2708051239697</v>
      </c>
      <c r="U150" s="17">
        <v>12793.021249932999</v>
      </c>
      <c r="V150" s="17">
        <v>245.43420967338</v>
      </c>
    </row>
    <row r="151" spans="1:22" ht="14.25" hidden="1" customHeight="1" x14ac:dyDescent="0.35">
      <c r="A151" s="105" t="s">
        <v>199</v>
      </c>
      <c r="B151" s="105"/>
      <c r="C151" s="105" t="s">
        <v>2024</v>
      </c>
      <c r="D151" s="105" t="s">
        <v>198</v>
      </c>
      <c r="E151" s="106" t="s">
        <v>50</v>
      </c>
      <c r="F151" s="106">
        <v>1</v>
      </c>
      <c r="G151" s="106">
        <v>0</v>
      </c>
      <c r="H151" s="106">
        <v>0</v>
      </c>
      <c r="I151" s="106">
        <v>1</v>
      </c>
      <c r="J151" s="96">
        <f>SUMIFS(COMPOSICIÓN!J$2:J$1892,COMPOSICIÓN!A$2:A$1892,A151,COMPOSICIÓN!B$2:B$1892,"MAT")</f>
        <v>0</v>
      </c>
      <c r="K151" s="96">
        <f>SUMIFS(COMPOSICIÓN!J$2:J$1892,COMPOSICIÓN!A$2:A$1892,A151,COMPOSICIÓN!B$2:B$1892,"MO")*I151</f>
        <v>0</v>
      </c>
      <c r="L151" s="96">
        <f>SUMIFS(COMPOSICIÓN!J$2:J$1892,COMPOSICIÓN!A$2:A$1892,A151,COMPOSICIÓN!B$2:B$1892,"EQ")</f>
        <v>0</v>
      </c>
      <c r="M151" s="103">
        <f t="shared" si="11"/>
        <v>0</v>
      </c>
      <c r="N151" s="103">
        <f t="shared" si="12"/>
        <v>0</v>
      </c>
      <c r="O151" s="103">
        <f t="shared" si="10"/>
        <v>0</v>
      </c>
      <c r="P151" s="103">
        <f t="shared" si="13"/>
        <v>0</v>
      </c>
      <c r="Q151" s="95">
        <f>COUNTIF(COMPOSICIÓN!$A:$A,A151)</f>
        <v>0</v>
      </c>
      <c r="R151" s="32"/>
      <c r="S151" s="32" t="s">
        <v>28</v>
      </c>
      <c r="T151" s="32">
        <v>0</v>
      </c>
      <c r="U151" s="32">
        <v>0</v>
      </c>
      <c r="V151" s="32">
        <v>0</v>
      </c>
    </row>
    <row r="152" spans="1:22" ht="14.25" hidden="1" customHeight="1" x14ac:dyDescent="0.35">
      <c r="A152" s="12" t="s">
        <v>201</v>
      </c>
      <c r="B152" s="12"/>
      <c r="C152" s="12" t="s">
        <v>2024</v>
      </c>
      <c r="D152" s="12" t="s">
        <v>200</v>
      </c>
      <c r="E152" s="14" t="s">
        <v>50</v>
      </c>
      <c r="F152" s="14">
        <v>11.5</v>
      </c>
      <c r="G152" s="14">
        <v>0</v>
      </c>
      <c r="H152" s="106">
        <v>0</v>
      </c>
      <c r="I152" s="106">
        <v>1</v>
      </c>
      <c r="J152" s="96">
        <f>SUMIFS(COMPOSICIÓN!J$2:J$1892,COMPOSICIÓN!A$2:A$1892,A152,COMPOSICIÓN!B$2:B$1892,"MAT")</f>
        <v>4104.3831840000003</v>
      </c>
      <c r="K152" s="96">
        <f>SUMIFS(COMPOSICIÓN!J$2:J$1892,COMPOSICIÓN!A$2:A$1892,A152,COMPOSICIÓN!B$2:B$1892,"MO")*I152</f>
        <v>127797.38731367271</v>
      </c>
      <c r="L152" s="96">
        <f>SUMIFS(COMPOSICIÓN!J$2:J$1892,COMPOSICIÓN!A$2:A$1892,A152,COMPOSICIÓN!B$2:B$1892,"EQ")</f>
        <v>3526.3024451299216</v>
      </c>
      <c r="M152" s="101">
        <f t="shared" si="11"/>
        <v>4104.3831840000003</v>
      </c>
      <c r="N152" s="101">
        <f t="shared" si="12"/>
        <v>11112.816288145452</v>
      </c>
      <c r="O152" s="101">
        <f t="shared" si="10"/>
        <v>306.63499522868881</v>
      </c>
      <c r="P152" s="101">
        <f t="shared" si="13"/>
        <v>15523.834467374141</v>
      </c>
      <c r="Q152" s="102">
        <f>COUNTIF(COMPOSICIÓN!$A:$A,A152)</f>
        <v>6</v>
      </c>
      <c r="R152" s="17"/>
      <c r="S152" s="17" t="s">
        <v>202</v>
      </c>
      <c r="T152" s="17">
        <v>4104.3831840000003</v>
      </c>
      <c r="U152" s="17">
        <v>11112.816288145499</v>
      </c>
      <c r="V152" s="17">
        <v>306.63499522868801</v>
      </c>
    </row>
    <row r="153" spans="1:22" ht="14.25" hidden="1" customHeight="1" x14ac:dyDescent="0.35">
      <c r="A153" s="105" t="s">
        <v>204</v>
      </c>
      <c r="B153" s="105"/>
      <c r="C153" s="105" t="s">
        <v>2024</v>
      </c>
      <c r="D153" s="105" t="s">
        <v>203</v>
      </c>
      <c r="E153" s="106" t="s">
        <v>50</v>
      </c>
      <c r="F153" s="106">
        <v>13</v>
      </c>
      <c r="G153" s="106">
        <v>0</v>
      </c>
      <c r="H153" s="106">
        <v>0</v>
      </c>
      <c r="I153" s="106">
        <v>1</v>
      </c>
      <c r="J153" s="96">
        <f>SUMIFS(COMPOSICIÓN!J$2:J$1892,COMPOSICIÓN!A$2:A$1892,A153,COMPOSICIÓN!B$2:B$1892,"MAT")</f>
        <v>6932.2708051239679</v>
      </c>
      <c r="K153" s="96">
        <f>SUMIFS(COMPOSICIÓN!J$2:J$1892,COMPOSICIÓN!A$2:A$1892,A153,COMPOSICIÓN!B$2:B$1892,"MO")*I153</f>
        <v>166309.27624912901</v>
      </c>
      <c r="L153" s="96">
        <f>SUMIFS(COMPOSICIÓN!J$2:J$1892,COMPOSICIÓN!A$2:A$1892,A153,COMPOSICIÓN!B$2:B$1892,"EQ")</f>
        <v>3190.6447257539321</v>
      </c>
      <c r="M153" s="103">
        <f t="shared" si="11"/>
        <v>6932.2708051239679</v>
      </c>
      <c r="N153" s="103">
        <f t="shared" si="12"/>
        <v>12793.021249933001</v>
      </c>
      <c r="O153" s="103">
        <f t="shared" si="10"/>
        <v>245.4342096733794</v>
      </c>
      <c r="P153" s="103">
        <f t="shared" si="13"/>
        <v>19970.726264730347</v>
      </c>
      <c r="Q153" s="95">
        <f>COUNTIF(COMPOSICIÓN!$A:$A,A153)</f>
        <v>9</v>
      </c>
      <c r="R153" s="32"/>
      <c r="S153" s="32" t="s">
        <v>190</v>
      </c>
      <c r="T153" s="32">
        <v>6932.2708051239697</v>
      </c>
      <c r="U153" s="32">
        <v>12793.021249932999</v>
      </c>
      <c r="V153" s="32">
        <v>245.43420967338</v>
      </c>
    </row>
    <row r="154" spans="1:22" ht="14.25" hidden="1" customHeight="1" x14ac:dyDescent="0.35">
      <c r="A154" s="12" t="s">
        <v>206</v>
      </c>
      <c r="B154" s="12"/>
      <c r="C154" s="12" t="s">
        <v>2026</v>
      </c>
      <c r="D154" s="12" t="s">
        <v>205</v>
      </c>
      <c r="E154" s="14" t="s">
        <v>36</v>
      </c>
      <c r="F154" s="14">
        <v>1</v>
      </c>
      <c r="G154" s="14">
        <v>0</v>
      </c>
      <c r="H154" s="106">
        <v>0</v>
      </c>
      <c r="I154" s="106">
        <v>1</v>
      </c>
      <c r="J154" s="96">
        <f>SUMIFS(COMPOSICIÓN!J$2:J$1892,COMPOSICIÓN!A$2:A$1892,A154,COMPOSICIÓN!B$2:B$1892,"MAT")</f>
        <v>4349.9861450413264</v>
      </c>
      <c r="K154" s="96">
        <f>SUMIFS(COMPOSICIÓN!J$2:J$1892,COMPOSICIÓN!A$2:A$1892,A154,COMPOSICIÓN!B$2:B$1892,"MO")*I154</f>
        <v>5122.3334930063902</v>
      </c>
      <c r="L154" s="96">
        <f>SUMIFS(COMPOSICIÓN!J$2:J$1892,COMPOSICIÓN!A$2:A$1892,A154,COMPOSICIÓN!B$2:B$1892,"EQ")</f>
        <v>142.08512790120599</v>
      </c>
      <c r="M154" s="101">
        <f t="shared" si="11"/>
        <v>4349.9861450413264</v>
      </c>
      <c r="N154" s="101">
        <f t="shared" si="12"/>
        <v>5122.3334930063902</v>
      </c>
      <c r="O154" s="101">
        <f t="shared" si="10"/>
        <v>142.08512790120599</v>
      </c>
      <c r="P154" s="101">
        <f t="shared" si="13"/>
        <v>9614.4047659489224</v>
      </c>
      <c r="Q154" s="102">
        <f>COUNTIF(COMPOSICIÓN!$A:$A,A154)</f>
        <v>5</v>
      </c>
      <c r="R154" s="17"/>
      <c r="S154" s="17" t="s">
        <v>32</v>
      </c>
      <c r="T154" s="17">
        <v>4349.9864345938704</v>
      </c>
      <c r="U154" s="17">
        <v>5122.3554254865303</v>
      </c>
      <c r="V154" s="17">
        <v>142.08512790120599</v>
      </c>
    </row>
    <row r="155" spans="1:22" ht="14.25" hidden="1" customHeight="1" x14ac:dyDescent="0.35">
      <c r="A155" s="105" t="s">
        <v>208</v>
      </c>
      <c r="B155" s="105"/>
      <c r="C155" s="105" t="s">
        <v>2026</v>
      </c>
      <c r="D155" s="105" t="s">
        <v>207</v>
      </c>
      <c r="E155" s="106" t="s">
        <v>36</v>
      </c>
      <c r="F155" s="106">
        <v>30</v>
      </c>
      <c r="G155" s="106">
        <v>0</v>
      </c>
      <c r="H155" s="106">
        <v>0</v>
      </c>
      <c r="I155" s="106">
        <v>1</v>
      </c>
      <c r="J155" s="96">
        <f>SUMIFS(COMPOSICIÓN!J$2:J$1892,COMPOSICIÓN!A$2:A$1892,A155,COMPOSICIÓN!B$2:B$1892,"MAT")</f>
        <v>1001.4972036694214</v>
      </c>
      <c r="K155" s="96">
        <f>SUMIFS(COMPOSICIÓN!J$2:J$1892,COMPOSICIÓN!A$2:A$1892,A155,COMPOSICIÓN!B$2:B$1892,"MO")*I155</f>
        <v>166309.27624912901</v>
      </c>
      <c r="L155" s="96">
        <f>SUMIFS(COMPOSICIÓN!J$2:J$1892,COMPOSICIÓN!A$2:A$1892,A155,COMPOSICIÓN!B$2:B$1892,"EQ")</f>
        <v>3190.6447257539321</v>
      </c>
      <c r="M155" s="103">
        <f t="shared" si="11"/>
        <v>1001.4972036694214</v>
      </c>
      <c r="N155" s="103">
        <f t="shared" si="12"/>
        <v>5543.6425416376333</v>
      </c>
      <c r="O155" s="103">
        <f t="shared" si="10"/>
        <v>106.35482419179773</v>
      </c>
      <c r="P155" s="103">
        <f t="shared" si="13"/>
        <v>6651.4945694988528</v>
      </c>
      <c r="Q155" s="95">
        <f>COUNTIF(COMPOSICIÓN!$A:$A,A155)</f>
        <v>8</v>
      </c>
      <c r="R155" s="32"/>
      <c r="S155" s="32" t="s">
        <v>209</v>
      </c>
      <c r="T155" s="32">
        <v>1001.4972036694199</v>
      </c>
      <c r="U155" s="32">
        <v>5543.6425416376296</v>
      </c>
      <c r="V155" s="32">
        <v>106.354824191798</v>
      </c>
    </row>
    <row r="156" spans="1:22" ht="14.25" hidden="1" customHeight="1" x14ac:dyDescent="0.35">
      <c r="A156" s="12" t="s">
        <v>211</v>
      </c>
      <c r="B156" s="12"/>
      <c r="C156" s="12" t="s">
        <v>2026</v>
      </c>
      <c r="D156" s="12" t="s">
        <v>210</v>
      </c>
      <c r="E156" s="14" t="s">
        <v>36</v>
      </c>
      <c r="F156" s="14">
        <v>30</v>
      </c>
      <c r="G156" s="14">
        <v>0</v>
      </c>
      <c r="H156" s="14">
        <v>0</v>
      </c>
      <c r="I156" s="14">
        <v>1</v>
      </c>
      <c r="J156" s="100">
        <f>SUMIFS(COMPOSICIÓN!J$2:J$1892,COMPOSICIÓN!A$2:A$1892,A156,COMPOSICIÓN!B$2:B$1892,"MAT")</f>
        <v>1001.4972036694214</v>
      </c>
      <c r="K156" s="100">
        <f>SUMIFS(COMPOSICIÓN!J$2:J$1892,COMPOSICIÓN!A$2:A$1892,A156,COMPOSICIÓN!B$2:B$1892,"MO")*I156</f>
        <v>166309.27624912901</v>
      </c>
      <c r="L156" s="100">
        <f>SUMIFS(COMPOSICIÓN!J$2:J$1892,COMPOSICIÓN!A$2:A$1892,A156,COMPOSICIÓN!B$2:B$1892,"EQ")</f>
        <v>3190.6447257539321</v>
      </c>
      <c r="M156" s="101">
        <f t="shared" si="11"/>
        <v>1001.4972036694214</v>
      </c>
      <c r="N156" s="101">
        <f t="shared" si="12"/>
        <v>5543.6425416376333</v>
      </c>
      <c r="O156" s="101">
        <f t="shared" si="10"/>
        <v>106.35482419179773</v>
      </c>
      <c r="P156" s="101">
        <f t="shared" si="13"/>
        <v>6651.4945694988528</v>
      </c>
      <c r="Q156" s="102">
        <f>COUNTIF(COMPOSICIÓN!$A:$A,A156)</f>
        <v>8</v>
      </c>
      <c r="R156" s="17"/>
      <c r="S156" s="17" t="s">
        <v>209</v>
      </c>
      <c r="T156" s="17">
        <v>1001.4972036694199</v>
      </c>
      <c r="U156" s="17">
        <v>5543.6425416376296</v>
      </c>
      <c r="V156" s="17">
        <v>106.354824191798</v>
      </c>
    </row>
    <row r="157" spans="1:22" ht="14.25" hidden="1" customHeight="1" x14ac:dyDescent="0.35">
      <c r="A157" s="105" t="s">
        <v>213</v>
      </c>
      <c r="B157" s="105"/>
      <c r="C157" s="105" t="s">
        <v>2026</v>
      </c>
      <c r="D157" s="105" t="s">
        <v>212</v>
      </c>
      <c r="E157" s="106" t="s">
        <v>36</v>
      </c>
      <c r="F157" s="106">
        <v>30</v>
      </c>
      <c r="G157" s="106">
        <v>0</v>
      </c>
      <c r="H157" s="106">
        <v>0</v>
      </c>
      <c r="I157" s="106">
        <v>1</v>
      </c>
      <c r="J157" s="96">
        <f>SUMIFS(COMPOSICIÓN!J$2:J$1892,COMPOSICIÓN!A$2:A$1892,A157,COMPOSICIÓN!B$2:B$1892,"MAT")</f>
        <v>1001.4972036694214</v>
      </c>
      <c r="K157" s="96">
        <f>SUMIFS(COMPOSICIÓN!J$2:J$1892,COMPOSICIÓN!A$2:A$1892,A157,COMPOSICIÓN!B$2:B$1892,"MO")*I157</f>
        <v>166309.27624912901</v>
      </c>
      <c r="L157" s="96">
        <f>SUMIFS(COMPOSICIÓN!J$2:J$1892,COMPOSICIÓN!A$2:A$1892,A157,COMPOSICIÓN!B$2:B$1892,"EQ")</f>
        <v>3190.6447257539321</v>
      </c>
      <c r="M157" s="103">
        <f t="shared" si="11"/>
        <v>1001.4972036694214</v>
      </c>
      <c r="N157" s="103">
        <f t="shared" si="12"/>
        <v>5543.6425416376333</v>
      </c>
      <c r="O157" s="103">
        <f t="shared" ref="O157:O188" si="14">IF(F157=0,0,L157/F157)</f>
        <v>106.35482419179773</v>
      </c>
      <c r="P157" s="103">
        <f t="shared" si="13"/>
        <v>6651.4945694988528</v>
      </c>
      <c r="Q157" s="95">
        <f>COUNTIF(COMPOSICIÓN!$A:$A,A157)</f>
        <v>8</v>
      </c>
      <c r="R157" s="32"/>
      <c r="S157" s="32" t="s">
        <v>209</v>
      </c>
      <c r="T157" s="32">
        <v>1001.4972036694199</v>
      </c>
      <c r="U157" s="32">
        <v>5543.6425416376296</v>
      </c>
      <c r="V157" s="32">
        <v>106.354824191798</v>
      </c>
    </row>
    <row r="158" spans="1:22" ht="14.25" hidden="1" customHeight="1" x14ac:dyDescent="0.35">
      <c r="A158" s="12" t="s">
        <v>215</v>
      </c>
      <c r="B158" s="12"/>
      <c r="C158" s="12" t="s">
        <v>2027</v>
      </c>
      <c r="D158" s="12" t="s">
        <v>214</v>
      </c>
      <c r="E158" s="14" t="s">
        <v>50</v>
      </c>
      <c r="F158" s="14">
        <v>10</v>
      </c>
      <c r="G158" s="14">
        <v>0</v>
      </c>
      <c r="H158" s="106">
        <v>0</v>
      </c>
      <c r="I158" s="106">
        <v>1</v>
      </c>
      <c r="J158" s="96">
        <f>SUMIFS(COMPOSICIÓN!J$2:J$1892,COMPOSICIÓN!A$2:A$1892,A158,COMPOSICIÓN!B$2:B$1892,"MAT")</f>
        <v>6932.2708051239679</v>
      </c>
      <c r="K158" s="96">
        <f>SUMIFS(COMPOSICIÓN!J$2:J$1892,COMPOSICIÓN!A$2:A$1892,A158,COMPOSICIÓN!B$2:B$1892,"MO")*I158</f>
        <v>166309.27624912901</v>
      </c>
      <c r="L158" s="96">
        <f>SUMIFS(COMPOSICIÓN!J$2:J$1892,COMPOSICIÓN!A$2:A$1892,A158,COMPOSICIÓN!B$2:B$1892,"EQ")</f>
        <v>3190.6447257539321</v>
      </c>
      <c r="M158" s="101">
        <f t="shared" si="11"/>
        <v>6932.2708051239679</v>
      </c>
      <c r="N158" s="101">
        <f t="shared" si="12"/>
        <v>16630.9276249129</v>
      </c>
      <c r="O158" s="101">
        <f t="shared" si="14"/>
        <v>319.06447257539321</v>
      </c>
      <c r="P158" s="101">
        <f t="shared" si="13"/>
        <v>23882.262902612259</v>
      </c>
      <c r="Q158" s="102">
        <f>COUNTIF(COMPOSICIÓN!$A:$A,A158)</f>
        <v>10</v>
      </c>
      <c r="R158" s="17"/>
      <c r="S158" s="17" t="s">
        <v>195</v>
      </c>
      <c r="T158" s="17">
        <v>6932.2708051239697</v>
      </c>
      <c r="U158" s="17">
        <v>16630.9276249129</v>
      </c>
      <c r="V158" s="17">
        <v>319.06447257539401</v>
      </c>
    </row>
    <row r="159" spans="1:22" ht="14.25" hidden="1" customHeight="1" x14ac:dyDescent="0.35">
      <c r="A159" s="105" t="s">
        <v>217</v>
      </c>
      <c r="B159" s="105"/>
      <c r="C159" s="105" t="s">
        <v>2027</v>
      </c>
      <c r="D159" s="105" t="s">
        <v>216</v>
      </c>
      <c r="E159" s="106" t="s">
        <v>50</v>
      </c>
      <c r="F159" s="106">
        <v>10</v>
      </c>
      <c r="G159" s="106">
        <v>0</v>
      </c>
      <c r="H159" s="106">
        <v>0</v>
      </c>
      <c r="I159" s="106">
        <v>1</v>
      </c>
      <c r="J159" s="96">
        <f>SUMIFS(COMPOSICIÓN!J$2:J$1892,COMPOSICIÓN!A$2:A$1892,A159,COMPOSICIÓN!B$2:B$1892,"MAT")</f>
        <v>6932.2708051239679</v>
      </c>
      <c r="K159" s="96">
        <f>SUMIFS(COMPOSICIÓN!J$2:J$1892,COMPOSICIÓN!A$2:A$1892,A159,COMPOSICIÓN!B$2:B$1892,"MO")*I159</f>
        <v>166309.27624912901</v>
      </c>
      <c r="L159" s="96">
        <f>SUMIFS(COMPOSICIÓN!J$2:J$1892,COMPOSICIÓN!A$2:A$1892,A159,COMPOSICIÓN!B$2:B$1892,"EQ")</f>
        <v>3190.6447257539321</v>
      </c>
      <c r="M159" s="103">
        <f t="shared" si="11"/>
        <v>6932.2708051239679</v>
      </c>
      <c r="N159" s="103">
        <f t="shared" si="12"/>
        <v>16630.9276249129</v>
      </c>
      <c r="O159" s="103">
        <f t="shared" si="14"/>
        <v>319.06447257539321</v>
      </c>
      <c r="P159" s="103">
        <f t="shared" si="13"/>
        <v>23882.262902612259</v>
      </c>
      <c r="Q159" s="95">
        <f>COUNTIF(COMPOSICIÓN!$A:$A,A159)</f>
        <v>10</v>
      </c>
      <c r="R159" s="32"/>
      <c r="S159" s="32" t="s">
        <v>195</v>
      </c>
      <c r="T159" s="32">
        <v>6932.2708051239697</v>
      </c>
      <c r="U159" s="32">
        <v>16630.9276249129</v>
      </c>
      <c r="V159" s="32">
        <v>319.06447257539401</v>
      </c>
    </row>
    <row r="160" spans="1:22" ht="14.25" hidden="1" customHeight="1" x14ac:dyDescent="0.35">
      <c r="A160" s="12" t="s">
        <v>219</v>
      </c>
      <c r="B160" s="12"/>
      <c r="C160" s="12" t="s">
        <v>2027</v>
      </c>
      <c r="D160" s="12" t="s">
        <v>218</v>
      </c>
      <c r="E160" s="14" t="s">
        <v>36</v>
      </c>
      <c r="F160" s="14">
        <v>30</v>
      </c>
      <c r="G160" s="14">
        <v>0</v>
      </c>
      <c r="H160" s="106">
        <v>0</v>
      </c>
      <c r="I160" s="106">
        <v>1</v>
      </c>
      <c r="J160" s="96">
        <f>SUMIFS(COMPOSICIÓN!J$2:J$1892,COMPOSICIÓN!A$2:A$1892,A160,COMPOSICIÓN!B$2:B$1892,"MAT")</f>
        <v>1001.4972036694214</v>
      </c>
      <c r="K160" s="96">
        <f>SUMIFS(COMPOSICIÓN!J$2:J$1892,COMPOSICIÓN!A$2:A$1892,A160,COMPOSICIÓN!B$2:B$1892,"MO")*I160</f>
        <v>166309.27624912901</v>
      </c>
      <c r="L160" s="96">
        <f>SUMIFS(COMPOSICIÓN!J$2:J$1892,COMPOSICIÓN!A$2:A$1892,A160,COMPOSICIÓN!B$2:B$1892,"EQ")</f>
        <v>3190.6447257539321</v>
      </c>
      <c r="M160" s="101">
        <f t="shared" si="11"/>
        <v>1001.4972036694214</v>
      </c>
      <c r="N160" s="101">
        <f t="shared" si="12"/>
        <v>5543.6425416376333</v>
      </c>
      <c r="O160" s="101">
        <f t="shared" si="14"/>
        <v>106.35482419179773</v>
      </c>
      <c r="P160" s="101">
        <f t="shared" si="13"/>
        <v>6651.4945694988528</v>
      </c>
      <c r="Q160" s="102">
        <f>COUNTIF(COMPOSICIÓN!$A:$A,A160)</f>
        <v>8</v>
      </c>
      <c r="R160" s="17"/>
      <c r="S160" s="17" t="s">
        <v>209</v>
      </c>
      <c r="T160" s="17">
        <v>1001.4972036694199</v>
      </c>
      <c r="U160" s="17">
        <v>5543.6425416376296</v>
      </c>
      <c r="V160" s="17">
        <v>106.354824191798</v>
      </c>
    </row>
    <row r="161" spans="1:22" ht="14.25" hidden="1" customHeight="1" x14ac:dyDescent="0.35">
      <c r="A161" s="105" t="s">
        <v>222</v>
      </c>
      <c r="B161" s="105"/>
      <c r="C161" s="105" t="s">
        <v>2006</v>
      </c>
      <c r="D161" s="105" t="s">
        <v>221</v>
      </c>
      <c r="E161" s="106" t="s">
        <v>50</v>
      </c>
      <c r="F161" s="106">
        <v>9.5</v>
      </c>
      <c r="G161" s="106">
        <v>0</v>
      </c>
      <c r="H161" s="106">
        <v>0</v>
      </c>
      <c r="I161" s="106">
        <v>1</v>
      </c>
      <c r="J161" s="96">
        <f>SUMIFS(COMPOSICIÓN!J$2:J$1892,COMPOSICIÓN!A$2:A$1892,A161,COMPOSICIÓN!B$2:B$1892,"MAT")</f>
        <v>10667.041884105001</v>
      </c>
      <c r="K161" s="96">
        <f>SUMIFS(COMPOSICIÓN!J$2:J$1892,COMPOSICIÓN!A$2:A$1892,A161,COMPOSICIÓN!B$2:B$1892,"MO")*I161</f>
        <v>166309.27624912901</v>
      </c>
      <c r="L161" s="96">
        <f>SUMIFS(COMPOSICIÓN!J$2:J$1892,COMPOSICIÓN!A$2:A$1892,A161,COMPOSICIÓN!B$2:B$1892,"EQ")</f>
        <v>2723.1401909404044</v>
      </c>
      <c r="M161" s="103">
        <f t="shared" si="11"/>
        <v>10667.041884105001</v>
      </c>
      <c r="N161" s="103">
        <f t="shared" si="12"/>
        <v>17506.239605171475</v>
      </c>
      <c r="O161" s="103">
        <f t="shared" si="14"/>
        <v>286.64633588846362</v>
      </c>
      <c r="P161" s="103">
        <f t="shared" si="13"/>
        <v>28459.927825164941</v>
      </c>
      <c r="Q161" s="95">
        <f>COUNTIF(COMPOSICIÓN!$A:$A,A161)</f>
        <v>12</v>
      </c>
      <c r="R161" s="32"/>
      <c r="S161" s="32" t="s">
        <v>223</v>
      </c>
      <c r="T161" s="32">
        <v>10667.044969531</v>
      </c>
      <c r="U161" s="32">
        <v>17506.2396051715</v>
      </c>
      <c r="V161" s="32">
        <v>286.64633661581797</v>
      </c>
    </row>
    <row r="162" spans="1:22" ht="14.25" hidden="1" customHeight="1" x14ac:dyDescent="0.35">
      <c r="A162" s="12" t="s">
        <v>225</v>
      </c>
      <c r="B162" s="12"/>
      <c r="C162" s="105" t="s">
        <v>2006</v>
      </c>
      <c r="D162" s="12" t="s">
        <v>224</v>
      </c>
      <c r="E162" s="14" t="s">
        <v>50</v>
      </c>
      <c r="F162" s="14">
        <v>9.5</v>
      </c>
      <c r="G162" s="14">
        <v>0</v>
      </c>
      <c r="H162" s="106">
        <v>0</v>
      </c>
      <c r="I162" s="106">
        <v>1</v>
      </c>
      <c r="J162" s="96">
        <f>SUMIFS(COMPOSICIÓN!J$2:J$1892,COMPOSICIÓN!A$2:A$1892,A162,COMPOSICIÓN!B$2:B$1892,"MAT")</f>
        <v>14748.696655519001</v>
      </c>
      <c r="K162" s="96">
        <f>SUMIFS(COMPOSICIÓN!J$2:J$1892,COMPOSICIÓN!A$2:A$1892,A162,COMPOSICIÓN!B$2:B$1892,"MO")*I162</f>
        <v>166309.27624912901</v>
      </c>
      <c r="L162" s="96">
        <f>SUMIFS(COMPOSICIÓN!J$2:J$1892,COMPOSICIÓN!A$2:A$1892,A162,COMPOSICIÓN!B$2:B$1892,"EQ")</f>
        <v>2723.1401909404044</v>
      </c>
      <c r="M162" s="101">
        <f t="shared" si="11"/>
        <v>14748.696655519001</v>
      </c>
      <c r="N162" s="101">
        <f t="shared" si="12"/>
        <v>17506.239605171475</v>
      </c>
      <c r="O162" s="101">
        <f t="shared" si="14"/>
        <v>286.64633588846362</v>
      </c>
      <c r="P162" s="101">
        <f t="shared" si="13"/>
        <v>32541.582596578941</v>
      </c>
      <c r="Q162" s="102">
        <f>COUNTIF(COMPOSICIÓN!$A:$A,A162)</f>
        <v>12</v>
      </c>
      <c r="R162" s="17"/>
      <c r="S162" s="17" t="s">
        <v>226</v>
      </c>
      <c r="T162" s="17">
        <v>14748.700231069401</v>
      </c>
      <c r="U162" s="17">
        <v>17506.2396051715</v>
      </c>
      <c r="V162" s="17">
        <v>286.64633661581797</v>
      </c>
    </row>
    <row r="163" spans="1:22" ht="14.25" hidden="1" customHeight="1" x14ac:dyDescent="0.35">
      <c r="A163" s="105" t="s">
        <v>228</v>
      </c>
      <c r="B163" s="105"/>
      <c r="C163" s="105" t="s">
        <v>2006</v>
      </c>
      <c r="D163" s="105" t="s">
        <v>227</v>
      </c>
      <c r="E163" s="106" t="s">
        <v>36</v>
      </c>
      <c r="F163" s="106">
        <v>9.5</v>
      </c>
      <c r="G163" s="106">
        <v>0</v>
      </c>
      <c r="H163" s="106">
        <v>0</v>
      </c>
      <c r="I163" s="106">
        <v>1</v>
      </c>
      <c r="J163" s="96">
        <f>SUMIFS(COMPOSICIÓN!J$2:J$1892,COMPOSICIÓN!A$2:A$1892,A163,COMPOSICIÓN!B$2:B$1892,"MAT")</f>
        <v>11654.216383905001</v>
      </c>
      <c r="K163" s="96">
        <f>SUMIFS(COMPOSICIÓN!J$2:J$1892,COMPOSICIÓN!A$2:A$1892,A163,COMPOSICIÓN!B$2:B$1892,"MO")*I163</f>
        <v>260486.41413266791</v>
      </c>
      <c r="L163" s="96">
        <f>SUMIFS(COMPOSICIÓN!J$2:J$1892,COMPOSICIÓN!A$2:A$1892,A163,COMPOSICIÓN!B$2:B$1892,"EQ")</f>
        <v>2723.1401909404044</v>
      </c>
      <c r="M163" s="103">
        <f t="shared" si="11"/>
        <v>11654.216383905001</v>
      </c>
      <c r="N163" s="103">
        <f t="shared" si="12"/>
        <v>27419.622540280834</v>
      </c>
      <c r="O163" s="103">
        <f t="shared" si="14"/>
        <v>286.64633588846362</v>
      </c>
      <c r="P163" s="103">
        <f t="shared" si="13"/>
        <v>39360.485260074303</v>
      </c>
      <c r="Q163" s="95">
        <f>COUNTIF(COMPOSICIÓN!$A:$A,A163)</f>
        <v>15</v>
      </c>
      <c r="R163" s="32" t="s">
        <v>1964</v>
      </c>
      <c r="S163" s="32" t="s">
        <v>223</v>
      </c>
      <c r="T163" s="32">
        <v>11654.219470522699</v>
      </c>
      <c r="U163" s="32">
        <v>23784.715464074099</v>
      </c>
      <c r="V163" s="32">
        <v>468.18901647250198</v>
      </c>
    </row>
    <row r="164" spans="1:22" ht="14.25" hidden="1" customHeight="1" x14ac:dyDescent="0.35">
      <c r="A164" s="12" t="s">
        <v>231</v>
      </c>
      <c r="B164" s="12"/>
      <c r="C164" s="105" t="s">
        <v>2006</v>
      </c>
      <c r="D164" s="12" t="s">
        <v>230</v>
      </c>
      <c r="E164" s="14" t="s">
        <v>36</v>
      </c>
      <c r="F164" s="14">
        <v>15</v>
      </c>
      <c r="G164" s="14">
        <v>0</v>
      </c>
      <c r="H164" s="14">
        <v>0</v>
      </c>
      <c r="I164" s="14">
        <v>1</v>
      </c>
      <c r="J164" s="100">
        <f>SUMIFS(COMPOSICIÓN!J$2:J$1892,COMPOSICIÓN!A$2:A$1892,A164,COMPOSICIÓN!B$2:B$1892,"MAT")</f>
        <v>987.17449980000015</v>
      </c>
      <c r="K164" s="100">
        <f>SUMIFS(COMPOSICIÓN!J$2:J$1892,COMPOSICIÓN!A$2:A$1892,A164,COMPOSICIÓN!B$2:B$1892,"MO")*I164</f>
        <v>94177.137883538904</v>
      </c>
      <c r="L164" s="100">
        <f>SUMIFS(COMPOSICIÓN!J$2:J$1892,COMPOSICIÓN!A$2:A$1892,A164,COMPOSICIÓN!B$2:B$1892,"EQ")</f>
        <v>2723.1401909404044</v>
      </c>
      <c r="M164" s="101">
        <f t="shared" si="11"/>
        <v>987.17449980000015</v>
      </c>
      <c r="N164" s="101">
        <f t="shared" si="12"/>
        <v>6278.4758589025932</v>
      </c>
      <c r="O164" s="101">
        <f t="shared" si="14"/>
        <v>181.54267939602695</v>
      </c>
      <c r="P164" s="101">
        <f t="shared" si="13"/>
        <v>7447.1930380986205</v>
      </c>
      <c r="Q164" s="102">
        <f>COUNTIF(COMPOSICIÓN!$A:$A,A164)</f>
        <v>5</v>
      </c>
      <c r="R164" s="17"/>
      <c r="S164" s="17" t="s">
        <v>232</v>
      </c>
      <c r="T164" s="17">
        <v>987.17450099173595</v>
      </c>
      <c r="U164" s="17">
        <v>6278.4758589025896</v>
      </c>
      <c r="V164" s="17">
        <v>181.542679856685</v>
      </c>
    </row>
    <row r="165" spans="1:22" ht="14.25" hidden="1" customHeight="1" x14ac:dyDescent="0.35">
      <c r="A165" s="105" t="s">
        <v>234</v>
      </c>
      <c r="B165" s="105"/>
      <c r="C165" s="105" t="s">
        <v>2006</v>
      </c>
      <c r="D165" s="105" t="s">
        <v>233</v>
      </c>
      <c r="E165" s="106" t="s">
        <v>50</v>
      </c>
      <c r="F165" s="106">
        <v>1</v>
      </c>
      <c r="G165" s="106">
        <v>0</v>
      </c>
      <c r="H165" s="106">
        <v>0</v>
      </c>
      <c r="I165" s="106">
        <v>1</v>
      </c>
      <c r="J165" s="96">
        <f>SUMIFS(COMPOSICIÓN!J$2:J$1892,COMPOSICIÓN!A$2:A$1892,A165,COMPOSICIÓN!B$2:B$1892,"MAT")</f>
        <v>6515.4028598400009</v>
      </c>
      <c r="K165" s="96">
        <f>SUMIFS(COMPOSICIÓN!J$2:J$1892,COMPOSICIÓN!A$2:A$1892,A165,COMPOSICIÓN!B$2:B$1892,"MO")*I165</f>
        <v>12252.5485737202</v>
      </c>
      <c r="L165" s="96">
        <f>SUMIFS(COMPOSICIÓN!J$2:J$1892,COMPOSICIÓN!A$2:A$1892,A165,COMPOSICIÓN!B$2:B$1892,"EQ")</f>
        <v>281.51932381538398</v>
      </c>
      <c r="M165" s="103">
        <f t="shared" si="11"/>
        <v>6515.4028598400009</v>
      </c>
      <c r="N165" s="103">
        <f t="shared" si="12"/>
        <v>12252.5485737202</v>
      </c>
      <c r="O165" s="103">
        <f t="shared" si="14"/>
        <v>281.51932381538398</v>
      </c>
      <c r="P165" s="103">
        <f t="shared" si="13"/>
        <v>19049.470757375584</v>
      </c>
      <c r="Q165" s="95">
        <f>COUNTIF(COMPOSICIÓN!$A:$A,A165)</f>
        <v>4</v>
      </c>
      <c r="R165" s="32"/>
      <c r="S165" s="32" t="s">
        <v>32</v>
      </c>
      <c r="T165" s="32">
        <v>6515.4063473053902</v>
      </c>
      <c r="U165" s="32">
        <v>12252.5485737202</v>
      </c>
      <c r="V165" s="32">
        <v>281.51932381538398</v>
      </c>
    </row>
    <row r="166" spans="1:22" ht="14.25" hidden="1" customHeight="1" x14ac:dyDescent="0.35">
      <c r="A166" s="12" t="s">
        <v>236</v>
      </c>
      <c r="B166" s="12"/>
      <c r="C166" s="105" t="s">
        <v>2006</v>
      </c>
      <c r="D166" s="12" t="s">
        <v>235</v>
      </c>
      <c r="E166" s="14" t="s">
        <v>36</v>
      </c>
      <c r="F166" s="14">
        <v>1</v>
      </c>
      <c r="G166" s="14">
        <v>0</v>
      </c>
      <c r="H166" s="14">
        <v>0</v>
      </c>
      <c r="I166" s="14">
        <v>1</v>
      </c>
      <c r="J166" s="100">
        <f>SUMIFS(COMPOSICIÓN!J$2:J$1892,COMPOSICIÓN!A$2:A$1892,A166,COMPOSICIÓN!B$2:B$1892,"MAT")</f>
        <v>0</v>
      </c>
      <c r="K166" s="100">
        <f>SUMIFS(COMPOSICIÓN!J$2:J$1892,COMPOSICIÓN!A$2:A$1892,A166,COMPOSICIÓN!B$2:B$1892,"MO")*I166</f>
        <v>13144.582643730701</v>
      </c>
      <c r="L166" s="100">
        <f>SUMIFS(COMPOSICIÓN!J$2:J$1892,COMPOSICIÓN!A$2:A$1892,A166,COMPOSICIÓN!B$2:B$1892,"EQ")</f>
        <v>197.16873965596</v>
      </c>
      <c r="M166" s="101">
        <f t="shared" si="11"/>
        <v>0</v>
      </c>
      <c r="N166" s="101">
        <f t="shared" si="12"/>
        <v>13144.582643730701</v>
      </c>
      <c r="O166" s="101">
        <f t="shared" si="14"/>
        <v>197.16873965596</v>
      </c>
      <c r="P166" s="101">
        <f t="shared" si="13"/>
        <v>13341.75138338666</v>
      </c>
      <c r="Q166" s="102">
        <f>COUNTIF(COMPOSICIÓN!$A:$A,A166)</f>
        <v>2</v>
      </c>
      <c r="R166" s="17"/>
      <c r="S166" s="17" t="s">
        <v>28</v>
      </c>
      <c r="T166" s="17">
        <v>0</v>
      </c>
      <c r="U166" s="17">
        <v>13144.582643730701</v>
      </c>
      <c r="V166" s="17">
        <v>197.16873965596</v>
      </c>
    </row>
    <row r="167" spans="1:22" ht="14.25" hidden="1" customHeight="1" x14ac:dyDescent="0.35">
      <c r="A167" s="105" t="s">
        <v>237</v>
      </c>
      <c r="B167" s="105"/>
      <c r="C167" s="105" t="s">
        <v>2006</v>
      </c>
      <c r="D167" s="105" t="s">
        <v>150</v>
      </c>
      <c r="E167" s="106" t="s">
        <v>36</v>
      </c>
      <c r="F167" s="106">
        <v>1</v>
      </c>
      <c r="G167" s="106">
        <v>0</v>
      </c>
      <c r="H167" s="106">
        <v>0</v>
      </c>
      <c r="I167" s="106">
        <v>1</v>
      </c>
      <c r="J167" s="96">
        <f>SUMIFS(COMPOSICIÓN!J$2:J$1892,COMPOSICIÓN!A$2:A$1892,A167,COMPOSICIÓN!B$2:B$1892,"MAT")</f>
        <v>0</v>
      </c>
      <c r="K167" s="96">
        <f>SUMIFS(COMPOSICIÓN!J$2:J$1892,COMPOSICIÓN!A$2:A$1892,A167,COMPOSICIÓN!B$2:B$1892,"MO")*I167</f>
        <v>13144.582643730701</v>
      </c>
      <c r="L167" s="96">
        <f>SUMIFS(COMPOSICIÓN!J$2:J$1892,COMPOSICIÓN!A$2:A$1892,A167,COMPOSICIÓN!B$2:B$1892,"EQ")</f>
        <v>0</v>
      </c>
      <c r="M167" s="103">
        <f t="shared" si="11"/>
        <v>0</v>
      </c>
      <c r="N167" s="103">
        <f t="shared" si="12"/>
        <v>13144.582643730701</v>
      </c>
      <c r="O167" s="103">
        <f t="shared" si="14"/>
        <v>0</v>
      </c>
      <c r="P167" s="103">
        <f t="shared" si="13"/>
        <v>13144.582643730701</v>
      </c>
      <c r="Q167" s="95">
        <f>COUNTIF(COMPOSICIÓN!$A:$A,A167)</f>
        <v>1</v>
      </c>
      <c r="R167" s="32"/>
      <c r="S167" s="32" t="s">
        <v>28</v>
      </c>
      <c r="T167" s="32">
        <v>0</v>
      </c>
      <c r="U167" s="32">
        <v>13144.582643730701</v>
      </c>
      <c r="V167" s="32">
        <v>0</v>
      </c>
    </row>
    <row r="168" spans="1:22" ht="14.25" hidden="1" customHeight="1" x14ac:dyDescent="0.35">
      <c r="A168" s="12" t="s">
        <v>239</v>
      </c>
      <c r="B168" s="12"/>
      <c r="C168" s="105" t="s">
        <v>2006</v>
      </c>
      <c r="D168" s="12" t="s">
        <v>238</v>
      </c>
      <c r="E168" s="14" t="s">
        <v>50</v>
      </c>
      <c r="F168" s="14">
        <v>1</v>
      </c>
      <c r="G168" s="14">
        <v>0</v>
      </c>
      <c r="H168" s="106">
        <v>0</v>
      </c>
      <c r="I168" s="106">
        <v>1</v>
      </c>
      <c r="J168" s="96">
        <f>SUMIFS(COMPOSICIÓN!J$2:J$1892,COMPOSICIÓN!A$2:A$1892,A168,COMPOSICIÓN!B$2:B$1892,"MAT")</f>
        <v>1351.3513513513999</v>
      </c>
      <c r="K168" s="96">
        <f>SUMIFS(COMPOSICIÓN!J$2:J$1892,COMPOSICIÓN!A$2:A$1892,A168,COMPOSICIÓN!B$2:B$1892,"MO")*I168</f>
        <v>4362.6344682748586</v>
      </c>
      <c r="L168" s="96">
        <f>SUMIFS(COMPOSICIÓN!J$2:J$1892,COMPOSICIÓN!A$2:A$1892,A168,COMPOSICIÓN!B$2:B$1892,"EQ")</f>
        <v>85.709852733975595</v>
      </c>
      <c r="M168" s="101">
        <f t="shared" si="11"/>
        <v>1351.3513513513999</v>
      </c>
      <c r="N168" s="101">
        <f t="shared" si="12"/>
        <v>4362.6344682748586</v>
      </c>
      <c r="O168" s="101">
        <f t="shared" si="14"/>
        <v>85.709852733975595</v>
      </c>
      <c r="P168" s="101">
        <f t="shared" si="13"/>
        <v>5799.6956723602343</v>
      </c>
      <c r="Q168" s="102">
        <f>COUNTIF(COMPOSICIÓN!$A:$A,A168)</f>
        <v>4</v>
      </c>
      <c r="R168" s="17"/>
      <c r="S168" s="17" t="s">
        <v>32</v>
      </c>
      <c r="T168" s="17">
        <v>1351.3513513513501</v>
      </c>
      <c r="U168" s="17">
        <v>4362.6388309136901</v>
      </c>
      <c r="V168" s="17">
        <v>85.709852733975595</v>
      </c>
    </row>
    <row r="169" spans="1:22" ht="14.25" hidden="1" customHeight="1" x14ac:dyDescent="0.35">
      <c r="A169" s="105" t="s">
        <v>241</v>
      </c>
      <c r="B169" s="105"/>
      <c r="C169" s="105" t="s">
        <v>2028</v>
      </c>
      <c r="D169" s="105" t="s">
        <v>240</v>
      </c>
      <c r="E169" s="106" t="s">
        <v>50</v>
      </c>
      <c r="F169" s="106">
        <v>20</v>
      </c>
      <c r="G169" s="106">
        <v>0</v>
      </c>
      <c r="H169" s="106">
        <v>0</v>
      </c>
      <c r="I169" s="106">
        <v>1</v>
      </c>
      <c r="J169" s="96">
        <f>SUMIFS(COMPOSICIÓN!J$2:J$1892,COMPOSICIÓN!A$2:A$1892,A169,COMPOSICIÓN!B$2:B$1892,"MAT")</f>
        <v>2880.1572817933875</v>
      </c>
      <c r="K169" s="96">
        <f>SUMIFS(COMPOSICIÓN!J$2:J$1892,COMPOSICIÓN!A$2:A$1892,A169,COMPOSICIÓN!B$2:B$1892,"MO")*I169</f>
        <v>94177.137883538904</v>
      </c>
      <c r="L169" s="96">
        <f>SUMIFS(COMPOSICIÓN!J$2:J$1892,COMPOSICIÓN!A$2:A$1892,A169,COMPOSICIÓN!B$2:B$1892,"EQ")</f>
        <v>2091.0499580304627</v>
      </c>
      <c r="M169" s="103">
        <f t="shared" si="11"/>
        <v>2880.1572817933875</v>
      </c>
      <c r="N169" s="103">
        <f t="shared" si="12"/>
        <v>4708.8568941769454</v>
      </c>
      <c r="O169" s="103">
        <f t="shared" si="14"/>
        <v>104.55249790152314</v>
      </c>
      <c r="P169" s="103">
        <f t="shared" si="13"/>
        <v>7693.5666738718564</v>
      </c>
      <c r="Q169" s="95">
        <f>COUNTIF(COMPOSICIÓN!$A:$A,A169)</f>
        <v>13</v>
      </c>
      <c r="R169" s="32"/>
      <c r="S169" s="32" t="s">
        <v>242</v>
      </c>
      <c r="T169" s="32">
        <v>2880.1572752851198</v>
      </c>
      <c r="U169" s="32">
        <v>4708.8568941769399</v>
      </c>
      <c r="V169" s="32">
        <v>104.552497901523</v>
      </c>
    </row>
    <row r="170" spans="1:22" ht="14.25" hidden="1" customHeight="1" x14ac:dyDescent="0.35">
      <c r="A170" s="12" t="s">
        <v>244</v>
      </c>
      <c r="B170" s="12"/>
      <c r="C170" s="12" t="s">
        <v>2028</v>
      </c>
      <c r="D170" s="12" t="s">
        <v>243</v>
      </c>
      <c r="E170" s="14" t="s">
        <v>50</v>
      </c>
      <c r="F170" s="14">
        <v>25</v>
      </c>
      <c r="G170" s="14">
        <v>0</v>
      </c>
      <c r="H170" s="106">
        <v>0</v>
      </c>
      <c r="I170" s="106">
        <v>1</v>
      </c>
      <c r="J170" s="96">
        <f>SUMIFS(COMPOSICIÓN!J$2:J$1892,COMPOSICIÓN!A$2:A$1892,A170,COMPOSICIÓN!B$2:B$1892,"MAT")</f>
        <v>2664.5680255950401</v>
      </c>
      <c r="K170" s="96">
        <f>SUMIFS(COMPOSICIÓN!J$2:J$1892,COMPOSICIÓN!A$2:A$1892,A170,COMPOSICIÓN!B$2:B$1892,"MO")*I170</f>
        <v>94177.137883538904</v>
      </c>
      <c r="L170" s="96">
        <f>SUMIFS(COMPOSICIÓN!J$2:J$1892,COMPOSICIÓN!A$2:A$1892,A170,COMPOSICIÓN!B$2:B$1892,"EQ")</f>
        <v>2091.0499580304627</v>
      </c>
      <c r="M170" s="101">
        <f t="shared" si="11"/>
        <v>2664.5680255950401</v>
      </c>
      <c r="N170" s="101">
        <f t="shared" si="12"/>
        <v>3767.0855153415559</v>
      </c>
      <c r="O170" s="101">
        <f t="shared" si="14"/>
        <v>83.641998321218509</v>
      </c>
      <c r="P170" s="101">
        <f t="shared" si="13"/>
        <v>6515.2955392578142</v>
      </c>
      <c r="Q170" s="102">
        <f>COUNTIF(COMPOSICIÓN!$A:$A,A170)</f>
        <v>11</v>
      </c>
      <c r="R170" s="17"/>
      <c r="S170" s="17" t="s">
        <v>245</v>
      </c>
      <c r="T170" s="17">
        <v>2664.5680190867802</v>
      </c>
      <c r="U170" s="17">
        <v>3767.08551534156</v>
      </c>
      <c r="V170" s="17">
        <v>83.641998321218395</v>
      </c>
    </row>
    <row r="171" spans="1:22" ht="14.25" hidden="1" customHeight="1" x14ac:dyDescent="0.35">
      <c r="A171" s="12" t="s">
        <v>247</v>
      </c>
      <c r="B171" s="12"/>
      <c r="C171" s="12" t="s">
        <v>2028</v>
      </c>
      <c r="D171" s="12" t="s">
        <v>246</v>
      </c>
      <c r="E171" s="14" t="s">
        <v>50</v>
      </c>
      <c r="F171" s="14">
        <v>17.5</v>
      </c>
      <c r="G171" s="14">
        <v>0</v>
      </c>
      <c r="H171" s="106">
        <v>0</v>
      </c>
      <c r="I171" s="106">
        <v>1</v>
      </c>
      <c r="J171" s="96">
        <f>SUMIFS(COMPOSICIÓN!J$2:J$1892,COMPOSICIÓN!A$2:A$1892,A171,COMPOSICIÓN!B$2:B$1892,"MAT")</f>
        <v>4251.3981947210741</v>
      </c>
      <c r="K171" s="96">
        <f>SUMIFS(COMPOSICIÓN!J$2:J$1892,COMPOSICIÓN!A$2:A$1892,A171,COMPOSICIÓN!B$2:B$1892,"MO")*I171</f>
        <v>166309.27624912901</v>
      </c>
      <c r="L171" s="96">
        <f>SUMIFS(COMPOSICIÓN!J$2:J$1892,COMPOSICIÓN!A$2:A$1892,A171,COMPOSICIÓN!B$2:B$1892,"EQ")</f>
        <v>4585.257100843327</v>
      </c>
      <c r="M171" s="101">
        <f t="shared" si="11"/>
        <v>4251.3981947210741</v>
      </c>
      <c r="N171" s="101">
        <f t="shared" si="12"/>
        <v>9503.3872142359432</v>
      </c>
      <c r="O171" s="101">
        <f t="shared" si="14"/>
        <v>262.01469147676153</v>
      </c>
      <c r="P171" s="101">
        <f t="shared" si="13"/>
        <v>14016.800100433778</v>
      </c>
      <c r="Q171" s="102">
        <f>COUNTIF(COMPOSICIÓN!$A:$A,A171)</f>
        <v>15</v>
      </c>
      <c r="R171" s="17"/>
      <c r="S171" s="17" t="s">
        <v>248</v>
      </c>
      <c r="T171" s="17">
        <v>4251.3981882128101</v>
      </c>
      <c r="U171" s="17">
        <v>9503.3872142359396</v>
      </c>
      <c r="V171" s="17">
        <v>262.01469147676102</v>
      </c>
    </row>
    <row r="172" spans="1:22" ht="14.25" hidden="1" customHeight="1" x14ac:dyDescent="0.35">
      <c r="A172" s="105" t="s">
        <v>250</v>
      </c>
      <c r="B172" s="105"/>
      <c r="C172" s="105" t="s">
        <v>2028</v>
      </c>
      <c r="D172" s="105" t="s">
        <v>249</v>
      </c>
      <c r="E172" s="106" t="s">
        <v>50</v>
      </c>
      <c r="F172" s="106">
        <v>17.5</v>
      </c>
      <c r="G172" s="106">
        <v>0</v>
      </c>
      <c r="H172" s="106">
        <v>0</v>
      </c>
      <c r="I172" s="106">
        <v>1</v>
      </c>
      <c r="J172" s="96">
        <f>SUMIFS(COMPOSICIÓN!J$2:J$1892,COMPOSICIÓN!A$2:A$1892,A172,COMPOSICIÓN!B$2:B$1892,"MAT")</f>
        <v>4251.3981947210741</v>
      </c>
      <c r="K172" s="96">
        <f>SUMIFS(COMPOSICIÓN!J$2:J$1892,COMPOSICIÓN!A$2:A$1892,A172,COMPOSICIÓN!B$2:B$1892,"MO")*I172</f>
        <v>166309.27624912901</v>
      </c>
      <c r="L172" s="96">
        <f>SUMIFS(COMPOSICIÓN!J$2:J$1892,COMPOSICIÓN!A$2:A$1892,A172,COMPOSICIÓN!B$2:B$1892,"EQ")</f>
        <v>4585.257100843327</v>
      </c>
      <c r="M172" s="103">
        <f t="shared" si="11"/>
        <v>4251.3981947210741</v>
      </c>
      <c r="N172" s="103">
        <f t="shared" si="12"/>
        <v>9503.3872142359432</v>
      </c>
      <c r="O172" s="103">
        <f t="shared" si="14"/>
        <v>262.01469147676153</v>
      </c>
      <c r="P172" s="103">
        <f t="shared" si="13"/>
        <v>14016.800100433778</v>
      </c>
      <c r="Q172" s="95">
        <f>COUNTIF(COMPOSICIÓN!$A:$A,A172)</f>
        <v>15</v>
      </c>
      <c r="R172" s="32"/>
      <c r="S172" s="32" t="s">
        <v>248</v>
      </c>
      <c r="T172" s="32">
        <v>4251.3981882128101</v>
      </c>
      <c r="U172" s="32">
        <v>9503.3872142359396</v>
      </c>
      <c r="V172" s="32">
        <v>262.01469147676102</v>
      </c>
    </row>
    <row r="173" spans="1:22" ht="14.25" hidden="1" customHeight="1" x14ac:dyDescent="0.35">
      <c r="A173" s="12" t="s">
        <v>252</v>
      </c>
      <c r="B173" s="12"/>
      <c r="C173" s="12" t="s">
        <v>2028</v>
      </c>
      <c r="D173" s="12" t="s">
        <v>251</v>
      </c>
      <c r="E173" s="14" t="s">
        <v>50</v>
      </c>
      <c r="F173" s="14">
        <v>20</v>
      </c>
      <c r="G173" s="14">
        <v>0</v>
      </c>
      <c r="H173" s="106">
        <v>0</v>
      </c>
      <c r="I173" s="106">
        <v>1</v>
      </c>
      <c r="J173" s="96">
        <f>SUMIFS(COMPOSICIÓN!J$2:J$1892,COMPOSICIÓN!A$2:A$1892,A173,COMPOSICIÓN!B$2:B$1892,"MAT")</f>
        <v>2880.1572817933875</v>
      </c>
      <c r="K173" s="96">
        <f>SUMIFS(COMPOSICIÓN!J$2:J$1892,COMPOSICIÓN!A$2:A$1892,A173,COMPOSICIÓN!B$2:B$1892,"MO")*I173</f>
        <v>94177.137883538904</v>
      </c>
      <c r="L173" s="96">
        <f>SUMIFS(COMPOSICIÓN!J$2:J$1892,COMPOSICIÓN!A$2:A$1892,A173,COMPOSICIÓN!B$2:B$1892,"EQ")</f>
        <v>2091.0499580304627</v>
      </c>
      <c r="M173" s="101">
        <f t="shared" si="11"/>
        <v>2880.1572817933875</v>
      </c>
      <c r="N173" s="101">
        <f t="shared" si="12"/>
        <v>4708.8568941769454</v>
      </c>
      <c r="O173" s="101">
        <f t="shared" si="14"/>
        <v>104.55249790152314</v>
      </c>
      <c r="P173" s="101">
        <f t="shared" si="13"/>
        <v>7693.5666738718564</v>
      </c>
      <c r="Q173" s="102">
        <f>COUNTIF(COMPOSICIÓN!$A:$A,A173)</f>
        <v>13</v>
      </c>
      <c r="R173" s="17"/>
      <c r="S173" s="17" t="s">
        <v>242</v>
      </c>
      <c r="T173" s="17">
        <v>2880.1572752851198</v>
      </c>
      <c r="U173" s="17">
        <v>4708.8568941769399</v>
      </c>
      <c r="V173" s="17">
        <v>104.552497901523</v>
      </c>
    </row>
    <row r="174" spans="1:22" ht="14.25" hidden="1" customHeight="1" x14ac:dyDescent="0.35">
      <c r="A174" s="105" t="s">
        <v>254</v>
      </c>
      <c r="B174" s="105"/>
      <c r="C174" s="105" t="s">
        <v>2028</v>
      </c>
      <c r="D174" s="105" t="s">
        <v>253</v>
      </c>
      <c r="E174" s="106" t="s">
        <v>50</v>
      </c>
      <c r="F174" s="106">
        <v>25</v>
      </c>
      <c r="G174" s="106">
        <v>0</v>
      </c>
      <c r="H174" s="106">
        <v>0</v>
      </c>
      <c r="I174" s="106">
        <v>1</v>
      </c>
      <c r="J174" s="96">
        <f>SUMIFS(COMPOSICIÓN!J$2:J$1892,COMPOSICIÓN!A$2:A$1892,A174,COMPOSICIÓN!B$2:B$1892,"MAT")</f>
        <v>2664.5680255950401</v>
      </c>
      <c r="K174" s="96">
        <f>SUMIFS(COMPOSICIÓN!J$2:J$1892,COMPOSICIÓN!A$2:A$1892,A174,COMPOSICIÓN!B$2:B$1892,"MO")*I174</f>
        <v>94177.137883538904</v>
      </c>
      <c r="L174" s="96">
        <f>SUMIFS(COMPOSICIÓN!J$2:J$1892,COMPOSICIÓN!A$2:A$1892,A174,COMPOSICIÓN!B$2:B$1892,"EQ")</f>
        <v>2091.0499580304627</v>
      </c>
      <c r="M174" s="103">
        <f t="shared" si="11"/>
        <v>2664.5680255950401</v>
      </c>
      <c r="N174" s="103">
        <f t="shared" si="12"/>
        <v>3767.0855153415559</v>
      </c>
      <c r="O174" s="103">
        <f t="shared" si="14"/>
        <v>83.641998321218509</v>
      </c>
      <c r="P174" s="103">
        <f t="shared" si="13"/>
        <v>6515.2955392578142</v>
      </c>
      <c r="Q174" s="95">
        <f>COUNTIF(COMPOSICIÓN!$A:$A,A174)</f>
        <v>11</v>
      </c>
      <c r="R174" s="32"/>
      <c r="S174" s="32" t="s">
        <v>245</v>
      </c>
      <c r="T174" s="32">
        <v>2664.5680190867802</v>
      </c>
      <c r="U174" s="32">
        <v>3767.08551534156</v>
      </c>
      <c r="V174" s="32">
        <v>83.641998321218395</v>
      </c>
    </row>
    <row r="175" spans="1:22" ht="14.25" hidden="1" customHeight="1" x14ac:dyDescent="0.35">
      <c r="A175" s="12" t="s">
        <v>256</v>
      </c>
      <c r="B175" s="12"/>
      <c r="C175" s="12" t="s">
        <v>2028</v>
      </c>
      <c r="D175" s="12" t="s">
        <v>255</v>
      </c>
      <c r="E175" s="14" t="s">
        <v>50</v>
      </c>
      <c r="F175" s="14">
        <v>20</v>
      </c>
      <c r="G175" s="14">
        <v>0</v>
      </c>
      <c r="H175" s="14">
        <v>0</v>
      </c>
      <c r="I175" s="14">
        <v>1</v>
      </c>
      <c r="J175" s="100">
        <f>SUMIFS(COMPOSICIÓN!J$2:J$1892,COMPOSICIÓN!A$2:A$1892,A175,COMPOSICIÓN!B$2:B$1892,"MAT")</f>
        <v>6929.1780147727241</v>
      </c>
      <c r="K175" s="100">
        <f>SUMIFS(COMPOSICIÓN!J$2:J$1892,COMPOSICIÓN!A$2:A$1892,A175,COMPOSICIÓN!B$2:B$1892,"MO")*I175</f>
        <v>247018.09462103224</v>
      </c>
      <c r="L175" s="100">
        <f>SUMIFS(COMPOSICIÓN!J$2:J$1892,COMPOSICIÓN!A$2:A$1892,A175,COMPOSICIÓN!B$2:B$1892,"EQ")</f>
        <v>3949.6110686761381</v>
      </c>
      <c r="M175" s="101">
        <f t="shared" si="11"/>
        <v>6929.1780147727241</v>
      </c>
      <c r="N175" s="101">
        <f t="shared" si="12"/>
        <v>12350.904731051613</v>
      </c>
      <c r="O175" s="101">
        <f t="shared" si="14"/>
        <v>197.4805534338069</v>
      </c>
      <c r="P175" s="101">
        <f t="shared" si="13"/>
        <v>19477.563299258145</v>
      </c>
      <c r="Q175" s="102">
        <f>COUNTIF(COMPOSICIÓN!$A:$A,A175)</f>
        <v>13</v>
      </c>
      <c r="R175" s="17" t="s">
        <v>1965</v>
      </c>
      <c r="S175" s="17" t="s">
        <v>257</v>
      </c>
      <c r="T175" s="17">
        <v>6929.17800826447</v>
      </c>
      <c r="U175" s="17">
        <v>12350.9047310516</v>
      </c>
      <c r="V175" s="17">
        <v>197.48055343380699</v>
      </c>
    </row>
    <row r="176" spans="1:22" ht="14.25" hidden="1" customHeight="1" x14ac:dyDescent="0.35">
      <c r="A176" s="105" t="s">
        <v>259</v>
      </c>
      <c r="B176" s="105"/>
      <c r="C176" s="105" t="s">
        <v>2028</v>
      </c>
      <c r="D176" s="105" t="s">
        <v>258</v>
      </c>
      <c r="E176" s="106" t="s">
        <v>50</v>
      </c>
      <c r="F176" s="106">
        <v>20</v>
      </c>
      <c r="G176" s="106">
        <v>0</v>
      </c>
      <c r="H176" s="106">
        <v>0</v>
      </c>
      <c r="I176" s="106">
        <v>1</v>
      </c>
      <c r="J176" s="96">
        <f>SUMIFS(COMPOSICIÓN!J$2:J$1892,COMPOSICIÓN!A$2:A$1892,A176,COMPOSICIÓN!B$2:B$1892,"MAT")</f>
        <v>6929.1780147727241</v>
      </c>
      <c r="K176" s="96">
        <f>SUMIFS(COMPOSICIÓN!J$2:J$1892,COMPOSICIÓN!A$2:A$1892,A176,COMPOSICIÓN!B$2:B$1892,"MO")*I176</f>
        <v>345825.33246944525</v>
      </c>
      <c r="L176" s="96">
        <f>SUMIFS(COMPOSICIÓN!J$2:J$1892,COMPOSICIÓN!A$2:A$1892,A176,COMPOSICIÓN!B$2:B$1892,"EQ")</f>
        <v>3949.6110686761381</v>
      </c>
      <c r="M176" s="103">
        <f t="shared" si="11"/>
        <v>6929.1780147727241</v>
      </c>
      <c r="N176" s="103">
        <f t="shared" si="12"/>
        <v>17291.266623472264</v>
      </c>
      <c r="O176" s="103">
        <f t="shared" si="14"/>
        <v>197.4805534338069</v>
      </c>
      <c r="P176" s="103">
        <f t="shared" si="13"/>
        <v>24417.925191678798</v>
      </c>
      <c r="Q176" s="95">
        <f>COUNTIF(COMPOSICIÓN!$A:$A,A176)</f>
        <v>14</v>
      </c>
      <c r="R176" s="32" t="s">
        <v>1966</v>
      </c>
      <c r="S176" s="32" t="s">
        <v>257</v>
      </c>
      <c r="T176" s="32">
        <v>6929.17800826447</v>
      </c>
      <c r="U176" s="32">
        <v>17291.2666234723</v>
      </c>
      <c r="V176" s="32">
        <v>197.48055343380699</v>
      </c>
    </row>
    <row r="177" spans="1:22" ht="14.25" hidden="1" customHeight="1" x14ac:dyDescent="0.35">
      <c r="A177" s="12" t="s">
        <v>261</v>
      </c>
      <c r="B177" s="12"/>
      <c r="C177" s="12" t="s">
        <v>2028</v>
      </c>
      <c r="D177" s="12" t="s">
        <v>260</v>
      </c>
      <c r="E177" s="14" t="s">
        <v>50</v>
      </c>
      <c r="F177" s="14">
        <v>1</v>
      </c>
      <c r="G177" s="14">
        <v>0</v>
      </c>
      <c r="H177" s="14">
        <v>0</v>
      </c>
      <c r="I177" s="14">
        <v>1</v>
      </c>
      <c r="J177" s="100">
        <f>SUMIFS(COMPOSICIÓN!J$2:J$1892,COMPOSICIÓN!A$2:A$1892,A177,COMPOSICIÓN!B$2:B$1892,"MAT")</f>
        <v>11873.028925619834</v>
      </c>
      <c r="K177" s="100">
        <f>SUMIFS(COMPOSICIÓN!J$2:J$1892,COMPOSICIÓN!A$2:A$1892,A177,COMPOSICIÓN!B$2:B$1892,"MO")*I177</f>
        <v>9112.9167920710242</v>
      </c>
      <c r="L177" s="100">
        <f>SUMIFS(COMPOSICIÓN!J$2:J$1892,COMPOSICIÓN!A$2:A$1892,A177,COMPOSICIÓN!B$2:B$1892,"EQ")</f>
        <v>314.77474760202398</v>
      </c>
      <c r="M177" s="101">
        <f t="shared" si="11"/>
        <v>11873.028925619834</v>
      </c>
      <c r="N177" s="101">
        <f t="shared" si="12"/>
        <v>9112.9167920710242</v>
      </c>
      <c r="O177" s="101">
        <f t="shared" si="14"/>
        <v>314.77474760202398</v>
      </c>
      <c r="P177" s="101">
        <f t="shared" si="13"/>
        <v>21300.720465292881</v>
      </c>
      <c r="Q177" s="102">
        <f>COUNTIF(COMPOSICIÓN!$A:$A,A177)</f>
        <v>5</v>
      </c>
      <c r="R177" s="17"/>
      <c r="S177" s="17" t="s">
        <v>32</v>
      </c>
      <c r="T177" s="17">
        <v>11872.146118721501</v>
      </c>
      <c r="U177" s="17">
        <v>9112.8370547467894</v>
      </c>
      <c r="V177" s="17">
        <v>314.77474760202398</v>
      </c>
    </row>
    <row r="178" spans="1:22" ht="14.25" hidden="1" customHeight="1" x14ac:dyDescent="0.35">
      <c r="A178" s="105" t="s">
        <v>263</v>
      </c>
      <c r="B178" s="105"/>
      <c r="C178" s="105" t="s">
        <v>2028</v>
      </c>
      <c r="D178" s="105" t="s">
        <v>262</v>
      </c>
      <c r="E178" s="106" t="s">
        <v>50</v>
      </c>
      <c r="F178" s="106">
        <v>1</v>
      </c>
      <c r="G178" s="106">
        <v>0</v>
      </c>
      <c r="H178" s="106">
        <v>0</v>
      </c>
      <c r="I178" s="106">
        <v>1</v>
      </c>
      <c r="J178" s="96">
        <f>SUMIFS(COMPOSICIÓN!J$2:J$1892,COMPOSICIÓN!A$2:A$1892,A178,COMPOSICIÓN!B$2:B$1892,"MAT")</f>
        <v>3455.5346560313137</v>
      </c>
      <c r="K178" s="96">
        <f>SUMIFS(COMPOSICIÓN!J$2:J$1892,COMPOSICIÓN!A$2:A$1892,A178,COMPOSICIÓN!B$2:B$1892,"MO")*I178</f>
        <v>9286.5141314164102</v>
      </c>
      <c r="L178" s="96">
        <f>SUMIFS(COMPOSICIÓN!J$2:J$1892,COMPOSICIÓN!A$2:A$1892,A178,COMPOSICIÓN!B$2:B$1892,"EQ")</f>
        <v>191.13501684180801</v>
      </c>
      <c r="M178" s="103">
        <f t="shared" si="11"/>
        <v>3455.5346560313137</v>
      </c>
      <c r="N178" s="103">
        <f t="shared" si="12"/>
        <v>9286.5141314164102</v>
      </c>
      <c r="O178" s="103">
        <f t="shared" si="14"/>
        <v>191.13501684180801</v>
      </c>
      <c r="P178" s="103">
        <f t="shared" si="13"/>
        <v>12933.183804289532</v>
      </c>
      <c r="Q178" s="95">
        <f>COUNTIF(COMPOSICIÓN!$A:$A,A178)</f>
        <v>6</v>
      </c>
      <c r="R178" s="32"/>
      <c r="S178" s="32" t="s">
        <v>32</v>
      </c>
      <c r="T178" s="32">
        <v>3455.52451982607</v>
      </c>
      <c r="U178" s="32">
        <v>9286.8099362944595</v>
      </c>
      <c r="V178" s="32">
        <v>191.13501684180801</v>
      </c>
    </row>
    <row r="179" spans="1:22" ht="14.25" hidden="1" customHeight="1" x14ac:dyDescent="0.35">
      <c r="A179" s="12" t="s">
        <v>265</v>
      </c>
      <c r="B179" s="12"/>
      <c r="C179" s="12" t="s">
        <v>2028</v>
      </c>
      <c r="D179" s="12" t="s">
        <v>264</v>
      </c>
      <c r="E179" s="14" t="s">
        <v>30</v>
      </c>
      <c r="F179" s="14">
        <v>1</v>
      </c>
      <c r="G179" s="14">
        <v>0</v>
      </c>
      <c r="H179" s="106">
        <v>0</v>
      </c>
      <c r="I179" s="106">
        <v>1</v>
      </c>
      <c r="J179" s="96">
        <f>SUMIFS(COMPOSICIÓN!J$2:J$1892,COMPOSICIÓN!A$2:A$1892,A179,COMPOSICIÓN!B$2:B$1892,"MAT")</f>
        <v>25797.285775335757</v>
      </c>
      <c r="K179" s="96">
        <f>SUMIFS(COMPOSICIÓN!J$2:J$1892,COMPOSICIÓN!A$2:A$1892,A179,COMPOSICIÓN!B$2:B$1892,"MO")*I179</f>
        <v>81200.102755438114</v>
      </c>
      <c r="L179" s="96">
        <f>SUMIFS(COMPOSICIÓN!J$2:J$1892,COMPOSICIÓN!A$2:A$1892,A179,COMPOSICIÓN!B$2:B$1892,"EQ")</f>
        <v>1604.9614296013699</v>
      </c>
      <c r="M179" s="101">
        <f t="shared" si="11"/>
        <v>25797.285775335757</v>
      </c>
      <c r="N179" s="101">
        <f t="shared" si="12"/>
        <v>81200.102755438114</v>
      </c>
      <c r="O179" s="101">
        <f t="shared" si="14"/>
        <v>1604.9614296013699</v>
      </c>
      <c r="P179" s="101">
        <f t="shared" si="13"/>
        <v>108602.34996037524</v>
      </c>
      <c r="Q179" s="102">
        <f>COUNTIF(COMPOSICIÓN!$A:$A,A179)</f>
        <v>5</v>
      </c>
      <c r="R179" s="17"/>
      <c r="S179" s="17" t="s">
        <v>32</v>
      </c>
      <c r="T179" s="17">
        <v>25797.295320790301</v>
      </c>
      <c r="U179" s="17">
        <v>81200.133319301007</v>
      </c>
      <c r="V179" s="17">
        <v>1604.9614296013699</v>
      </c>
    </row>
    <row r="180" spans="1:22" ht="14.25" hidden="1" customHeight="1" x14ac:dyDescent="0.35">
      <c r="A180" s="105" t="s">
        <v>267</v>
      </c>
      <c r="B180" s="105"/>
      <c r="C180" s="105" t="s">
        <v>2028</v>
      </c>
      <c r="D180" s="105" t="s">
        <v>266</v>
      </c>
      <c r="E180" s="106" t="s">
        <v>26</v>
      </c>
      <c r="F180" s="106">
        <v>1</v>
      </c>
      <c r="G180" s="106">
        <v>0</v>
      </c>
      <c r="H180" s="106">
        <v>0</v>
      </c>
      <c r="I180" s="106">
        <v>1</v>
      </c>
      <c r="J180" s="96">
        <f>SUMIFS(COMPOSICIÓN!J$2:J$1892,COMPOSICIÓN!A$2:A$1892,A180,COMPOSICIÓN!B$2:B$1892,"MAT")</f>
        <v>1266522.9190993365</v>
      </c>
      <c r="K180" s="96">
        <f>SUMIFS(COMPOSICIÓN!J$2:J$1892,COMPOSICIÓN!A$2:A$1892,A180,COMPOSICIÓN!B$2:B$1892,"MO")*I180</f>
        <v>5694407.7131106043</v>
      </c>
      <c r="L180" s="96">
        <f>SUMIFS(COMPOSICIÓN!J$2:J$1892,COMPOSICIÓN!A$2:A$1892,A180,COMPOSICIÓN!B$2:B$1892,"EQ")</f>
        <v>104413.959483149</v>
      </c>
      <c r="M180" s="103">
        <f t="shared" si="11"/>
        <v>1266522.9190993365</v>
      </c>
      <c r="N180" s="103">
        <f t="shared" si="12"/>
        <v>5694407.7131106043</v>
      </c>
      <c r="O180" s="103">
        <f t="shared" si="14"/>
        <v>104413.959483149</v>
      </c>
      <c r="P180" s="103">
        <f t="shared" si="13"/>
        <v>7065344.5916930903</v>
      </c>
      <c r="Q180" s="95">
        <f>COUNTIF(COMPOSICIÓN!$A:$A,A180)</f>
        <v>3</v>
      </c>
      <c r="R180" s="32"/>
      <c r="S180" s="32" t="s">
        <v>32</v>
      </c>
      <c r="T180" s="32">
        <v>1266522.91909934</v>
      </c>
      <c r="U180" s="32">
        <v>5694407.7131105904</v>
      </c>
      <c r="V180" s="32">
        <v>104413.959483149</v>
      </c>
    </row>
    <row r="181" spans="1:22" ht="14.25" hidden="1" customHeight="1" x14ac:dyDescent="0.35">
      <c r="A181" s="12" t="s">
        <v>269</v>
      </c>
      <c r="B181" s="12"/>
      <c r="C181" s="12" t="s">
        <v>2029</v>
      </c>
      <c r="D181" s="12" t="s">
        <v>268</v>
      </c>
      <c r="E181" s="14" t="s">
        <v>98</v>
      </c>
      <c r="F181" s="14">
        <v>2</v>
      </c>
      <c r="G181" s="14">
        <v>0</v>
      </c>
      <c r="H181" s="106">
        <v>0</v>
      </c>
      <c r="I181" s="106">
        <v>1</v>
      </c>
      <c r="J181" s="96">
        <f>SUMIFS(COMPOSICIÓN!J$2:J$1892,COMPOSICIÓN!A$2:A$1892,A181,COMPOSICIÓN!B$2:B$1892,"MAT")</f>
        <v>4104.3831840000003</v>
      </c>
      <c r="K181" s="96">
        <f>SUMIFS(COMPOSICIÓN!J$2:J$1892,COMPOSICIÓN!A$2:A$1892,A181,COMPOSICIÓN!B$2:B$1892,"MO")*I181</f>
        <v>121063.22755785487</v>
      </c>
      <c r="L181" s="96">
        <f>SUMIFS(COMPOSICIÓN!J$2:J$1892,COMPOSICIÓN!A$2:A$1892,A181,COMPOSICIÓN!B$2:B$1892,"EQ")</f>
        <v>881.57561128248039</v>
      </c>
      <c r="M181" s="101">
        <f t="shared" si="11"/>
        <v>4104.3831840000003</v>
      </c>
      <c r="N181" s="101">
        <f t="shared" si="12"/>
        <v>60531.613778927436</v>
      </c>
      <c r="O181" s="101">
        <f t="shared" si="14"/>
        <v>440.7878056412402</v>
      </c>
      <c r="P181" s="101">
        <f t="shared" si="13"/>
        <v>65076.784768568672</v>
      </c>
      <c r="Q181" s="102">
        <f>COUNTIF(COMPOSICIÓN!$A:$A,A181)</f>
        <v>6</v>
      </c>
      <c r="R181" s="17"/>
      <c r="S181" s="17" t="s">
        <v>270</v>
      </c>
      <c r="T181" s="17">
        <v>4104.3831840000003</v>
      </c>
      <c r="U181" s="17">
        <v>60531.6137789274</v>
      </c>
      <c r="V181" s="17">
        <v>440.78780564124003</v>
      </c>
    </row>
    <row r="182" spans="1:22" ht="14.25" hidden="1" customHeight="1" x14ac:dyDescent="0.35">
      <c r="A182" s="105" t="s">
        <v>272</v>
      </c>
      <c r="B182" s="105"/>
      <c r="C182" s="105" t="s">
        <v>2029</v>
      </c>
      <c r="D182" s="105" t="s">
        <v>271</v>
      </c>
      <c r="E182" s="106" t="s">
        <v>98</v>
      </c>
      <c r="F182" s="106">
        <v>2</v>
      </c>
      <c r="G182" s="106">
        <v>0</v>
      </c>
      <c r="H182" s="106">
        <v>0</v>
      </c>
      <c r="I182" s="106">
        <v>1</v>
      </c>
      <c r="J182" s="96">
        <f>SUMIFS(COMPOSICIÓN!J$2:J$1892,COMPOSICIÓN!A$2:A$1892,A182,COMPOSICIÓN!B$2:B$1892,"MAT")</f>
        <v>4104.3831840000003</v>
      </c>
      <c r="K182" s="96">
        <f>SUMIFS(COMPOSICIÓN!J$2:J$1892,COMPOSICIÓN!A$2:A$1892,A182,COMPOSICIÓN!B$2:B$1892,"MO")*I182</f>
        <v>121063.22755785487</v>
      </c>
      <c r="L182" s="96">
        <f>SUMIFS(COMPOSICIÓN!J$2:J$1892,COMPOSICIÓN!A$2:A$1892,A182,COMPOSICIÓN!B$2:B$1892,"EQ")</f>
        <v>881.57561128248039</v>
      </c>
      <c r="M182" s="103">
        <f t="shared" si="11"/>
        <v>4104.3831840000003</v>
      </c>
      <c r="N182" s="103">
        <f t="shared" si="12"/>
        <v>60531.613778927436</v>
      </c>
      <c r="O182" s="103">
        <f t="shared" si="14"/>
        <v>440.7878056412402</v>
      </c>
      <c r="P182" s="103">
        <f t="shared" si="13"/>
        <v>65076.784768568672</v>
      </c>
      <c r="Q182" s="95">
        <f>COUNTIF(COMPOSICIÓN!$A:$A,A182)</f>
        <v>6</v>
      </c>
      <c r="R182" s="32"/>
      <c r="S182" s="32" t="s">
        <v>270</v>
      </c>
      <c r="T182" s="32">
        <v>4104.3831840000003</v>
      </c>
      <c r="U182" s="32">
        <v>60531.6137789274</v>
      </c>
      <c r="V182" s="32">
        <v>440.78780564124003</v>
      </c>
    </row>
    <row r="183" spans="1:22" ht="14.25" hidden="1" customHeight="1" x14ac:dyDescent="0.35">
      <c r="A183" s="12" t="s">
        <v>274</v>
      </c>
      <c r="B183" s="12"/>
      <c r="C183" s="12" t="s">
        <v>2029</v>
      </c>
      <c r="D183" s="12" t="s">
        <v>273</v>
      </c>
      <c r="E183" s="14" t="s">
        <v>98</v>
      </c>
      <c r="F183" s="14">
        <v>4</v>
      </c>
      <c r="G183" s="14">
        <v>0</v>
      </c>
      <c r="H183" s="106">
        <v>0</v>
      </c>
      <c r="I183" s="106">
        <v>1</v>
      </c>
      <c r="J183" s="96">
        <f>SUMIFS(COMPOSICIÓN!J$2:J$1892,COMPOSICIÓN!A$2:A$1892,A183,COMPOSICIÓN!B$2:B$1892,"MAT")</f>
        <v>1501.8311196</v>
      </c>
      <c r="K183" s="96">
        <f>SUMIFS(COMPOSICIÓN!J$2:J$1892,COMPOSICIÓN!A$2:A$1892,A183,COMPOSICIÓN!B$2:B$1892,"MO")*I183</f>
        <v>161417.63674380651</v>
      </c>
      <c r="L183" s="96">
        <f>SUMIFS(COMPOSICIÓN!J$2:J$1892,COMPOSICIÓN!A$2:A$1892,A183,COMPOSICIÓN!B$2:B$1892,"EQ")</f>
        <v>881.57561128248039</v>
      </c>
      <c r="M183" s="101">
        <f t="shared" si="11"/>
        <v>1501.8311196</v>
      </c>
      <c r="N183" s="101">
        <f t="shared" si="12"/>
        <v>40354.409185951627</v>
      </c>
      <c r="O183" s="101">
        <f t="shared" si="14"/>
        <v>220.3939028206201</v>
      </c>
      <c r="P183" s="101">
        <f t="shared" si="13"/>
        <v>42076.634208372248</v>
      </c>
      <c r="Q183" s="102">
        <f>COUNTIF(COMPOSICIÓN!$A:$A,A183)</f>
        <v>6</v>
      </c>
      <c r="R183" s="17"/>
      <c r="S183" s="17" t="s">
        <v>275</v>
      </c>
      <c r="T183" s="17">
        <v>1501.8311196</v>
      </c>
      <c r="U183" s="17">
        <v>40354.409185951597</v>
      </c>
      <c r="V183" s="17">
        <v>220.39390282062001</v>
      </c>
    </row>
    <row r="184" spans="1:22" ht="14.25" hidden="1" customHeight="1" x14ac:dyDescent="0.35">
      <c r="A184" s="105" t="s">
        <v>277</v>
      </c>
      <c r="B184" s="105"/>
      <c r="C184" s="105" t="s">
        <v>2029</v>
      </c>
      <c r="D184" s="105" t="s">
        <v>276</v>
      </c>
      <c r="E184" s="106" t="s">
        <v>98</v>
      </c>
      <c r="F184" s="106">
        <v>1</v>
      </c>
      <c r="G184" s="106">
        <v>0</v>
      </c>
      <c r="H184" s="106">
        <v>0</v>
      </c>
      <c r="I184" s="106">
        <v>1</v>
      </c>
      <c r="J184" s="96">
        <f>SUMIFS(COMPOSICIÓN!J$2:J$1892,COMPOSICIÓN!A$2:A$1892,A184,COMPOSICIÓN!B$2:B$1892,"MAT")</f>
        <v>4104.3831840000003</v>
      </c>
      <c r="K184" s="96">
        <f>SUMIFS(COMPOSICIÓN!J$2:J$1892,COMPOSICIÓN!A$2:A$1892,A184,COMPOSICIÓN!B$2:B$1892,"MO")*I184</f>
        <v>90797.420668391205</v>
      </c>
      <c r="L184" s="96">
        <f>SUMIFS(COMPOSICIÓN!J$2:J$1892,COMPOSICIÓN!A$2:A$1892,A184,COMPOSICIÓN!B$2:B$1892,"EQ")</f>
        <v>440.78780564124003</v>
      </c>
      <c r="M184" s="103">
        <f t="shared" si="11"/>
        <v>4104.3831840000003</v>
      </c>
      <c r="N184" s="103">
        <f t="shared" si="12"/>
        <v>90797.420668391205</v>
      </c>
      <c r="O184" s="103">
        <f t="shared" si="14"/>
        <v>440.78780564124003</v>
      </c>
      <c r="P184" s="103">
        <f t="shared" si="13"/>
        <v>95342.591658032456</v>
      </c>
      <c r="Q184" s="95">
        <f>COUNTIF(COMPOSICIÓN!$A:$A,A184)</f>
        <v>3</v>
      </c>
      <c r="R184" s="32"/>
      <c r="S184" s="32" t="s">
        <v>28</v>
      </c>
      <c r="T184" s="32">
        <v>4104.3831840000003</v>
      </c>
      <c r="U184" s="32">
        <v>90797.420668391205</v>
      </c>
      <c r="V184" s="32">
        <v>440.78780564124003</v>
      </c>
    </row>
    <row r="185" spans="1:22" ht="14.25" hidden="1" customHeight="1" x14ac:dyDescent="0.35">
      <c r="A185" s="12" t="s">
        <v>279</v>
      </c>
      <c r="B185" s="12"/>
      <c r="C185" s="12" t="s">
        <v>2034</v>
      </c>
      <c r="D185" s="12" t="s">
        <v>278</v>
      </c>
      <c r="E185" s="14" t="s">
        <v>98</v>
      </c>
      <c r="F185" s="14">
        <v>3.25</v>
      </c>
      <c r="G185" s="14">
        <v>0</v>
      </c>
      <c r="H185" s="14">
        <v>0</v>
      </c>
      <c r="I185" s="14">
        <v>1</v>
      </c>
      <c r="J185" s="100">
        <f>SUMIFS(COMPOSICIÓN!J$2:J$1892,COMPOSICIÓN!A$2:A$1892,A185,COMPOSICIÓN!B$2:B$1892,"MAT")</f>
        <v>18798.887787227555</v>
      </c>
      <c r="K185" s="100">
        <f>SUMIFS(COMPOSICIÓN!J$2:J$1892,COMPOSICIÓN!A$2:A$1892,A185,COMPOSICIÓN!B$2:B$1892,"MO")*I185</f>
        <v>161417.63674380651</v>
      </c>
      <c r="L185" s="100">
        <f>SUMIFS(COMPOSICIÓN!J$2:J$1892,COMPOSICIÓN!A$2:A$1892,A185,COMPOSICIÓN!B$2:B$1892,"EQ")</f>
        <v>5889.6359669933499</v>
      </c>
      <c r="M185" s="101">
        <f t="shared" si="11"/>
        <v>18798.887787227555</v>
      </c>
      <c r="N185" s="101">
        <f t="shared" si="12"/>
        <v>49666.965151940465</v>
      </c>
      <c r="O185" s="101">
        <f t="shared" si="14"/>
        <v>1812.1956821517999</v>
      </c>
      <c r="P185" s="101">
        <f t="shared" si="13"/>
        <v>70278.048621319816</v>
      </c>
      <c r="Q185" s="102">
        <f>COUNTIF(COMPOSICIÓN!$A:$A,A185)</f>
        <v>14</v>
      </c>
      <c r="R185" s="17"/>
      <c r="S185" s="17" t="s">
        <v>280</v>
      </c>
      <c r="T185" s="17">
        <v>18798.887787420601</v>
      </c>
      <c r="U185" s="17">
        <v>49666.965151940502</v>
      </c>
      <c r="V185" s="17">
        <v>1812.1956821517999</v>
      </c>
    </row>
    <row r="186" spans="1:22" ht="14.25" hidden="1" customHeight="1" x14ac:dyDescent="0.35">
      <c r="A186" s="12" t="s">
        <v>282</v>
      </c>
      <c r="B186" s="12"/>
      <c r="C186" s="12" t="s">
        <v>2034</v>
      </c>
      <c r="D186" s="12" t="s">
        <v>281</v>
      </c>
      <c r="E186" s="14" t="s">
        <v>98</v>
      </c>
      <c r="F186" s="14">
        <v>3.25</v>
      </c>
      <c r="G186" s="14">
        <v>0</v>
      </c>
      <c r="H186" s="14">
        <v>0</v>
      </c>
      <c r="I186" s="14">
        <v>1</v>
      </c>
      <c r="J186" s="100">
        <f>SUMIFS(COMPOSICIÓN!J$2:J$1892,COMPOSICIÓN!A$2:A$1892,A186,COMPOSICIÓN!B$2:B$1892,"MAT")</f>
        <v>17610.205138664016</v>
      </c>
      <c r="K186" s="100">
        <f>SUMIFS(COMPOSICIÓN!J$2:J$1892,COMPOSICIÓN!A$2:A$1892,A186,COMPOSICIÓN!B$2:B$1892,"MO")*I186</f>
        <v>161417.63674380651</v>
      </c>
      <c r="L186" s="100">
        <f>SUMIFS(COMPOSICIÓN!J$2:J$1892,COMPOSICIÓN!A$2:A$1892,A186,COMPOSICIÓN!B$2:B$1892,"EQ")</f>
        <v>5889.6359669933499</v>
      </c>
      <c r="M186" s="101">
        <f t="shared" si="11"/>
        <v>17610.205138664016</v>
      </c>
      <c r="N186" s="101">
        <f t="shared" si="12"/>
        <v>49666.965151940465</v>
      </c>
      <c r="O186" s="101">
        <f t="shared" si="14"/>
        <v>1812.1956821517999</v>
      </c>
      <c r="P186" s="101">
        <f t="shared" si="13"/>
        <v>69089.365972756277</v>
      </c>
      <c r="Q186" s="102">
        <f>COUNTIF(COMPOSICIÓN!$A:$A,A186)</f>
        <v>14</v>
      </c>
      <c r="R186" s="17"/>
      <c r="S186" s="17" t="s">
        <v>283</v>
      </c>
      <c r="T186" s="17">
        <v>17610.205138368801</v>
      </c>
      <c r="U186" s="17">
        <v>49666.965151940502</v>
      </c>
      <c r="V186" s="17">
        <v>1812.1956821517999</v>
      </c>
    </row>
    <row r="187" spans="1:22" ht="14.25" hidden="1" customHeight="1" x14ac:dyDescent="0.35">
      <c r="A187" s="105" t="s">
        <v>285</v>
      </c>
      <c r="B187" s="105"/>
      <c r="C187" s="105" t="s">
        <v>2034</v>
      </c>
      <c r="D187" s="105" t="s">
        <v>284</v>
      </c>
      <c r="E187" s="106" t="s">
        <v>98</v>
      </c>
      <c r="F187" s="106">
        <v>3.25</v>
      </c>
      <c r="G187" s="106">
        <v>0</v>
      </c>
      <c r="H187" s="106">
        <v>0</v>
      </c>
      <c r="I187" s="106">
        <v>1</v>
      </c>
      <c r="J187" s="96">
        <f>SUMIFS(COMPOSICIÓN!J$2:J$1892,COMPOSICIÓN!A$2:A$1892,A187,COMPOSICIÓN!B$2:B$1892,"MAT")</f>
        <v>17610.205138664016</v>
      </c>
      <c r="K187" s="96">
        <f>SUMIFS(COMPOSICIÓN!J$2:J$1892,COMPOSICIÓN!A$2:A$1892,A187,COMPOSICIÓN!B$2:B$1892,"MO")*I187</f>
        <v>161417.63674380651</v>
      </c>
      <c r="L187" s="96">
        <f>SUMIFS(COMPOSICIÓN!J$2:J$1892,COMPOSICIÓN!A$2:A$1892,A187,COMPOSICIÓN!B$2:B$1892,"EQ")</f>
        <v>5889.6359669933499</v>
      </c>
      <c r="M187" s="103">
        <f t="shared" si="11"/>
        <v>17610.205138664016</v>
      </c>
      <c r="N187" s="103">
        <f t="shared" si="12"/>
        <v>49666.965151940465</v>
      </c>
      <c r="O187" s="103">
        <f t="shared" si="14"/>
        <v>1812.1956821517999</v>
      </c>
      <c r="P187" s="103">
        <f t="shared" si="13"/>
        <v>69089.365972756277</v>
      </c>
      <c r="Q187" s="95">
        <f>COUNTIF(COMPOSICIÓN!$A:$A,A187)</f>
        <v>14</v>
      </c>
      <c r="R187" s="32"/>
      <c r="S187" s="32" t="s">
        <v>283</v>
      </c>
      <c r="T187" s="32">
        <v>17610.205138368801</v>
      </c>
      <c r="U187" s="32">
        <v>49666.965151940502</v>
      </c>
      <c r="V187" s="32">
        <v>1812.1956821517999</v>
      </c>
    </row>
    <row r="188" spans="1:22" ht="14.25" hidden="1" customHeight="1" x14ac:dyDescent="0.35">
      <c r="A188" s="12" t="s">
        <v>287</v>
      </c>
      <c r="B188" s="12"/>
      <c r="C188" s="12" t="s">
        <v>2034</v>
      </c>
      <c r="D188" s="12" t="s">
        <v>286</v>
      </c>
      <c r="E188" s="14" t="s">
        <v>98</v>
      </c>
      <c r="F188" s="14">
        <v>3.25</v>
      </c>
      <c r="G188" s="14">
        <v>0</v>
      </c>
      <c r="H188" s="14">
        <v>0</v>
      </c>
      <c r="I188" s="14">
        <v>1</v>
      </c>
      <c r="J188" s="100">
        <f>SUMIFS(COMPOSICIÓN!J$2:J$1892,COMPOSICIÓN!A$2:A$1892,A188,COMPOSICIÓN!B$2:B$1892,"MAT")</f>
        <v>17610.205138664016</v>
      </c>
      <c r="K188" s="100">
        <f>SUMIFS(COMPOSICIÓN!J$2:J$1892,COMPOSICIÓN!A$2:A$1892,A188,COMPOSICIÓN!B$2:B$1892,"MO")*I188</f>
        <v>161417.63674380651</v>
      </c>
      <c r="L188" s="100">
        <f>SUMIFS(COMPOSICIÓN!J$2:J$1892,COMPOSICIÓN!A$2:A$1892,A188,COMPOSICIÓN!B$2:B$1892,"EQ")</f>
        <v>5889.6359669933499</v>
      </c>
      <c r="M188" s="101">
        <f t="shared" si="11"/>
        <v>17610.205138664016</v>
      </c>
      <c r="N188" s="101">
        <f t="shared" si="12"/>
        <v>49666.965151940465</v>
      </c>
      <c r="O188" s="101">
        <f t="shared" si="14"/>
        <v>1812.1956821517999</v>
      </c>
      <c r="P188" s="101">
        <f t="shared" si="13"/>
        <v>69089.365972756277</v>
      </c>
      <c r="Q188" s="102">
        <f>COUNTIF(COMPOSICIÓN!$A:$A,A188)</f>
        <v>14</v>
      </c>
      <c r="R188" s="17"/>
      <c r="S188" s="17" t="s">
        <v>283</v>
      </c>
      <c r="T188" s="17">
        <v>17610.205138368801</v>
      </c>
      <c r="U188" s="17">
        <v>49666.965151940502</v>
      </c>
      <c r="V188" s="17">
        <v>1812.1956821517999</v>
      </c>
    </row>
    <row r="189" spans="1:22" ht="14.25" hidden="1" customHeight="1" x14ac:dyDescent="0.35">
      <c r="A189" s="105" t="s">
        <v>289</v>
      </c>
      <c r="B189" s="105"/>
      <c r="C189" s="105" t="s">
        <v>2034</v>
      </c>
      <c r="D189" s="105" t="s">
        <v>288</v>
      </c>
      <c r="E189" s="106" t="s">
        <v>98</v>
      </c>
      <c r="F189" s="106">
        <v>3.25</v>
      </c>
      <c r="G189" s="106">
        <v>0</v>
      </c>
      <c r="H189" s="106">
        <v>0</v>
      </c>
      <c r="I189" s="106">
        <v>1</v>
      </c>
      <c r="J189" s="96">
        <f>SUMIFS(COMPOSICIÓN!J$2:J$1892,COMPOSICIÓN!A$2:A$1892,A189,COMPOSICIÓN!B$2:B$1892,"MAT")</f>
        <v>15896.430635621633</v>
      </c>
      <c r="K189" s="96">
        <f>SUMIFS(COMPOSICIÓN!J$2:J$1892,COMPOSICIÓN!A$2:A$1892,A189,COMPOSICIÓN!B$2:B$1892,"MO")*I189</f>
        <v>161417.63674380651</v>
      </c>
      <c r="L189" s="96">
        <f>SUMIFS(COMPOSICIÓN!J$2:J$1892,COMPOSICIÓN!A$2:A$1892,A189,COMPOSICIÓN!B$2:B$1892,"EQ")</f>
        <v>5889.6359669933499</v>
      </c>
      <c r="M189" s="103">
        <f t="shared" si="11"/>
        <v>15896.430635621633</v>
      </c>
      <c r="N189" s="103">
        <f t="shared" si="12"/>
        <v>49666.965151940465</v>
      </c>
      <c r="O189" s="103">
        <f t="shared" ref="O189:O220" si="15">IF(F189=0,0,L189/F189)</f>
        <v>1812.1956821517999</v>
      </c>
      <c r="P189" s="103">
        <f t="shared" si="13"/>
        <v>67375.591469713894</v>
      </c>
      <c r="Q189" s="95">
        <f>COUNTIF(COMPOSICIÓN!$A:$A,A189)</f>
        <v>12</v>
      </c>
      <c r="R189" s="32"/>
      <c r="S189" s="32" t="s">
        <v>290</v>
      </c>
      <c r="T189" s="32">
        <v>15896.430633907999</v>
      </c>
      <c r="U189" s="32">
        <v>49666.965151940502</v>
      </c>
      <c r="V189" s="32">
        <v>1812.1956821517999</v>
      </c>
    </row>
    <row r="190" spans="1:22" ht="14.25" hidden="1" customHeight="1" x14ac:dyDescent="0.35">
      <c r="A190" s="12" t="s">
        <v>292</v>
      </c>
      <c r="B190" s="12"/>
      <c r="C190" s="12" t="s">
        <v>2034</v>
      </c>
      <c r="D190" s="12" t="s">
        <v>291</v>
      </c>
      <c r="E190" s="14" t="s">
        <v>98</v>
      </c>
      <c r="F190" s="14">
        <v>3.25</v>
      </c>
      <c r="G190" s="14">
        <v>0</v>
      </c>
      <c r="H190" s="106">
        <v>0</v>
      </c>
      <c r="I190" s="106">
        <v>1</v>
      </c>
      <c r="J190" s="96">
        <f>SUMIFS(COMPOSICIÓN!J$2:J$1892,COMPOSICIÓN!A$2:A$1892,A190,COMPOSICIÓN!B$2:B$1892,"MAT")</f>
        <v>34095.002045405148</v>
      </c>
      <c r="K190" s="96">
        <f>SUMIFS(COMPOSICIÓN!J$2:J$1892,COMPOSICIÓN!A$2:A$1892,A190,COMPOSICIÓN!B$2:B$1892,"MO")*I190</f>
        <v>161417.63674380651</v>
      </c>
      <c r="L190" s="96">
        <f>SUMIFS(COMPOSICIÓN!J$2:J$1892,COMPOSICIÓN!A$2:A$1892,A190,COMPOSICIÓN!B$2:B$1892,"EQ")</f>
        <v>5889.6359669933499</v>
      </c>
      <c r="M190" s="101">
        <f t="shared" si="11"/>
        <v>34095.002045405148</v>
      </c>
      <c r="N190" s="101">
        <f t="shared" si="12"/>
        <v>49666.965151940465</v>
      </c>
      <c r="O190" s="101">
        <f t="shared" si="15"/>
        <v>1812.1956821517999</v>
      </c>
      <c r="P190" s="101">
        <f t="shared" si="13"/>
        <v>85574.162879497409</v>
      </c>
      <c r="Q190" s="102">
        <f>COUNTIF(COMPOSICIÓN!$A:$A,A190)</f>
        <v>12</v>
      </c>
      <c r="R190" s="17"/>
      <c r="S190" s="17" t="s">
        <v>293</v>
      </c>
      <c r="T190" s="17">
        <v>34095.002044916902</v>
      </c>
      <c r="U190" s="17">
        <v>49666.965151940502</v>
      </c>
      <c r="V190" s="17">
        <v>1812.1956821517999</v>
      </c>
    </row>
    <row r="191" spans="1:22" ht="14.25" hidden="1" customHeight="1" x14ac:dyDescent="0.35">
      <c r="A191" s="105" t="s">
        <v>295</v>
      </c>
      <c r="B191" s="105"/>
      <c r="C191" s="105" t="s">
        <v>2034</v>
      </c>
      <c r="D191" s="105" t="s">
        <v>294</v>
      </c>
      <c r="E191" s="106" t="s">
        <v>98</v>
      </c>
      <c r="F191" s="106">
        <v>3.25</v>
      </c>
      <c r="G191" s="106">
        <v>0</v>
      </c>
      <c r="H191" s="106">
        <v>0</v>
      </c>
      <c r="I191" s="106">
        <v>1</v>
      </c>
      <c r="J191" s="96">
        <f>SUMIFS(COMPOSICIÓN!J$2:J$1892,COMPOSICIÓN!A$2:A$1892,A191,COMPOSICIÓN!B$2:B$1892,"MAT")</f>
        <v>34095.002045405148</v>
      </c>
      <c r="K191" s="96">
        <f>SUMIFS(COMPOSICIÓN!J$2:J$1892,COMPOSICIÓN!A$2:A$1892,A191,COMPOSICIÓN!B$2:B$1892,"MO")*I191</f>
        <v>161417.63674380651</v>
      </c>
      <c r="L191" s="96">
        <f>SUMIFS(COMPOSICIÓN!J$2:J$1892,COMPOSICIÓN!A$2:A$1892,A191,COMPOSICIÓN!B$2:B$1892,"EQ")</f>
        <v>5889.6359669933499</v>
      </c>
      <c r="M191" s="103">
        <f t="shared" si="11"/>
        <v>34095.002045405148</v>
      </c>
      <c r="N191" s="103">
        <f t="shared" si="12"/>
        <v>49666.965151940465</v>
      </c>
      <c r="O191" s="103">
        <f t="shared" si="15"/>
        <v>1812.1956821517999</v>
      </c>
      <c r="P191" s="103">
        <f t="shared" si="13"/>
        <v>85574.162879497409</v>
      </c>
      <c r="Q191" s="95">
        <f>COUNTIF(COMPOSICIÓN!$A:$A,A191)</f>
        <v>12</v>
      </c>
      <c r="R191" s="32"/>
      <c r="S191" s="32" t="s">
        <v>293</v>
      </c>
      <c r="T191" s="32">
        <v>34095.002044916902</v>
      </c>
      <c r="U191" s="32">
        <v>49666.965151940502</v>
      </c>
      <c r="V191" s="32">
        <v>1812.1956821517999</v>
      </c>
    </row>
    <row r="192" spans="1:22" ht="14.25" hidden="1" customHeight="1" x14ac:dyDescent="0.35">
      <c r="A192" s="12" t="s">
        <v>297</v>
      </c>
      <c r="B192" s="12"/>
      <c r="C192" s="12" t="s">
        <v>2034</v>
      </c>
      <c r="D192" s="12" t="s">
        <v>296</v>
      </c>
      <c r="E192" s="14" t="s">
        <v>98</v>
      </c>
      <c r="F192" s="14">
        <v>3.25</v>
      </c>
      <c r="G192" s="14">
        <v>0</v>
      </c>
      <c r="H192" s="106">
        <v>0</v>
      </c>
      <c r="I192" s="106">
        <v>1</v>
      </c>
      <c r="J192" s="96">
        <f>SUMIFS(COMPOSICIÓN!J$2:J$1892,COMPOSICIÓN!A$2:A$1892,A192,COMPOSICIÓN!B$2:B$1892,"MAT")</f>
        <v>15896.430635621633</v>
      </c>
      <c r="K192" s="96">
        <f>SUMIFS(COMPOSICIÓN!J$2:J$1892,COMPOSICIÓN!A$2:A$1892,A192,COMPOSICIÓN!B$2:B$1892,"MO")*I192</f>
        <v>161417.63674380651</v>
      </c>
      <c r="L192" s="96">
        <f>SUMIFS(COMPOSICIÓN!J$2:J$1892,COMPOSICIÓN!A$2:A$1892,A192,COMPOSICIÓN!B$2:B$1892,"EQ")</f>
        <v>5889.6359669933499</v>
      </c>
      <c r="M192" s="101">
        <f t="shared" si="11"/>
        <v>15896.430635621633</v>
      </c>
      <c r="N192" s="101">
        <f t="shared" si="12"/>
        <v>49666.965151940465</v>
      </c>
      <c r="O192" s="101">
        <f t="shared" si="15"/>
        <v>1812.1956821517999</v>
      </c>
      <c r="P192" s="101">
        <f t="shared" si="13"/>
        <v>67375.591469713894</v>
      </c>
      <c r="Q192" s="102">
        <f>COUNTIF(COMPOSICIÓN!$A:$A,A192)</f>
        <v>12</v>
      </c>
      <c r="R192" s="17"/>
      <c r="S192" s="17" t="s">
        <v>290</v>
      </c>
      <c r="T192" s="17">
        <v>15896.430633907999</v>
      </c>
      <c r="U192" s="17">
        <v>49666.965151940502</v>
      </c>
      <c r="V192" s="17">
        <v>1812.1956821517999</v>
      </c>
    </row>
    <row r="193" spans="1:22" ht="14.25" hidden="1" customHeight="1" x14ac:dyDescent="0.35">
      <c r="A193" s="105" t="s">
        <v>299</v>
      </c>
      <c r="B193" s="105"/>
      <c r="C193" s="105" t="s">
        <v>2034</v>
      </c>
      <c r="D193" s="105" t="s">
        <v>1967</v>
      </c>
      <c r="E193" s="106" t="s">
        <v>98</v>
      </c>
      <c r="F193" s="106">
        <v>5</v>
      </c>
      <c r="G193" s="106">
        <v>0</v>
      </c>
      <c r="H193" s="106">
        <v>0</v>
      </c>
      <c r="I193" s="106">
        <v>1</v>
      </c>
      <c r="J193" s="96">
        <f>SUMIFS(COMPOSICIÓN!J$2:J$1892,COMPOSICIÓN!A$2:A$1892,A193,COMPOSICIÓN!B$2:B$1892,"MAT")</f>
        <v>10557.999724208143</v>
      </c>
      <c r="K193" s="96">
        <f>SUMIFS(COMPOSICIÓN!J$2:J$1892,COMPOSICIÓN!A$2:A$1892,A193,COMPOSICIÓN!B$2:B$1892,"MO")*I193</f>
        <v>161417.63674380651</v>
      </c>
      <c r="L193" s="96">
        <f>SUMIFS(COMPOSICIÓN!J$2:J$1892,COMPOSICIÓN!A$2:A$1892,A193,COMPOSICIÓN!B$2:B$1892,"EQ")</f>
        <v>5889.6359669933499</v>
      </c>
      <c r="M193" s="103">
        <f t="shared" si="11"/>
        <v>10557.999724208143</v>
      </c>
      <c r="N193" s="103">
        <f t="shared" si="12"/>
        <v>32283.527348761301</v>
      </c>
      <c r="O193" s="103">
        <f t="shared" si="15"/>
        <v>1177.9271933986699</v>
      </c>
      <c r="P193" s="103">
        <f t="shared" si="13"/>
        <v>44019.454266368113</v>
      </c>
      <c r="Q193" s="95">
        <f>COUNTIF(COMPOSICIÓN!$A:$A,A193)</f>
        <v>11</v>
      </c>
      <c r="R193" s="32" t="s">
        <v>1968</v>
      </c>
      <c r="S193" s="32" t="s">
        <v>293</v>
      </c>
      <c r="T193" s="32">
        <v>10557.9997237198</v>
      </c>
      <c r="U193" s="32">
        <v>32283.527348761301</v>
      </c>
      <c r="V193" s="32">
        <v>1177.9271933986699</v>
      </c>
    </row>
    <row r="194" spans="1:22" ht="14.25" hidden="1" customHeight="1" x14ac:dyDescent="0.35">
      <c r="A194" s="12" t="s">
        <v>301</v>
      </c>
      <c r="B194" s="12"/>
      <c r="C194" s="12" t="s">
        <v>2034</v>
      </c>
      <c r="D194" s="12" t="s">
        <v>300</v>
      </c>
      <c r="E194" s="14" t="s">
        <v>98</v>
      </c>
      <c r="F194" s="14">
        <v>3.25</v>
      </c>
      <c r="G194" s="14">
        <v>0</v>
      </c>
      <c r="H194" s="106">
        <v>0</v>
      </c>
      <c r="I194" s="106">
        <v>1</v>
      </c>
      <c r="J194" s="96">
        <f>SUMIFS(COMPOSICIÓN!J$2:J$1892,COMPOSICIÓN!A$2:A$1892,A194,COMPOSICIÓN!B$2:B$1892,"MAT")</f>
        <v>34095.002045405148</v>
      </c>
      <c r="K194" s="96">
        <f>SUMIFS(COMPOSICIÓN!J$2:J$1892,COMPOSICIÓN!A$2:A$1892,A194,COMPOSICIÓN!B$2:B$1892,"MO")*I194</f>
        <v>161417.63674380651</v>
      </c>
      <c r="L194" s="96">
        <f>SUMIFS(COMPOSICIÓN!J$2:J$1892,COMPOSICIÓN!A$2:A$1892,A194,COMPOSICIÓN!B$2:B$1892,"EQ")</f>
        <v>5889.6359669933499</v>
      </c>
      <c r="M194" s="101">
        <f t="shared" ref="M194:M257" si="16">J194</f>
        <v>34095.002045405148</v>
      </c>
      <c r="N194" s="101">
        <f t="shared" ref="N194:N257" si="17">IF(F194=0,0,K194/F194)</f>
        <v>49666.965151940465</v>
      </c>
      <c r="O194" s="101">
        <f t="shared" si="15"/>
        <v>1812.1956821517999</v>
      </c>
      <c r="P194" s="101">
        <f t="shared" ref="P194:P257" si="18">M194+N194+O194</f>
        <v>85574.162879497409</v>
      </c>
      <c r="Q194" s="102">
        <f>COUNTIF(COMPOSICIÓN!$A:$A,A194)</f>
        <v>12</v>
      </c>
      <c r="R194" s="17" t="s">
        <v>1968</v>
      </c>
      <c r="S194" s="17" t="s">
        <v>293</v>
      </c>
      <c r="T194" s="17">
        <v>10557.9997237198</v>
      </c>
      <c r="U194" s="17">
        <v>32283.527348761301</v>
      </c>
      <c r="V194" s="17">
        <v>1177.9271933986699</v>
      </c>
    </row>
    <row r="195" spans="1:22" ht="14.25" hidden="1" customHeight="1" x14ac:dyDescent="0.35">
      <c r="A195" s="12" t="s">
        <v>303</v>
      </c>
      <c r="B195" s="12"/>
      <c r="C195" s="12" t="s">
        <v>2034</v>
      </c>
      <c r="D195" s="12" t="s">
        <v>302</v>
      </c>
      <c r="E195" s="14" t="s">
        <v>98</v>
      </c>
      <c r="F195" s="14">
        <v>1</v>
      </c>
      <c r="G195" s="14">
        <v>0</v>
      </c>
      <c r="H195" s="14">
        <v>0</v>
      </c>
      <c r="I195" s="14">
        <v>1</v>
      </c>
      <c r="J195" s="100">
        <f>SUMIFS(COMPOSICIÓN!J$2:J$1892,COMPOSICIÓN!A$2:A$1892,A195,COMPOSICIÓN!B$2:B$1892,"MAT")</f>
        <v>1409151.0720530131</v>
      </c>
      <c r="K195" s="100">
        <f>SUMIFS(COMPOSICIÓN!J$2:J$1892,COMPOSICIÓN!A$2:A$1892,A195,COMPOSICIÓN!B$2:B$1892,"MO")*I195</f>
        <v>434240.1</v>
      </c>
      <c r="L195" s="100">
        <f>SUMIFS(COMPOSICIÓN!J$2:J$1892,COMPOSICIÓN!A$2:A$1892,A195,COMPOSICIÓN!B$2:B$1892,"EQ")</f>
        <v>27650.867628874701</v>
      </c>
      <c r="M195" s="101">
        <f t="shared" si="16"/>
        <v>1409151.0720530131</v>
      </c>
      <c r="N195" s="101">
        <f t="shared" si="17"/>
        <v>434240.1</v>
      </c>
      <c r="O195" s="101">
        <f t="shared" si="15"/>
        <v>27650.867628874701</v>
      </c>
      <c r="P195" s="101">
        <f t="shared" si="18"/>
        <v>1871042.0396818877</v>
      </c>
      <c r="Q195" s="102">
        <f>COUNTIF(COMPOSICIÓN!$A:$A,A195)</f>
        <v>27</v>
      </c>
      <c r="R195" s="17"/>
      <c r="S195" s="17" t="s">
        <v>304</v>
      </c>
      <c r="T195" s="17">
        <v>1409151.07525831</v>
      </c>
      <c r="U195" s="17">
        <v>434240.1</v>
      </c>
      <c r="V195" s="17">
        <v>27650.867628874701</v>
      </c>
    </row>
    <row r="196" spans="1:22" ht="14.25" hidden="1" customHeight="1" x14ac:dyDescent="0.35">
      <c r="A196" s="105" t="s">
        <v>306</v>
      </c>
      <c r="B196" s="105"/>
      <c r="C196" s="105" t="s">
        <v>2034</v>
      </c>
      <c r="D196" s="105" t="s">
        <v>305</v>
      </c>
      <c r="E196" s="106" t="s">
        <v>98</v>
      </c>
      <c r="F196" s="106">
        <v>1</v>
      </c>
      <c r="G196" s="106">
        <v>0</v>
      </c>
      <c r="H196" s="106">
        <v>0</v>
      </c>
      <c r="I196" s="106">
        <v>1</v>
      </c>
      <c r="J196" s="96">
        <f>SUMIFS(COMPOSICIÓN!J$2:J$1892,COMPOSICIÓN!A$2:A$1892,A196,COMPOSICIÓN!B$2:B$1892,"MAT")</f>
        <v>610540.34245514392</v>
      </c>
      <c r="K196" s="96">
        <f>SUMIFS(COMPOSICIÓN!J$2:J$1892,COMPOSICIÓN!A$2:A$1892,A196,COMPOSICIÓN!B$2:B$1892,"MO")*I196</f>
        <v>289506.59999999998</v>
      </c>
      <c r="L196" s="96">
        <f>SUMIFS(COMPOSICIÓN!J$2:J$1892,COMPOSICIÓN!A$2:A$1892,A196,COMPOSICIÓN!B$2:B$1892,"EQ")</f>
        <v>13500.7040955099</v>
      </c>
      <c r="M196" s="103">
        <f t="shared" si="16"/>
        <v>610540.34245514392</v>
      </c>
      <c r="N196" s="103">
        <f t="shared" si="17"/>
        <v>289506.59999999998</v>
      </c>
      <c r="O196" s="103">
        <f t="shared" si="15"/>
        <v>13500.7040955099</v>
      </c>
      <c r="P196" s="103">
        <f t="shared" si="18"/>
        <v>913547.64655065385</v>
      </c>
      <c r="Q196" s="95">
        <f>COUNTIF(COMPOSICIÓN!$A:$A,A196)</f>
        <v>11</v>
      </c>
      <c r="R196" s="32"/>
      <c r="S196" s="32" t="s">
        <v>304</v>
      </c>
      <c r="T196" s="32">
        <v>610540.33970065799</v>
      </c>
      <c r="U196" s="32">
        <v>289506.59999999998</v>
      </c>
      <c r="V196" s="32">
        <v>13500.7040955099</v>
      </c>
    </row>
    <row r="197" spans="1:22" ht="14.25" hidden="1" customHeight="1" x14ac:dyDescent="0.35">
      <c r="A197" s="12" t="s">
        <v>308</v>
      </c>
      <c r="B197" s="12"/>
      <c r="C197" s="12" t="s">
        <v>2034</v>
      </c>
      <c r="D197" s="12" t="s">
        <v>307</v>
      </c>
      <c r="E197" s="14" t="s">
        <v>98</v>
      </c>
      <c r="F197" s="14">
        <v>1</v>
      </c>
      <c r="G197" s="14">
        <v>0</v>
      </c>
      <c r="H197" s="14">
        <v>0</v>
      </c>
      <c r="I197" s="14">
        <v>1</v>
      </c>
      <c r="J197" s="100">
        <f>SUMIFS(COMPOSICIÓN!J$2:J$1892,COMPOSICIÓN!A$2:A$1892,A197,COMPOSICIÓN!B$2:B$1892,"MAT")</f>
        <v>290880.00135847914</v>
      </c>
      <c r="K197" s="100">
        <f>SUMIFS(COMPOSICIÓN!J$2:J$1892,COMPOSICIÓN!A$2:A$1892,A197,COMPOSICIÓN!B$2:B$1892,"MO")*I197</f>
        <v>289506.59999999998</v>
      </c>
      <c r="L197" s="100">
        <f>SUMIFS(COMPOSICIÓN!J$2:J$1892,COMPOSICIÓN!A$2:A$1892,A197,COMPOSICIÓN!B$2:B$1892,"EQ")</f>
        <v>8705.7989624149104</v>
      </c>
      <c r="M197" s="101">
        <f t="shared" si="16"/>
        <v>290880.00135847914</v>
      </c>
      <c r="N197" s="101">
        <f t="shared" si="17"/>
        <v>289506.59999999998</v>
      </c>
      <c r="O197" s="101">
        <f t="shared" si="15"/>
        <v>8705.7989624149104</v>
      </c>
      <c r="P197" s="101">
        <f t="shared" si="18"/>
        <v>589092.40032089408</v>
      </c>
      <c r="Q197" s="102">
        <f>COUNTIF(COMPOSICIÓN!$A:$A,A197)</f>
        <v>8</v>
      </c>
      <c r="R197" s="17"/>
      <c r="S197" s="17" t="s">
        <v>304</v>
      </c>
      <c r="T197" s="17">
        <v>290879.99749432702</v>
      </c>
      <c r="U197" s="17">
        <v>289506.59999999998</v>
      </c>
      <c r="V197" s="17">
        <v>8705.7989624149104</v>
      </c>
    </row>
    <row r="198" spans="1:22" ht="14.25" hidden="1" customHeight="1" x14ac:dyDescent="0.35">
      <c r="A198" s="105" t="s">
        <v>310</v>
      </c>
      <c r="B198" s="105"/>
      <c r="C198" s="105" t="s">
        <v>2034</v>
      </c>
      <c r="D198" s="105" t="s">
        <v>309</v>
      </c>
      <c r="E198" s="106" t="s">
        <v>98</v>
      </c>
      <c r="F198" s="106">
        <v>1</v>
      </c>
      <c r="G198" s="106">
        <v>0</v>
      </c>
      <c r="H198" s="106">
        <v>0</v>
      </c>
      <c r="I198" s="106">
        <v>1</v>
      </c>
      <c r="J198" s="96">
        <f>SUMIFS(COMPOSICIÓN!J$2:J$1892,COMPOSICIÓN!A$2:A$1892,A198,COMPOSICIÓN!B$2:B$1892,"MAT")</f>
        <v>502957.66486580932</v>
      </c>
      <c r="K198" s="96">
        <f>SUMIFS(COMPOSICIÓN!J$2:J$1892,COMPOSICIÓN!A$2:A$1892,A198,COMPOSICIÓN!B$2:B$1892,"MO")*I198</f>
        <v>289506.59999999998</v>
      </c>
      <c r="L198" s="96">
        <f>SUMIFS(COMPOSICIÓN!J$2:J$1892,COMPOSICIÓN!A$2:A$1892,A198,COMPOSICIÓN!B$2:B$1892,"EQ")</f>
        <v>11886.9640402859</v>
      </c>
      <c r="M198" s="103">
        <f t="shared" si="16"/>
        <v>502957.66486580932</v>
      </c>
      <c r="N198" s="103">
        <f t="shared" si="17"/>
        <v>289506.59999999998</v>
      </c>
      <c r="O198" s="103">
        <f t="shared" si="15"/>
        <v>11886.9640402859</v>
      </c>
      <c r="P198" s="103">
        <f t="shared" si="18"/>
        <v>804351.22890609526</v>
      </c>
      <c r="Q198" s="95">
        <f>COUNTIF(COMPOSICIÓN!$A:$A,A198)</f>
        <v>11</v>
      </c>
      <c r="R198" s="32"/>
      <c r="S198" s="32" t="s">
        <v>304</v>
      </c>
      <c r="T198" s="32">
        <v>502957.66935238999</v>
      </c>
      <c r="U198" s="32">
        <v>289506.59999999998</v>
      </c>
      <c r="V198" s="32">
        <v>11886.9640402859</v>
      </c>
    </row>
    <row r="199" spans="1:22" ht="14.25" hidden="1" customHeight="1" x14ac:dyDescent="0.35">
      <c r="A199" s="12" t="s">
        <v>312</v>
      </c>
      <c r="B199" s="12"/>
      <c r="C199" s="12" t="s">
        <v>2034</v>
      </c>
      <c r="D199" s="12" t="s">
        <v>311</v>
      </c>
      <c r="E199" s="14" t="s">
        <v>98</v>
      </c>
      <c r="F199" s="14">
        <v>1</v>
      </c>
      <c r="G199" s="14">
        <v>0</v>
      </c>
      <c r="H199" s="14">
        <v>0</v>
      </c>
      <c r="I199" s="14">
        <v>1</v>
      </c>
      <c r="J199" s="100">
        <f>SUMIFS(COMPOSICIÓN!J$2:J$1892,COMPOSICIÓN!A$2:A$1892,A199,COMPOSICIÓN!B$2:B$1892,"MAT")</f>
        <v>136527.37489747169</v>
      </c>
      <c r="K199" s="100">
        <f>SUMIFS(COMPOSICIÓN!J$2:J$1892,COMPOSICIÓN!A$2:A$1892,A199,COMPOSICIÓN!B$2:B$1892,"MO")*I199</f>
        <v>289506.59999999998</v>
      </c>
      <c r="L199" s="100">
        <f>SUMIFS(COMPOSICIÓN!J$2:J$1892,COMPOSICIÓN!A$2:A$1892,A199,COMPOSICIÓN!B$2:B$1892,"EQ")</f>
        <v>6390.5096158082797</v>
      </c>
      <c r="M199" s="101">
        <f t="shared" si="16"/>
        <v>136527.37489747169</v>
      </c>
      <c r="N199" s="101">
        <f t="shared" si="17"/>
        <v>289506.59999999998</v>
      </c>
      <c r="O199" s="101">
        <f t="shared" si="15"/>
        <v>6390.5096158082797</v>
      </c>
      <c r="P199" s="101">
        <f t="shared" si="18"/>
        <v>432424.48451327992</v>
      </c>
      <c r="Q199" s="102">
        <f>COUNTIF(COMPOSICIÓN!$A:$A,A199)</f>
        <v>9</v>
      </c>
      <c r="R199" s="17"/>
      <c r="S199" s="17" t="s">
        <v>304</v>
      </c>
      <c r="T199" s="17">
        <v>136527.374387219</v>
      </c>
      <c r="U199" s="17">
        <v>289506.59999999998</v>
      </c>
      <c r="V199" s="17">
        <v>6390.5096158082797</v>
      </c>
    </row>
    <row r="200" spans="1:22" ht="14.25" hidden="1" customHeight="1" x14ac:dyDescent="0.35">
      <c r="A200" s="105" t="s">
        <v>314</v>
      </c>
      <c r="B200" s="105"/>
      <c r="C200" s="105" t="s">
        <v>2034</v>
      </c>
      <c r="D200" s="105" t="s">
        <v>313</v>
      </c>
      <c r="E200" s="106" t="s">
        <v>98</v>
      </c>
      <c r="F200" s="106">
        <v>1</v>
      </c>
      <c r="G200" s="106">
        <v>0</v>
      </c>
      <c r="H200" s="106">
        <v>0</v>
      </c>
      <c r="I200" s="106">
        <v>1</v>
      </c>
      <c r="J200" s="96">
        <f>SUMIFS(COMPOSICIÓN!J$2:J$1892,COMPOSICIÓN!A$2:A$1892,A200,COMPOSICIÓN!B$2:B$1892,"MAT")</f>
        <v>210979.27364336391</v>
      </c>
      <c r="K200" s="96">
        <f>SUMIFS(COMPOSICIÓN!J$2:J$1892,COMPOSICIÓN!A$2:A$1892,A200,COMPOSICIÓN!B$2:B$1892,"MO")*I200</f>
        <v>289506.59999999998</v>
      </c>
      <c r="L200" s="96">
        <f>SUMIFS(COMPOSICIÓN!J$2:J$1892,COMPOSICIÓN!A$2:A$1892,A200,COMPOSICIÓN!B$2:B$1892,"EQ")</f>
        <v>7507.2881701155102</v>
      </c>
      <c r="M200" s="103">
        <f t="shared" si="16"/>
        <v>210979.27364336391</v>
      </c>
      <c r="N200" s="103">
        <f t="shared" si="17"/>
        <v>289506.59999999998</v>
      </c>
      <c r="O200" s="103">
        <f t="shared" si="15"/>
        <v>7507.2881701155102</v>
      </c>
      <c r="P200" s="103">
        <f t="shared" si="18"/>
        <v>507993.16181347938</v>
      </c>
      <c r="Q200" s="95">
        <f>COUNTIF(COMPOSICIÓN!$A:$A,A200)</f>
        <v>10</v>
      </c>
      <c r="R200" s="32"/>
      <c r="S200" s="32" t="s">
        <v>304</v>
      </c>
      <c r="T200" s="32">
        <v>210979.27800769999</v>
      </c>
      <c r="U200" s="32">
        <v>289506.59999999998</v>
      </c>
      <c r="V200" s="32">
        <v>7507.2881701155102</v>
      </c>
    </row>
    <row r="201" spans="1:22" ht="14.25" hidden="1" customHeight="1" x14ac:dyDescent="0.35">
      <c r="A201" s="12" t="s">
        <v>316</v>
      </c>
      <c r="B201" s="12"/>
      <c r="C201" s="12" t="s">
        <v>2034</v>
      </c>
      <c r="D201" s="12" t="s">
        <v>315</v>
      </c>
      <c r="E201" s="14" t="s">
        <v>26</v>
      </c>
      <c r="F201" s="14">
        <v>1</v>
      </c>
      <c r="G201" s="14">
        <v>0</v>
      </c>
      <c r="H201" s="106">
        <v>0</v>
      </c>
      <c r="I201" s="106">
        <v>1</v>
      </c>
      <c r="J201" s="96">
        <f>SUMIFS(COMPOSICIÓN!J$2:J$1892,COMPOSICIÓN!A$2:A$1892,A201,COMPOSICIÓN!B$2:B$1892,"MAT")</f>
        <v>6941648.2775357002</v>
      </c>
      <c r="K201" s="96">
        <f>SUMIFS(COMPOSICIÓN!J$2:J$1892,COMPOSICIÓN!A$2:A$1892,A201,COMPOSICIÓN!B$2:B$1892,"MO")*I201</f>
        <v>3269696.8515315522</v>
      </c>
      <c r="L201" s="96">
        <f>SUMIFS(COMPOSICIÓN!J$2:J$1892,COMPOSICIÓN!A$2:A$1892,A201,COMPOSICIÓN!B$2:B$1892,"EQ")</f>
        <v>153170.176936009</v>
      </c>
      <c r="M201" s="101">
        <f t="shared" si="16"/>
        <v>6941648.2775357002</v>
      </c>
      <c r="N201" s="101">
        <f t="shared" si="17"/>
        <v>3269696.8515315522</v>
      </c>
      <c r="O201" s="101">
        <f t="shared" si="15"/>
        <v>153170.176936009</v>
      </c>
      <c r="P201" s="101">
        <f t="shared" si="18"/>
        <v>10364515.306003263</v>
      </c>
      <c r="Q201" s="102">
        <f>COUNTIF(COMPOSICIÓN!$A:$A,A201)</f>
        <v>5</v>
      </c>
      <c r="R201" s="17"/>
      <c r="S201" s="17" t="s">
        <v>32</v>
      </c>
      <c r="T201" s="17">
        <v>6941648.2775357002</v>
      </c>
      <c r="U201" s="17">
        <v>3269696.8515315498</v>
      </c>
      <c r="V201" s="17">
        <v>153170.176936009</v>
      </c>
    </row>
    <row r="202" spans="1:22" ht="14.25" hidden="1" customHeight="1" x14ac:dyDescent="0.35">
      <c r="A202" s="105" t="s">
        <v>318</v>
      </c>
      <c r="B202" s="105"/>
      <c r="C202" s="105" t="s">
        <v>2034</v>
      </c>
      <c r="D202" s="105" t="s">
        <v>317</v>
      </c>
      <c r="E202" s="106" t="s">
        <v>26</v>
      </c>
      <c r="F202" s="106">
        <v>1</v>
      </c>
      <c r="G202" s="106">
        <v>0</v>
      </c>
      <c r="H202" s="106">
        <v>0</v>
      </c>
      <c r="I202" s="106">
        <v>1</v>
      </c>
      <c r="J202" s="96">
        <f>SUMIFS(COMPOSICIÓN!J$2:J$1892,COMPOSICIÓN!A$2:A$1892,A202,COMPOSICIÓN!B$2:B$1892,"MAT")</f>
        <v>896755.59</v>
      </c>
      <c r="K202" s="96">
        <f>SUMIFS(COMPOSICIÓN!J$2:J$1892,COMPOSICIÓN!A$2:A$1892,A202,COMPOSICIÓN!B$2:B$1892,"MO")*I202</f>
        <v>1634848.4257657761</v>
      </c>
      <c r="L202" s="96">
        <f>SUMIFS(COMPOSICIÓN!J$2:J$1892,COMPOSICIÓN!A$2:A$1892,A202,COMPOSICIÓN!B$2:B$1892,"EQ")</f>
        <v>37974.0602915403</v>
      </c>
      <c r="M202" s="103">
        <f t="shared" si="16"/>
        <v>896755.59</v>
      </c>
      <c r="N202" s="103">
        <f t="shared" si="17"/>
        <v>1634848.4257657761</v>
      </c>
      <c r="O202" s="103">
        <f t="shared" si="15"/>
        <v>37974.0602915403</v>
      </c>
      <c r="P202" s="103">
        <f t="shared" si="18"/>
        <v>2569578.0760573163</v>
      </c>
      <c r="Q202" s="95">
        <f>COUNTIF(COMPOSICIÓN!$A:$A,A202)</f>
        <v>5</v>
      </c>
      <c r="R202" s="32"/>
      <c r="S202" s="32" t="s">
        <v>32</v>
      </c>
      <c r="T202" s="32">
        <v>896755.59367024095</v>
      </c>
      <c r="U202" s="32">
        <v>1634848.42576578</v>
      </c>
      <c r="V202" s="32">
        <v>37974.0602915403</v>
      </c>
    </row>
    <row r="203" spans="1:22" ht="14.25" hidden="1" customHeight="1" x14ac:dyDescent="0.35">
      <c r="A203" s="105" t="s">
        <v>322</v>
      </c>
      <c r="B203" s="105"/>
      <c r="C203" s="105" t="s">
        <v>2034</v>
      </c>
      <c r="D203" s="105" t="s">
        <v>321</v>
      </c>
      <c r="E203" s="106" t="s">
        <v>98</v>
      </c>
      <c r="F203" s="106">
        <v>1</v>
      </c>
      <c r="G203" s="106">
        <v>0</v>
      </c>
      <c r="H203" s="106">
        <v>0</v>
      </c>
      <c r="I203" s="106">
        <v>1</v>
      </c>
      <c r="J203" s="96">
        <f>SUMIFS(COMPOSICIÓN!J$2:J$1892,COMPOSICIÓN!A$2:A$1892,A203,COMPOSICIÓN!B$2:B$1892,"MAT")</f>
        <v>0</v>
      </c>
      <c r="K203" s="96">
        <f>SUMIFS(COMPOSICIÓN!J$2:J$1892,COMPOSICIÓN!A$2:A$1892,A203,COMPOSICIÓN!B$2:B$1892,"MO")*I203</f>
        <v>9575.2999999999993</v>
      </c>
      <c r="L203" s="96">
        <f>SUMIFS(COMPOSICIÓN!J$2:J$1892,COMPOSICIÓN!A$2:A$1892,A203,COMPOSICIÓN!B$2:B$1892,"EQ")</f>
        <v>143.62950000000001</v>
      </c>
      <c r="M203" s="103">
        <f t="shared" si="16"/>
        <v>0</v>
      </c>
      <c r="N203" s="103">
        <f t="shared" si="17"/>
        <v>9575.2999999999993</v>
      </c>
      <c r="O203" s="103">
        <f t="shared" si="15"/>
        <v>143.62950000000001</v>
      </c>
      <c r="P203" s="103">
        <f t="shared" si="18"/>
        <v>9718.9294999999984</v>
      </c>
      <c r="Q203" s="95">
        <f>COUNTIF(COMPOSICIÓN!$A:$A,A203)</f>
        <v>2</v>
      </c>
      <c r="R203" s="32"/>
      <c r="S203" s="32" t="s">
        <v>28</v>
      </c>
      <c r="T203" s="32">
        <v>0</v>
      </c>
      <c r="U203" s="32">
        <v>9575.2999999999993</v>
      </c>
      <c r="V203" s="32">
        <v>143.62950000000001</v>
      </c>
    </row>
    <row r="204" spans="1:22" ht="14.25" hidden="1" customHeight="1" x14ac:dyDescent="0.35">
      <c r="A204" s="12" t="s">
        <v>324</v>
      </c>
      <c r="B204" s="12"/>
      <c r="C204" s="12" t="s">
        <v>2034</v>
      </c>
      <c r="D204" s="12" t="s">
        <v>323</v>
      </c>
      <c r="E204" s="14" t="s">
        <v>98</v>
      </c>
      <c r="F204" s="14">
        <v>1</v>
      </c>
      <c r="G204" s="14">
        <v>0</v>
      </c>
      <c r="H204" s="106">
        <v>0</v>
      </c>
      <c r="I204" s="106">
        <v>1</v>
      </c>
      <c r="J204" s="96">
        <f>SUMIFS(COMPOSICIÓN!J$2:J$1892,COMPOSICIÓN!A$2:A$1892,A204,COMPOSICIÓN!B$2:B$1892,"MAT")</f>
        <v>0</v>
      </c>
      <c r="K204" s="96">
        <f>SUMIFS(COMPOSICIÓN!J$2:J$1892,COMPOSICIÓN!A$2:A$1892,A204,COMPOSICIÓN!B$2:B$1892,"MO")*I204</f>
        <v>9575.2999999999993</v>
      </c>
      <c r="L204" s="96">
        <f>SUMIFS(COMPOSICIÓN!J$2:J$1892,COMPOSICIÓN!A$2:A$1892,A204,COMPOSICIÓN!B$2:B$1892,"EQ")</f>
        <v>143.62950000000001</v>
      </c>
      <c r="M204" s="101">
        <f t="shared" si="16"/>
        <v>0</v>
      </c>
      <c r="N204" s="101">
        <f t="shared" si="17"/>
        <v>9575.2999999999993</v>
      </c>
      <c r="O204" s="101">
        <f t="shared" si="15"/>
        <v>143.62950000000001</v>
      </c>
      <c r="P204" s="101">
        <f t="shared" si="18"/>
        <v>9718.9294999999984</v>
      </c>
      <c r="Q204" s="102">
        <f>COUNTIF(COMPOSICIÓN!$A:$A,A204)</f>
        <v>2</v>
      </c>
      <c r="R204" s="17"/>
      <c r="S204" s="17" t="s">
        <v>28</v>
      </c>
      <c r="T204" s="17">
        <v>0</v>
      </c>
      <c r="U204" s="17">
        <v>9575.2999999999993</v>
      </c>
      <c r="V204" s="17">
        <v>143.62950000000001</v>
      </c>
    </row>
    <row r="205" spans="1:22" ht="14.25" hidden="1" customHeight="1" x14ac:dyDescent="0.35">
      <c r="A205" s="105" t="s">
        <v>326</v>
      </c>
      <c r="B205" s="105"/>
      <c r="C205" s="105" t="s">
        <v>2034</v>
      </c>
      <c r="D205" s="105" t="s">
        <v>325</v>
      </c>
      <c r="E205" s="106" t="s">
        <v>98</v>
      </c>
      <c r="F205" s="106">
        <v>1</v>
      </c>
      <c r="G205" s="106">
        <v>0</v>
      </c>
      <c r="H205" s="106">
        <v>0</v>
      </c>
      <c r="I205" s="106">
        <v>1</v>
      </c>
      <c r="J205" s="96">
        <f>SUMIFS(COMPOSICIÓN!J$2:J$1892,COMPOSICIÓN!A$2:A$1892,A205,COMPOSICIÓN!B$2:B$1892,"MAT")</f>
        <v>0</v>
      </c>
      <c r="K205" s="96">
        <f>SUMIFS(COMPOSICIÓN!J$2:J$1892,COMPOSICIÓN!A$2:A$1892,A205,COMPOSICIÓN!B$2:B$1892,"MO")*I205</f>
        <v>9575.2999999999993</v>
      </c>
      <c r="L205" s="96">
        <f>SUMIFS(COMPOSICIÓN!J$2:J$1892,COMPOSICIÓN!A$2:A$1892,A205,COMPOSICIÓN!B$2:B$1892,"EQ")</f>
        <v>143.62950000000001</v>
      </c>
      <c r="M205" s="103">
        <f t="shared" si="16"/>
        <v>0</v>
      </c>
      <c r="N205" s="103">
        <f t="shared" si="17"/>
        <v>9575.2999999999993</v>
      </c>
      <c r="O205" s="103">
        <f t="shared" si="15"/>
        <v>143.62950000000001</v>
      </c>
      <c r="P205" s="103">
        <f t="shared" si="18"/>
        <v>9718.9294999999984</v>
      </c>
      <c r="Q205" s="95">
        <f>COUNTIF(COMPOSICIÓN!$A:$A,A205)</f>
        <v>2</v>
      </c>
      <c r="R205" s="32"/>
      <c r="S205" s="32" t="s">
        <v>28</v>
      </c>
      <c r="T205" s="32">
        <v>0</v>
      </c>
      <c r="U205" s="32">
        <v>9575.2999999999993</v>
      </c>
      <c r="V205" s="32">
        <v>143.62950000000001</v>
      </c>
    </row>
    <row r="206" spans="1:22" ht="14.25" hidden="1" customHeight="1" x14ac:dyDescent="0.35">
      <c r="A206" s="12" t="s">
        <v>328</v>
      </c>
      <c r="B206" s="12"/>
      <c r="C206" s="12" t="s">
        <v>2034</v>
      </c>
      <c r="D206" s="12" t="s">
        <v>327</v>
      </c>
      <c r="E206" s="14" t="s">
        <v>98</v>
      </c>
      <c r="F206" s="14">
        <v>1</v>
      </c>
      <c r="G206" s="14">
        <v>0</v>
      </c>
      <c r="H206" s="106">
        <v>0</v>
      </c>
      <c r="I206" s="106">
        <v>1</v>
      </c>
      <c r="J206" s="96">
        <f>SUMIFS(COMPOSICIÓN!J$2:J$1892,COMPOSICIÓN!A$2:A$1892,A206,COMPOSICIÓN!B$2:B$1892,"MAT")</f>
        <v>0</v>
      </c>
      <c r="K206" s="96">
        <f>SUMIFS(COMPOSICIÓN!J$2:J$1892,COMPOSICIÓN!A$2:A$1892,A206,COMPOSICIÓN!B$2:B$1892,"MO")*I206</f>
        <v>14693.7</v>
      </c>
      <c r="L206" s="96">
        <f>SUMIFS(COMPOSICIÓN!J$2:J$1892,COMPOSICIÓN!A$2:A$1892,A206,COMPOSICIÓN!B$2:B$1892,"EQ")</f>
        <v>220.40549999999999</v>
      </c>
      <c r="M206" s="101">
        <f t="shared" si="16"/>
        <v>0</v>
      </c>
      <c r="N206" s="101">
        <f t="shared" si="17"/>
        <v>14693.7</v>
      </c>
      <c r="O206" s="101">
        <f t="shared" si="15"/>
        <v>220.40549999999999</v>
      </c>
      <c r="P206" s="101">
        <f t="shared" si="18"/>
        <v>14914.105500000001</v>
      </c>
      <c r="Q206" s="102">
        <f>COUNTIF(COMPOSICIÓN!$A:$A,A206)</f>
        <v>2</v>
      </c>
      <c r="R206" s="17"/>
      <c r="S206" s="17" t="s">
        <v>28</v>
      </c>
      <c r="T206" s="17">
        <v>0</v>
      </c>
      <c r="U206" s="17">
        <v>14693.7</v>
      </c>
      <c r="V206" s="17">
        <v>220.40549999999999</v>
      </c>
    </row>
    <row r="207" spans="1:22" ht="14.25" hidden="1" customHeight="1" x14ac:dyDescent="0.35">
      <c r="A207" s="105" t="s">
        <v>330</v>
      </c>
      <c r="B207" s="105"/>
      <c r="C207" s="105" t="s">
        <v>2034</v>
      </c>
      <c r="D207" s="105" t="s">
        <v>329</v>
      </c>
      <c r="E207" s="106" t="s">
        <v>98</v>
      </c>
      <c r="F207" s="106">
        <v>1</v>
      </c>
      <c r="G207" s="106">
        <v>0</v>
      </c>
      <c r="H207" s="106">
        <v>0</v>
      </c>
      <c r="I207" s="106">
        <v>1</v>
      </c>
      <c r="J207" s="96">
        <f>SUMIFS(COMPOSICIÓN!J$2:J$1892,COMPOSICIÓN!A$2:A$1892,A207,COMPOSICIÓN!B$2:B$1892,"MAT")</f>
        <v>0</v>
      </c>
      <c r="K207" s="96">
        <f>SUMIFS(COMPOSICIÓN!J$2:J$1892,COMPOSICIÓN!A$2:A$1892,A207,COMPOSICIÓN!B$2:B$1892,"MO")*I207</f>
        <v>14693.7</v>
      </c>
      <c r="L207" s="96">
        <f>SUMIFS(COMPOSICIÓN!J$2:J$1892,COMPOSICIÓN!A$2:A$1892,A207,COMPOSICIÓN!B$2:B$1892,"EQ")</f>
        <v>220.40549999999999</v>
      </c>
      <c r="M207" s="103">
        <f t="shared" si="16"/>
        <v>0</v>
      </c>
      <c r="N207" s="103">
        <f t="shared" si="17"/>
        <v>14693.7</v>
      </c>
      <c r="O207" s="103">
        <f t="shared" si="15"/>
        <v>220.40549999999999</v>
      </c>
      <c r="P207" s="103">
        <f t="shared" si="18"/>
        <v>14914.105500000001</v>
      </c>
      <c r="Q207" s="95">
        <f>COUNTIF(COMPOSICIÓN!$A:$A,A207)</f>
        <v>2</v>
      </c>
      <c r="R207" s="32"/>
      <c r="S207" s="32" t="s">
        <v>28</v>
      </c>
      <c r="T207" s="32">
        <v>0</v>
      </c>
      <c r="U207" s="32">
        <v>14693.7</v>
      </c>
      <c r="V207" s="32">
        <v>220.40549999999999</v>
      </c>
    </row>
    <row r="208" spans="1:22" ht="14.25" hidden="1" customHeight="1" x14ac:dyDescent="0.35">
      <c r="A208" s="12" t="s">
        <v>332</v>
      </c>
      <c r="B208" s="12"/>
      <c r="C208" s="12" t="s">
        <v>2034</v>
      </c>
      <c r="D208" s="12" t="s">
        <v>331</v>
      </c>
      <c r="E208" s="14" t="s">
        <v>26</v>
      </c>
      <c r="F208" s="14">
        <v>1</v>
      </c>
      <c r="G208" s="14">
        <v>0</v>
      </c>
      <c r="H208" s="106">
        <v>0</v>
      </c>
      <c r="I208" s="106">
        <v>1</v>
      </c>
      <c r="J208" s="96">
        <f>SUMIFS(COMPOSICIÓN!J$2:J$1892,COMPOSICIÓN!A$2:A$1892,A208,COMPOSICIÓN!B$2:B$1892,"MAT")</f>
        <v>6991302.4321481204</v>
      </c>
      <c r="K208" s="96">
        <f>SUMIFS(COMPOSICIÓN!J$2:J$1892,COMPOSICIÓN!A$2:A$1892,A208,COMPOSICIÓN!B$2:B$1892,"MO")*I208</f>
        <v>3242733.2</v>
      </c>
      <c r="L208" s="96">
        <f>SUMIFS(COMPOSICIÓN!J$2:J$1892,COMPOSICIÓN!A$2:A$1892,A208,COMPOSICIÓN!B$2:B$1892,"EQ")</f>
        <v>153510.53448222199</v>
      </c>
      <c r="M208" s="101">
        <f t="shared" si="16"/>
        <v>6991302.4321481204</v>
      </c>
      <c r="N208" s="101">
        <f t="shared" si="17"/>
        <v>3242733.2</v>
      </c>
      <c r="O208" s="101">
        <f t="shared" si="15"/>
        <v>153510.53448222199</v>
      </c>
      <c r="P208" s="101">
        <f t="shared" si="18"/>
        <v>10387546.166630343</v>
      </c>
      <c r="Q208" s="102">
        <f>COUNTIF(COMPOSICIÓN!$A:$A,A208)</f>
        <v>7</v>
      </c>
      <c r="R208" s="17"/>
      <c r="S208" s="17" t="s">
        <v>32</v>
      </c>
      <c r="T208" s="17">
        <v>6991302.4321481204</v>
      </c>
      <c r="U208" s="17">
        <v>3242733.2</v>
      </c>
      <c r="V208" s="17">
        <v>153510.53448222199</v>
      </c>
    </row>
    <row r="209" spans="1:22" ht="14.25" hidden="1" customHeight="1" x14ac:dyDescent="0.35">
      <c r="A209" s="105" t="s">
        <v>334</v>
      </c>
      <c r="B209" s="105"/>
      <c r="C209" s="105" t="s">
        <v>2034</v>
      </c>
      <c r="D209" s="105" t="s">
        <v>333</v>
      </c>
      <c r="E209" s="106" t="s">
        <v>26</v>
      </c>
      <c r="F209" s="106">
        <v>1</v>
      </c>
      <c r="G209" s="106">
        <v>0</v>
      </c>
      <c r="H209" s="106">
        <v>0</v>
      </c>
      <c r="I209" s="106">
        <v>1</v>
      </c>
      <c r="J209" s="96">
        <f>SUMIFS(COMPOSICIÓN!J$2:J$1892,COMPOSICIÓN!A$2:A$1892,A209,COMPOSICIÓN!B$2:B$1892,"MAT")</f>
        <v>1057994.98</v>
      </c>
      <c r="K209" s="96">
        <f>SUMIFS(COMPOSICIÓN!J$2:J$1892,COMPOSICIÓN!A$2:A$1892,A209,COMPOSICIÓN!B$2:B$1892,"MO")*I209</f>
        <v>401985.5</v>
      </c>
      <c r="L209" s="96">
        <f>SUMIFS(COMPOSICIÓN!J$2:J$1892,COMPOSICIÓN!A$2:A$1892,A209,COMPOSICIÓN!B$2:B$1892,"EQ")</f>
        <v>21899.707259482599</v>
      </c>
      <c r="M209" s="103">
        <f t="shared" si="16"/>
        <v>1057994.98</v>
      </c>
      <c r="N209" s="103">
        <f t="shared" si="17"/>
        <v>401985.5</v>
      </c>
      <c r="O209" s="103">
        <f t="shared" si="15"/>
        <v>21899.707259482599</v>
      </c>
      <c r="P209" s="103">
        <f t="shared" si="18"/>
        <v>1481880.1872594827</v>
      </c>
      <c r="Q209" s="95">
        <f>COUNTIF(COMPOSICIÓN!$A:$A,A209)</f>
        <v>3</v>
      </c>
      <c r="R209" s="32"/>
      <c r="S209" s="32" t="s">
        <v>32</v>
      </c>
      <c r="T209" s="32">
        <v>1057994.98396551</v>
      </c>
      <c r="U209" s="32">
        <v>401985.5</v>
      </c>
      <c r="V209" s="32">
        <v>21899.707259482599</v>
      </c>
    </row>
    <row r="210" spans="1:22" ht="14.25" hidden="1" customHeight="1" x14ac:dyDescent="0.35">
      <c r="A210" s="105" t="s">
        <v>336</v>
      </c>
      <c r="B210" s="105"/>
      <c r="C210" s="105" t="s">
        <v>2034</v>
      </c>
      <c r="D210" s="105" t="s">
        <v>335</v>
      </c>
      <c r="E210" s="106" t="s">
        <v>26</v>
      </c>
      <c r="F210" s="106">
        <v>1</v>
      </c>
      <c r="G210" s="106">
        <v>0</v>
      </c>
      <c r="H210" s="106">
        <v>0</v>
      </c>
      <c r="I210" s="106">
        <v>1</v>
      </c>
      <c r="J210" s="96">
        <f>SUMIFS(COMPOSICIÓN!J$2:J$1892,COMPOSICIÓN!A$2:A$1892,A210,COMPOSICIÓN!B$2:B$1892,"MAT")</f>
        <v>0</v>
      </c>
      <c r="K210" s="96">
        <f>SUMIFS(COMPOSICIÓN!J$2:J$1892,COMPOSICIÓN!A$2:A$1892,A210,COMPOSICIÓN!B$2:B$1892,"MO")*I210</f>
        <v>113275.771948505</v>
      </c>
      <c r="L210" s="96">
        <f>SUMIFS(COMPOSICIÓN!J$2:J$1892,COMPOSICIÓN!A$2:A$1892,A210,COMPOSICIÓN!B$2:B$1892,"EQ")</f>
        <v>0</v>
      </c>
      <c r="M210" s="103">
        <f t="shared" si="16"/>
        <v>0</v>
      </c>
      <c r="N210" s="103">
        <f t="shared" si="17"/>
        <v>113275.771948505</v>
      </c>
      <c r="O210" s="103">
        <f t="shared" si="15"/>
        <v>0</v>
      </c>
      <c r="P210" s="103">
        <f t="shared" si="18"/>
        <v>113275.771948505</v>
      </c>
      <c r="Q210" s="95">
        <f>COUNTIF(COMPOSICIÓN!$A:$A,A210)</f>
        <v>1</v>
      </c>
      <c r="R210" s="32"/>
      <c r="S210" s="32" t="s">
        <v>28</v>
      </c>
      <c r="T210" s="32">
        <v>0</v>
      </c>
      <c r="U210" s="32">
        <v>113275.771948505</v>
      </c>
      <c r="V210" s="32">
        <v>0</v>
      </c>
    </row>
    <row r="211" spans="1:22" ht="14.25" hidden="1" customHeight="1" x14ac:dyDescent="0.35">
      <c r="A211" s="12" t="s">
        <v>338</v>
      </c>
      <c r="B211" s="12"/>
      <c r="C211" s="12" t="s">
        <v>2008</v>
      </c>
      <c r="D211" s="12" t="s">
        <v>337</v>
      </c>
      <c r="E211" s="14" t="s">
        <v>26</v>
      </c>
      <c r="F211" s="14">
        <v>1</v>
      </c>
      <c r="G211" s="14">
        <v>0</v>
      </c>
      <c r="H211" s="14">
        <v>0</v>
      </c>
      <c r="I211" s="14">
        <v>1</v>
      </c>
      <c r="J211" s="100">
        <f>SUMIFS(COMPOSICIÓN!J$2:J$1892,COMPOSICIÓN!A$2:A$1892,A211,COMPOSICIÓN!B$2:B$1892,"MAT")</f>
        <v>559930.45214088424</v>
      </c>
      <c r="K211" s="100">
        <f>SUMIFS(COMPOSICIÓN!J$2:J$1892,COMPOSICIÓN!A$2:A$1892,A211,COMPOSICIÓN!B$2:B$1892,"MO")*I211</f>
        <v>931720.65894092806</v>
      </c>
      <c r="L211" s="100">
        <f>SUMIFS(COMPOSICIÓN!J$2:J$1892,COMPOSICIÓN!A$2:A$1892,A211,COMPOSICIÓN!B$2:B$1892,"EQ")</f>
        <v>22374.766708971001</v>
      </c>
      <c r="M211" s="101">
        <f t="shared" si="16"/>
        <v>559930.45214088424</v>
      </c>
      <c r="N211" s="101">
        <f t="shared" si="17"/>
        <v>931720.65894092806</v>
      </c>
      <c r="O211" s="101">
        <f t="shared" si="15"/>
        <v>22374.766708971001</v>
      </c>
      <c r="P211" s="101">
        <f t="shared" si="18"/>
        <v>1514025.8777907833</v>
      </c>
      <c r="Q211" s="102">
        <f>COUNTIF(COMPOSICIÓN!$A:$A,A211)</f>
        <v>14</v>
      </c>
      <c r="R211" s="17"/>
      <c r="S211" s="17" t="s">
        <v>339</v>
      </c>
      <c r="T211" s="17">
        <v>559930.45499047101</v>
      </c>
      <c r="U211" s="17">
        <v>931720.65894092806</v>
      </c>
      <c r="V211" s="17">
        <v>22374.766708971001</v>
      </c>
    </row>
    <row r="212" spans="1:22" ht="14.25" hidden="1" customHeight="1" x14ac:dyDescent="0.35">
      <c r="A212" s="105" t="s">
        <v>341</v>
      </c>
      <c r="B212" s="105"/>
      <c r="C212" s="12" t="s">
        <v>2008</v>
      </c>
      <c r="D212" s="105" t="s">
        <v>340</v>
      </c>
      <c r="E212" s="106" t="s">
        <v>26</v>
      </c>
      <c r="F212" s="106">
        <v>1</v>
      </c>
      <c r="G212" s="106">
        <v>0</v>
      </c>
      <c r="H212" s="106">
        <v>0</v>
      </c>
      <c r="I212" s="106">
        <v>1</v>
      </c>
      <c r="J212" s="96">
        <f>SUMIFS(COMPOSICIÓN!J$2:J$1892,COMPOSICIÓN!A$2:A$1892,A212,COMPOSICIÓN!B$2:B$1892,"MAT")</f>
        <v>4309627.8628147747</v>
      </c>
      <c r="K212" s="96">
        <f>SUMIFS(COMPOSICIÓN!J$2:J$1892,COMPOSICIÓN!A$2:A$1892,A212,COMPOSICIÓN!B$2:B$1892,"MO")*I212</f>
        <v>7439542.8720526099</v>
      </c>
      <c r="L212" s="96">
        <f>SUMIFS(COMPOSICIÓN!J$2:J$1892,COMPOSICIÓN!A$2:A$1892,A212,COMPOSICIÓN!B$2:B$1892,"EQ")</f>
        <v>176237.56103145599</v>
      </c>
      <c r="M212" s="103">
        <f t="shared" si="16"/>
        <v>4309627.8628147747</v>
      </c>
      <c r="N212" s="103">
        <f t="shared" si="17"/>
        <v>7439542.8720526099</v>
      </c>
      <c r="O212" s="103">
        <f t="shared" si="15"/>
        <v>176237.56103145599</v>
      </c>
      <c r="P212" s="103">
        <f t="shared" si="18"/>
        <v>11925408.29589884</v>
      </c>
      <c r="Q212" s="95">
        <f>COUNTIF(COMPOSICIÓN!$A:$A,A212)</f>
        <v>31</v>
      </c>
      <c r="R212" s="32"/>
      <c r="S212" s="32" t="s">
        <v>339</v>
      </c>
      <c r="T212" s="32">
        <v>4309627.8633777499</v>
      </c>
      <c r="U212" s="32">
        <v>7439542.8720526099</v>
      </c>
      <c r="V212" s="32">
        <v>176237.56103145599</v>
      </c>
    </row>
    <row r="213" spans="1:22" ht="14.25" hidden="1" customHeight="1" x14ac:dyDescent="0.35">
      <c r="A213" s="12" t="s">
        <v>343</v>
      </c>
      <c r="B213" s="12"/>
      <c r="C213" s="12" t="s">
        <v>2008</v>
      </c>
      <c r="D213" s="12" t="s">
        <v>342</v>
      </c>
      <c r="E213" s="14" t="s">
        <v>26</v>
      </c>
      <c r="F213" s="14">
        <v>1</v>
      </c>
      <c r="G213" s="14">
        <v>0</v>
      </c>
      <c r="H213" s="14">
        <v>0</v>
      </c>
      <c r="I213" s="14">
        <v>1</v>
      </c>
      <c r="J213" s="100">
        <f>SUMIFS(COMPOSICIÓN!J$2:J$1892,COMPOSICIÓN!A$2:A$1892,A213,COMPOSICIÓN!B$2:B$1892,"MAT")</f>
        <v>1446561.6458157499</v>
      </c>
      <c r="K213" s="100">
        <f>SUMIFS(COMPOSICIÓN!J$2:J$1892,COMPOSICIÓN!A$2:A$1892,A213,COMPOSICIÓN!B$2:B$1892,"MO")*I213</f>
        <v>2179040.2308093999</v>
      </c>
      <c r="L213" s="100">
        <f>SUMIFS(COMPOSICIÓN!J$2:J$1892,COMPOSICIÓN!A$2:A$1892,A213,COMPOSICIÓN!B$2:B$1892,"EQ")</f>
        <v>54384.028149377104</v>
      </c>
      <c r="M213" s="101">
        <f t="shared" si="16"/>
        <v>1446561.6458157499</v>
      </c>
      <c r="N213" s="101">
        <f t="shared" si="17"/>
        <v>2179040.2308093999</v>
      </c>
      <c r="O213" s="101">
        <f t="shared" si="15"/>
        <v>54384.028149377104</v>
      </c>
      <c r="P213" s="101">
        <f t="shared" si="18"/>
        <v>3679985.9047745266</v>
      </c>
      <c r="Q213" s="102">
        <f>COUNTIF(COMPOSICIÓN!$A:$A,A213)</f>
        <v>3</v>
      </c>
      <c r="R213" s="17"/>
      <c r="S213" s="17" t="s">
        <v>339</v>
      </c>
      <c r="T213" s="17">
        <v>1446561.6458157499</v>
      </c>
      <c r="U213" s="17">
        <v>2179040.2308093999</v>
      </c>
      <c r="V213" s="17">
        <v>54384.028149377104</v>
      </c>
    </row>
    <row r="214" spans="1:22" ht="14.25" hidden="1" customHeight="1" x14ac:dyDescent="0.35">
      <c r="A214" s="105" t="s">
        <v>345</v>
      </c>
      <c r="B214" s="105"/>
      <c r="C214" s="12" t="s">
        <v>2008</v>
      </c>
      <c r="D214" s="105" t="s">
        <v>344</v>
      </c>
      <c r="E214" s="106" t="s">
        <v>26</v>
      </c>
      <c r="F214" s="106">
        <v>1</v>
      </c>
      <c r="G214" s="106">
        <v>0</v>
      </c>
      <c r="H214" s="106">
        <v>0</v>
      </c>
      <c r="I214" s="106">
        <v>1</v>
      </c>
      <c r="J214" s="96">
        <f>SUMIFS(COMPOSICIÓN!J$2:J$1892,COMPOSICIÓN!A$2:A$1892,A214,COMPOSICIÓN!B$2:B$1892,"MAT")</f>
        <v>460664.74220464122</v>
      </c>
      <c r="K214" s="96">
        <f>SUMIFS(COMPOSICIÓN!J$2:J$1892,COMPOSICIÓN!A$2:A$1892,A214,COMPOSICIÓN!B$2:B$1892,"MO")*I214</f>
        <v>931720.65894092806</v>
      </c>
      <c r="L214" s="96">
        <f>SUMIFS(COMPOSICIÓN!J$2:J$1892,COMPOSICIÓN!A$2:A$1892,A214,COMPOSICIÓN!B$2:B$1892,"EQ")</f>
        <v>20885.780963797501</v>
      </c>
      <c r="M214" s="103">
        <f t="shared" si="16"/>
        <v>460664.74220464122</v>
      </c>
      <c r="N214" s="103">
        <f t="shared" si="17"/>
        <v>931720.65894092806</v>
      </c>
      <c r="O214" s="103">
        <f t="shared" si="15"/>
        <v>20885.780963797501</v>
      </c>
      <c r="P214" s="103">
        <f t="shared" si="18"/>
        <v>1413271.1821093669</v>
      </c>
      <c r="Q214" s="95">
        <f>COUNTIF(COMPOSICIÓN!$A:$A,A214)</f>
        <v>11</v>
      </c>
      <c r="R214" s="32"/>
      <c r="S214" s="32" t="s">
        <v>346</v>
      </c>
      <c r="T214" s="32">
        <v>460664.73864557099</v>
      </c>
      <c r="U214" s="32">
        <v>931720.65894092806</v>
      </c>
      <c r="V214" s="32">
        <v>20885.780963797501</v>
      </c>
    </row>
    <row r="215" spans="1:22" ht="14.25" hidden="1" customHeight="1" x14ac:dyDescent="0.35">
      <c r="A215" s="12" t="s">
        <v>348</v>
      </c>
      <c r="B215" s="12"/>
      <c r="C215" s="12" t="s">
        <v>2008</v>
      </c>
      <c r="D215" s="12" t="s">
        <v>347</v>
      </c>
      <c r="E215" s="14" t="s">
        <v>26</v>
      </c>
      <c r="F215" s="14">
        <v>1</v>
      </c>
      <c r="G215" s="14">
        <v>0</v>
      </c>
      <c r="H215" s="14">
        <v>0</v>
      </c>
      <c r="I215" s="14">
        <v>1</v>
      </c>
      <c r="J215" s="100">
        <f>SUMIFS(COMPOSICIÓN!J$2:J$1892,COMPOSICIÓN!A$2:A$1892,A215,COMPOSICIÓN!B$2:B$1892,"MAT")</f>
        <v>2104760.5606523599</v>
      </c>
      <c r="K215" s="100">
        <f>SUMIFS(COMPOSICIÓN!J$2:J$1892,COMPOSICIÓN!A$2:A$1892,A215,COMPOSICIÓN!B$2:B$1892,"MO")*I215</f>
        <v>3537598.1952882898</v>
      </c>
      <c r="L215" s="100">
        <f>SUMIFS(COMPOSICIÓN!J$2:J$1892,COMPOSICIÓN!A$2:A$1892,A215,COMPOSICIÓN!B$2:B$1892,"EQ")</f>
        <v>84635.381339109605</v>
      </c>
      <c r="M215" s="101">
        <f t="shared" si="16"/>
        <v>2104760.5606523599</v>
      </c>
      <c r="N215" s="101">
        <f t="shared" si="17"/>
        <v>3537598.1952882898</v>
      </c>
      <c r="O215" s="101">
        <f t="shared" si="15"/>
        <v>84635.381339109605</v>
      </c>
      <c r="P215" s="101">
        <f t="shared" si="18"/>
        <v>5726994.1372797592</v>
      </c>
      <c r="Q215" s="102">
        <f>COUNTIF(COMPOSICIÓN!$A:$A,A215)</f>
        <v>3</v>
      </c>
      <c r="R215" s="17"/>
      <c r="S215" s="17" t="s">
        <v>346</v>
      </c>
      <c r="T215" s="17">
        <v>2104760.5606523599</v>
      </c>
      <c r="U215" s="17">
        <v>3537598.1952882898</v>
      </c>
      <c r="V215" s="17">
        <v>84635.381339109605</v>
      </c>
    </row>
    <row r="216" spans="1:22" ht="14.25" hidden="1" customHeight="1" x14ac:dyDescent="0.35">
      <c r="A216" s="105" t="s">
        <v>350</v>
      </c>
      <c r="B216" s="105"/>
      <c r="C216" s="12" t="s">
        <v>2008</v>
      </c>
      <c r="D216" s="105" t="s">
        <v>349</v>
      </c>
      <c r="E216" s="106" t="s">
        <v>26</v>
      </c>
      <c r="F216" s="106">
        <v>1</v>
      </c>
      <c r="G216" s="106">
        <v>0</v>
      </c>
      <c r="H216" s="106">
        <v>0</v>
      </c>
      <c r="I216" s="106">
        <v>1</v>
      </c>
      <c r="J216" s="96">
        <f>SUMIFS(COMPOSICIÓN!J$2:J$1892,COMPOSICIÓN!A$2:A$1892,A216,COMPOSICIÓN!B$2:B$1892,"MAT")</f>
        <v>809170.17674968601</v>
      </c>
      <c r="K216" s="96">
        <f>SUMIFS(COMPOSICIÓN!J$2:J$1892,COMPOSICIÓN!A$2:A$1892,A216,COMPOSICIÓN!B$2:B$1892,"MO")*I216</f>
        <v>1746247.40061585</v>
      </c>
      <c r="L216" s="96">
        <f>SUMIFS(COMPOSICIÓN!J$2:J$1892,COMPOSICIÓN!A$2:A$1892,A216,COMPOSICIÓN!B$2:B$1892,"EQ")</f>
        <v>38331.263660483099</v>
      </c>
      <c r="M216" s="103">
        <f t="shared" si="16"/>
        <v>809170.17674968601</v>
      </c>
      <c r="N216" s="103">
        <f t="shared" si="17"/>
        <v>1746247.40061585</v>
      </c>
      <c r="O216" s="103">
        <f t="shared" si="15"/>
        <v>38331.263660483099</v>
      </c>
      <c r="P216" s="103">
        <f t="shared" si="18"/>
        <v>2593748.8410260193</v>
      </c>
      <c r="Q216" s="95">
        <f>COUNTIF(COMPOSICIÓN!$A:$A,A216)</f>
        <v>3</v>
      </c>
      <c r="R216" s="32"/>
      <c r="S216" s="32" t="s">
        <v>351</v>
      </c>
      <c r="T216" s="32">
        <v>809170.17674968601</v>
      </c>
      <c r="U216" s="32">
        <v>1746247.40061585</v>
      </c>
      <c r="V216" s="32">
        <v>38331.263660483099</v>
      </c>
    </row>
    <row r="217" spans="1:22" ht="14.25" hidden="1" customHeight="1" x14ac:dyDescent="0.35">
      <c r="A217" s="12" t="s">
        <v>353</v>
      </c>
      <c r="B217" s="12"/>
      <c r="C217" s="12" t="s">
        <v>2008</v>
      </c>
      <c r="D217" s="12" t="s">
        <v>352</v>
      </c>
      <c r="E217" s="14" t="s">
        <v>26</v>
      </c>
      <c r="F217" s="14">
        <v>1</v>
      </c>
      <c r="G217" s="14">
        <v>0</v>
      </c>
      <c r="H217" s="106">
        <v>0</v>
      </c>
      <c r="I217" s="106">
        <v>1</v>
      </c>
      <c r="J217" s="96">
        <f>SUMIFS(COMPOSICIÓN!J$2:J$1892,COMPOSICIÓN!A$2:A$1892,A217,COMPOSICIÓN!B$2:B$1892,"MAT")</f>
        <v>1906561.77476009</v>
      </c>
      <c r="K217" s="96">
        <f>SUMIFS(COMPOSICIÓN!J$2:J$1892,COMPOSICIÓN!A$2:A$1892,A217,COMPOSICIÓN!B$2:B$1892,"MO")*I217</f>
        <v>3598731.4622267298</v>
      </c>
      <c r="L217" s="96">
        <f>SUMIFS(COMPOSICIÓN!J$2:J$1892,COMPOSICIÓN!A$2:A$1892,A217,COMPOSICIÓN!B$2:B$1892,"EQ")</f>
        <v>82579.398554802203</v>
      </c>
      <c r="M217" s="101">
        <f t="shared" si="16"/>
        <v>1906561.77476009</v>
      </c>
      <c r="N217" s="101">
        <f t="shared" si="17"/>
        <v>3598731.4622267298</v>
      </c>
      <c r="O217" s="101">
        <f t="shared" si="15"/>
        <v>82579.398554802203</v>
      </c>
      <c r="P217" s="101">
        <f t="shared" si="18"/>
        <v>5587872.6355416216</v>
      </c>
      <c r="Q217" s="102">
        <f>COUNTIF(COMPOSICIÓN!$A:$A,A217)</f>
        <v>3</v>
      </c>
      <c r="R217" s="17"/>
      <c r="S217" s="17" t="s">
        <v>351</v>
      </c>
      <c r="T217" s="17">
        <v>1906561.77476009</v>
      </c>
      <c r="U217" s="17">
        <v>3598731.4622267298</v>
      </c>
      <c r="V217" s="17">
        <v>82579.398554802203</v>
      </c>
    </row>
    <row r="218" spans="1:22" ht="14.25" hidden="1" customHeight="1" x14ac:dyDescent="0.35">
      <c r="A218" s="105" t="s">
        <v>355</v>
      </c>
      <c r="B218" s="105"/>
      <c r="C218" s="12" t="s">
        <v>2008</v>
      </c>
      <c r="D218" s="105" t="s">
        <v>354</v>
      </c>
      <c r="E218" s="106" t="s">
        <v>26</v>
      </c>
      <c r="F218" s="106">
        <v>1</v>
      </c>
      <c r="G218" s="106">
        <v>0</v>
      </c>
      <c r="H218" s="106">
        <v>0</v>
      </c>
      <c r="I218" s="106">
        <v>1</v>
      </c>
      <c r="J218" s="96">
        <f>SUMIFS(COMPOSICIÓN!J$2:J$1892,COMPOSICIÓN!A$2:A$1892,A218,COMPOSICIÓN!B$2:B$1892,"MAT")</f>
        <v>1435578.0647120301</v>
      </c>
      <c r="K218" s="96">
        <f>SUMIFS(COMPOSICIÓN!J$2:J$1892,COMPOSICIÓN!A$2:A$1892,A218,COMPOSICIÓN!B$2:B$1892,"MO")*I218</f>
        <v>2500015.0564415599</v>
      </c>
      <c r="L218" s="96">
        <f>SUMIFS(COMPOSICIÓN!J$2:J$1892,COMPOSICIÓN!A$2:A$1892,A218,COMPOSICIÓN!B$2:B$1892,"EQ")</f>
        <v>59033.896817303801</v>
      </c>
      <c r="M218" s="103">
        <f t="shared" si="16"/>
        <v>1435578.0647120301</v>
      </c>
      <c r="N218" s="103">
        <f t="shared" si="17"/>
        <v>2500015.0564415599</v>
      </c>
      <c r="O218" s="103">
        <f t="shared" si="15"/>
        <v>59033.896817303801</v>
      </c>
      <c r="P218" s="103">
        <f t="shared" si="18"/>
        <v>3994627.017970894</v>
      </c>
      <c r="Q218" s="95">
        <f>COUNTIF(COMPOSICIÓN!$A:$A,A218)</f>
        <v>3</v>
      </c>
      <c r="R218" s="32"/>
      <c r="S218" s="32" t="s">
        <v>351</v>
      </c>
      <c r="T218" s="32">
        <v>1435578.0647120301</v>
      </c>
      <c r="U218" s="32">
        <v>2500015.0564415599</v>
      </c>
      <c r="V218" s="32">
        <v>59033.896817303801</v>
      </c>
    </row>
    <row r="219" spans="1:22" ht="14.25" hidden="1" customHeight="1" x14ac:dyDescent="0.35">
      <c r="A219" s="12" t="s">
        <v>357</v>
      </c>
      <c r="B219" s="12"/>
      <c r="C219" s="12" t="s">
        <v>2008</v>
      </c>
      <c r="D219" s="12" t="s">
        <v>356</v>
      </c>
      <c r="E219" s="14" t="s">
        <v>26</v>
      </c>
      <c r="F219" s="14">
        <v>1</v>
      </c>
      <c r="G219" s="14">
        <v>0</v>
      </c>
      <c r="H219" s="106">
        <v>0</v>
      </c>
      <c r="I219" s="106">
        <v>1</v>
      </c>
      <c r="J219" s="96">
        <f>SUMIFS(COMPOSICIÓN!J$2:J$1892,COMPOSICIÓN!A$2:A$1892,A219,COMPOSICIÓN!B$2:B$1892,"MAT")</f>
        <v>609036.01399088604</v>
      </c>
      <c r="K219" s="96">
        <f>SUMIFS(COMPOSICIÓN!J$2:J$1892,COMPOSICIÓN!A$2:A$1892,A219,COMPOSICIÓN!B$2:B$1892,"MO")*I219</f>
        <v>1199577.15407558</v>
      </c>
      <c r="L219" s="96">
        <f>SUMIFS(COMPOSICIÓN!J$2:J$1892,COMPOSICIÓN!A$2:A$1892,A219,COMPOSICIÓN!B$2:B$1892,"EQ")</f>
        <v>27129.197520996899</v>
      </c>
      <c r="M219" s="101">
        <f t="shared" si="16"/>
        <v>609036.01399088604</v>
      </c>
      <c r="N219" s="101">
        <f t="shared" si="17"/>
        <v>1199577.15407558</v>
      </c>
      <c r="O219" s="101">
        <f t="shared" si="15"/>
        <v>27129.197520996899</v>
      </c>
      <c r="P219" s="101">
        <f t="shared" si="18"/>
        <v>1835742.3655874629</v>
      </c>
      <c r="Q219" s="102">
        <f>COUNTIF(COMPOSICIÓN!$A:$A,A219)</f>
        <v>3</v>
      </c>
      <c r="R219" s="17"/>
      <c r="S219" s="17" t="s">
        <v>351</v>
      </c>
      <c r="T219" s="17">
        <v>609036.01399088604</v>
      </c>
      <c r="U219" s="17">
        <v>1199577.15407558</v>
      </c>
      <c r="V219" s="17">
        <v>27129.197520996899</v>
      </c>
    </row>
    <row r="220" spans="1:22" ht="14.25" hidden="1" customHeight="1" x14ac:dyDescent="0.35">
      <c r="A220" s="105" t="s">
        <v>2036</v>
      </c>
      <c r="B220" s="105"/>
      <c r="C220" s="118" t="s">
        <v>2008</v>
      </c>
      <c r="D220" s="105" t="s">
        <v>358</v>
      </c>
      <c r="E220" s="106" t="s">
        <v>26</v>
      </c>
      <c r="F220" s="106">
        <v>1</v>
      </c>
      <c r="G220" s="106">
        <v>0</v>
      </c>
      <c r="H220" s="106">
        <v>0</v>
      </c>
      <c r="I220" s="106">
        <v>1</v>
      </c>
      <c r="J220" s="96">
        <f>SUMIFS(COMPOSICIÓN!J$2:J$1892,COMPOSICIÓN!A$2:A$1892,A220,COMPOSICIÓN!B$2:B$1892,"MAT")</f>
        <v>2840582.8064988302</v>
      </c>
      <c r="K220" s="96">
        <f>SUMIFS(COMPOSICIÓN!J$2:J$1892,COMPOSICIÓN!A$2:A$1892,A220,COMPOSICIÓN!B$2:B$1892,"MO")*I220</f>
        <v>9188039.2000978701</v>
      </c>
      <c r="L220" s="96">
        <f>SUMIFS(COMPOSICIÓN!J$2:J$1892,COMPOSICIÓN!A$2:A$1892,A220,COMPOSICIÓN!B$2:B$1892,"EQ")</f>
        <v>180429.330098951</v>
      </c>
      <c r="M220" s="103">
        <f t="shared" si="16"/>
        <v>2840582.8064988302</v>
      </c>
      <c r="N220" s="103">
        <f t="shared" si="17"/>
        <v>9188039.2000978701</v>
      </c>
      <c r="O220" s="103">
        <f t="shared" si="15"/>
        <v>180429.330098951</v>
      </c>
      <c r="P220" s="103">
        <f t="shared" si="18"/>
        <v>12209051.336695651</v>
      </c>
      <c r="Q220" s="95">
        <f>COUNTIF(COMPOSICIÓN!$A:$A,A220)</f>
        <v>3</v>
      </c>
      <c r="R220" s="32"/>
      <c r="S220" s="32" t="s">
        <v>351</v>
      </c>
      <c r="T220" s="32">
        <v>2840582.8064988302</v>
      </c>
      <c r="U220" s="32">
        <v>9188039.2000978701</v>
      </c>
      <c r="V220" s="32">
        <v>180429.330098951</v>
      </c>
    </row>
    <row r="221" spans="1:22" ht="14.25" hidden="1" customHeight="1" x14ac:dyDescent="0.35">
      <c r="A221" s="105" t="s">
        <v>362</v>
      </c>
      <c r="B221" s="105"/>
      <c r="C221" s="12" t="s">
        <v>2008</v>
      </c>
      <c r="D221" s="105" t="s">
        <v>361</v>
      </c>
      <c r="E221" s="106" t="s">
        <v>26</v>
      </c>
      <c r="F221" s="106">
        <v>1</v>
      </c>
      <c r="G221" s="106">
        <v>0</v>
      </c>
      <c r="H221" s="106">
        <v>0</v>
      </c>
      <c r="I221" s="106">
        <v>1</v>
      </c>
      <c r="J221" s="96">
        <f>SUMIFS(COMPOSICIÓN!J$2:J$1892,COMPOSICIÓN!A$2:A$1892,A221,COMPOSICIÓN!B$2:B$1892,"MAT")</f>
        <v>2501139.9349345602</v>
      </c>
      <c r="K221" s="96">
        <f>SUMIFS(COMPOSICIÓN!J$2:J$1892,COMPOSICIÓN!A$2:A$1892,A221,COMPOSICIÓN!B$2:B$1892,"MO")*I221</f>
        <v>5079485.0755870203</v>
      </c>
      <c r="L221" s="96">
        <f>SUMIFS(COMPOSICIÓN!J$2:J$1892,COMPOSICIÓN!A$2:A$1892,A221,COMPOSICIÓN!B$2:B$1892,"EQ")</f>
        <v>113709.375157824</v>
      </c>
      <c r="M221" s="103">
        <f t="shared" si="16"/>
        <v>2501139.9349345602</v>
      </c>
      <c r="N221" s="103">
        <f t="shared" si="17"/>
        <v>5079485.0755870203</v>
      </c>
      <c r="O221" s="103">
        <f t="shared" ref="O221:O252" si="19">IF(F221=0,0,L221/F221)</f>
        <v>113709.375157824</v>
      </c>
      <c r="P221" s="103">
        <f t="shared" si="18"/>
        <v>7694334.3856794043</v>
      </c>
      <c r="Q221" s="95">
        <f>COUNTIF(COMPOSICIÓN!$A:$A,A221)</f>
        <v>3</v>
      </c>
      <c r="R221" s="32"/>
      <c r="S221" s="32" t="s">
        <v>351</v>
      </c>
      <c r="T221" s="32">
        <v>2501139.9349345602</v>
      </c>
      <c r="U221" s="32">
        <v>5079485.0755870203</v>
      </c>
      <c r="V221" s="32">
        <v>113709.375157824</v>
      </c>
    </row>
    <row r="222" spans="1:22" ht="14.25" hidden="1" customHeight="1" x14ac:dyDescent="0.35">
      <c r="A222" s="12" t="s">
        <v>364</v>
      </c>
      <c r="B222" s="12"/>
      <c r="C222" s="12" t="s">
        <v>2008</v>
      </c>
      <c r="D222" s="12" t="s">
        <v>363</v>
      </c>
      <c r="E222" s="14" t="s">
        <v>26</v>
      </c>
      <c r="F222" s="14">
        <v>1</v>
      </c>
      <c r="G222" s="14">
        <v>0</v>
      </c>
      <c r="H222" s="14">
        <v>0</v>
      </c>
      <c r="I222" s="14">
        <v>1</v>
      </c>
      <c r="J222" s="100">
        <f>SUMIFS(COMPOSICIÓN!J$2:J$1892,COMPOSICIÓN!A$2:A$1892,A222,COMPOSICIÓN!B$2:B$1892,"MAT")</f>
        <v>358894.516178007</v>
      </c>
      <c r="K222" s="100">
        <f>SUMIFS(COMPOSICIÓN!J$2:J$1892,COMPOSICIÓN!A$2:A$1892,A222,COMPOSICIÓN!B$2:B$1892,"MO")*I222</f>
        <v>625003.76411038905</v>
      </c>
      <c r="L222" s="100">
        <f>SUMIFS(COMPOSICIÓN!J$2:J$1892,COMPOSICIÓN!A$2:A$1892,A222,COMPOSICIÓN!B$2:B$1892,"EQ")</f>
        <v>14758.474204325899</v>
      </c>
      <c r="M222" s="101">
        <f t="shared" si="16"/>
        <v>358894.516178007</v>
      </c>
      <c r="N222" s="101">
        <f t="shared" si="17"/>
        <v>625003.76411038905</v>
      </c>
      <c r="O222" s="101">
        <f t="shared" si="19"/>
        <v>14758.474204325899</v>
      </c>
      <c r="P222" s="101">
        <f t="shared" si="18"/>
        <v>998656.75449272199</v>
      </c>
      <c r="Q222" s="102">
        <f>COUNTIF(COMPOSICIÓN!$A:$A,A222)</f>
        <v>3</v>
      </c>
      <c r="R222" s="17"/>
      <c r="S222" s="17" t="s">
        <v>28</v>
      </c>
      <c r="T222" s="17">
        <v>358894.516178007</v>
      </c>
      <c r="U222" s="17">
        <v>625003.76411038905</v>
      </c>
      <c r="V222" s="17">
        <v>14758.474204325899</v>
      </c>
    </row>
    <row r="223" spans="1:22" ht="14.25" hidden="1" customHeight="1" x14ac:dyDescent="0.35">
      <c r="A223" s="105" t="s">
        <v>366</v>
      </c>
      <c r="B223" s="105"/>
      <c r="C223" s="12" t="s">
        <v>2008</v>
      </c>
      <c r="D223" s="105" t="s">
        <v>365</v>
      </c>
      <c r="E223" s="106" t="s">
        <v>26</v>
      </c>
      <c r="F223" s="106">
        <v>1</v>
      </c>
      <c r="G223" s="106">
        <v>0</v>
      </c>
      <c r="H223" s="106">
        <v>0</v>
      </c>
      <c r="I223" s="106">
        <v>1</v>
      </c>
      <c r="J223" s="96">
        <f>SUMIFS(COMPOSICIÓN!J$2:J$1892,COMPOSICIÓN!A$2:A$1892,A223,COMPOSICIÓN!B$2:B$1892,"MAT")</f>
        <v>638103.51477926353</v>
      </c>
      <c r="K223" s="96">
        <f>SUMIFS(COMPOSICIÓN!J$2:J$1892,COMPOSICIÓN!A$2:A$1892,A223,COMPOSICIÓN!B$2:B$1892,"MO")*I223</f>
        <v>1746247.40061585</v>
      </c>
      <c r="L223" s="96">
        <f>SUMIFS(COMPOSICIÓN!J$2:J$1892,COMPOSICIÓN!A$2:A$1892,A223,COMPOSICIÓN!B$2:B$1892,"EQ")</f>
        <v>35765.263711523599</v>
      </c>
      <c r="M223" s="103">
        <f t="shared" si="16"/>
        <v>638103.51477926353</v>
      </c>
      <c r="N223" s="103">
        <f t="shared" si="17"/>
        <v>1746247.40061585</v>
      </c>
      <c r="O223" s="103">
        <f t="shared" si="19"/>
        <v>35765.263711523599</v>
      </c>
      <c r="P223" s="103">
        <f t="shared" si="18"/>
        <v>2420116.1791066374</v>
      </c>
      <c r="Q223" s="95">
        <f>COUNTIF(COMPOSICIÓN!$A:$A,A223)</f>
        <v>10</v>
      </c>
      <c r="R223" s="32"/>
      <c r="S223" s="32" t="s">
        <v>367</v>
      </c>
      <c r="T223" s="32">
        <v>638103.51348571596</v>
      </c>
      <c r="U223" s="32">
        <v>1746247.40061585</v>
      </c>
      <c r="V223" s="32">
        <v>35765.263711523599</v>
      </c>
    </row>
    <row r="224" spans="1:22" ht="14.25" hidden="1" customHeight="1" x14ac:dyDescent="0.35">
      <c r="A224" s="12" t="s">
        <v>369</v>
      </c>
      <c r="B224" s="12"/>
      <c r="C224" s="12" t="s">
        <v>2008</v>
      </c>
      <c r="D224" s="12" t="s">
        <v>368</v>
      </c>
      <c r="E224" s="14" t="s">
        <v>26</v>
      </c>
      <c r="F224" s="14">
        <v>1</v>
      </c>
      <c r="G224" s="14">
        <v>0</v>
      </c>
      <c r="H224" s="14">
        <v>0</v>
      </c>
      <c r="I224" s="14">
        <v>1</v>
      </c>
      <c r="J224" s="100">
        <f>SUMIFS(COMPOSICIÓN!J$2:J$1892,COMPOSICIÓN!A$2:A$1892,A224,COMPOSICIÓN!B$2:B$1892,"MAT")</f>
        <v>3702330.1060249</v>
      </c>
      <c r="K224" s="100">
        <f>SUMIFS(COMPOSICIÓN!J$2:J$1892,COMPOSICIÓN!A$2:A$1892,A224,COMPOSICIÓN!B$2:B$1892,"MO")*I224</f>
        <v>3490533.2546783499</v>
      </c>
      <c r="L224" s="100">
        <f>SUMIFS(COMPOSICIÓN!J$2:J$1892,COMPOSICIÓN!A$2:A$1892,A224,COMPOSICIÓN!B$2:B$1892,"EQ")</f>
        <v>107892.95041054901</v>
      </c>
      <c r="M224" s="101">
        <f t="shared" si="16"/>
        <v>3702330.1060249</v>
      </c>
      <c r="N224" s="101">
        <f t="shared" si="17"/>
        <v>3490533.2546783499</v>
      </c>
      <c r="O224" s="101">
        <f t="shared" si="19"/>
        <v>107892.95041054901</v>
      </c>
      <c r="P224" s="101">
        <f t="shared" si="18"/>
        <v>7300756.311113799</v>
      </c>
      <c r="Q224" s="102">
        <f>COUNTIF(COMPOSICIÓN!$A:$A,A224)</f>
        <v>3</v>
      </c>
      <c r="R224" s="17"/>
      <c r="S224" s="17" t="s">
        <v>370</v>
      </c>
      <c r="T224" s="17">
        <v>3702330.1060249</v>
      </c>
      <c r="U224" s="17">
        <v>3490533.2546783499</v>
      </c>
      <c r="V224" s="17">
        <v>107892.95041054901</v>
      </c>
    </row>
    <row r="225" spans="1:22" ht="14.25" hidden="1" customHeight="1" x14ac:dyDescent="0.35">
      <c r="A225" s="105" t="s">
        <v>372</v>
      </c>
      <c r="B225" s="105"/>
      <c r="C225" s="12" t="s">
        <v>2008</v>
      </c>
      <c r="D225" s="105" t="s">
        <v>371</v>
      </c>
      <c r="E225" s="106" t="s">
        <v>26</v>
      </c>
      <c r="F225" s="106">
        <v>1</v>
      </c>
      <c r="G225" s="106">
        <v>0</v>
      </c>
      <c r="H225" s="106">
        <v>0</v>
      </c>
      <c r="I225" s="106">
        <v>1</v>
      </c>
      <c r="J225" s="96">
        <f>SUMIFS(COMPOSICIÓN!J$2:J$1892,COMPOSICIÓN!A$2:A$1892,A225,COMPOSICIÓN!B$2:B$1892,"MAT")</f>
        <v>1540056.2634751408</v>
      </c>
      <c r="K225" s="96">
        <f>SUMIFS(COMPOSICIÓN!J$2:J$1892,COMPOSICIÓN!A$2:A$1892,A225,COMPOSICIÓN!B$2:B$1892,"MO")*I225</f>
        <v>4970416.6359473299</v>
      </c>
      <c r="L225" s="96">
        <f>SUMIFS(COMPOSICIÓN!J$2:J$1892,COMPOSICIÓN!A$2:A$1892,A225,COMPOSICIÓN!B$2:B$1892,"EQ")</f>
        <v>97657.093521783696</v>
      </c>
      <c r="M225" s="103">
        <f t="shared" si="16"/>
        <v>1540056.2634751408</v>
      </c>
      <c r="N225" s="103">
        <f t="shared" si="17"/>
        <v>4970416.6359473299</v>
      </c>
      <c r="O225" s="103">
        <f t="shared" si="19"/>
        <v>97657.093521783696</v>
      </c>
      <c r="P225" s="103">
        <f t="shared" si="18"/>
        <v>6608129.9929442545</v>
      </c>
      <c r="Q225" s="95">
        <f>COUNTIF(COMPOSICIÓN!$A:$A,A225)</f>
        <v>23</v>
      </c>
      <c r="R225" s="32"/>
      <c r="S225" s="32" t="s">
        <v>373</v>
      </c>
      <c r="T225" s="32">
        <v>1540056.2655049199</v>
      </c>
      <c r="U225" s="32">
        <v>4970416.6359473299</v>
      </c>
      <c r="V225" s="32">
        <v>97657.093521783696</v>
      </c>
    </row>
    <row r="226" spans="1:22" ht="14.25" hidden="1" customHeight="1" x14ac:dyDescent="0.35">
      <c r="A226" s="12" t="s">
        <v>375</v>
      </c>
      <c r="B226" s="12"/>
      <c r="C226" s="12" t="s">
        <v>2008</v>
      </c>
      <c r="D226" s="12" t="s">
        <v>374</v>
      </c>
      <c r="E226" s="14" t="s">
        <v>26</v>
      </c>
      <c r="F226" s="14">
        <v>1</v>
      </c>
      <c r="G226" s="14">
        <v>0</v>
      </c>
      <c r="H226" s="14">
        <v>0</v>
      </c>
      <c r="I226" s="14">
        <v>1</v>
      </c>
      <c r="J226" s="100">
        <f>SUMIFS(COMPOSICIÓN!J$2:J$1892,COMPOSICIÓN!A$2:A$1892,A226,COMPOSICIÓN!B$2:B$1892,"MAT")</f>
        <v>43707.030007852401</v>
      </c>
      <c r="K226" s="100">
        <f>SUMIFS(COMPOSICIÓN!J$2:J$1892,COMPOSICIÓN!A$2:A$1892,A226,COMPOSICIÓN!B$2:B$1892,"MO")*I226</f>
        <v>498927.82874738699</v>
      </c>
      <c r="L226" s="100">
        <f>SUMIFS(COMPOSICIÓN!J$2:J$1892,COMPOSICIÓN!A$2:A$1892,A226,COMPOSICIÓN!B$2:B$1892,"EQ")</f>
        <v>8139.5228813285903</v>
      </c>
      <c r="M226" s="101">
        <f t="shared" si="16"/>
        <v>43707.030007852401</v>
      </c>
      <c r="N226" s="101">
        <f t="shared" si="17"/>
        <v>498927.82874738699</v>
      </c>
      <c r="O226" s="101">
        <f t="shared" si="19"/>
        <v>8139.5228813285903</v>
      </c>
      <c r="P226" s="101">
        <f t="shared" si="18"/>
        <v>550774.381636568</v>
      </c>
      <c r="Q226" s="102">
        <f>COUNTIF(COMPOSICIÓN!$A:$A,A226)</f>
        <v>3</v>
      </c>
      <c r="R226" s="17"/>
      <c r="S226" s="17" t="s">
        <v>373</v>
      </c>
      <c r="T226" s="17">
        <v>43707.030007852401</v>
      </c>
      <c r="U226" s="17">
        <v>498927.82874738699</v>
      </c>
      <c r="V226" s="17">
        <v>8139.5228813285903</v>
      </c>
    </row>
    <row r="227" spans="1:22" ht="14.25" hidden="1" customHeight="1" x14ac:dyDescent="0.35">
      <c r="A227" s="105" t="s">
        <v>377</v>
      </c>
      <c r="B227" s="105"/>
      <c r="C227" s="12" t="s">
        <v>2008</v>
      </c>
      <c r="D227" s="105" t="s">
        <v>376</v>
      </c>
      <c r="E227" s="106" t="s">
        <v>26</v>
      </c>
      <c r="F227" s="106">
        <v>1</v>
      </c>
      <c r="G227" s="106">
        <v>0</v>
      </c>
      <c r="H227" s="106">
        <v>0</v>
      </c>
      <c r="I227" s="106">
        <v>1</v>
      </c>
      <c r="J227" s="96">
        <f>SUMIFS(COMPOSICIÓN!J$2:J$1892,COMPOSICIÓN!A$2:A$1892,A227,COMPOSICIÓN!B$2:B$1892,"MAT")</f>
        <v>0</v>
      </c>
      <c r="K227" s="96">
        <f>SUMIFS(COMPOSICIÓN!J$2:J$1892,COMPOSICIÓN!A$2:A$1892,A227,COMPOSICIÓN!B$2:B$1892,"MO")*I227</f>
        <v>1400000</v>
      </c>
      <c r="L227" s="96">
        <f>SUMIFS(COMPOSICIÓN!J$2:J$1892,COMPOSICIÓN!A$2:A$1892,A227,COMPOSICIÓN!B$2:B$1892,"EQ")</f>
        <v>0</v>
      </c>
      <c r="M227" s="103">
        <f t="shared" si="16"/>
        <v>0</v>
      </c>
      <c r="N227" s="103">
        <f t="shared" si="17"/>
        <v>1400000</v>
      </c>
      <c r="O227" s="103">
        <f t="shared" si="19"/>
        <v>0</v>
      </c>
      <c r="P227" s="103">
        <f t="shared" si="18"/>
        <v>1400000</v>
      </c>
      <c r="Q227" s="95">
        <f>COUNTIF(COMPOSICIÓN!$A:$A,A227)</f>
        <v>3</v>
      </c>
      <c r="R227" s="32"/>
      <c r="S227" s="32" t="s">
        <v>28</v>
      </c>
      <c r="T227" s="32">
        <v>0</v>
      </c>
      <c r="U227" s="32">
        <v>1400000</v>
      </c>
      <c r="V227" s="32">
        <v>0</v>
      </c>
    </row>
    <row r="228" spans="1:22" ht="14.25" hidden="1" customHeight="1" x14ac:dyDescent="0.35">
      <c r="A228" s="12" t="s">
        <v>379</v>
      </c>
      <c r="B228" s="12"/>
      <c r="C228" s="12" t="s">
        <v>2008</v>
      </c>
      <c r="D228" s="12" t="s">
        <v>378</v>
      </c>
      <c r="E228" s="14" t="s">
        <v>26</v>
      </c>
      <c r="F228" s="14">
        <v>1</v>
      </c>
      <c r="G228" s="14">
        <v>0</v>
      </c>
      <c r="H228" s="106">
        <v>0</v>
      </c>
      <c r="I228" s="106">
        <v>1</v>
      </c>
      <c r="J228" s="96">
        <f>SUMIFS(COMPOSICIÓN!J$2:J$1892,COMPOSICIÓN!A$2:A$1892,A228,COMPOSICIÓN!B$2:B$1892,"MAT")</f>
        <v>0</v>
      </c>
      <c r="K228" s="96">
        <f>SUMIFS(COMPOSICIÓN!J$2:J$1892,COMPOSICIÓN!A$2:A$1892,A228,COMPOSICIÓN!B$2:B$1892,"MO")*I228</f>
        <v>1400000</v>
      </c>
      <c r="L228" s="96">
        <f>SUMIFS(COMPOSICIÓN!J$2:J$1892,COMPOSICIÓN!A$2:A$1892,A228,COMPOSICIÓN!B$2:B$1892,"EQ")</f>
        <v>0</v>
      </c>
      <c r="M228" s="101">
        <f t="shared" si="16"/>
        <v>0</v>
      </c>
      <c r="N228" s="101">
        <f t="shared" si="17"/>
        <v>1400000</v>
      </c>
      <c r="O228" s="101">
        <f t="shared" si="19"/>
        <v>0</v>
      </c>
      <c r="P228" s="101">
        <f t="shared" si="18"/>
        <v>1400000</v>
      </c>
      <c r="Q228" s="102">
        <f>COUNTIF(COMPOSICIÓN!$A:$A,A228)</f>
        <v>1</v>
      </c>
      <c r="R228" s="17"/>
      <c r="S228" s="17" t="s">
        <v>28</v>
      </c>
      <c r="T228" s="17">
        <v>0</v>
      </c>
      <c r="U228" s="17">
        <v>1400000</v>
      </c>
      <c r="V228" s="17">
        <v>0</v>
      </c>
    </row>
    <row r="229" spans="1:22" ht="14.25" hidden="1" customHeight="1" x14ac:dyDescent="0.35">
      <c r="A229" s="105" t="s">
        <v>381</v>
      </c>
      <c r="B229" s="105"/>
      <c r="C229" s="105" t="s">
        <v>2009</v>
      </c>
      <c r="D229" s="105" t="s">
        <v>380</v>
      </c>
      <c r="E229" s="106" t="s">
        <v>98</v>
      </c>
      <c r="F229" s="106">
        <v>1</v>
      </c>
      <c r="G229" s="106">
        <v>0</v>
      </c>
      <c r="H229" s="106">
        <v>0</v>
      </c>
      <c r="I229" s="106">
        <v>1</v>
      </c>
      <c r="J229" s="96">
        <f>SUMIFS(COMPOSICIÓN!J$2:J$1892,COMPOSICIÓN!A$2:A$1892,A229,COMPOSICIÓN!B$2:B$1892,"MAT")</f>
        <v>0</v>
      </c>
      <c r="K229" s="96">
        <f>SUMIFS(COMPOSICIÓN!J$2:J$1892,COMPOSICIÓN!A$2:A$1892,A229,COMPOSICIÓN!B$2:B$1892,"MO")*I229</f>
        <v>230000</v>
      </c>
      <c r="L229" s="96">
        <f>SUMIFS(COMPOSICIÓN!J$2:J$1892,COMPOSICIÓN!A$2:A$1892,A229,COMPOSICIÓN!B$2:B$1892,"EQ")</f>
        <v>0</v>
      </c>
      <c r="M229" s="103">
        <f t="shared" si="16"/>
        <v>0</v>
      </c>
      <c r="N229" s="103">
        <f t="shared" si="17"/>
        <v>230000</v>
      </c>
      <c r="O229" s="103">
        <f t="shared" si="19"/>
        <v>0</v>
      </c>
      <c r="P229" s="103">
        <f t="shared" si="18"/>
        <v>230000</v>
      </c>
      <c r="Q229" s="95">
        <f>COUNTIF(COMPOSICIÓN!$A:$A,A229)</f>
        <v>2</v>
      </c>
      <c r="R229" s="32"/>
      <c r="S229" s="32" t="s">
        <v>28</v>
      </c>
      <c r="T229" s="32">
        <v>247500</v>
      </c>
      <c r="U229" s="32">
        <v>230000</v>
      </c>
      <c r="V229" s="32">
        <v>0</v>
      </c>
    </row>
    <row r="230" spans="1:22" ht="14.25" hidden="1" customHeight="1" x14ac:dyDescent="0.35">
      <c r="A230" s="12" t="s">
        <v>383</v>
      </c>
      <c r="B230" s="12"/>
      <c r="C230" s="12" t="s">
        <v>2009</v>
      </c>
      <c r="D230" s="12" t="s">
        <v>382</v>
      </c>
      <c r="E230" s="14" t="s">
        <v>98</v>
      </c>
      <c r="F230" s="14">
        <v>1</v>
      </c>
      <c r="G230" s="14">
        <v>0</v>
      </c>
      <c r="H230" s="14">
        <v>0</v>
      </c>
      <c r="I230" s="14">
        <v>1</v>
      </c>
      <c r="J230" s="100">
        <f>SUMIFS(COMPOSICIÓN!J$2:J$1892,COMPOSICIÓN!A$2:A$1892,A230,COMPOSICIÓN!B$2:B$1892,"MAT")</f>
        <v>0</v>
      </c>
      <c r="K230" s="100">
        <f>SUMIFS(COMPOSICIÓN!J$2:J$1892,COMPOSICIÓN!A$2:A$1892,A230,COMPOSICIÓN!B$2:B$1892,"MO")*I230</f>
        <v>0</v>
      </c>
      <c r="L230" s="100">
        <f>SUMIFS(COMPOSICIÓN!J$2:J$1892,COMPOSICIÓN!A$2:A$1892,A230,COMPOSICIÓN!B$2:B$1892,"EQ")</f>
        <v>0</v>
      </c>
      <c r="M230" s="101">
        <f t="shared" si="16"/>
        <v>0</v>
      </c>
      <c r="N230" s="101">
        <f t="shared" si="17"/>
        <v>0</v>
      </c>
      <c r="O230" s="101">
        <f t="shared" si="19"/>
        <v>0</v>
      </c>
      <c r="P230" s="101">
        <f t="shared" si="18"/>
        <v>0</v>
      </c>
      <c r="Q230" s="102">
        <f>COUNTIF(COMPOSICIÓN!$A:$A,A230)</f>
        <v>1</v>
      </c>
      <c r="R230" s="17"/>
      <c r="S230" s="17" t="s">
        <v>28</v>
      </c>
      <c r="T230" s="17">
        <v>0</v>
      </c>
      <c r="U230" s="17">
        <v>0</v>
      </c>
      <c r="V230" s="17">
        <v>0</v>
      </c>
    </row>
    <row r="231" spans="1:22" ht="14.25" hidden="1" customHeight="1" x14ac:dyDescent="0.35">
      <c r="A231" s="12" t="s">
        <v>387</v>
      </c>
      <c r="B231" s="12"/>
      <c r="C231" s="12" t="s">
        <v>2010</v>
      </c>
      <c r="D231" s="12" t="s">
        <v>386</v>
      </c>
      <c r="E231" s="14" t="s">
        <v>98</v>
      </c>
      <c r="F231" s="14">
        <v>1</v>
      </c>
      <c r="G231" s="14">
        <v>0</v>
      </c>
      <c r="H231" s="14">
        <v>0</v>
      </c>
      <c r="I231" s="14">
        <v>1</v>
      </c>
      <c r="J231" s="100">
        <f>SUMIFS(COMPOSICIÓN!J$2:J$1892,COMPOSICIÓN!A$2:A$1892,A231,COMPOSICIÓN!B$2:B$1892,"MAT")</f>
        <v>0</v>
      </c>
      <c r="K231" s="100">
        <f>SUMIFS(COMPOSICIÓN!J$2:J$1892,COMPOSICIÓN!A$2:A$1892,A231,COMPOSICIÓN!B$2:B$1892,"MO")*I231</f>
        <v>59550</v>
      </c>
      <c r="L231" s="100">
        <f>SUMIFS(COMPOSICIÓN!J$2:J$1892,COMPOSICIÓN!A$2:A$1892,A231,COMPOSICIÓN!B$2:B$1892,"EQ")</f>
        <v>0</v>
      </c>
      <c r="M231" s="101">
        <f t="shared" si="16"/>
        <v>0</v>
      </c>
      <c r="N231" s="101">
        <f t="shared" si="17"/>
        <v>59550</v>
      </c>
      <c r="O231" s="101">
        <f t="shared" si="19"/>
        <v>0</v>
      </c>
      <c r="P231" s="101">
        <f t="shared" si="18"/>
        <v>59550</v>
      </c>
      <c r="Q231" s="102">
        <f>COUNTIF(COMPOSICIÓN!$A:$A,A231)</f>
        <v>1</v>
      </c>
      <c r="R231" s="17"/>
      <c r="S231" s="17" t="s">
        <v>28</v>
      </c>
      <c r="T231" s="17">
        <v>0</v>
      </c>
      <c r="U231" s="17">
        <v>59550</v>
      </c>
      <c r="V231" s="17">
        <v>0</v>
      </c>
    </row>
    <row r="232" spans="1:22" ht="14.25" hidden="1" customHeight="1" x14ac:dyDescent="0.35">
      <c r="A232" s="105" t="s">
        <v>389</v>
      </c>
      <c r="B232" s="105"/>
      <c r="C232" s="105" t="s">
        <v>2010</v>
      </c>
      <c r="D232" s="105" t="s">
        <v>388</v>
      </c>
      <c r="E232" s="106" t="s">
        <v>98</v>
      </c>
      <c r="F232" s="106">
        <v>1</v>
      </c>
      <c r="G232" s="106">
        <v>0</v>
      </c>
      <c r="H232" s="106">
        <v>0</v>
      </c>
      <c r="I232" s="106">
        <v>1</v>
      </c>
      <c r="J232" s="96">
        <f>SUMIFS(COMPOSICIÓN!J$2:J$1892,COMPOSICIÓN!A$2:A$1892,A232,COMPOSICIÓN!B$2:B$1892,"MAT")</f>
        <v>0</v>
      </c>
      <c r="K232" s="96">
        <f>SUMIFS(COMPOSICIÓN!J$2:J$1892,COMPOSICIÓN!A$2:A$1892,A232,COMPOSICIÓN!B$2:B$1892,"MO")*I232</f>
        <v>0</v>
      </c>
      <c r="L232" s="96">
        <f>SUMIFS(COMPOSICIÓN!J$2:J$1892,COMPOSICIÓN!A$2:A$1892,A232,COMPOSICIÓN!B$2:B$1892,"EQ")</f>
        <v>0</v>
      </c>
      <c r="M232" s="103">
        <f t="shared" si="16"/>
        <v>0</v>
      </c>
      <c r="N232" s="103">
        <f t="shared" si="17"/>
        <v>0</v>
      </c>
      <c r="O232" s="103">
        <f t="shared" si="19"/>
        <v>0</v>
      </c>
      <c r="P232" s="103">
        <f t="shared" si="18"/>
        <v>0</v>
      </c>
      <c r="Q232" s="95">
        <f>COUNTIF(COMPOSICIÓN!$A:$A,A232)</f>
        <v>0</v>
      </c>
      <c r="R232" s="32"/>
      <c r="S232" s="32" t="s">
        <v>28</v>
      </c>
      <c r="T232" s="32">
        <v>0</v>
      </c>
      <c r="U232" s="32">
        <v>0</v>
      </c>
      <c r="V232" s="32">
        <v>0</v>
      </c>
    </row>
    <row r="233" spans="1:22" ht="14.25" hidden="1" customHeight="1" x14ac:dyDescent="0.35">
      <c r="A233" s="12" t="s">
        <v>392</v>
      </c>
      <c r="B233" s="12"/>
      <c r="C233" s="12" t="s">
        <v>2032</v>
      </c>
      <c r="D233" s="12" t="s">
        <v>391</v>
      </c>
      <c r="E233" s="14" t="s">
        <v>98</v>
      </c>
      <c r="F233" s="14">
        <v>1</v>
      </c>
      <c r="G233" s="14">
        <v>0</v>
      </c>
      <c r="H233" s="106">
        <v>0</v>
      </c>
      <c r="I233" s="106">
        <v>1</v>
      </c>
      <c r="J233" s="96">
        <f>SUMIFS(COMPOSICIÓN!J$2:J$1892,COMPOSICIÓN!A$2:A$1892,A233,COMPOSICIÓN!B$2:B$1892,"MAT")</f>
        <v>25000</v>
      </c>
      <c r="K233" s="96">
        <f>SUMIFS(COMPOSICIÓN!J$2:J$1892,COMPOSICIÓN!A$2:A$1892,A233,COMPOSICIÓN!B$2:B$1892,"MO")*I233</f>
        <v>170902.36265989588</v>
      </c>
      <c r="L233" s="96">
        <f>SUMIFS(COMPOSICIÓN!J$2:J$1892,COMPOSICIÓN!A$2:A$1892,A233,COMPOSICIÓN!B$2:B$1892,"EQ")</f>
        <v>2938.53543989844</v>
      </c>
      <c r="M233" s="101">
        <f t="shared" si="16"/>
        <v>25000</v>
      </c>
      <c r="N233" s="101">
        <f t="shared" si="17"/>
        <v>170902.36265989588</v>
      </c>
      <c r="O233" s="101">
        <f t="shared" si="19"/>
        <v>2938.53543989844</v>
      </c>
      <c r="P233" s="101">
        <f t="shared" si="18"/>
        <v>198840.89809979431</v>
      </c>
      <c r="Q233" s="102">
        <f>COUNTIF(COMPOSICIÓN!$A:$A,A233)</f>
        <v>8</v>
      </c>
      <c r="R233" s="17"/>
      <c r="S233" s="17" t="s">
        <v>32</v>
      </c>
      <c r="T233" s="17">
        <v>25000</v>
      </c>
      <c r="U233" s="17">
        <v>170902.362659896</v>
      </c>
      <c r="V233" s="17">
        <v>2938.53543989844</v>
      </c>
    </row>
    <row r="234" spans="1:22" ht="14.25" hidden="1" customHeight="1" x14ac:dyDescent="0.35">
      <c r="A234" s="105" t="s">
        <v>394</v>
      </c>
      <c r="B234" s="105"/>
      <c r="C234" s="105" t="s">
        <v>2032</v>
      </c>
      <c r="D234" s="105" t="s">
        <v>393</v>
      </c>
      <c r="E234" s="106" t="s">
        <v>26</v>
      </c>
      <c r="F234" s="106">
        <v>1</v>
      </c>
      <c r="G234" s="106">
        <v>0</v>
      </c>
      <c r="H234" s="106">
        <v>0</v>
      </c>
      <c r="I234" s="106">
        <v>1</v>
      </c>
      <c r="J234" s="96">
        <f>SUMIFS(COMPOSICIÓN!J$2:J$1892,COMPOSICIÓN!A$2:A$1892,A234,COMPOSICIÓN!B$2:B$1892,"MAT")</f>
        <v>60000</v>
      </c>
      <c r="K234" s="96">
        <f>SUMIFS(COMPOSICIÓN!J$2:J$1892,COMPOSICIÓN!A$2:A$1892,A234,COMPOSICIÓN!B$2:B$1892,"MO")*I234</f>
        <v>383392.16194101813</v>
      </c>
      <c r="L234" s="96">
        <f>SUMIFS(COMPOSICIÓN!J$2:J$1892,COMPOSICIÓN!A$2:A$1892,A234,COMPOSICIÓN!B$2:B$1892,"EQ")</f>
        <v>6650.8824291152696</v>
      </c>
      <c r="M234" s="103">
        <f t="shared" si="16"/>
        <v>60000</v>
      </c>
      <c r="N234" s="103">
        <f t="shared" si="17"/>
        <v>383392.16194101813</v>
      </c>
      <c r="O234" s="103">
        <f t="shared" si="19"/>
        <v>6650.8824291152696</v>
      </c>
      <c r="P234" s="103">
        <f t="shared" si="18"/>
        <v>450043.04437013337</v>
      </c>
      <c r="Q234" s="95">
        <f>COUNTIF(COMPOSICIÓN!$A:$A,A234)</f>
        <v>4</v>
      </c>
      <c r="R234" s="32"/>
      <c r="S234" s="32" t="s">
        <v>32</v>
      </c>
      <c r="T234" s="32">
        <v>60000</v>
      </c>
      <c r="U234" s="32">
        <v>383392.16194101801</v>
      </c>
      <c r="V234" s="32">
        <v>6650.8824291152696</v>
      </c>
    </row>
    <row r="235" spans="1:22" ht="14.25" hidden="1" customHeight="1" x14ac:dyDescent="0.35">
      <c r="A235" s="12" t="s">
        <v>396</v>
      </c>
      <c r="B235" s="12"/>
      <c r="C235" s="12" t="s">
        <v>2032</v>
      </c>
      <c r="D235" s="12" t="s">
        <v>395</v>
      </c>
      <c r="E235" s="14" t="s">
        <v>26</v>
      </c>
      <c r="F235" s="14">
        <v>1</v>
      </c>
      <c r="G235" s="14">
        <v>0</v>
      </c>
      <c r="H235" s="14">
        <v>0</v>
      </c>
      <c r="I235" s="14">
        <v>1</v>
      </c>
      <c r="J235" s="100">
        <f>SUMIFS(COMPOSICIÓN!J$2:J$1892,COMPOSICIÓN!A$2:A$1892,A235,COMPOSICIÓN!B$2:B$1892,"MAT")</f>
        <v>0</v>
      </c>
      <c r="K235" s="100">
        <f>SUMIFS(COMPOSICIÓN!J$2:J$1892,COMPOSICIÓN!A$2:A$1892,A235,COMPOSICIÓN!B$2:B$1892,"MO")*I235</f>
        <v>2357500</v>
      </c>
      <c r="L235" s="100">
        <f>SUMIFS(COMPOSICIÓN!J$2:J$1892,COMPOSICIÓN!A$2:A$1892,A235,COMPOSICIÓN!B$2:B$1892,"EQ")</f>
        <v>35362.5</v>
      </c>
      <c r="M235" s="101">
        <f t="shared" si="16"/>
        <v>0</v>
      </c>
      <c r="N235" s="101">
        <f t="shared" si="17"/>
        <v>2357500</v>
      </c>
      <c r="O235" s="101">
        <f t="shared" si="19"/>
        <v>35362.5</v>
      </c>
      <c r="P235" s="101">
        <f t="shared" si="18"/>
        <v>2392862.5</v>
      </c>
      <c r="Q235" s="102">
        <f>COUNTIF(COMPOSICIÓN!$A:$A,A235)</f>
        <v>4</v>
      </c>
      <c r="R235" s="17"/>
      <c r="S235" s="17" t="s">
        <v>32</v>
      </c>
      <c r="T235" s="17">
        <v>0</v>
      </c>
      <c r="U235" s="17">
        <v>2357500</v>
      </c>
      <c r="V235" s="17">
        <v>35362.5</v>
      </c>
    </row>
    <row r="236" spans="1:22" ht="14.25" hidden="1" customHeight="1" x14ac:dyDescent="0.35">
      <c r="A236" s="105" t="s">
        <v>398</v>
      </c>
      <c r="B236" s="105"/>
      <c r="C236" s="105" t="s">
        <v>2012</v>
      </c>
      <c r="D236" s="105" t="s">
        <v>397</v>
      </c>
      <c r="E236" s="106" t="s">
        <v>41</v>
      </c>
      <c r="F236" s="106">
        <v>1</v>
      </c>
      <c r="G236" s="106">
        <v>0</v>
      </c>
      <c r="H236" s="106">
        <v>0</v>
      </c>
      <c r="I236" s="106">
        <v>1</v>
      </c>
      <c r="J236" s="96">
        <f>SUMIFS(COMPOSICIÓN!J$2:J$1892,COMPOSICIÓN!A$2:A$1892,A236,COMPOSICIÓN!B$2:B$1892,"MAT")</f>
        <v>0</v>
      </c>
      <c r="K236" s="96">
        <f>SUMIFS(COMPOSICIÓN!J$2:J$1892,COMPOSICIÓN!A$2:A$1892,A236,COMPOSICIÓN!B$2:B$1892,"MO")*I236</f>
        <v>806885.98632321204</v>
      </c>
      <c r="L236" s="96">
        <f>SUMIFS(COMPOSICIÓN!J$2:J$1892,COMPOSICIÓN!A$2:A$1892,A236,COMPOSICIÓN!B$2:B$1892,"EQ")</f>
        <v>0</v>
      </c>
      <c r="M236" s="103">
        <f t="shared" si="16"/>
        <v>0</v>
      </c>
      <c r="N236" s="103">
        <f t="shared" si="17"/>
        <v>806885.98632321204</v>
      </c>
      <c r="O236" s="103">
        <f t="shared" si="19"/>
        <v>0</v>
      </c>
      <c r="P236" s="103">
        <f t="shared" si="18"/>
        <v>806885.98632321204</v>
      </c>
      <c r="Q236" s="95">
        <f>COUNTIF(COMPOSICIÓN!$A:$A,A236)</f>
        <v>1</v>
      </c>
      <c r="R236" s="32"/>
      <c r="S236" s="32" t="s">
        <v>399</v>
      </c>
      <c r="T236" s="32">
        <v>0</v>
      </c>
      <c r="U236" s="32">
        <v>806885.98632321204</v>
      </c>
      <c r="V236" s="32">
        <v>0</v>
      </c>
    </row>
    <row r="237" spans="1:22" ht="14.25" hidden="1" customHeight="1" x14ac:dyDescent="0.35">
      <c r="A237" s="12" t="s">
        <v>401</v>
      </c>
      <c r="B237" s="12"/>
      <c r="C237" s="105" t="s">
        <v>2012</v>
      </c>
      <c r="D237" s="12" t="s">
        <v>400</v>
      </c>
      <c r="E237" s="14" t="s">
        <v>41</v>
      </c>
      <c r="F237" s="14">
        <v>1</v>
      </c>
      <c r="G237" s="14">
        <v>0</v>
      </c>
      <c r="H237" s="14">
        <v>0</v>
      </c>
      <c r="I237" s="14">
        <v>1</v>
      </c>
      <c r="J237" s="100">
        <f>SUMIFS(COMPOSICIÓN!J$2:J$1892,COMPOSICIÓN!A$2:A$1892,A237,COMPOSICIÓN!B$2:B$1892,"MAT")</f>
        <v>0</v>
      </c>
      <c r="K237" s="100">
        <f>SUMIFS(COMPOSICIÓN!J$2:J$1892,COMPOSICIÓN!A$2:A$1892,A237,COMPOSICIÓN!B$2:B$1892,"MO")*I237</f>
        <v>1623254.46014153</v>
      </c>
      <c r="L237" s="100">
        <f>SUMIFS(COMPOSICIÓN!J$2:J$1892,COMPOSICIÓN!A$2:A$1892,A237,COMPOSICIÓN!B$2:B$1892,"EQ")</f>
        <v>0</v>
      </c>
      <c r="M237" s="101">
        <f t="shared" si="16"/>
        <v>0</v>
      </c>
      <c r="N237" s="101">
        <f t="shared" si="17"/>
        <v>1623254.46014153</v>
      </c>
      <c r="O237" s="101">
        <f t="shared" si="19"/>
        <v>0</v>
      </c>
      <c r="P237" s="101">
        <f t="shared" si="18"/>
        <v>1623254.46014153</v>
      </c>
      <c r="Q237" s="102">
        <f>COUNTIF(COMPOSICIÓN!$A:$A,A237)</f>
        <v>1</v>
      </c>
      <c r="R237" s="17"/>
      <c r="S237" s="17" t="s">
        <v>399</v>
      </c>
      <c r="T237" s="17">
        <v>0</v>
      </c>
      <c r="U237" s="17">
        <v>1623254.46014153</v>
      </c>
      <c r="V237" s="17">
        <v>0</v>
      </c>
    </row>
    <row r="238" spans="1:22" ht="14.25" hidden="1" customHeight="1" x14ac:dyDescent="0.35">
      <c r="A238" s="105" t="s">
        <v>403</v>
      </c>
      <c r="B238" s="105"/>
      <c r="C238" s="105" t="s">
        <v>2012</v>
      </c>
      <c r="D238" s="105" t="s">
        <v>402</v>
      </c>
      <c r="E238" s="106" t="s">
        <v>41</v>
      </c>
      <c r="F238" s="106">
        <v>1</v>
      </c>
      <c r="G238" s="106">
        <v>0</v>
      </c>
      <c r="H238" s="106">
        <v>0</v>
      </c>
      <c r="I238" s="106">
        <v>1</v>
      </c>
      <c r="J238" s="96">
        <f>SUMIFS(COMPOSICIÓN!J$2:J$1892,COMPOSICIÓN!A$2:A$1892,A238,COMPOSICIÓN!B$2:B$1892,"MAT")</f>
        <v>0</v>
      </c>
      <c r="K238" s="96">
        <f>SUMIFS(COMPOSICIÓN!J$2:J$1892,COMPOSICIÓN!A$2:A$1892,A238,COMPOSICIÓN!B$2:B$1892,"MO")*I238</f>
        <v>300000</v>
      </c>
      <c r="L238" s="96">
        <f>SUMIFS(COMPOSICIÓN!J$2:J$1892,COMPOSICIÓN!A$2:A$1892,A238,COMPOSICIÓN!B$2:B$1892,"EQ")</f>
        <v>0</v>
      </c>
      <c r="M238" s="103">
        <f t="shared" si="16"/>
        <v>0</v>
      </c>
      <c r="N238" s="103">
        <f t="shared" si="17"/>
        <v>300000</v>
      </c>
      <c r="O238" s="103">
        <f t="shared" si="19"/>
        <v>0</v>
      </c>
      <c r="P238" s="103">
        <f t="shared" si="18"/>
        <v>300000</v>
      </c>
      <c r="Q238" s="95">
        <f>COUNTIF(COMPOSICIÓN!$A:$A,A238)</f>
        <v>1</v>
      </c>
      <c r="R238" s="32"/>
      <c r="S238" s="32" t="s">
        <v>399</v>
      </c>
      <c r="T238" s="32">
        <v>0</v>
      </c>
      <c r="U238" s="32">
        <v>300000</v>
      </c>
      <c r="V238" s="32">
        <v>0</v>
      </c>
    </row>
    <row r="239" spans="1:22" ht="14.25" hidden="1" customHeight="1" x14ac:dyDescent="0.35">
      <c r="A239" s="12" t="s">
        <v>405</v>
      </c>
      <c r="B239" s="12"/>
      <c r="C239" s="105" t="s">
        <v>2012</v>
      </c>
      <c r="D239" s="12" t="s">
        <v>404</v>
      </c>
      <c r="E239" s="14" t="s">
        <v>26</v>
      </c>
      <c r="F239" s="14">
        <v>1</v>
      </c>
      <c r="G239" s="14">
        <v>0</v>
      </c>
      <c r="H239" s="106">
        <v>0</v>
      </c>
      <c r="I239" s="106">
        <v>1</v>
      </c>
      <c r="J239" s="96">
        <f>SUMIFS(COMPOSICIÓN!J$2:J$1892,COMPOSICIÓN!A$2:A$1892,A239,COMPOSICIÓN!B$2:B$1892,"MAT")</f>
        <v>4076935.9416666711</v>
      </c>
      <c r="K239" s="96">
        <f>SUMIFS(COMPOSICIÓN!J$2:J$1892,COMPOSICIÓN!A$2:A$1892,A239,COMPOSICIÓN!B$2:B$1892,"MO")*I239</f>
        <v>5599453.4722428042</v>
      </c>
      <c r="L239" s="96">
        <f>SUMIFS(COMPOSICIÓN!J$2:J$1892,COMPOSICIÓN!A$2:A$1892,A239,COMPOSICIÓN!B$2:B$1892,"EQ")</f>
        <v>145145.841208642</v>
      </c>
      <c r="M239" s="101">
        <f t="shared" si="16"/>
        <v>4076935.9416666711</v>
      </c>
      <c r="N239" s="101">
        <f t="shared" si="17"/>
        <v>5599453.4722428042</v>
      </c>
      <c r="O239" s="101">
        <f t="shared" si="19"/>
        <v>145145.841208642</v>
      </c>
      <c r="P239" s="101">
        <f t="shared" si="18"/>
        <v>9821535.2551181186</v>
      </c>
      <c r="Q239" s="102">
        <f>COUNTIF(COMPOSICIÓN!$A:$A,A239)</f>
        <v>8</v>
      </c>
      <c r="R239" s="17"/>
      <c r="S239" s="17" t="s">
        <v>32</v>
      </c>
      <c r="T239" s="17">
        <v>4076935.9416666701</v>
      </c>
      <c r="U239" s="17">
        <v>5599453.4722427996</v>
      </c>
      <c r="V239" s="17">
        <v>145145.841208642</v>
      </c>
    </row>
    <row r="240" spans="1:22" ht="14.25" hidden="1" customHeight="1" x14ac:dyDescent="0.35">
      <c r="A240" s="105" t="s">
        <v>407</v>
      </c>
      <c r="B240" s="105"/>
      <c r="C240" s="105" t="s">
        <v>2012</v>
      </c>
      <c r="D240" s="105" t="s">
        <v>406</v>
      </c>
      <c r="E240" s="106" t="s">
        <v>41</v>
      </c>
      <c r="F240" s="106">
        <v>1</v>
      </c>
      <c r="G240" s="106">
        <v>0</v>
      </c>
      <c r="H240" s="106">
        <v>0</v>
      </c>
      <c r="I240" s="106">
        <v>1</v>
      </c>
      <c r="J240" s="96">
        <f>SUMIFS(COMPOSICIÓN!J$2:J$1892,COMPOSICIÓN!A$2:A$1892,A240,COMPOSICIÓN!B$2:B$1892,"MAT")</f>
        <v>50000</v>
      </c>
      <c r="K240" s="96">
        <f>SUMIFS(COMPOSICIÓN!J$2:J$1892,COMPOSICIÓN!A$2:A$1892,A240,COMPOSICIÓN!B$2:B$1892,"MO")*I240</f>
        <v>657280.53129030485</v>
      </c>
      <c r="L240" s="96">
        <f>SUMIFS(COMPOSICIÓN!J$2:J$1892,COMPOSICIÓN!A$2:A$1892,A240,COMPOSICIÓN!B$2:B$1892,"EQ")</f>
        <v>10609.2079693546</v>
      </c>
      <c r="M240" s="103">
        <f t="shared" si="16"/>
        <v>50000</v>
      </c>
      <c r="N240" s="103">
        <f t="shared" si="17"/>
        <v>657280.53129030485</v>
      </c>
      <c r="O240" s="103">
        <f t="shared" si="19"/>
        <v>10609.2079693546</v>
      </c>
      <c r="P240" s="103">
        <f t="shared" si="18"/>
        <v>717889.73925965943</v>
      </c>
      <c r="Q240" s="95">
        <f>COUNTIF(COMPOSICIÓN!$A:$A,A240)</f>
        <v>4</v>
      </c>
      <c r="R240" s="32"/>
      <c r="S240" s="32" t="s">
        <v>32</v>
      </c>
      <c r="T240" s="32">
        <v>50000</v>
      </c>
      <c r="U240" s="32">
        <v>657280.53129030496</v>
      </c>
      <c r="V240" s="32">
        <v>10609.2079693546</v>
      </c>
    </row>
    <row r="241" spans="1:22" ht="14.25" hidden="1" customHeight="1" x14ac:dyDescent="0.35">
      <c r="A241" s="12" t="s">
        <v>409</v>
      </c>
      <c r="B241" s="12"/>
      <c r="C241" s="105" t="s">
        <v>2012</v>
      </c>
      <c r="D241" s="12" t="s">
        <v>408</v>
      </c>
      <c r="E241" s="14" t="s">
        <v>41</v>
      </c>
      <c r="F241" s="14">
        <v>1</v>
      </c>
      <c r="G241" s="14">
        <v>0</v>
      </c>
      <c r="H241" s="106">
        <v>0</v>
      </c>
      <c r="I241" s="106">
        <v>1</v>
      </c>
      <c r="J241" s="96">
        <f>SUMIFS(COMPOSICIÓN!J$2:J$1892,COMPOSICIÓN!A$2:A$1892,A241,COMPOSICIÓN!B$2:B$1892,"MAT")</f>
        <v>50000</v>
      </c>
      <c r="K241" s="96">
        <f>SUMIFS(COMPOSICIÓN!J$2:J$1892,COMPOSICIÓN!A$2:A$1892,A241,COMPOSICIÓN!B$2:B$1892,"MO")*I241</f>
        <v>591716.38997035497</v>
      </c>
      <c r="L241" s="96">
        <f>SUMIFS(COMPOSICIÓN!J$2:J$1892,COMPOSICIÓN!A$2:A$1892,A241,COMPOSICIÓN!B$2:B$1892,"EQ")</f>
        <v>9625.7458495553292</v>
      </c>
      <c r="M241" s="101">
        <f t="shared" si="16"/>
        <v>50000</v>
      </c>
      <c r="N241" s="101">
        <f t="shared" si="17"/>
        <v>591716.38997035497</v>
      </c>
      <c r="O241" s="101">
        <f t="shared" si="19"/>
        <v>9625.7458495553292</v>
      </c>
      <c r="P241" s="101">
        <f t="shared" si="18"/>
        <v>651342.13581991033</v>
      </c>
      <c r="Q241" s="102">
        <f>COUNTIF(COMPOSICIÓN!$A:$A,A241)</f>
        <v>3</v>
      </c>
      <c r="R241" s="17"/>
      <c r="S241" s="17" t="s">
        <v>32</v>
      </c>
      <c r="T241" s="17">
        <v>50000</v>
      </c>
      <c r="U241" s="17">
        <v>591716.38997035497</v>
      </c>
      <c r="V241" s="17">
        <v>9625.7458495553292</v>
      </c>
    </row>
    <row r="242" spans="1:22" ht="14.25" hidden="1" customHeight="1" x14ac:dyDescent="0.35">
      <c r="A242" s="105" t="s">
        <v>411</v>
      </c>
      <c r="B242" s="105"/>
      <c r="C242" s="105" t="s">
        <v>2012</v>
      </c>
      <c r="D242" s="105" t="s">
        <v>410</v>
      </c>
      <c r="E242" s="106" t="s">
        <v>26</v>
      </c>
      <c r="F242" s="106">
        <v>1</v>
      </c>
      <c r="G242" s="106">
        <v>0</v>
      </c>
      <c r="H242" s="106">
        <v>0</v>
      </c>
      <c r="I242" s="106">
        <v>1</v>
      </c>
      <c r="J242" s="96">
        <f>SUMIFS(COMPOSICIÓN!J$2:J$1892,COMPOSICIÓN!A$2:A$1892,A242,COMPOSICIÓN!B$2:B$1892,"MAT")</f>
        <v>500000</v>
      </c>
      <c r="K242" s="96">
        <f>SUMIFS(COMPOSICIÓN!J$2:J$1892,COMPOSICIÓN!A$2:A$1892,A242,COMPOSICIÓN!B$2:B$1892,"MO")*I242</f>
        <v>4034429.9316160562</v>
      </c>
      <c r="L242" s="96">
        <f>SUMIFS(COMPOSICIÓN!J$2:J$1892,COMPOSICIÓN!A$2:A$1892,A242,COMPOSICIÓN!B$2:B$1892,"EQ")</f>
        <v>68016.448974240906</v>
      </c>
      <c r="M242" s="103">
        <f t="shared" si="16"/>
        <v>500000</v>
      </c>
      <c r="N242" s="103">
        <f t="shared" si="17"/>
        <v>4034429.9316160562</v>
      </c>
      <c r="O242" s="103">
        <f t="shared" si="19"/>
        <v>68016.448974240906</v>
      </c>
      <c r="P242" s="103">
        <f t="shared" si="18"/>
        <v>4602446.3805902973</v>
      </c>
      <c r="Q242" s="95">
        <f>COUNTIF(COMPOSICIÓN!$A:$A,A242)</f>
        <v>3</v>
      </c>
      <c r="R242" s="32"/>
      <c r="S242" s="32" t="s">
        <v>32</v>
      </c>
      <c r="T242" s="32">
        <v>500000</v>
      </c>
      <c r="U242" s="32">
        <v>4034429.93161606</v>
      </c>
      <c r="V242" s="32">
        <v>68016.448974240906</v>
      </c>
    </row>
    <row r="243" spans="1:22" ht="14.25" hidden="1" customHeight="1" x14ac:dyDescent="0.35">
      <c r="A243" s="12" t="s">
        <v>413</v>
      </c>
      <c r="B243" s="12"/>
      <c r="C243" s="105" t="s">
        <v>2012</v>
      </c>
      <c r="D243" s="12" t="s">
        <v>412</v>
      </c>
      <c r="E243" s="14" t="s">
        <v>41</v>
      </c>
      <c r="F243" s="14">
        <v>1</v>
      </c>
      <c r="G243" s="14">
        <v>0</v>
      </c>
      <c r="H243" s="14">
        <v>0</v>
      </c>
      <c r="I243" s="14">
        <v>1</v>
      </c>
      <c r="J243" s="100">
        <f>SUMIFS(COMPOSICIÓN!J$2:J$1892,COMPOSICIÓN!A$2:A$1892,A243,COMPOSICIÓN!B$2:B$1892,"MAT")</f>
        <v>0</v>
      </c>
      <c r="K243" s="100">
        <f>SUMIFS(COMPOSICIÓN!J$2:J$1892,COMPOSICIÓN!A$2:A$1892,A243,COMPOSICIÓN!B$2:B$1892,"MO")*I243</f>
        <v>300000</v>
      </c>
      <c r="L243" s="100">
        <f>SUMIFS(COMPOSICIÓN!J$2:J$1892,COMPOSICIÓN!A$2:A$1892,A243,COMPOSICIÓN!B$2:B$1892,"EQ")</f>
        <v>0</v>
      </c>
      <c r="M243" s="101">
        <f t="shared" si="16"/>
        <v>0</v>
      </c>
      <c r="N243" s="101">
        <f t="shared" si="17"/>
        <v>300000</v>
      </c>
      <c r="O243" s="101">
        <f t="shared" si="19"/>
        <v>0</v>
      </c>
      <c r="P243" s="101">
        <f t="shared" si="18"/>
        <v>300000</v>
      </c>
      <c r="Q243" s="102">
        <f>COUNTIF(COMPOSICIÓN!$A:$A,A243)</f>
        <v>1</v>
      </c>
      <c r="R243" s="17"/>
      <c r="S243" s="17" t="s">
        <v>28</v>
      </c>
      <c r="T243" s="17">
        <v>0</v>
      </c>
      <c r="U243" s="17">
        <v>300000</v>
      </c>
      <c r="V243" s="17">
        <v>0</v>
      </c>
    </row>
    <row r="244" spans="1:22" ht="14.25" hidden="1" customHeight="1" x14ac:dyDescent="0.35">
      <c r="A244" s="105" t="s">
        <v>415</v>
      </c>
      <c r="B244" s="105"/>
      <c r="C244" s="105" t="s">
        <v>2012</v>
      </c>
      <c r="D244" s="105" t="s">
        <v>414</v>
      </c>
      <c r="E244" s="106" t="s">
        <v>41</v>
      </c>
      <c r="F244" s="106">
        <v>1</v>
      </c>
      <c r="G244" s="106">
        <v>0</v>
      </c>
      <c r="H244" s="106">
        <v>0</v>
      </c>
      <c r="I244" s="106">
        <v>1</v>
      </c>
      <c r="J244" s="96">
        <f>SUMIFS(COMPOSICIÓN!J$2:J$1892,COMPOSICIÓN!A$2:A$1892,A244,COMPOSICIÓN!B$2:B$1892,"MAT")</f>
        <v>200000</v>
      </c>
      <c r="K244" s="96">
        <f>SUMIFS(COMPOSICIÓN!J$2:J$1892,COMPOSICIÓN!A$2:A$1892,A244,COMPOSICIÓN!B$2:B$1892,"MO")*I244</f>
        <v>67240.498860267602</v>
      </c>
      <c r="L244" s="96">
        <f>SUMIFS(COMPOSICIÓN!J$2:J$1892,COMPOSICIÓN!A$2:A$1892,A244,COMPOSICIÓN!B$2:B$1892,"EQ")</f>
        <v>4008.6074829040099</v>
      </c>
      <c r="M244" s="103">
        <f t="shared" si="16"/>
        <v>200000</v>
      </c>
      <c r="N244" s="103">
        <f t="shared" si="17"/>
        <v>67240.498860267602</v>
      </c>
      <c r="O244" s="103">
        <f t="shared" si="19"/>
        <v>4008.6074829040099</v>
      </c>
      <c r="P244" s="103">
        <f t="shared" si="18"/>
        <v>271249.10634317156</v>
      </c>
      <c r="Q244" s="95">
        <f>COUNTIF(COMPOSICIÓN!$A:$A,A244)</f>
        <v>3</v>
      </c>
      <c r="R244" s="32"/>
      <c r="S244" s="32" t="s">
        <v>32</v>
      </c>
      <c r="T244" s="32">
        <v>200000</v>
      </c>
      <c r="U244" s="32">
        <v>67240.498860267602</v>
      </c>
      <c r="V244" s="32">
        <v>4008.6074829040099</v>
      </c>
    </row>
    <row r="245" spans="1:22" ht="14.25" hidden="1" customHeight="1" x14ac:dyDescent="0.35">
      <c r="A245" s="12" t="s">
        <v>417</v>
      </c>
      <c r="B245" s="12"/>
      <c r="C245" s="12" t="s">
        <v>2013</v>
      </c>
      <c r="D245" s="12" t="s">
        <v>416</v>
      </c>
      <c r="E245" s="14" t="s">
        <v>41</v>
      </c>
      <c r="F245" s="14">
        <v>1</v>
      </c>
      <c r="G245" s="14">
        <v>0</v>
      </c>
      <c r="H245" s="14">
        <v>0</v>
      </c>
      <c r="I245" s="14">
        <v>1</v>
      </c>
      <c r="J245" s="100">
        <f>SUMIFS(COMPOSICIÓN!J$2:J$1892,COMPOSICIÓN!A$2:A$1892,A245,COMPOSICIÓN!B$2:B$1892,"MAT")</f>
        <v>0</v>
      </c>
      <c r="K245" s="100">
        <f>SUMIFS(COMPOSICIÓN!J$2:J$1892,COMPOSICIÓN!A$2:A$1892,A245,COMPOSICIÓN!B$2:B$1892,"MO")*I245</f>
        <v>3246508.9202830601</v>
      </c>
      <c r="L245" s="100">
        <f>SUMIFS(COMPOSICIÓN!J$2:J$1892,COMPOSICIÓN!A$2:A$1892,A245,COMPOSICIÓN!B$2:B$1892,"EQ")</f>
        <v>0</v>
      </c>
      <c r="M245" s="101">
        <f t="shared" si="16"/>
        <v>0</v>
      </c>
      <c r="N245" s="101">
        <f t="shared" si="17"/>
        <v>3246508.9202830601</v>
      </c>
      <c r="O245" s="101">
        <f t="shared" si="19"/>
        <v>0</v>
      </c>
      <c r="P245" s="101">
        <f t="shared" si="18"/>
        <v>3246508.9202830601</v>
      </c>
      <c r="Q245" s="102">
        <f>COUNTIF(COMPOSICIÓN!$A:$A,A245)</f>
        <v>1</v>
      </c>
      <c r="R245" s="17"/>
      <c r="S245" s="17" t="s">
        <v>399</v>
      </c>
      <c r="T245" s="17">
        <v>0</v>
      </c>
      <c r="U245" s="17">
        <v>3246508.9202830601</v>
      </c>
      <c r="V245" s="17">
        <v>0</v>
      </c>
    </row>
    <row r="246" spans="1:22" ht="14.25" hidden="1" customHeight="1" x14ac:dyDescent="0.35">
      <c r="A246" s="105" t="s">
        <v>419</v>
      </c>
      <c r="B246" s="105"/>
      <c r="C246" s="105" t="s">
        <v>2013</v>
      </c>
      <c r="D246" s="105" t="s">
        <v>418</v>
      </c>
      <c r="E246" s="106" t="s">
        <v>41</v>
      </c>
      <c r="F246" s="106">
        <v>1</v>
      </c>
      <c r="G246" s="106">
        <v>0</v>
      </c>
      <c r="H246" s="106">
        <v>0</v>
      </c>
      <c r="I246" s="106">
        <v>1</v>
      </c>
      <c r="J246" s="96">
        <f>SUMIFS(COMPOSICIÓN!J$2:J$1892,COMPOSICIÓN!A$2:A$1892,A246,COMPOSICIÓN!B$2:B$1892,"MAT")</f>
        <v>0</v>
      </c>
      <c r="K246" s="96">
        <f>SUMIFS(COMPOSICIÓN!J$2:J$1892,COMPOSICIÓN!A$2:A$1892,A246,COMPOSICIÓN!B$2:B$1892,"MO")*I246</f>
        <v>500000</v>
      </c>
      <c r="L246" s="96">
        <f>SUMIFS(COMPOSICIÓN!J$2:J$1892,COMPOSICIÓN!A$2:A$1892,A246,COMPOSICIÓN!B$2:B$1892,"EQ")</f>
        <v>0</v>
      </c>
      <c r="M246" s="103">
        <f t="shared" si="16"/>
        <v>0</v>
      </c>
      <c r="N246" s="103">
        <f t="shared" si="17"/>
        <v>500000</v>
      </c>
      <c r="O246" s="103">
        <f t="shared" si="19"/>
        <v>0</v>
      </c>
      <c r="P246" s="103">
        <f t="shared" si="18"/>
        <v>500000</v>
      </c>
      <c r="Q246" s="95">
        <f>COUNTIF(COMPOSICIÓN!$A:$A,A246)</f>
        <v>1</v>
      </c>
      <c r="R246" s="32"/>
      <c r="S246" s="32" t="s">
        <v>399</v>
      </c>
      <c r="T246" s="32">
        <v>0</v>
      </c>
      <c r="U246" s="32">
        <v>500000</v>
      </c>
      <c r="V246" s="32">
        <v>0</v>
      </c>
    </row>
    <row r="247" spans="1:22" ht="14.25" hidden="1" customHeight="1" x14ac:dyDescent="0.35">
      <c r="A247" s="12" t="s">
        <v>421</v>
      </c>
      <c r="B247" s="12"/>
      <c r="C247" s="12" t="s">
        <v>2014</v>
      </c>
      <c r="D247" s="12" t="s">
        <v>420</v>
      </c>
      <c r="E247" s="14" t="s">
        <v>98</v>
      </c>
      <c r="F247" s="14">
        <v>1</v>
      </c>
      <c r="G247" s="14">
        <v>0</v>
      </c>
      <c r="H247" s="106">
        <v>0</v>
      </c>
      <c r="I247" s="106">
        <v>1</v>
      </c>
      <c r="J247" s="96">
        <f>SUMIFS(COMPOSICIÓN!J$2:J$1892,COMPOSICIÓN!A$2:A$1892,A247,COMPOSICIÓN!B$2:B$1892,"MAT")</f>
        <v>300000</v>
      </c>
      <c r="K247" s="96">
        <f>SUMIFS(COMPOSICIÓN!J$2:J$1892,COMPOSICIÓN!A$2:A$1892,A247,COMPOSICIÓN!B$2:B$1892,"MO")*I247</f>
        <v>0</v>
      </c>
      <c r="L247" s="96">
        <f>SUMIFS(COMPOSICIÓN!J$2:J$1892,COMPOSICIÓN!A$2:A$1892,A247,COMPOSICIÓN!B$2:B$1892,"EQ")</f>
        <v>0</v>
      </c>
      <c r="M247" s="101">
        <f t="shared" si="16"/>
        <v>300000</v>
      </c>
      <c r="N247" s="101">
        <f t="shared" si="17"/>
        <v>0</v>
      </c>
      <c r="O247" s="101">
        <f t="shared" si="19"/>
        <v>0</v>
      </c>
      <c r="P247" s="101">
        <f t="shared" si="18"/>
        <v>300000</v>
      </c>
      <c r="Q247" s="102">
        <f>COUNTIF(COMPOSICIÓN!$A:$A,A247)</f>
        <v>1</v>
      </c>
      <c r="R247" s="17"/>
      <c r="S247" s="17" t="s">
        <v>28</v>
      </c>
      <c r="T247" s="17">
        <v>300000</v>
      </c>
      <c r="U247" s="17">
        <v>0</v>
      </c>
      <c r="V247" s="17">
        <v>0</v>
      </c>
    </row>
    <row r="248" spans="1:22" ht="14.25" hidden="1" customHeight="1" x14ac:dyDescent="0.35">
      <c r="A248" s="105" t="s">
        <v>423</v>
      </c>
      <c r="B248" s="105"/>
      <c r="C248" s="105" t="s">
        <v>2014</v>
      </c>
      <c r="D248" s="105" t="s">
        <v>422</v>
      </c>
      <c r="E248" s="106" t="s">
        <v>98</v>
      </c>
      <c r="F248" s="106">
        <v>1</v>
      </c>
      <c r="G248" s="106">
        <v>0</v>
      </c>
      <c r="H248" s="106">
        <v>0</v>
      </c>
      <c r="I248" s="106">
        <v>1</v>
      </c>
      <c r="J248" s="96">
        <f>SUMIFS(COMPOSICIÓN!J$2:J$1892,COMPOSICIÓN!A$2:A$1892,A248,COMPOSICIÓN!B$2:B$1892,"MAT")</f>
        <v>228642</v>
      </c>
      <c r="K248" s="96">
        <f>SUMIFS(COMPOSICIÓN!J$2:J$1892,COMPOSICIÓN!A$2:A$1892,A248,COMPOSICIÓN!B$2:B$1892,"MO")*I248</f>
        <v>0</v>
      </c>
      <c r="L248" s="96">
        <f>SUMIFS(COMPOSICIÓN!J$2:J$1892,COMPOSICIÓN!A$2:A$1892,A248,COMPOSICIÓN!B$2:B$1892,"EQ")</f>
        <v>0</v>
      </c>
      <c r="M248" s="103">
        <f t="shared" si="16"/>
        <v>228642</v>
      </c>
      <c r="N248" s="103">
        <f t="shared" si="17"/>
        <v>0</v>
      </c>
      <c r="O248" s="103">
        <f t="shared" si="19"/>
        <v>0</v>
      </c>
      <c r="P248" s="103">
        <f t="shared" si="18"/>
        <v>228642</v>
      </c>
      <c r="Q248" s="95">
        <f>COUNTIF(COMPOSICIÓN!$A:$A,A248)</f>
        <v>1</v>
      </c>
      <c r="R248" s="32"/>
      <c r="S248" s="32" t="s">
        <v>424</v>
      </c>
      <c r="T248" s="32">
        <v>228642</v>
      </c>
      <c r="U248" s="32">
        <v>0</v>
      </c>
      <c r="V248" s="32">
        <v>0</v>
      </c>
    </row>
    <row r="249" spans="1:22" ht="14.25" hidden="1" customHeight="1" x14ac:dyDescent="0.35">
      <c r="A249" s="12" t="s">
        <v>426</v>
      </c>
      <c r="B249" s="12"/>
      <c r="C249" s="12" t="s">
        <v>2032</v>
      </c>
      <c r="D249" s="12" t="s">
        <v>425</v>
      </c>
      <c r="E249" s="14" t="s">
        <v>98</v>
      </c>
      <c r="F249" s="14">
        <v>1</v>
      </c>
      <c r="G249" s="14">
        <v>0</v>
      </c>
      <c r="H249" s="14">
        <v>0</v>
      </c>
      <c r="I249" s="14">
        <v>1</v>
      </c>
      <c r="J249" s="100">
        <f>SUMIFS(COMPOSICIÓN!J$2:J$1892,COMPOSICIÓN!A$2:A$1892,A249,COMPOSICIÓN!B$2:B$1892,"MAT")</f>
        <v>550000</v>
      </c>
      <c r="K249" s="100">
        <f>SUMIFS(COMPOSICIÓN!J$2:J$1892,COMPOSICIÓN!A$2:A$1892,A249,COMPOSICIÓN!B$2:B$1892,"MO")*I249</f>
        <v>0</v>
      </c>
      <c r="L249" s="100">
        <f>SUMIFS(COMPOSICIÓN!J$2:J$1892,COMPOSICIÓN!A$2:A$1892,A249,COMPOSICIÓN!B$2:B$1892,"EQ")</f>
        <v>0</v>
      </c>
      <c r="M249" s="101">
        <f t="shared" si="16"/>
        <v>550000</v>
      </c>
      <c r="N249" s="101">
        <f t="shared" si="17"/>
        <v>0</v>
      </c>
      <c r="O249" s="101">
        <f t="shared" si="19"/>
        <v>0</v>
      </c>
      <c r="P249" s="101">
        <f t="shared" si="18"/>
        <v>550000</v>
      </c>
      <c r="Q249" s="102">
        <f>COUNTIF(COMPOSICIÓN!$A:$A,A249)</f>
        <v>1</v>
      </c>
      <c r="R249" s="17"/>
      <c r="S249" s="17" t="s">
        <v>28</v>
      </c>
      <c r="T249" s="17">
        <v>550000</v>
      </c>
      <c r="U249" s="17">
        <v>0</v>
      </c>
      <c r="V249" s="17">
        <v>0</v>
      </c>
    </row>
    <row r="250" spans="1:22" ht="14.25" hidden="1" customHeight="1" x14ac:dyDescent="0.35">
      <c r="A250" s="105" t="s">
        <v>428</v>
      </c>
      <c r="B250" s="105"/>
      <c r="C250" s="105" t="s">
        <v>2032</v>
      </c>
      <c r="D250" s="105" t="s">
        <v>427</v>
      </c>
      <c r="E250" s="106" t="s">
        <v>98</v>
      </c>
      <c r="F250" s="106">
        <v>1</v>
      </c>
      <c r="G250" s="106">
        <v>0</v>
      </c>
      <c r="H250" s="106">
        <v>0</v>
      </c>
      <c r="I250" s="106">
        <v>1</v>
      </c>
      <c r="J250" s="96">
        <f>SUMIFS(COMPOSICIÓN!J$2:J$1892,COMPOSICIÓN!A$2:A$1892,A250,COMPOSICIÓN!B$2:B$1892,"MAT")</f>
        <v>550000</v>
      </c>
      <c r="K250" s="96">
        <f>SUMIFS(COMPOSICIÓN!J$2:J$1892,COMPOSICIÓN!A$2:A$1892,A250,COMPOSICIÓN!B$2:B$1892,"MO")*I250</f>
        <v>0</v>
      </c>
      <c r="L250" s="96">
        <f>SUMIFS(COMPOSICIÓN!J$2:J$1892,COMPOSICIÓN!A$2:A$1892,A250,COMPOSICIÓN!B$2:B$1892,"EQ")</f>
        <v>0</v>
      </c>
      <c r="M250" s="103">
        <f t="shared" si="16"/>
        <v>550000</v>
      </c>
      <c r="N250" s="103">
        <f t="shared" si="17"/>
        <v>0</v>
      </c>
      <c r="O250" s="103">
        <f t="shared" si="19"/>
        <v>0</v>
      </c>
      <c r="P250" s="103">
        <f t="shared" si="18"/>
        <v>550000</v>
      </c>
      <c r="Q250" s="95">
        <f>COUNTIF(COMPOSICIÓN!$A:$A,A250)</f>
        <v>1</v>
      </c>
      <c r="R250" s="32"/>
      <c r="S250" s="32" t="s">
        <v>28</v>
      </c>
      <c r="T250" s="32">
        <v>550000</v>
      </c>
      <c r="U250" s="32">
        <v>0</v>
      </c>
      <c r="V250" s="32">
        <v>0</v>
      </c>
    </row>
    <row r="251" spans="1:22" ht="14.25" hidden="1" customHeight="1" x14ac:dyDescent="0.35">
      <c r="A251" s="12" t="s">
        <v>430</v>
      </c>
      <c r="B251" s="12"/>
      <c r="C251" s="12" t="s">
        <v>2032</v>
      </c>
      <c r="D251" s="12" t="s">
        <v>429</v>
      </c>
      <c r="E251" s="14" t="s">
        <v>98</v>
      </c>
      <c r="F251" s="14">
        <v>1</v>
      </c>
      <c r="G251" s="14">
        <v>0</v>
      </c>
      <c r="H251" s="14">
        <v>0</v>
      </c>
      <c r="I251" s="14">
        <v>1</v>
      </c>
      <c r="J251" s="100">
        <f>SUMIFS(COMPOSICIÓN!J$2:J$1892,COMPOSICIÓN!A$2:A$1892,A251,COMPOSICIÓN!B$2:B$1892,"MAT")</f>
        <v>125000</v>
      </c>
      <c r="K251" s="100">
        <f>SUMIFS(COMPOSICIÓN!J$2:J$1892,COMPOSICIÓN!A$2:A$1892,A251,COMPOSICIÓN!B$2:B$1892,"MO")*I251</f>
        <v>0</v>
      </c>
      <c r="L251" s="100">
        <f>SUMIFS(COMPOSICIÓN!J$2:J$1892,COMPOSICIÓN!A$2:A$1892,A251,COMPOSICIÓN!B$2:B$1892,"EQ")</f>
        <v>0</v>
      </c>
      <c r="M251" s="101">
        <f t="shared" si="16"/>
        <v>125000</v>
      </c>
      <c r="N251" s="101">
        <f t="shared" si="17"/>
        <v>0</v>
      </c>
      <c r="O251" s="101">
        <f t="shared" si="19"/>
        <v>0</v>
      </c>
      <c r="P251" s="101">
        <f t="shared" si="18"/>
        <v>125000</v>
      </c>
      <c r="Q251" s="102">
        <f>COUNTIF(COMPOSICIÓN!$A:$A,A251)</f>
        <v>1</v>
      </c>
      <c r="R251" s="17"/>
      <c r="S251" s="17" t="s">
        <v>28</v>
      </c>
      <c r="T251" s="17">
        <v>125000</v>
      </c>
      <c r="U251" s="17">
        <v>0</v>
      </c>
      <c r="V251" s="17">
        <v>0</v>
      </c>
    </row>
    <row r="252" spans="1:22" ht="14.25" hidden="1" customHeight="1" x14ac:dyDescent="0.35">
      <c r="A252" s="105" t="s">
        <v>432</v>
      </c>
      <c r="B252" s="105"/>
      <c r="C252" s="105" t="s">
        <v>2032</v>
      </c>
      <c r="D252" s="105" t="s">
        <v>431</v>
      </c>
      <c r="E252" s="106" t="s">
        <v>98</v>
      </c>
      <c r="F252" s="106">
        <v>1</v>
      </c>
      <c r="G252" s="106">
        <v>0</v>
      </c>
      <c r="H252" s="106">
        <v>0</v>
      </c>
      <c r="I252" s="106">
        <v>1</v>
      </c>
      <c r="J252" s="96">
        <f>SUMIFS(COMPOSICIÓN!J$2:J$1892,COMPOSICIÓN!A$2:A$1892,A252,COMPOSICIÓN!B$2:B$1892,"MAT")</f>
        <v>135000</v>
      </c>
      <c r="K252" s="96">
        <f>SUMIFS(COMPOSICIÓN!J$2:J$1892,COMPOSICIÓN!A$2:A$1892,A252,COMPOSICIÓN!B$2:B$1892,"MO")*I252</f>
        <v>0</v>
      </c>
      <c r="L252" s="96">
        <f>SUMIFS(COMPOSICIÓN!J$2:J$1892,COMPOSICIÓN!A$2:A$1892,A252,COMPOSICIÓN!B$2:B$1892,"EQ")</f>
        <v>0</v>
      </c>
      <c r="M252" s="103">
        <f t="shared" si="16"/>
        <v>135000</v>
      </c>
      <c r="N252" s="103">
        <f t="shared" si="17"/>
        <v>0</v>
      </c>
      <c r="O252" s="103">
        <f t="shared" si="19"/>
        <v>0</v>
      </c>
      <c r="P252" s="103">
        <f t="shared" si="18"/>
        <v>135000</v>
      </c>
      <c r="Q252" s="95">
        <f>COUNTIF(COMPOSICIÓN!$A:$A,A252)</f>
        <v>1</v>
      </c>
      <c r="R252" s="32"/>
      <c r="S252" s="32" t="s">
        <v>28</v>
      </c>
      <c r="T252" s="32">
        <v>135000</v>
      </c>
      <c r="U252" s="32">
        <v>0</v>
      </c>
      <c r="V252" s="32">
        <v>0</v>
      </c>
    </row>
    <row r="253" spans="1:22" ht="14.25" hidden="1" customHeight="1" x14ac:dyDescent="0.35">
      <c r="A253" s="12" t="s">
        <v>434</v>
      </c>
      <c r="B253" s="12"/>
      <c r="C253" s="12" t="s">
        <v>2032</v>
      </c>
      <c r="D253" s="12" t="s">
        <v>433</v>
      </c>
      <c r="E253" s="14" t="s">
        <v>98</v>
      </c>
      <c r="F253" s="14">
        <v>1</v>
      </c>
      <c r="G253" s="14">
        <v>0</v>
      </c>
      <c r="H253" s="14">
        <v>0</v>
      </c>
      <c r="I253" s="14">
        <v>1</v>
      </c>
      <c r="J253" s="100">
        <f>SUMIFS(COMPOSICIÓN!J$2:J$1892,COMPOSICIÓN!A$2:A$1892,A253,COMPOSICIÓN!B$2:B$1892,"MAT")</f>
        <v>300000</v>
      </c>
      <c r="K253" s="100">
        <f>SUMIFS(COMPOSICIÓN!J$2:J$1892,COMPOSICIÓN!A$2:A$1892,A253,COMPOSICIÓN!B$2:B$1892,"MO")*I253</f>
        <v>0</v>
      </c>
      <c r="L253" s="100">
        <f>SUMIFS(COMPOSICIÓN!J$2:J$1892,COMPOSICIÓN!A$2:A$1892,A253,COMPOSICIÓN!B$2:B$1892,"EQ")</f>
        <v>0</v>
      </c>
      <c r="M253" s="101">
        <f t="shared" si="16"/>
        <v>300000</v>
      </c>
      <c r="N253" s="101">
        <f t="shared" si="17"/>
        <v>0</v>
      </c>
      <c r="O253" s="101">
        <f t="shared" ref="O253:O277" si="20">IF(F253=0,0,L253/F253)</f>
        <v>0</v>
      </c>
      <c r="P253" s="101">
        <f t="shared" si="18"/>
        <v>300000</v>
      </c>
      <c r="Q253" s="102">
        <f>COUNTIF(COMPOSICIÓN!$A:$A,A253)</f>
        <v>1</v>
      </c>
      <c r="R253" s="17"/>
      <c r="S253" s="17" t="s">
        <v>28</v>
      </c>
      <c r="T253" s="17">
        <v>300000</v>
      </c>
      <c r="U253" s="17">
        <v>0</v>
      </c>
      <c r="V253" s="17">
        <v>0</v>
      </c>
    </row>
    <row r="254" spans="1:22" ht="14.25" hidden="1" customHeight="1" x14ac:dyDescent="0.35">
      <c r="A254" s="105" t="s">
        <v>436</v>
      </c>
      <c r="B254" s="105"/>
      <c r="C254" s="105" t="s">
        <v>2032</v>
      </c>
      <c r="D254" s="105" t="s">
        <v>435</v>
      </c>
      <c r="E254" s="106" t="s">
        <v>98</v>
      </c>
      <c r="F254" s="106">
        <v>1</v>
      </c>
      <c r="G254" s="106">
        <v>0</v>
      </c>
      <c r="H254" s="106">
        <v>0</v>
      </c>
      <c r="I254" s="106">
        <v>1</v>
      </c>
      <c r="J254" s="96">
        <f>SUMIFS(COMPOSICIÓN!J$2:J$1892,COMPOSICIÓN!A$2:A$1892,A254,COMPOSICIÓN!B$2:B$1892,"MAT")</f>
        <v>700000</v>
      </c>
      <c r="K254" s="96">
        <f>SUMIFS(COMPOSICIÓN!J$2:J$1892,COMPOSICIÓN!A$2:A$1892,A254,COMPOSICIÓN!B$2:B$1892,"MO")*I254</f>
        <v>0</v>
      </c>
      <c r="L254" s="96">
        <f>SUMIFS(COMPOSICIÓN!J$2:J$1892,COMPOSICIÓN!A$2:A$1892,A254,COMPOSICIÓN!B$2:B$1892,"EQ")</f>
        <v>0</v>
      </c>
      <c r="M254" s="103">
        <f t="shared" si="16"/>
        <v>700000</v>
      </c>
      <c r="N254" s="103">
        <f t="shared" si="17"/>
        <v>0</v>
      </c>
      <c r="O254" s="103">
        <f t="shared" si="20"/>
        <v>0</v>
      </c>
      <c r="P254" s="103">
        <f t="shared" si="18"/>
        <v>700000</v>
      </c>
      <c r="Q254" s="95">
        <f>COUNTIF(COMPOSICIÓN!$A:$A,A254)</f>
        <v>1</v>
      </c>
      <c r="R254" s="32"/>
      <c r="S254" s="32" t="s">
        <v>28</v>
      </c>
      <c r="T254" s="32">
        <v>700000</v>
      </c>
      <c r="U254" s="32">
        <v>0</v>
      </c>
      <c r="V254" s="32">
        <v>0</v>
      </c>
    </row>
    <row r="255" spans="1:22" ht="14.25" hidden="1" customHeight="1" x14ac:dyDescent="0.35">
      <c r="A255" s="12" t="s">
        <v>438</v>
      </c>
      <c r="B255" s="12"/>
      <c r="C255" s="12" t="s">
        <v>2032</v>
      </c>
      <c r="D255" s="12" t="s">
        <v>437</v>
      </c>
      <c r="E255" s="14" t="s">
        <v>36</v>
      </c>
      <c r="F255" s="14">
        <v>1</v>
      </c>
      <c r="G255" s="14">
        <v>0</v>
      </c>
      <c r="H255" s="106">
        <v>0</v>
      </c>
      <c r="I255" s="106">
        <v>1</v>
      </c>
      <c r="J255" s="96">
        <f>SUMIFS(COMPOSICIÓN!J$2:J$1892,COMPOSICIÓN!A$2:A$1892,A255,COMPOSICIÓN!B$2:B$1892,"MAT")</f>
        <v>65000</v>
      </c>
      <c r="K255" s="96">
        <f>SUMIFS(COMPOSICIÓN!J$2:J$1892,COMPOSICIÓN!A$2:A$1892,A255,COMPOSICIÓN!B$2:B$1892,"MO")*I255</f>
        <v>0</v>
      </c>
      <c r="L255" s="96">
        <f>SUMIFS(COMPOSICIÓN!J$2:J$1892,COMPOSICIÓN!A$2:A$1892,A255,COMPOSICIÓN!B$2:B$1892,"EQ")</f>
        <v>0</v>
      </c>
      <c r="M255" s="101">
        <f t="shared" si="16"/>
        <v>65000</v>
      </c>
      <c r="N255" s="101">
        <f t="shared" si="17"/>
        <v>0</v>
      </c>
      <c r="O255" s="101">
        <f t="shared" si="20"/>
        <v>0</v>
      </c>
      <c r="P255" s="101">
        <f t="shared" si="18"/>
        <v>65000</v>
      </c>
      <c r="Q255" s="102">
        <f>COUNTIF(COMPOSICIÓN!$A:$A,A255)</f>
        <v>1</v>
      </c>
      <c r="R255" s="17"/>
      <c r="S255" s="17" t="s">
        <v>28</v>
      </c>
      <c r="T255" s="17">
        <v>65000</v>
      </c>
      <c r="U255" s="17">
        <v>0</v>
      </c>
      <c r="V255" s="17">
        <v>0</v>
      </c>
    </row>
    <row r="256" spans="1:22" ht="14.25" hidden="1" customHeight="1" x14ac:dyDescent="0.35">
      <c r="A256" s="105" t="s">
        <v>441</v>
      </c>
      <c r="B256" s="105"/>
      <c r="C256" s="105" t="s">
        <v>2033</v>
      </c>
      <c r="D256" s="105" t="s">
        <v>440</v>
      </c>
      <c r="E256" s="106" t="s">
        <v>98</v>
      </c>
      <c r="F256" s="106">
        <v>1</v>
      </c>
      <c r="G256" s="106">
        <v>0</v>
      </c>
      <c r="H256" s="106">
        <v>0</v>
      </c>
      <c r="I256" s="106">
        <v>1</v>
      </c>
      <c r="J256" s="96">
        <f>SUMIFS(COMPOSICIÓN!J$2:J$1892,COMPOSICIÓN!A$2:A$1892,A256,COMPOSICIÓN!B$2:B$1892,"MAT")</f>
        <v>51214.714802856899</v>
      </c>
      <c r="K256" s="96">
        <f>SUMIFS(COMPOSICIÓN!J$2:J$1892,COMPOSICIÓN!A$2:A$1892,A256,COMPOSICIÓN!B$2:B$1892,"MO")*I256</f>
        <v>0</v>
      </c>
      <c r="L256" s="96">
        <f>SUMIFS(COMPOSICIÓN!J$2:J$1892,COMPOSICIÓN!A$2:A$1892,A256,COMPOSICIÓN!B$2:B$1892,"EQ")</f>
        <v>0</v>
      </c>
      <c r="M256" s="103">
        <f t="shared" si="16"/>
        <v>51214.714802856899</v>
      </c>
      <c r="N256" s="103">
        <f t="shared" si="17"/>
        <v>0</v>
      </c>
      <c r="O256" s="103">
        <f t="shared" si="20"/>
        <v>0</v>
      </c>
      <c r="P256" s="103">
        <f t="shared" si="18"/>
        <v>51214.714802856899</v>
      </c>
      <c r="Q256" s="95">
        <f>COUNTIF(COMPOSICIÓN!$A:$A,A256)</f>
        <v>1</v>
      </c>
      <c r="R256" s="32"/>
      <c r="S256" s="32" t="s">
        <v>424</v>
      </c>
      <c r="T256" s="32">
        <v>51214.714802856899</v>
      </c>
      <c r="U256" s="32">
        <v>0</v>
      </c>
      <c r="V256" s="32">
        <v>0</v>
      </c>
    </row>
    <row r="257" spans="1:22" ht="14.25" hidden="1" customHeight="1" x14ac:dyDescent="0.35">
      <c r="A257" s="12" t="s">
        <v>443</v>
      </c>
      <c r="B257" s="12"/>
      <c r="C257" s="12" t="s">
        <v>2033</v>
      </c>
      <c r="D257" s="12" t="s">
        <v>442</v>
      </c>
      <c r="E257" s="14" t="s">
        <v>98</v>
      </c>
      <c r="F257" s="14">
        <v>1</v>
      </c>
      <c r="G257" s="14">
        <v>0</v>
      </c>
      <c r="H257" s="14">
        <v>0</v>
      </c>
      <c r="I257" s="14">
        <v>1</v>
      </c>
      <c r="J257" s="100">
        <f>SUMIFS(COMPOSICIÓN!J$2:J$1892,COMPOSICIÓN!A$2:A$1892,A257,COMPOSICIÓN!B$2:B$1892,"MAT")</f>
        <v>56938.712339646801</v>
      </c>
      <c r="K257" s="100">
        <f>SUMIFS(COMPOSICIÓN!J$2:J$1892,COMPOSICIÓN!A$2:A$1892,A257,COMPOSICIÓN!B$2:B$1892,"MO")*I257</f>
        <v>0</v>
      </c>
      <c r="L257" s="100">
        <f>SUMIFS(COMPOSICIÓN!J$2:J$1892,COMPOSICIÓN!A$2:A$1892,A257,COMPOSICIÓN!B$2:B$1892,"EQ")</f>
        <v>0</v>
      </c>
      <c r="M257" s="101">
        <f t="shared" si="16"/>
        <v>56938.712339646801</v>
      </c>
      <c r="N257" s="101">
        <f t="shared" si="17"/>
        <v>0</v>
      </c>
      <c r="O257" s="101">
        <f t="shared" si="20"/>
        <v>0</v>
      </c>
      <c r="P257" s="101">
        <f t="shared" si="18"/>
        <v>56938.712339646801</v>
      </c>
      <c r="Q257" s="102">
        <f>COUNTIF(COMPOSICIÓN!$A:$A,A257)</f>
        <v>1</v>
      </c>
      <c r="R257" s="17"/>
      <c r="S257" s="17" t="s">
        <v>424</v>
      </c>
      <c r="T257" s="17">
        <v>56938.712339646801</v>
      </c>
      <c r="U257" s="17">
        <v>0</v>
      </c>
      <c r="V257" s="17">
        <v>0</v>
      </c>
    </row>
    <row r="258" spans="1:22" ht="14.25" hidden="1" customHeight="1" x14ac:dyDescent="0.35">
      <c r="A258" s="105" t="s">
        <v>445</v>
      </c>
      <c r="B258" s="105"/>
      <c r="C258" s="105" t="s">
        <v>2033</v>
      </c>
      <c r="D258" s="105" t="s">
        <v>444</v>
      </c>
      <c r="E258" s="106" t="s">
        <v>98</v>
      </c>
      <c r="F258" s="106">
        <v>1</v>
      </c>
      <c r="G258" s="106">
        <v>0</v>
      </c>
      <c r="H258" s="106">
        <v>0</v>
      </c>
      <c r="I258" s="106">
        <v>1</v>
      </c>
      <c r="J258" s="96">
        <f>SUMIFS(COMPOSICIÓN!J$2:J$1892,COMPOSICIÓN!A$2:A$1892,A258,COMPOSICIÓN!B$2:B$1892,"MAT")</f>
        <v>286985.31259172299</v>
      </c>
      <c r="K258" s="96">
        <f>SUMIFS(COMPOSICIÓN!J$2:J$1892,COMPOSICIÓN!A$2:A$1892,A258,COMPOSICIÓN!B$2:B$1892,"MO")*I258</f>
        <v>0</v>
      </c>
      <c r="L258" s="96">
        <f>SUMIFS(COMPOSICIÓN!J$2:J$1892,COMPOSICIÓN!A$2:A$1892,A258,COMPOSICIÓN!B$2:B$1892,"EQ")</f>
        <v>0</v>
      </c>
      <c r="M258" s="103">
        <f t="shared" ref="M258:M277" si="21">J258</f>
        <v>286985.31259172299</v>
      </c>
      <c r="N258" s="103">
        <f t="shared" ref="N258:N277" si="22">IF(F258=0,0,K258/F258)</f>
        <v>0</v>
      </c>
      <c r="O258" s="103">
        <f t="shared" si="20"/>
        <v>0</v>
      </c>
      <c r="P258" s="103">
        <f t="shared" ref="P258:P277" si="23">M258+N258+O258</f>
        <v>286985.31259172299</v>
      </c>
      <c r="Q258" s="95">
        <f>COUNTIF(COMPOSICIÓN!$A:$A,A258)</f>
        <v>1</v>
      </c>
      <c r="R258" s="32"/>
      <c r="S258" s="32" t="s">
        <v>424</v>
      </c>
      <c r="T258" s="32">
        <v>286985.31259172299</v>
      </c>
      <c r="U258" s="32">
        <v>0</v>
      </c>
      <c r="V258" s="32">
        <v>0</v>
      </c>
    </row>
    <row r="259" spans="1:22" ht="14.25" hidden="1" customHeight="1" x14ac:dyDescent="0.35">
      <c r="A259" s="12" t="s">
        <v>447</v>
      </c>
      <c r="B259" s="12"/>
      <c r="C259" s="12" t="s">
        <v>2033</v>
      </c>
      <c r="D259" s="12" t="s">
        <v>446</v>
      </c>
      <c r="E259" s="14" t="s">
        <v>98</v>
      </c>
      <c r="F259" s="14">
        <v>1</v>
      </c>
      <c r="G259" s="14">
        <v>0</v>
      </c>
      <c r="H259" s="14">
        <v>0</v>
      </c>
      <c r="I259" s="14">
        <v>1</v>
      </c>
      <c r="J259" s="100">
        <f>SUMIFS(COMPOSICIÓN!J$2:J$1892,COMPOSICIÓN!A$2:A$1892,A259,COMPOSICIÓN!B$2:B$1892,"MAT")</f>
        <v>47125.768554935901</v>
      </c>
      <c r="K259" s="100">
        <f>SUMIFS(COMPOSICIÓN!J$2:J$1892,COMPOSICIÓN!A$2:A$1892,A259,COMPOSICIÓN!B$2:B$1892,"MO")*I259</f>
        <v>0</v>
      </c>
      <c r="L259" s="100">
        <f>SUMIFS(COMPOSICIÓN!J$2:J$1892,COMPOSICIÓN!A$2:A$1892,A259,COMPOSICIÓN!B$2:B$1892,"EQ")</f>
        <v>0</v>
      </c>
      <c r="M259" s="101">
        <f t="shared" si="21"/>
        <v>47125.768554935901</v>
      </c>
      <c r="N259" s="101">
        <f t="shared" si="22"/>
        <v>0</v>
      </c>
      <c r="O259" s="101">
        <f t="shared" si="20"/>
        <v>0</v>
      </c>
      <c r="P259" s="101">
        <f t="shared" si="23"/>
        <v>47125.768554935901</v>
      </c>
      <c r="Q259" s="102">
        <f>COUNTIF(COMPOSICIÓN!$A:$A,A259)</f>
        <v>1</v>
      </c>
      <c r="R259" s="17"/>
      <c r="S259" s="17" t="s">
        <v>424</v>
      </c>
      <c r="T259" s="17">
        <v>47125.768554935901</v>
      </c>
      <c r="U259" s="17">
        <v>0</v>
      </c>
      <c r="V259" s="17">
        <v>0</v>
      </c>
    </row>
    <row r="260" spans="1:22" ht="14.25" hidden="1" customHeight="1" x14ac:dyDescent="0.35">
      <c r="A260" s="105" t="s">
        <v>449</v>
      </c>
      <c r="B260" s="105"/>
      <c r="C260" s="105" t="s">
        <v>2033</v>
      </c>
      <c r="D260" s="105" t="s">
        <v>448</v>
      </c>
      <c r="E260" s="106" t="s">
        <v>98</v>
      </c>
      <c r="F260" s="106">
        <v>1</v>
      </c>
      <c r="G260" s="106">
        <v>0</v>
      </c>
      <c r="H260" s="106">
        <v>0</v>
      </c>
      <c r="I260" s="106">
        <v>1</v>
      </c>
      <c r="J260" s="96">
        <f>SUMIFS(COMPOSICIÓN!J$2:J$1892,COMPOSICIÓN!A$2:A$1892,A260,COMPOSICIÓN!B$2:B$1892,"MAT")</f>
        <v>137686.18800508801</v>
      </c>
      <c r="K260" s="96">
        <f>SUMIFS(COMPOSICIÓN!J$2:J$1892,COMPOSICIÓN!A$2:A$1892,A260,COMPOSICIÓN!B$2:B$1892,"MO")*I260</f>
        <v>0</v>
      </c>
      <c r="L260" s="96">
        <f>SUMIFS(COMPOSICIÓN!J$2:J$1892,COMPOSICIÓN!A$2:A$1892,A260,COMPOSICIÓN!B$2:B$1892,"EQ")</f>
        <v>0</v>
      </c>
      <c r="M260" s="103">
        <f t="shared" si="21"/>
        <v>137686.18800508801</v>
      </c>
      <c r="N260" s="103">
        <f t="shared" si="22"/>
        <v>0</v>
      </c>
      <c r="O260" s="103">
        <f t="shared" si="20"/>
        <v>0</v>
      </c>
      <c r="P260" s="103">
        <f t="shared" si="23"/>
        <v>137686.18800508801</v>
      </c>
      <c r="Q260" s="95">
        <f>COUNTIF(COMPOSICIÓN!$A:$A,A260)</f>
        <v>1</v>
      </c>
      <c r="R260" s="32"/>
      <c r="S260" s="32" t="s">
        <v>424</v>
      </c>
      <c r="T260" s="32">
        <v>137686.18800508801</v>
      </c>
      <c r="U260" s="32">
        <v>0</v>
      </c>
      <c r="V260" s="32">
        <v>0</v>
      </c>
    </row>
    <row r="261" spans="1:22" ht="14.25" hidden="1" customHeight="1" x14ac:dyDescent="0.35">
      <c r="A261" s="12" t="s">
        <v>451</v>
      </c>
      <c r="B261" s="12"/>
      <c r="C261" s="12" t="s">
        <v>2033</v>
      </c>
      <c r="D261" s="12" t="s">
        <v>450</v>
      </c>
      <c r="E261" s="14" t="s">
        <v>98</v>
      </c>
      <c r="F261" s="14">
        <v>1</v>
      </c>
      <c r="G261" s="14">
        <v>0</v>
      </c>
      <c r="H261" s="14">
        <v>0</v>
      </c>
      <c r="I261" s="14">
        <v>1</v>
      </c>
      <c r="J261" s="100">
        <f>SUMIFS(COMPOSICIÓN!J$2:J$1892,COMPOSICIÓN!A$2:A$1892,A261,COMPOSICIÓN!B$2:B$1892,"MAT")</f>
        <v>48000.991448977598</v>
      </c>
      <c r="K261" s="100">
        <f>SUMIFS(COMPOSICIÓN!J$2:J$1892,COMPOSICIÓN!A$2:A$1892,A261,COMPOSICIÓN!B$2:B$1892,"MO")*I261</f>
        <v>0</v>
      </c>
      <c r="L261" s="100">
        <f>SUMIFS(COMPOSICIÓN!J$2:J$1892,COMPOSICIÓN!A$2:A$1892,A261,COMPOSICIÓN!B$2:B$1892,"EQ")</f>
        <v>0</v>
      </c>
      <c r="M261" s="101">
        <f t="shared" si="21"/>
        <v>48000.991448977598</v>
      </c>
      <c r="N261" s="101">
        <f t="shared" si="22"/>
        <v>0</v>
      </c>
      <c r="O261" s="101">
        <f t="shared" si="20"/>
        <v>0</v>
      </c>
      <c r="P261" s="101">
        <f t="shared" si="23"/>
        <v>48000.991448977598</v>
      </c>
      <c r="Q261" s="102">
        <f>COUNTIF(COMPOSICIÓN!$A:$A,A261)</f>
        <v>1</v>
      </c>
      <c r="R261" s="17"/>
      <c r="S261" s="17" t="s">
        <v>424</v>
      </c>
      <c r="T261" s="17">
        <v>48000.991448977598</v>
      </c>
      <c r="U261" s="17">
        <v>0</v>
      </c>
      <c r="V261" s="17">
        <v>0</v>
      </c>
    </row>
    <row r="262" spans="1:22" ht="14.25" hidden="1" customHeight="1" x14ac:dyDescent="0.35">
      <c r="A262" s="105" t="s">
        <v>453</v>
      </c>
      <c r="B262" s="105"/>
      <c r="C262" s="105" t="s">
        <v>2033</v>
      </c>
      <c r="D262" s="105" t="s">
        <v>452</v>
      </c>
      <c r="E262" s="106" t="s">
        <v>98</v>
      </c>
      <c r="F262" s="106">
        <v>1</v>
      </c>
      <c r="G262" s="106">
        <v>0</v>
      </c>
      <c r="H262" s="106">
        <v>0</v>
      </c>
      <c r="I262" s="106">
        <v>1</v>
      </c>
      <c r="J262" s="96">
        <f>SUMIFS(COMPOSICIÓN!J$2:J$1892,COMPOSICIÓN!A$2:A$1892,A262,COMPOSICIÓN!B$2:B$1892,"MAT")</f>
        <v>63187.068936503303</v>
      </c>
      <c r="K262" s="96">
        <f>SUMIFS(COMPOSICIÓN!J$2:J$1892,COMPOSICIÓN!A$2:A$1892,A262,COMPOSICIÓN!B$2:B$1892,"MO")*I262</f>
        <v>0</v>
      </c>
      <c r="L262" s="96">
        <f>SUMIFS(COMPOSICIÓN!J$2:J$1892,COMPOSICIÓN!A$2:A$1892,A262,COMPOSICIÓN!B$2:B$1892,"EQ")</f>
        <v>0</v>
      </c>
      <c r="M262" s="103">
        <f t="shared" si="21"/>
        <v>63187.068936503303</v>
      </c>
      <c r="N262" s="103">
        <f t="shared" si="22"/>
        <v>0</v>
      </c>
      <c r="O262" s="103">
        <f t="shared" si="20"/>
        <v>0</v>
      </c>
      <c r="P262" s="103">
        <f t="shared" si="23"/>
        <v>63187.068936503303</v>
      </c>
      <c r="Q262" s="95">
        <f>COUNTIF(COMPOSICIÓN!$A:$A,A262)</f>
        <v>1</v>
      </c>
      <c r="R262" s="32"/>
      <c r="S262" s="32" t="s">
        <v>424</v>
      </c>
      <c r="T262" s="32">
        <v>63187.068936503303</v>
      </c>
      <c r="U262" s="32">
        <v>0</v>
      </c>
      <c r="V262" s="32">
        <v>0</v>
      </c>
    </row>
    <row r="263" spans="1:22" ht="14.25" hidden="1" customHeight="1" x14ac:dyDescent="0.35">
      <c r="A263" s="12" t="s">
        <v>455</v>
      </c>
      <c r="B263" s="12"/>
      <c r="C263" s="12" t="s">
        <v>2033</v>
      </c>
      <c r="D263" s="12" t="s">
        <v>454</v>
      </c>
      <c r="E263" s="14" t="s">
        <v>98</v>
      </c>
      <c r="F263" s="14">
        <v>1</v>
      </c>
      <c r="G263" s="14">
        <v>0</v>
      </c>
      <c r="H263" s="106">
        <v>0</v>
      </c>
      <c r="I263" s="106">
        <v>1</v>
      </c>
      <c r="J263" s="96">
        <f>SUMIFS(COMPOSICIÓN!J$2:J$1892,COMPOSICIÓN!A$2:A$1892,A263,COMPOSICIÓN!B$2:B$1892,"MAT")</f>
        <v>288770.79096623498</v>
      </c>
      <c r="K263" s="96">
        <f>SUMIFS(COMPOSICIÓN!J$2:J$1892,COMPOSICIÓN!A$2:A$1892,A263,COMPOSICIÓN!B$2:B$1892,"MO")*I263</f>
        <v>0</v>
      </c>
      <c r="L263" s="96">
        <f>SUMIFS(COMPOSICIÓN!J$2:J$1892,COMPOSICIÓN!A$2:A$1892,A263,COMPOSICIÓN!B$2:B$1892,"EQ")</f>
        <v>0</v>
      </c>
      <c r="M263" s="101">
        <f t="shared" si="21"/>
        <v>288770.79096623498</v>
      </c>
      <c r="N263" s="101">
        <f t="shared" si="22"/>
        <v>0</v>
      </c>
      <c r="O263" s="101">
        <f t="shared" si="20"/>
        <v>0</v>
      </c>
      <c r="P263" s="101">
        <f t="shared" si="23"/>
        <v>288770.79096623498</v>
      </c>
      <c r="Q263" s="102">
        <f>COUNTIF(COMPOSICIÓN!$A:$A,A263)</f>
        <v>1</v>
      </c>
      <c r="R263" s="17"/>
      <c r="S263" s="17" t="s">
        <v>424</v>
      </c>
      <c r="T263" s="17">
        <v>288770.79096623498</v>
      </c>
      <c r="U263" s="17">
        <v>0</v>
      </c>
      <c r="V263" s="17">
        <v>0</v>
      </c>
    </row>
    <row r="264" spans="1:22" ht="14.25" hidden="1" customHeight="1" x14ac:dyDescent="0.35">
      <c r="A264" s="105" t="s">
        <v>457</v>
      </c>
      <c r="B264" s="105"/>
      <c r="C264" s="105" t="s">
        <v>2031</v>
      </c>
      <c r="D264" s="105" t="s">
        <v>456</v>
      </c>
      <c r="E264" s="106" t="s">
        <v>98</v>
      </c>
      <c r="F264" s="106">
        <v>1</v>
      </c>
      <c r="G264" s="106">
        <v>0</v>
      </c>
      <c r="H264" s="106">
        <v>0</v>
      </c>
      <c r="I264" s="106">
        <v>1</v>
      </c>
      <c r="J264" s="96">
        <f>SUMIFS(COMPOSICIÓN!J$2:J$1892,COMPOSICIÓN!A$2:A$1892,A264,COMPOSICIÓN!B$2:B$1892,"MAT")</f>
        <v>285491.67201643699</v>
      </c>
      <c r="K264" s="96">
        <f>SUMIFS(COMPOSICIÓN!J$2:J$1892,COMPOSICIÓN!A$2:A$1892,A264,COMPOSICIÓN!B$2:B$1892,"MO")*I264</f>
        <v>0</v>
      </c>
      <c r="L264" s="96">
        <f>SUMIFS(COMPOSICIÓN!J$2:J$1892,COMPOSICIÓN!A$2:A$1892,A264,COMPOSICIÓN!B$2:B$1892,"EQ")</f>
        <v>0</v>
      </c>
      <c r="M264" s="103">
        <f t="shared" si="21"/>
        <v>285491.67201643699</v>
      </c>
      <c r="N264" s="103">
        <f t="shared" si="22"/>
        <v>0</v>
      </c>
      <c r="O264" s="103">
        <f t="shared" si="20"/>
        <v>0</v>
      </c>
      <c r="P264" s="103">
        <f t="shared" si="23"/>
        <v>285491.67201643699</v>
      </c>
      <c r="Q264" s="95">
        <f>COUNTIF(COMPOSICIÓN!$A:$A,A264)</f>
        <v>1</v>
      </c>
      <c r="R264" s="32"/>
      <c r="S264" s="32" t="s">
        <v>424</v>
      </c>
      <c r="T264" s="32">
        <v>285491.67201643699</v>
      </c>
      <c r="U264" s="32">
        <v>0</v>
      </c>
      <c r="V264" s="32">
        <v>0</v>
      </c>
    </row>
    <row r="265" spans="1:22" ht="14.25" hidden="1" customHeight="1" x14ac:dyDescent="0.35">
      <c r="A265" s="12" t="s">
        <v>459</v>
      </c>
      <c r="B265" s="12"/>
      <c r="C265" s="12" t="s">
        <v>2031</v>
      </c>
      <c r="D265" s="12" t="s">
        <v>458</v>
      </c>
      <c r="E265" s="14" t="s">
        <v>98</v>
      </c>
      <c r="F265" s="14">
        <v>1</v>
      </c>
      <c r="G265" s="14">
        <v>0</v>
      </c>
      <c r="H265" s="106">
        <v>0</v>
      </c>
      <c r="I265" s="106">
        <v>1</v>
      </c>
      <c r="J265" s="96">
        <f>SUMIFS(COMPOSICIÓN!J$2:J$1892,COMPOSICIÓN!A$2:A$1892,A265,COMPOSICIÓN!B$2:B$1892,"MAT")</f>
        <v>326160.39477108797</v>
      </c>
      <c r="K265" s="96">
        <f>SUMIFS(COMPOSICIÓN!J$2:J$1892,COMPOSICIÓN!A$2:A$1892,A265,COMPOSICIÓN!B$2:B$1892,"MO")*I265</f>
        <v>0</v>
      </c>
      <c r="L265" s="96">
        <f>SUMIFS(COMPOSICIÓN!J$2:J$1892,COMPOSICIÓN!A$2:A$1892,A265,COMPOSICIÓN!B$2:B$1892,"EQ")</f>
        <v>0</v>
      </c>
      <c r="M265" s="101">
        <f t="shared" si="21"/>
        <v>326160.39477108797</v>
      </c>
      <c r="N265" s="101">
        <f t="shared" si="22"/>
        <v>0</v>
      </c>
      <c r="O265" s="101">
        <f t="shared" si="20"/>
        <v>0</v>
      </c>
      <c r="P265" s="101">
        <f t="shared" si="23"/>
        <v>326160.39477108797</v>
      </c>
      <c r="Q265" s="102">
        <f>COUNTIF(COMPOSICIÓN!$A:$A,A265)</f>
        <v>1</v>
      </c>
      <c r="R265" s="17"/>
      <c r="S265" s="17" t="s">
        <v>424</v>
      </c>
      <c r="T265" s="17">
        <v>326160.39477108797</v>
      </c>
      <c r="U265" s="17">
        <v>0</v>
      </c>
      <c r="V265" s="17">
        <v>0</v>
      </c>
    </row>
    <row r="266" spans="1:22" ht="14.25" hidden="1" customHeight="1" x14ac:dyDescent="0.35">
      <c r="A266" s="105" t="s">
        <v>461</v>
      </c>
      <c r="B266" s="105"/>
      <c r="C266" s="105" t="s">
        <v>2031</v>
      </c>
      <c r="D266" s="105" t="s">
        <v>460</v>
      </c>
      <c r="E266" s="106" t="s">
        <v>98</v>
      </c>
      <c r="F266" s="106">
        <v>1</v>
      </c>
      <c r="G266" s="106">
        <v>0</v>
      </c>
      <c r="H266" s="106">
        <v>0</v>
      </c>
      <c r="I266" s="106">
        <v>1</v>
      </c>
      <c r="J266" s="96">
        <f>SUMIFS(COMPOSICIÓN!J$2:J$1892,COMPOSICIÓN!A$2:A$1892,A266,COMPOSICIÓN!B$2:B$1892,"MAT")</f>
        <v>78983.161018664003</v>
      </c>
      <c r="K266" s="96">
        <f>SUMIFS(COMPOSICIÓN!J$2:J$1892,COMPOSICIÓN!A$2:A$1892,A266,COMPOSICIÓN!B$2:B$1892,"MO")*I266</f>
        <v>0</v>
      </c>
      <c r="L266" s="96">
        <f>SUMIFS(COMPOSICIÓN!J$2:J$1892,COMPOSICIÓN!A$2:A$1892,A266,COMPOSICIÓN!B$2:B$1892,"EQ")</f>
        <v>0</v>
      </c>
      <c r="M266" s="103">
        <f t="shared" si="21"/>
        <v>78983.161018664003</v>
      </c>
      <c r="N266" s="103">
        <f t="shared" si="22"/>
        <v>0</v>
      </c>
      <c r="O266" s="103">
        <f t="shared" si="20"/>
        <v>0</v>
      </c>
      <c r="P266" s="103">
        <f t="shared" si="23"/>
        <v>78983.161018664003</v>
      </c>
      <c r="Q266" s="95">
        <f>COUNTIF(COMPOSICIÓN!$A:$A,A266)</f>
        <v>1</v>
      </c>
      <c r="R266" s="32"/>
      <c r="S266" s="32" t="s">
        <v>424</v>
      </c>
      <c r="T266" s="32">
        <v>78983.161018664003</v>
      </c>
      <c r="U266" s="32">
        <v>0</v>
      </c>
      <c r="V266" s="32">
        <v>0</v>
      </c>
    </row>
    <row r="267" spans="1:22" ht="14.25" hidden="1" customHeight="1" x14ac:dyDescent="0.35">
      <c r="A267" s="12" t="s">
        <v>463</v>
      </c>
      <c r="B267" s="12"/>
      <c r="C267" s="12" t="s">
        <v>2031</v>
      </c>
      <c r="D267" s="12" t="s">
        <v>462</v>
      </c>
      <c r="E267" s="14" t="s">
        <v>98</v>
      </c>
      <c r="F267" s="14">
        <v>1</v>
      </c>
      <c r="G267" s="14">
        <v>0</v>
      </c>
      <c r="H267" s="14">
        <v>0</v>
      </c>
      <c r="I267" s="14">
        <v>1</v>
      </c>
      <c r="J267" s="100">
        <f>SUMIFS(COMPOSICIÓN!J$2:J$1892,COMPOSICIÓN!A$2:A$1892,A267,COMPOSICIÓN!B$2:B$1892,"MAT")</f>
        <v>100197.178160304</v>
      </c>
      <c r="K267" s="100">
        <f>SUMIFS(COMPOSICIÓN!J$2:J$1892,COMPOSICIÓN!A$2:A$1892,A267,COMPOSICIÓN!B$2:B$1892,"MO")*I267</f>
        <v>0</v>
      </c>
      <c r="L267" s="100">
        <f>SUMIFS(COMPOSICIÓN!J$2:J$1892,COMPOSICIÓN!A$2:A$1892,A267,COMPOSICIÓN!B$2:B$1892,"EQ")</f>
        <v>0</v>
      </c>
      <c r="M267" s="101">
        <f t="shared" si="21"/>
        <v>100197.178160304</v>
      </c>
      <c r="N267" s="101">
        <f t="shared" si="22"/>
        <v>0</v>
      </c>
      <c r="O267" s="101">
        <f t="shared" si="20"/>
        <v>0</v>
      </c>
      <c r="P267" s="101">
        <f t="shared" si="23"/>
        <v>100197.178160304</v>
      </c>
      <c r="Q267" s="102">
        <f>COUNTIF(COMPOSICIÓN!$A:$A,A267)</f>
        <v>1</v>
      </c>
      <c r="R267" s="17"/>
      <c r="S267" s="17" t="s">
        <v>424</v>
      </c>
      <c r="T267" s="17">
        <v>100197.178160304</v>
      </c>
      <c r="U267" s="17">
        <v>0</v>
      </c>
      <c r="V267" s="17">
        <v>0</v>
      </c>
    </row>
    <row r="268" spans="1:22" ht="14.25" hidden="1" customHeight="1" x14ac:dyDescent="0.35">
      <c r="A268" s="105" t="s">
        <v>465</v>
      </c>
      <c r="B268" s="105"/>
      <c r="C268" s="105" t="s">
        <v>2031</v>
      </c>
      <c r="D268" s="105" t="s">
        <v>464</v>
      </c>
      <c r="E268" s="106" t="s">
        <v>98</v>
      </c>
      <c r="F268" s="106">
        <v>1</v>
      </c>
      <c r="G268" s="106">
        <v>0</v>
      </c>
      <c r="H268" s="106">
        <v>0</v>
      </c>
      <c r="I268" s="106">
        <v>1</v>
      </c>
      <c r="J268" s="96">
        <f>SUMIFS(COMPOSICIÓN!J$2:J$1892,COMPOSICIÓN!A$2:A$1892,A268,COMPOSICIÓN!B$2:B$1892,"MAT")</f>
        <v>30601.781958942702</v>
      </c>
      <c r="K268" s="96">
        <f>SUMIFS(COMPOSICIÓN!J$2:J$1892,COMPOSICIÓN!A$2:A$1892,A268,COMPOSICIÓN!B$2:B$1892,"MO")*I268</f>
        <v>0</v>
      </c>
      <c r="L268" s="96">
        <f>SUMIFS(COMPOSICIÓN!J$2:J$1892,COMPOSICIÓN!A$2:A$1892,A268,COMPOSICIÓN!B$2:B$1892,"EQ")</f>
        <v>0</v>
      </c>
      <c r="M268" s="103">
        <f t="shared" si="21"/>
        <v>30601.781958942702</v>
      </c>
      <c r="N268" s="103">
        <f t="shared" si="22"/>
        <v>0</v>
      </c>
      <c r="O268" s="103">
        <f t="shared" si="20"/>
        <v>0</v>
      </c>
      <c r="P268" s="103">
        <f t="shared" si="23"/>
        <v>30601.781958942702</v>
      </c>
      <c r="Q268" s="95">
        <f>COUNTIF(COMPOSICIÓN!$A:$A,A268)</f>
        <v>1</v>
      </c>
      <c r="R268" s="32"/>
      <c r="S268" s="32" t="s">
        <v>424</v>
      </c>
      <c r="T268" s="32">
        <v>30601.781958942702</v>
      </c>
      <c r="U268" s="32">
        <v>0</v>
      </c>
      <c r="V268" s="32">
        <v>0</v>
      </c>
    </row>
    <row r="269" spans="1:22" ht="14.25" hidden="1" customHeight="1" x14ac:dyDescent="0.35">
      <c r="A269" s="12" t="s">
        <v>467</v>
      </c>
      <c r="B269" s="12"/>
      <c r="C269" s="12" t="s">
        <v>2031</v>
      </c>
      <c r="D269" s="12" t="s">
        <v>466</v>
      </c>
      <c r="E269" s="14" t="s">
        <v>98</v>
      </c>
      <c r="F269" s="14">
        <v>1</v>
      </c>
      <c r="G269" s="14">
        <v>0</v>
      </c>
      <c r="H269" s="14">
        <v>0</v>
      </c>
      <c r="I269" s="14">
        <v>1</v>
      </c>
      <c r="J269" s="100">
        <f>SUMIFS(COMPOSICIÓN!J$2:J$1892,COMPOSICIÓN!A$2:A$1892,A269,COMPOSICIÓN!B$2:B$1892,"MAT")</f>
        <v>2020800</v>
      </c>
      <c r="K269" s="100">
        <f>SUMIFS(COMPOSICIÓN!J$2:J$1892,COMPOSICIÓN!A$2:A$1892,A269,COMPOSICIÓN!B$2:B$1892,"MO")*I269</f>
        <v>0</v>
      </c>
      <c r="L269" s="100">
        <f>SUMIFS(COMPOSICIÓN!J$2:J$1892,COMPOSICIÓN!A$2:A$1892,A269,COMPOSICIÓN!B$2:B$1892,"EQ")</f>
        <v>0</v>
      </c>
      <c r="M269" s="101">
        <f t="shared" si="21"/>
        <v>2020800</v>
      </c>
      <c r="N269" s="101">
        <f t="shared" si="22"/>
        <v>0</v>
      </c>
      <c r="O269" s="101">
        <f t="shared" si="20"/>
        <v>0</v>
      </c>
      <c r="P269" s="101">
        <f t="shared" si="23"/>
        <v>2020800</v>
      </c>
      <c r="Q269" s="102">
        <f>COUNTIF(COMPOSICIÓN!$A:$A,A269)</f>
        <v>1</v>
      </c>
      <c r="R269" s="17"/>
      <c r="S269" s="17" t="s">
        <v>424</v>
      </c>
      <c r="T269" s="17">
        <v>2020800</v>
      </c>
      <c r="U269" s="17">
        <v>0</v>
      </c>
      <c r="V269" s="17">
        <v>0</v>
      </c>
    </row>
    <row r="270" spans="1:22" ht="14.25" hidden="1" customHeight="1" x14ac:dyDescent="0.35">
      <c r="A270" s="105" t="s">
        <v>469</v>
      </c>
      <c r="B270" s="105"/>
      <c r="C270" s="105" t="s">
        <v>2031</v>
      </c>
      <c r="D270" s="105" t="s">
        <v>468</v>
      </c>
      <c r="E270" s="106" t="s">
        <v>98</v>
      </c>
      <c r="F270" s="106">
        <v>1</v>
      </c>
      <c r="G270" s="106">
        <v>0</v>
      </c>
      <c r="H270" s="106">
        <v>0</v>
      </c>
      <c r="I270" s="106">
        <v>1</v>
      </c>
      <c r="J270" s="96">
        <f>SUMIFS(COMPOSICIÓN!J$2:J$1892,COMPOSICIÓN!A$2:A$1892,A270,COMPOSICIÓN!B$2:B$1892,"MAT")</f>
        <v>66000</v>
      </c>
      <c r="K270" s="96">
        <f>SUMIFS(COMPOSICIÓN!J$2:J$1892,COMPOSICIÓN!A$2:A$1892,A270,COMPOSICIÓN!B$2:B$1892,"MO")*I270</f>
        <v>0</v>
      </c>
      <c r="L270" s="96">
        <f>SUMIFS(COMPOSICIÓN!J$2:J$1892,COMPOSICIÓN!A$2:A$1892,A270,COMPOSICIÓN!B$2:B$1892,"EQ")</f>
        <v>0</v>
      </c>
      <c r="M270" s="103">
        <f t="shared" si="21"/>
        <v>66000</v>
      </c>
      <c r="N270" s="103">
        <f t="shared" si="22"/>
        <v>0</v>
      </c>
      <c r="O270" s="103">
        <f t="shared" si="20"/>
        <v>0</v>
      </c>
      <c r="P270" s="103">
        <f t="shared" si="23"/>
        <v>66000</v>
      </c>
      <c r="Q270" s="95">
        <f>COUNTIF(COMPOSICIÓN!$A:$A,A270)</f>
        <v>1</v>
      </c>
      <c r="R270" s="32"/>
      <c r="S270" s="32" t="s">
        <v>424</v>
      </c>
      <c r="T270" s="32">
        <v>66000</v>
      </c>
      <c r="U270" s="32">
        <v>0</v>
      </c>
      <c r="V270" s="32">
        <v>0</v>
      </c>
    </row>
    <row r="271" spans="1:22" ht="14.25" hidden="1" customHeight="1" x14ac:dyDescent="0.35">
      <c r="A271" s="12" t="s">
        <v>471</v>
      </c>
      <c r="B271" s="12"/>
      <c r="C271" s="12" t="s">
        <v>2034</v>
      </c>
      <c r="D271" s="12" t="s">
        <v>470</v>
      </c>
      <c r="E271" s="14" t="s">
        <v>98</v>
      </c>
      <c r="F271" s="14">
        <v>1</v>
      </c>
      <c r="G271" s="14">
        <v>0</v>
      </c>
      <c r="H271" s="106">
        <v>0</v>
      </c>
      <c r="I271" s="106">
        <v>1</v>
      </c>
      <c r="J271" s="96">
        <f>SUMIFS(COMPOSICIÓN!J$2:J$1892,COMPOSICIÓN!A$2:A$1892,A271,COMPOSICIÓN!B$2:B$1892,"MAT")</f>
        <v>5892.0807877668303</v>
      </c>
      <c r="K271" s="96">
        <f>SUMIFS(COMPOSICIÓN!J$2:J$1892,COMPOSICIÓN!A$2:A$1892,A271,COMPOSICIÓN!B$2:B$1892,"MO")*I271</f>
        <v>0</v>
      </c>
      <c r="L271" s="96">
        <f>SUMIFS(COMPOSICIÓN!J$2:J$1892,COMPOSICIÓN!A$2:A$1892,A271,COMPOSICIÓN!B$2:B$1892,"EQ")</f>
        <v>0</v>
      </c>
      <c r="M271" s="101">
        <f t="shared" si="21"/>
        <v>5892.0807877668303</v>
      </c>
      <c r="N271" s="101">
        <f t="shared" si="22"/>
        <v>0</v>
      </c>
      <c r="O271" s="101">
        <f t="shared" si="20"/>
        <v>0</v>
      </c>
      <c r="P271" s="101">
        <f t="shared" si="23"/>
        <v>5892.0807877668303</v>
      </c>
      <c r="Q271" s="102">
        <f>COUNTIF(COMPOSICIÓN!$A:$A,A271)</f>
        <v>1</v>
      </c>
      <c r="R271" s="17"/>
      <c r="S271" s="17" t="s">
        <v>304</v>
      </c>
      <c r="T271" s="17">
        <v>5892.0807877668303</v>
      </c>
      <c r="U271" s="17">
        <v>0</v>
      </c>
      <c r="V271" s="17">
        <v>0</v>
      </c>
    </row>
    <row r="272" spans="1:22" ht="14.25" hidden="1" customHeight="1" x14ac:dyDescent="0.35">
      <c r="A272" s="105" t="s">
        <v>473</v>
      </c>
      <c r="B272" s="105"/>
      <c r="C272" s="105" t="s">
        <v>2034</v>
      </c>
      <c r="D272" s="105" t="s">
        <v>472</v>
      </c>
      <c r="E272" s="106" t="s">
        <v>98</v>
      </c>
      <c r="F272" s="106">
        <v>1</v>
      </c>
      <c r="G272" s="106">
        <v>0</v>
      </c>
      <c r="H272" s="106">
        <v>0</v>
      </c>
      <c r="I272" s="106">
        <v>1</v>
      </c>
      <c r="J272" s="96">
        <f>SUMIFS(COMPOSICIÓN!J$2:J$1892,COMPOSICIÓN!A$2:A$1892,A272,COMPOSICIÓN!B$2:B$1892,"MAT")</f>
        <v>1885.5105394124801</v>
      </c>
      <c r="K272" s="96">
        <f>SUMIFS(COMPOSICIÓN!J$2:J$1892,COMPOSICIÓN!A$2:A$1892,A272,COMPOSICIÓN!B$2:B$1892,"MO")*I272</f>
        <v>0</v>
      </c>
      <c r="L272" s="96">
        <f>SUMIFS(COMPOSICIÓN!J$2:J$1892,COMPOSICIÓN!A$2:A$1892,A272,COMPOSICIÓN!B$2:B$1892,"EQ")</f>
        <v>0</v>
      </c>
      <c r="M272" s="103">
        <f t="shared" si="21"/>
        <v>1885.5105394124801</v>
      </c>
      <c r="N272" s="103">
        <f t="shared" si="22"/>
        <v>0</v>
      </c>
      <c r="O272" s="103">
        <f t="shared" si="20"/>
        <v>0</v>
      </c>
      <c r="P272" s="103">
        <f t="shared" si="23"/>
        <v>1885.5105394124801</v>
      </c>
      <c r="Q272" s="95">
        <f>COUNTIF(COMPOSICIÓN!$A:$A,A272)</f>
        <v>1</v>
      </c>
      <c r="R272" s="32"/>
      <c r="S272" s="32" t="s">
        <v>304</v>
      </c>
      <c r="T272" s="32">
        <v>1885.5105394124801</v>
      </c>
      <c r="U272" s="32">
        <v>0</v>
      </c>
      <c r="V272" s="32">
        <v>0</v>
      </c>
    </row>
    <row r="273" spans="1:22" ht="14.25" hidden="1" customHeight="1" x14ac:dyDescent="0.35">
      <c r="A273" s="12" t="s">
        <v>475</v>
      </c>
      <c r="B273" s="12"/>
      <c r="C273" s="12" t="s">
        <v>2034</v>
      </c>
      <c r="D273" s="12" t="s">
        <v>474</v>
      </c>
      <c r="E273" s="14" t="s">
        <v>98</v>
      </c>
      <c r="F273" s="14">
        <v>1</v>
      </c>
      <c r="G273" s="14">
        <v>0</v>
      </c>
      <c r="H273" s="106">
        <v>0</v>
      </c>
      <c r="I273" s="106">
        <v>1</v>
      </c>
      <c r="J273" s="96">
        <f>SUMIFS(COMPOSICIÓN!J$2:J$1892,COMPOSICIÓN!A$2:A$1892,A273,COMPOSICIÓN!B$2:B$1892,"MAT")</f>
        <v>3839.53452028022</v>
      </c>
      <c r="K273" s="96">
        <f>SUMIFS(COMPOSICIÓN!J$2:J$1892,COMPOSICIÓN!A$2:A$1892,A273,COMPOSICIÓN!B$2:B$1892,"MO")*I273</f>
        <v>0</v>
      </c>
      <c r="L273" s="96">
        <f>SUMIFS(COMPOSICIÓN!J$2:J$1892,COMPOSICIÓN!A$2:A$1892,A273,COMPOSICIÓN!B$2:B$1892,"EQ")</f>
        <v>0</v>
      </c>
      <c r="M273" s="101">
        <f t="shared" si="21"/>
        <v>3839.53452028022</v>
      </c>
      <c r="N273" s="101">
        <f t="shared" si="22"/>
        <v>0</v>
      </c>
      <c r="O273" s="101">
        <f t="shared" si="20"/>
        <v>0</v>
      </c>
      <c r="P273" s="101">
        <f t="shared" si="23"/>
        <v>3839.53452028022</v>
      </c>
      <c r="Q273" s="102">
        <f>COUNTIF(COMPOSICIÓN!$A:$A,A273)</f>
        <v>1</v>
      </c>
      <c r="R273" s="17"/>
      <c r="S273" s="17" t="s">
        <v>304</v>
      </c>
      <c r="T273" s="17">
        <v>3839.53452028022</v>
      </c>
      <c r="U273" s="17">
        <v>0</v>
      </c>
      <c r="V273" s="17">
        <v>0</v>
      </c>
    </row>
    <row r="274" spans="1:22" ht="14.25" hidden="1" customHeight="1" x14ac:dyDescent="0.35">
      <c r="A274" s="12" t="s">
        <v>477</v>
      </c>
      <c r="B274" s="12"/>
      <c r="C274" s="12" t="s">
        <v>2034</v>
      </c>
      <c r="D274" s="12" t="s">
        <v>476</v>
      </c>
      <c r="E274" s="14" t="s">
        <v>98</v>
      </c>
      <c r="F274" s="14">
        <v>1</v>
      </c>
      <c r="G274" s="14">
        <v>0</v>
      </c>
      <c r="H274" s="106">
        <v>0</v>
      </c>
      <c r="I274" s="106">
        <v>1</v>
      </c>
      <c r="J274" s="96">
        <f>SUMIFS(COMPOSICIÓN!J$2:J$1892,COMPOSICIÓN!A$2:A$1892,A274,COMPOSICIÓN!B$2:B$1892,"MAT")</f>
        <v>6314.6459338307404</v>
      </c>
      <c r="K274" s="96">
        <f>SUMIFS(COMPOSICIÓN!J$2:J$1892,COMPOSICIÓN!A$2:A$1892,A274,COMPOSICIÓN!B$2:B$1892,"MO")*I274</f>
        <v>0</v>
      </c>
      <c r="L274" s="96">
        <f>SUMIFS(COMPOSICIÓN!J$2:J$1892,COMPOSICIÓN!A$2:A$1892,A274,COMPOSICIÓN!B$2:B$1892,"EQ")</f>
        <v>0</v>
      </c>
      <c r="M274" s="101">
        <f t="shared" si="21"/>
        <v>6314.6459338307404</v>
      </c>
      <c r="N274" s="101">
        <f t="shared" si="22"/>
        <v>0</v>
      </c>
      <c r="O274" s="101">
        <f t="shared" si="20"/>
        <v>0</v>
      </c>
      <c r="P274" s="101">
        <f t="shared" si="23"/>
        <v>6314.6459338307404</v>
      </c>
      <c r="Q274" s="102">
        <f>COUNTIF(COMPOSICIÓN!$A:$A,A274)</f>
        <v>1</v>
      </c>
      <c r="R274" s="17"/>
      <c r="S274" s="17" t="s">
        <v>304</v>
      </c>
      <c r="T274" s="17">
        <v>6314.6459338307404</v>
      </c>
      <c r="U274" s="17">
        <v>0</v>
      </c>
      <c r="V274" s="17">
        <v>0</v>
      </c>
    </row>
    <row r="275" spans="1:22" ht="14.25" hidden="1" customHeight="1" x14ac:dyDescent="0.35">
      <c r="A275" s="105" t="s">
        <v>479</v>
      </c>
      <c r="B275" s="105"/>
      <c r="C275" s="105" t="s">
        <v>2034</v>
      </c>
      <c r="D275" s="105" t="s">
        <v>478</v>
      </c>
      <c r="E275" s="106" t="s">
        <v>98</v>
      </c>
      <c r="F275" s="106">
        <v>1</v>
      </c>
      <c r="G275" s="106">
        <v>0</v>
      </c>
      <c r="H275" s="106">
        <v>0</v>
      </c>
      <c r="I275" s="106">
        <v>1</v>
      </c>
      <c r="J275" s="96">
        <f>SUMIFS(COMPOSICIÓN!J$2:J$1892,COMPOSICIÓN!A$2:A$1892,A275,COMPOSICIÓN!B$2:B$1892,"MAT")</f>
        <v>4996.5593136686502</v>
      </c>
      <c r="K275" s="96">
        <f>SUMIFS(COMPOSICIÓN!J$2:J$1892,COMPOSICIÓN!A$2:A$1892,A275,COMPOSICIÓN!B$2:B$1892,"MO")*I275</f>
        <v>0</v>
      </c>
      <c r="L275" s="96">
        <f>SUMIFS(COMPOSICIÓN!J$2:J$1892,COMPOSICIÓN!A$2:A$1892,A275,COMPOSICIÓN!B$2:B$1892,"EQ")</f>
        <v>0</v>
      </c>
      <c r="M275" s="103">
        <f t="shared" si="21"/>
        <v>4996.5593136686502</v>
      </c>
      <c r="N275" s="103">
        <f t="shared" si="22"/>
        <v>0</v>
      </c>
      <c r="O275" s="103">
        <f t="shared" si="20"/>
        <v>0</v>
      </c>
      <c r="P275" s="103">
        <f t="shared" si="23"/>
        <v>4996.5593136686502</v>
      </c>
      <c r="Q275" s="95">
        <f>COUNTIF(COMPOSICIÓN!$A:$A,A275)</f>
        <v>1</v>
      </c>
      <c r="R275" s="32"/>
      <c r="S275" s="32" t="s">
        <v>304</v>
      </c>
      <c r="T275" s="32">
        <v>4996.5593136686502</v>
      </c>
      <c r="U275" s="32">
        <v>0</v>
      </c>
      <c r="V275" s="32">
        <v>0</v>
      </c>
    </row>
    <row r="276" spans="1:22" ht="14.25" hidden="1" customHeight="1" x14ac:dyDescent="0.35">
      <c r="A276" s="12" t="s">
        <v>481</v>
      </c>
      <c r="B276" s="12"/>
      <c r="C276" s="12" t="s">
        <v>2034</v>
      </c>
      <c r="D276" s="12" t="s">
        <v>480</v>
      </c>
      <c r="E276" s="14" t="s">
        <v>98</v>
      </c>
      <c r="F276" s="14">
        <v>1</v>
      </c>
      <c r="G276" s="14">
        <v>0</v>
      </c>
      <c r="H276" s="14">
        <v>0</v>
      </c>
      <c r="I276" s="14">
        <v>1</v>
      </c>
      <c r="J276" s="100">
        <f>SUMIFS(COMPOSICIÓN!J$2:J$1892,COMPOSICIÓN!A$2:A$1892,A276,COMPOSICIÓN!B$2:B$1892,"MAT")</f>
        <v>12629.291867661501</v>
      </c>
      <c r="K276" s="100">
        <f>SUMIFS(COMPOSICIÓN!J$2:J$1892,COMPOSICIÓN!A$2:A$1892,A276,COMPOSICIÓN!B$2:B$1892,"MO")*I276</f>
        <v>0</v>
      </c>
      <c r="L276" s="100">
        <f>SUMIFS(COMPOSICIÓN!J$2:J$1892,COMPOSICIÓN!A$2:A$1892,A276,COMPOSICIÓN!B$2:B$1892,"EQ")</f>
        <v>0</v>
      </c>
      <c r="M276" s="101">
        <f t="shared" si="21"/>
        <v>12629.291867661501</v>
      </c>
      <c r="N276" s="101">
        <f t="shared" si="22"/>
        <v>0</v>
      </c>
      <c r="O276" s="101">
        <f t="shared" si="20"/>
        <v>0</v>
      </c>
      <c r="P276" s="101">
        <f t="shared" si="23"/>
        <v>12629.291867661501</v>
      </c>
      <c r="Q276" s="102">
        <f>COUNTIF(COMPOSICIÓN!$A:$A,A276)</f>
        <v>1</v>
      </c>
      <c r="R276" s="17"/>
      <c r="S276" s="17" t="s">
        <v>304</v>
      </c>
      <c r="T276" s="17">
        <v>12629.291867661501</v>
      </c>
      <c r="U276" s="17">
        <v>0</v>
      </c>
      <c r="V276" s="17">
        <v>0</v>
      </c>
    </row>
    <row r="277" spans="1:22" ht="14.25" hidden="1" customHeight="1" x14ac:dyDescent="0.35">
      <c r="A277" s="105" t="s">
        <v>483</v>
      </c>
      <c r="B277" s="105"/>
      <c r="C277" s="105" t="s">
        <v>2034</v>
      </c>
      <c r="D277" s="105" t="s">
        <v>482</v>
      </c>
      <c r="E277" s="106" t="s">
        <v>98</v>
      </c>
      <c r="F277" s="106">
        <v>1</v>
      </c>
      <c r="G277" s="106">
        <v>0</v>
      </c>
      <c r="H277" s="106">
        <v>0</v>
      </c>
      <c r="I277" s="106">
        <v>1</v>
      </c>
      <c r="J277" s="96">
        <f>SUMIFS(COMPOSICIÓN!J$2:J$1892,COMPOSICIÓN!A$2:A$1892,A277,COMPOSICIÓN!B$2:B$1892,"MAT")</f>
        <v>2203.1708839165899</v>
      </c>
      <c r="K277" s="96">
        <f>SUMIFS(COMPOSICIÓN!J$2:J$1892,COMPOSICIÓN!A$2:A$1892,A277,COMPOSICIÓN!B$2:B$1892,"MO")*I277</f>
        <v>0</v>
      </c>
      <c r="L277" s="96">
        <f>SUMIFS(COMPOSICIÓN!J$2:J$1892,COMPOSICIÓN!A$2:A$1892,A277,COMPOSICIÓN!B$2:B$1892,"EQ")</f>
        <v>0</v>
      </c>
      <c r="M277" s="103">
        <f t="shared" si="21"/>
        <v>2203.1708839165899</v>
      </c>
      <c r="N277" s="103">
        <f t="shared" si="22"/>
        <v>0</v>
      </c>
      <c r="O277" s="103">
        <f t="shared" si="20"/>
        <v>0</v>
      </c>
      <c r="P277" s="103">
        <f t="shared" si="23"/>
        <v>2203.1708839165899</v>
      </c>
      <c r="Q277" s="95">
        <f>COUNTIF(COMPOSICIÓN!$A:$A,A277)</f>
        <v>1</v>
      </c>
      <c r="R277" s="32"/>
      <c r="S277" s="32" t="s">
        <v>304</v>
      </c>
      <c r="T277" s="32">
        <v>2203.1708839165899</v>
      </c>
      <c r="U277" s="32">
        <v>0</v>
      </c>
      <c r="V277" s="32">
        <v>0</v>
      </c>
    </row>
  </sheetData>
  <autoFilter ref="A1:V277" xr:uid="{00000000-0001-0000-0500-000000000000}">
    <filterColumn colId="0">
      <filters>
        <filter val="PTO-0301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45"/>
  <sheetViews>
    <sheetView showGridLines="0" zoomScale="90" zoomScaleNormal="90" workbookViewId="0">
      <pane xSplit="5" ySplit="3" topLeftCell="F4" activePane="bottomRight" state="frozen"/>
      <selection pane="topRight" activeCell="J1" sqref="J1"/>
      <selection pane="bottomLeft" activeCell="A67" sqref="A67"/>
      <selection pane="bottomRight" activeCell="G6" sqref="G6"/>
    </sheetView>
  </sheetViews>
  <sheetFormatPr defaultColWidth="8.6328125" defaultRowHeight="13" x14ac:dyDescent="0.3"/>
  <cols>
    <col min="1" max="1" width="5.81640625" style="34" customWidth="1"/>
    <col min="2" max="2" width="31.54296875" style="34" bestFit="1" customWidth="1"/>
    <col min="3" max="3" width="32.81640625" style="34" customWidth="1"/>
    <col min="4" max="4" width="3.81640625" style="34" customWidth="1"/>
    <col min="5" max="5" width="4.90625" style="34" customWidth="1"/>
    <col min="6" max="6" width="10.453125" style="34" customWidth="1"/>
    <col min="7" max="7" width="10.36328125" style="34" customWidth="1"/>
    <col min="8" max="8" width="11.453125" style="34" customWidth="1"/>
    <col min="9" max="9" width="10.26953125" style="35" customWidth="1"/>
    <col min="10" max="10" width="10.26953125" style="34" customWidth="1"/>
    <col min="11" max="11" width="11.81640625" style="34" customWidth="1"/>
    <col min="12" max="12" width="11.6328125" style="34" customWidth="1"/>
    <col min="13" max="14" width="12.6328125" style="35" customWidth="1"/>
    <col min="15" max="16" width="11.26953125" style="36" customWidth="1"/>
    <col min="17" max="17" width="8.453125" style="34" customWidth="1"/>
    <col min="18" max="18" width="4.36328125" style="34" customWidth="1"/>
    <col min="19" max="19" width="10.08984375" style="34" customWidth="1"/>
    <col min="20" max="20" width="13.1796875" style="34" customWidth="1"/>
    <col min="21" max="21" width="12.90625" style="34" customWidth="1"/>
    <col min="22" max="22" width="12.7265625" style="36" customWidth="1"/>
    <col min="23" max="23" width="12.08984375" style="36" customWidth="1"/>
    <col min="24" max="16384" width="8.6328125" style="34"/>
  </cols>
  <sheetData>
    <row r="1" spans="1:24" ht="15" customHeight="1" x14ac:dyDescent="0.3">
      <c r="A1" s="33" t="s">
        <v>0</v>
      </c>
    </row>
    <row r="2" spans="1:24" ht="15" customHeight="1" thickBot="1" x14ac:dyDescent="0.35">
      <c r="A2" s="34" t="s">
        <v>1</v>
      </c>
      <c r="B2" s="34" t="str">
        <f>CONFIG!B6</f>
        <v>v3.0 — APU Chivilcoy 06-25</v>
      </c>
      <c r="G2" s="34" t="s">
        <v>2</v>
      </c>
      <c r="H2" s="34" t="str">
        <f>CONFIG!B11</f>
        <v>Junio 2025</v>
      </c>
      <c r="M2" s="35" t="s">
        <v>3</v>
      </c>
      <c r="N2" s="35">
        <v>1</v>
      </c>
    </row>
    <row r="3" spans="1:24" ht="14.25" customHeight="1" x14ac:dyDescent="0.3">
      <c r="A3" s="37" t="s">
        <v>4</v>
      </c>
      <c r="B3" s="37" t="s">
        <v>5</v>
      </c>
      <c r="C3" s="37" t="s">
        <v>6</v>
      </c>
      <c r="D3" s="37" t="s">
        <v>7</v>
      </c>
      <c r="E3" s="38" t="s">
        <v>8</v>
      </c>
      <c r="F3" s="39" t="s">
        <v>9</v>
      </c>
      <c r="G3" s="40" t="s">
        <v>10</v>
      </c>
      <c r="H3" s="40" t="s">
        <v>11</v>
      </c>
      <c r="I3" s="41" t="s">
        <v>12</v>
      </c>
      <c r="J3" s="39" t="s">
        <v>13</v>
      </c>
      <c r="K3" s="40" t="s">
        <v>14</v>
      </c>
      <c r="L3" s="40" t="s">
        <v>15</v>
      </c>
      <c r="M3" s="42" t="s">
        <v>16</v>
      </c>
      <c r="N3" s="43" t="s">
        <v>17</v>
      </c>
      <c r="O3" s="44"/>
      <c r="P3" s="45"/>
      <c r="Q3" s="37" t="s">
        <v>18</v>
      </c>
      <c r="R3" s="37" t="s">
        <v>19</v>
      </c>
      <c r="S3" s="126" t="s">
        <v>20</v>
      </c>
      <c r="T3" s="126" t="s">
        <v>2047</v>
      </c>
      <c r="U3" s="37" t="s">
        <v>21</v>
      </c>
      <c r="V3" s="45" t="s">
        <v>22</v>
      </c>
      <c r="W3" s="45" t="s">
        <v>23</v>
      </c>
      <c r="X3" s="45" t="s">
        <v>24</v>
      </c>
    </row>
    <row r="4" spans="1:24" ht="14.25" customHeight="1" x14ac:dyDescent="0.3">
      <c r="A4" s="108">
        <v>1</v>
      </c>
      <c r="B4" s="108"/>
      <c r="C4" s="108" t="s">
        <v>2015</v>
      </c>
      <c r="D4" s="108"/>
      <c r="E4" s="109"/>
      <c r="F4" s="48"/>
      <c r="G4" s="49"/>
      <c r="H4" s="49"/>
      <c r="I4" s="47"/>
      <c r="J4" s="50"/>
      <c r="K4" s="46"/>
      <c r="L4" s="46"/>
      <c r="M4" s="51"/>
      <c r="N4" s="52"/>
      <c r="O4" s="53">
        <f>SUM(M5:M13)</f>
        <v>17207623.31651061</v>
      </c>
      <c r="P4" s="54">
        <f>SUM(N5:N13)</f>
        <v>17207623.31651061</v>
      </c>
      <c r="Q4" s="46"/>
      <c r="R4" s="46"/>
      <c r="S4" s="46"/>
      <c r="T4" s="127"/>
      <c r="U4" s="46"/>
      <c r="V4" s="54"/>
      <c r="W4" s="54"/>
    </row>
    <row r="5" spans="1:24" ht="14.25" customHeight="1" x14ac:dyDescent="0.3">
      <c r="A5" s="110">
        <v>1.01</v>
      </c>
      <c r="B5" s="111" t="s">
        <v>2015</v>
      </c>
      <c r="C5" s="111" t="s">
        <v>25</v>
      </c>
      <c r="D5" s="111" t="s">
        <v>26</v>
      </c>
      <c r="E5" s="112">
        <v>0</v>
      </c>
      <c r="F5" s="55">
        <f>IF(Q5&lt;&gt;"",IFERROR(VLOOKUP(Q5,PARTIDAS!A:P,13,FALSE()),0),0)</f>
        <v>0</v>
      </c>
      <c r="G5" s="56">
        <f>IF(Q5&lt;&gt;"",IFERROR(VLOOKUP(Q5,PARTIDAS!A:P,14,FALSE()),0),0)</f>
        <v>0</v>
      </c>
      <c r="H5" s="56">
        <f>IF(Q5&lt;&gt;"",IFERROR(VLOOKUP(Q5,PARTIDAS!A:P,15,FALSE()),0),0)</f>
        <v>0</v>
      </c>
      <c r="I5" s="57">
        <f t="shared" ref="I5:I13" si="0">F5+G5+H5</f>
        <v>0</v>
      </c>
      <c r="J5" s="58">
        <f t="shared" ref="J5:J13" si="1">F5*E5</f>
        <v>0</v>
      </c>
      <c r="K5" s="59">
        <f t="shared" ref="K5:K13" si="2">G5*E5</f>
        <v>0</v>
      </c>
      <c r="L5" s="59">
        <f t="shared" ref="L5:L13" si="3">H5*E5</f>
        <v>0</v>
      </c>
      <c r="M5" s="60">
        <f t="shared" ref="M5:M13" si="4">I5*E5</f>
        <v>0</v>
      </c>
      <c r="N5" s="61">
        <f t="shared" ref="N5:N13" si="5">M5*$N$2</f>
        <v>0</v>
      </c>
      <c r="O5" s="62"/>
      <c r="P5" s="59"/>
      <c r="Q5" s="63" t="s">
        <v>27</v>
      </c>
      <c r="R5" s="63">
        <v>1</v>
      </c>
      <c r="S5" s="63" t="s">
        <v>28</v>
      </c>
      <c r="T5" s="128" t="str">
        <f>+_xlfn.XLOOKUP(A5,[1]Sheet1!C:C,[1]Sheet1!A:A,"-",0)</f>
        <v>-</v>
      </c>
      <c r="U5" s="63"/>
      <c r="V5" s="59">
        <v>0</v>
      </c>
      <c r="W5" s="59">
        <f t="shared" ref="W5:W13" si="6">M5-V5</f>
        <v>0</v>
      </c>
      <c r="X5" s="30">
        <f>IFERROR(W5/V5-1,0)</f>
        <v>0</v>
      </c>
    </row>
    <row r="6" spans="1:24" ht="14.25" customHeight="1" x14ac:dyDescent="0.3">
      <c r="A6" s="113">
        <v>1.02</v>
      </c>
      <c r="B6" s="114" t="s">
        <v>2015</v>
      </c>
      <c r="C6" s="114" t="s">
        <v>29</v>
      </c>
      <c r="D6" s="114" t="s">
        <v>30</v>
      </c>
      <c r="E6" s="115">
        <v>4</v>
      </c>
      <c r="F6" s="64">
        <f>IF(Q6&lt;&gt;"",IFERROR(VLOOKUP(Q6,PARTIDAS!A:P,13,FALSE()),0),0)</f>
        <v>25000</v>
      </c>
      <c r="G6" s="65">
        <f>IF(Q6&lt;&gt;"",IFERROR(VLOOKUP(Q6,PARTIDAS!A:P,14,FALSE()),0),0)</f>
        <v>281634.5606343656</v>
      </c>
      <c r="H6" s="65">
        <f>IF(Q6&lt;&gt;"",IFERROR(VLOOKUP(Q6,PARTIDAS!A:P,15,FALSE()),0),0)</f>
        <v>4599.51840951549</v>
      </c>
      <c r="I6" s="66">
        <f t="shared" si="0"/>
        <v>311234.07904388109</v>
      </c>
      <c r="J6" s="67">
        <f t="shared" si="1"/>
        <v>100000</v>
      </c>
      <c r="K6" s="68">
        <f t="shared" si="2"/>
        <v>1126538.2425374624</v>
      </c>
      <c r="L6" s="68">
        <f t="shared" si="3"/>
        <v>18398.07363806196</v>
      </c>
      <c r="M6" s="69">
        <f t="shared" si="4"/>
        <v>1244936.3161755244</v>
      </c>
      <c r="N6" s="70">
        <f t="shared" si="5"/>
        <v>1244936.3161755244</v>
      </c>
      <c r="O6" s="71"/>
      <c r="P6" s="68"/>
      <c r="Q6" s="72" t="s">
        <v>31</v>
      </c>
      <c r="R6" s="72">
        <v>1</v>
      </c>
      <c r="S6" s="72" t="s">
        <v>32</v>
      </c>
      <c r="T6" s="72"/>
      <c r="U6" s="72"/>
      <c r="V6" s="68">
        <v>1244936.31617553</v>
      </c>
      <c r="W6" s="68">
        <f t="shared" si="6"/>
        <v>-5.5879354476928711E-9</v>
      </c>
      <c r="X6" s="30">
        <f t="shared" ref="X6:X69" si="7">IFERROR(W6/V6,0)</f>
        <v>-4.4885311602597665E-15</v>
      </c>
    </row>
    <row r="7" spans="1:24" ht="14.25" customHeight="1" x14ac:dyDescent="0.3">
      <c r="A7" s="110">
        <v>1.03</v>
      </c>
      <c r="B7" s="111" t="s">
        <v>2015</v>
      </c>
      <c r="C7" s="111" t="s">
        <v>33</v>
      </c>
      <c r="D7" s="111" t="s">
        <v>26</v>
      </c>
      <c r="E7" s="112">
        <v>1</v>
      </c>
      <c r="F7" s="55">
        <f>IF(Q7&lt;&gt;"",IFERROR(VLOOKUP(Q7,PARTIDAS!A:P,13,FALSE()),0),0)</f>
        <v>0</v>
      </c>
      <c r="G7" s="56">
        <f>IF(Q7&lt;&gt;"",IFERROR(VLOOKUP(Q7,PARTIDAS!A:P,14,FALSE()),0),0)</f>
        <v>0</v>
      </c>
      <c r="H7" s="56">
        <f>IF(Q7&lt;&gt;"",IFERROR(VLOOKUP(Q7,PARTIDAS!A:P,15,FALSE()),0),0)</f>
        <v>0</v>
      </c>
      <c r="I7" s="57">
        <f t="shared" si="0"/>
        <v>0</v>
      </c>
      <c r="J7" s="58">
        <f t="shared" si="1"/>
        <v>0</v>
      </c>
      <c r="K7" s="59">
        <f t="shared" si="2"/>
        <v>0</v>
      </c>
      <c r="L7" s="59">
        <f t="shared" si="3"/>
        <v>0</v>
      </c>
      <c r="M7" s="60">
        <f t="shared" si="4"/>
        <v>0</v>
      </c>
      <c r="N7" s="61">
        <f t="shared" si="5"/>
        <v>0</v>
      </c>
      <c r="O7" s="62"/>
      <c r="P7" s="59"/>
      <c r="Q7" s="63" t="s">
        <v>34</v>
      </c>
      <c r="R7" s="63">
        <v>1</v>
      </c>
      <c r="S7" s="63" t="s">
        <v>28</v>
      </c>
      <c r="T7" s="63"/>
      <c r="U7" s="63"/>
      <c r="V7" s="59">
        <v>0</v>
      </c>
      <c r="W7" s="59">
        <f t="shared" si="6"/>
        <v>0</v>
      </c>
      <c r="X7" s="30">
        <f t="shared" si="7"/>
        <v>0</v>
      </c>
    </row>
    <row r="8" spans="1:24" ht="14.25" customHeight="1" x14ac:dyDescent="0.3">
      <c r="A8" s="113">
        <v>1.04</v>
      </c>
      <c r="B8" s="114" t="s">
        <v>2015</v>
      </c>
      <c r="C8" s="114" t="s">
        <v>35</v>
      </c>
      <c r="D8" s="114" t="s">
        <v>36</v>
      </c>
      <c r="E8" s="115">
        <v>10</v>
      </c>
      <c r="F8" s="64">
        <f>IF(Q8&lt;&gt;"",IFERROR(VLOOKUP(Q8,PARTIDAS!A:P,13,FALSE()),0),0)</f>
        <v>98815.568159228627</v>
      </c>
      <c r="G8" s="65">
        <f>IF(Q8&lt;&gt;"",IFERROR(VLOOKUP(Q8,PARTIDAS!A:P,14,FALSE()),0),0)</f>
        <v>111992.57496771206</v>
      </c>
      <c r="H8" s="65">
        <f>IF(Q8&lt;&gt;"",IFERROR(VLOOKUP(Q8,PARTIDAS!A:P,15,FALSE()),0),0)</f>
        <v>3162.1221469041102</v>
      </c>
      <c r="I8" s="66">
        <f t="shared" si="0"/>
        <v>213970.26527384482</v>
      </c>
      <c r="J8" s="67">
        <f t="shared" si="1"/>
        <v>988155.68159228633</v>
      </c>
      <c r="K8" s="68">
        <f t="shared" si="2"/>
        <v>1119925.7496771207</v>
      </c>
      <c r="L8" s="68">
        <f t="shared" si="3"/>
        <v>31621.221469041102</v>
      </c>
      <c r="M8" s="69">
        <f t="shared" si="4"/>
        <v>2139702.6527384482</v>
      </c>
      <c r="N8" s="70">
        <f t="shared" si="5"/>
        <v>2139702.6527384482</v>
      </c>
      <c r="O8" s="71"/>
      <c r="P8" s="68"/>
      <c r="Q8" s="72" t="s">
        <v>37</v>
      </c>
      <c r="R8" s="72">
        <v>1</v>
      </c>
      <c r="S8" s="72" t="s">
        <v>32</v>
      </c>
      <c r="T8" s="72"/>
      <c r="U8" s="72"/>
      <c r="V8" s="68">
        <v>2139702.6527384501</v>
      </c>
      <c r="W8" s="68">
        <f t="shared" si="6"/>
        <v>0</v>
      </c>
      <c r="X8" s="30">
        <f t="shared" si="7"/>
        <v>0</v>
      </c>
    </row>
    <row r="9" spans="1:24" ht="14.25" customHeight="1" x14ac:dyDescent="0.3">
      <c r="A9" s="110">
        <v>1.05</v>
      </c>
      <c r="B9" s="111" t="s">
        <v>2015</v>
      </c>
      <c r="C9" s="111" t="s">
        <v>38</v>
      </c>
      <c r="D9" s="111" t="s">
        <v>26</v>
      </c>
      <c r="E9" s="112">
        <v>1</v>
      </c>
      <c r="F9" s="55">
        <f>IF(Q9&lt;&gt;"",IFERROR(VLOOKUP(Q9,PARTIDAS!A:P,13,FALSE()),0),0)</f>
        <v>2570625.1745922863</v>
      </c>
      <c r="G9" s="56">
        <f>IF(Q9&lt;&gt;"",IFERROR(VLOOKUP(Q9,PARTIDAS!A:P,14,FALSE()),0),0)</f>
        <v>6023936.3544306941</v>
      </c>
      <c r="H9" s="56">
        <f>IF(Q9&lt;&gt;"",IFERROR(VLOOKUP(Q9,PARTIDAS!A:P,15,FALSE()),0),0)</f>
        <v>128918.42293534501</v>
      </c>
      <c r="I9" s="57">
        <f t="shared" si="0"/>
        <v>8723479.9519583248</v>
      </c>
      <c r="J9" s="58">
        <f t="shared" si="1"/>
        <v>2570625.1745922863</v>
      </c>
      <c r="K9" s="59">
        <f t="shared" si="2"/>
        <v>6023936.3544306941</v>
      </c>
      <c r="L9" s="59">
        <f t="shared" si="3"/>
        <v>128918.42293534501</v>
      </c>
      <c r="M9" s="60">
        <f t="shared" si="4"/>
        <v>8723479.9519583248</v>
      </c>
      <c r="N9" s="61">
        <f t="shared" si="5"/>
        <v>8723479.9519583248</v>
      </c>
      <c r="O9" s="62"/>
      <c r="P9" s="59"/>
      <c r="Q9" s="63" t="s">
        <v>39</v>
      </c>
      <c r="R9" s="63">
        <v>1</v>
      </c>
      <c r="S9" s="63" t="s">
        <v>32</v>
      </c>
      <c r="T9" s="63"/>
      <c r="U9" s="63"/>
      <c r="V9" s="59">
        <v>8723479.9519583303</v>
      </c>
      <c r="W9" s="59">
        <f t="shared" si="6"/>
        <v>0</v>
      </c>
      <c r="X9" s="30">
        <f t="shared" si="7"/>
        <v>0</v>
      </c>
    </row>
    <row r="10" spans="1:24" ht="14.25" customHeight="1" x14ac:dyDescent="0.3">
      <c r="A10" s="113">
        <v>1.06</v>
      </c>
      <c r="B10" s="114" t="s">
        <v>2015</v>
      </c>
      <c r="C10" s="114" t="s">
        <v>40</v>
      </c>
      <c r="D10" s="114" t="s">
        <v>41</v>
      </c>
      <c r="E10" s="115">
        <v>4</v>
      </c>
      <c r="F10" s="64">
        <f>IF(Q10&lt;&gt;"",IFERROR(VLOOKUP(Q10,PARTIDAS!A:P,13,FALSE()),0),0)</f>
        <v>0</v>
      </c>
      <c r="G10" s="65">
        <f>IF(Q10&lt;&gt;"",IFERROR(VLOOKUP(Q10,PARTIDAS!A:P,14,FALSE()),0),0)</f>
        <v>260000</v>
      </c>
      <c r="H10" s="65">
        <f>IF(Q10&lt;&gt;"",IFERROR(VLOOKUP(Q10,PARTIDAS!A:P,15,FALSE()),0),0)</f>
        <v>0</v>
      </c>
      <c r="I10" s="66">
        <f t="shared" si="0"/>
        <v>260000</v>
      </c>
      <c r="J10" s="67">
        <f t="shared" si="1"/>
        <v>0</v>
      </c>
      <c r="K10" s="68">
        <f t="shared" si="2"/>
        <v>1040000</v>
      </c>
      <c r="L10" s="68">
        <f t="shared" si="3"/>
        <v>0</v>
      </c>
      <c r="M10" s="69">
        <f t="shared" si="4"/>
        <v>1040000</v>
      </c>
      <c r="N10" s="70">
        <f t="shared" si="5"/>
        <v>1040000</v>
      </c>
      <c r="O10" s="71"/>
      <c r="P10" s="68"/>
      <c r="Q10" s="72" t="s">
        <v>42</v>
      </c>
      <c r="R10" s="72">
        <v>1</v>
      </c>
      <c r="S10" s="72" t="s">
        <v>32</v>
      </c>
      <c r="T10" s="72"/>
      <c r="U10" s="72"/>
      <c r="V10" s="68">
        <v>1040000</v>
      </c>
      <c r="W10" s="68">
        <f t="shared" si="6"/>
        <v>0</v>
      </c>
      <c r="X10" s="30">
        <f t="shared" si="7"/>
        <v>0</v>
      </c>
    </row>
    <row r="11" spans="1:24" ht="14.25" customHeight="1" x14ac:dyDescent="0.3">
      <c r="A11" s="110">
        <v>1.07</v>
      </c>
      <c r="B11" s="111" t="s">
        <v>2015</v>
      </c>
      <c r="C11" s="111" t="s">
        <v>43</v>
      </c>
      <c r="D11" s="111" t="s">
        <v>26</v>
      </c>
      <c r="E11" s="112">
        <v>1</v>
      </c>
      <c r="F11" s="55">
        <f>IF(Q11&lt;&gt;"",IFERROR(VLOOKUP(Q11,PARTIDAS!A:P,13,FALSE()),0),0)</f>
        <v>1390000</v>
      </c>
      <c r="G11" s="56">
        <f>IF(Q11&lt;&gt;"",IFERROR(VLOOKUP(Q11,PARTIDAS!A:P,14,FALSE()),0),0)</f>
        <v>661285.32432587864</v>
      </c>
      <c r="H11" s="56">
        <f>IF(Q11&lt;&gt;"",IFERROR(VLOOKUP(Q11,PARTIDAS!A:P,15,FALSE()),0),0)</f>
        <v>30769.279864888202</v>
      </c>
      <c r="I11" s="57">
        <f t="shared" si="0"/>
        <v>2082054.6041907668</v>
      </c>
      <c r="J11" s="58">
        <f t="shared" si="1"/>
        <v>1390000</v>
      </c>
      <c r="K11" s="59">
        <f t="shared" si="2"/>
        <v>661285.32432587864</v>
      </c>
      <c r="L11" s="59">
        <f t="shared" si="3"/>
        <v>30769.279864888202</v>
      </c>
      <c r="M11" s="60">
        <f t="shared" si="4"/>
        <v>2082054.6041907668</v>
      </c>
      <c r="N11" s="61">
        <f t="shared" si="5"/>
        <v>2082054.6041907668</v>
      </c>
      <c r="O11" s="62"/>
      <c r="P11" s="59"/>
      <c r="Q11" s="63" t="s">
        <v>44</v>
      </c>
      <c r="R11" s="63">
        <v>1</v>
      </c>
      <c r="S11" s="63" t="s">
        <v>32</v>
      </c>
      <c r="T11" s="63"/>
      <c r="U11" s="63"/>
      <c r="V11" s="59">
        <v>2082054.6041907701</v>
      </c>
      <c r="W11" s="59">
        <f t="shared" si="6"/>
        <v>-3.2596290111541748E-9</v>
      </c>
      <c r="X11" s="30">
        <f t="shared" si="7"/>
        <v>-1.5655828644422568E-15</v>
      </c>
    </row>
    <row r="12" spans="1:24" ht="14.25" customHeight="1" x14ac:dyDescent="0.3">
      <c r="A12" s="113">
        <v>1.08</v>
      </c>
      <c r="B12" s="114" t="s">
        <v>2015</v>
      </c>
      <c r="C12" s="114" t="s">
        <v>45</v>
      </c>
      <c r="D12" s="114" t="s">
        <v>26</v>
      </c>
      <c r="E12" s="115">
        <v>1</v>
      </c>
      <c r="F12" s="64">
        <f>IF(Q12&lt;&gt;"",IFERROR(VLOOKUP(Q12,PARTIDAS!A:P,13,FALSE()),0),0)</f>
        <v>936000</v>
      </c>
      <c r="G12" s="65">
        <f>IF(Q12&lt;&gt;"",IFERROR(VLOOKUP(Q12,PARTIDAS!A:P,14,FALSE()),0),0)</f>
        <v>536368.95177931595</v>
      </c>
      <c r="H12" s="65">
        <f>IF(Q12&lt;&gt;"",IFERROR(VLOOKUP(Q12,PARTIDAS!A:P,15,FALSE()),0),0)</f>
        <v>22085.534276689701</v>
      </c>
      <c r="I12" s="66">
        <f t="shared" si="0"/>
        <v>1494454.4860560056</v>
      </c>
      <c r="J12" s="67">
        <f t="shared" si="1"/>
        <v>936000</v>
      </c>
      <c r="K12" s="68">
        <f t="shared" si="2"/>
        <v>536368.95177931595</v>
      </c>
      <c r="L12" s="68">
        <f t="shared" si="3"/>
        <v>22085.534276689701</v>
      </c>
      <c r="M12" s="69">
        <f t="shared" si="4"/>
        <v>1494454.4860560056</v>
      </c>
      <c r="N12" s="70">
        <f t="shared" si="5"/>
        <v>1494454.4860560056</v>
      </c>
      <c r="O12" s="71"/>
      <c r="P12" s="68"/>
      <c r="Q12" s="72" t="s">
        <v>46</v>
      </c>
      <c r="R12" s="72">
        <v>1</v>
      </c>
      <c r="S12" s="72" t="s">
        <v>32</v>
      </c>
      <c r="T12" s="72"/>
      <c r="U12" s="72"/>
      <c r="V12" s="68">
        <v>1494454.48605601</v>
      </c>
      <c r="W12" s="68">
        <f t="shared" si="6"/>
        <v>-4.4237822294235229E-9</v>
      </c>
      <c r="X12" s="30">
        <f t="shared" si="7"/>
        <v>-2.9601317876854536E-15</v>
      </c>
    </row>
    <row r="13" spans="1:24" ht="14.25" customHeight="1" x14ac:dyDescent="0.3">
      <c r="A13" s="110">
        <v>1.0900000000000001</v>
      </c>
      <c r="B13" s="111" t="s">
        <v>2015</v>
      </c>
      <c r="C13" s="111" t="s">
        <v>47</v>
      </c>
      <c r="D13" s="111" t="s">
        <v>26</v>
      </c>
      <c r="E13" s="112">
        <v>1</v>
      </c>
      <c r="F13" s="55">
        <f>IF(Q13&lt;&gt;"",IFERROR(VLOOKUP(Q13,PARTIDAS!A:P,13,FALSE()),0),0)</f>
        <v>0</v>
      </c>
      <c r="G13" s="56">
        <f>IF(Q13&lt;&gt;"",IFERROR(VLOOKUP(Q13,PARTIDAS!A:P,14,FALSE()),0),0)</f>
        <v>482995.30539154151</v>
      </c>
      <c r="H13" s="56">
        <f>IF(Q13&lt;&gt;"",IFERROR(VLOOKUP(Q13,PARTIDAS!A:P,15,FALSE()),0),0)</f>
        <v>0</v>
      </c>
      <c r="I13" s="57">
        <f t="shared" si="0"/>
        <v>482995.30539154151</v>
      </c>
      <c r="J13" s="58">
        <f t="shared" si="1"/>
        <v>0</v>
      </c>
      <c r="K13" s="59">
        <f t="shared" si="2"/>
        <v>482995.30539154151</v>
      </c>
      <c r="L13" s="59">
        <f t="shared" si="3"/>
        <v>0</v>
      </c>
      <c r="M13" s="60">
        <f t="shared" si="4"/>
        <v>482995.30539154151</v>
      </c>
      <c r="N13" s="61">
        <f t="shared" si="5"/>
        <v>482995.30539154151</v>
      </c>
      <c r="O13" s="62"/>
      <c r="P13" s="59"/>
      <c r="Q13" s="63" t="s">
        <v>48</v>
      </c>
      <c r="R13" s="63">
        <v>1</v>
      </c>
      <c r="S13" s="63" t="s">
        <v>32</v>
      </c>
      <c r="T13" s="63"/>
      <c r="U13" s="63"/>
      <c r="V13" s="59">
        <v>482995.30539153999</v>
      </c>
      <c r="W13" s="59">
        <f t="shared" si="6"/>
        <v>1.5133991837501526E-9</v>
      </c>
      <c r="X13" s="30">
        <f t="shared" si="7"/>
        <v>3.1333620986715722E-15</v>
      </c>
    </row>
    <row r="14" spans="1:24" ht="14.25" customHeight="1" x14ac:dyDescent="0.3">
      <c r="A14" s="108">
        <v>2</v>
      </c>
      <c r="B14" s="108"/>
      <c r="C14" s="108" t="s">
        <v>2003</v>
      </c>
      <c r="D14" s="108"/>
      <c r="E14" s="109"/>
      <c r="F14" s="73"/>
      <c r="G14" s="74"/>
      <c r="H14" s="74"/>
      <c r="I14" s="75"/>
      <c r="J14" s="76"/>
      <c r="K14" s="54"/>
      <c r="L14" s="54"/>
      <c r="M14" s="77"/>
      <c r="N14" s="78"/>
      <c r="O14" s="53">
        <f>SUM(M15:M18)</f>
        <v>12400626.357068252</v>
      </c>
      <c r="P14" s="54">
        <f>SUM(N15:N18)</f>
        <v>12400626.357068252</v>
      </c>
      <c r="Q14" s="46"/>
      <c r="R14" s="46"/>
      <c r="S14" s="46"/>
      <c r="T14" s="46"/>
      <c r="U14" s="46"/>
      <c r="V14" s="54"/>
      <c r="W14" s="54"/>
      <c r="X14" s="30">
        <f t="shared" si="7"/>
        <v>0</v>
      </c>
    </row>
    <row r="15" spans="1:24" ht="14.25" customHeight="1" x14ac:dyDescent="0.3">
      <c r="A15" s="110">
        <v>2.0099999999999998</v>
      </c>
      <c r="B15" s="111" t="s">
        <v>2003</v>
      </c>
      <c r="C15" s="111" t="s">
        <v>49</v>
      </c>
      <c r="D15" s="111" t="s">
        <v>50</v>
      </c>
      <c r="E15" s="112">
        <v>219</v>
      </c>
      <c r="F15" s="55">
        <f>IF(Q15&lt;&gt;"",IFERROR(VLOOKUP(Q15,PARTIDAS!A:P,13,FALSE()),0),0)</f>
        <v>0</v>
      </c>
      <c r="G15" s="56">
        <f>IF(Q15&lt;&gt;"",IFERROR(VLOOKUP(Q15,PARTIDAS!A:P,14,FALSE()),0),0)</f>
        <v>28977.780103401961</v>
      </c>
      <c r="H15" s="56">
        <f>IF(Q15&lt;&gt;"",IFERROR(VLOOKUP(Q15,PARTIDAS!A:P,15,FALSE()),0),0)</f>
        <v>0</v>
      </c>
      <c r="I15" s="57">
        <f>F15+G15+H15</f>
        <v>28977.780103401961</v>
      </c>
      <c r="J15" s="58">
        <f>F15*E15</f>
        <v>0</v>
      </c>
      <c r="K15" s="59">
        <f>G15*E15</f>
        <v>6346133.8426450295</v>
      </c>
      <c r="L15" s="59">
        <f>H15*E15</f>
        <v>0</v>
      </c>
      <c r="M15" s="60">
        <f>I15*E15</f>
        <v>6346133.8426450295</v>
      </c>
      <c r="N15" s="61">
        <f>M15*$N$2</f>
        <v>6346133.8426450295</v>
      </c>
      <c r="O15" s="62"/>
      <c r="P15" s="59"/>
      <c r="Q15" s="63" t="s">
        <v>51</v>
      </c>
      <c r="R15" s="63">
        <v>1</v>
      </c>
      <c r="S15" s="63" t="s">
        <v>32</v>
      </c>
      <c r="T15" s="63"/>
      <c r="U15" s="63"/>
      <c r="V15" s="59">
        <v>6346135.3219360104</v>
      </c>
      <c r="W15" s="59">
        <f>M15-V15</f>
        <v>-1.4792909808456898</v>
      </c>
      <c r="X15" s="30">
        <f t="shared" si="7"/>
        <v>-2.3310107739625126E-7</v>
      </c>
    </row>
    <row r="16" spans="1:24" ht="14.25" customHeight="1" x14ac:dyDescent="0.3">
      <c r="A16" s="113">
        <v>2.02</v>
      </c>
      <c r="B16" s="114" t="s">
        <v>2003</v>
      </c>
      <c r="C16" s="114" t="s">
        <v>52</v>
      </c>
      <c r="D16" s="114" t="s">
        <v>53</v>
      </c>
      <c r="E16" s="115">
        <v>100</v>
      </c>
      <c r="F16" s="64">
        <f>IF(Q16&lt;&gt;"",IFERROR(VLOOKUP(Q16,PARTIDAS!A:P,13,FALSE()),0),0)</f>
        <v>0</v>
      </c>
      <c r="G16" s="65">
        <f>IF(Q16&lt;&gt;"",IFERROR(VLOOKUP(Q16,PARTIDAS!A:P,14,FALSE()),0),0)</f>
        <v>31164.049886026762</v>
      </c>
      <c r="H16" s="65">
        <f>IF(Q16&lt;&gt;"",IFERROR(VLOOKUP(Q16,PARTIDAS!A:P,15,FALSE()),0),0)</f>
        <v>467.460748290401</v>
      </c>
      <c r="I16" s="66">
        <f>F16+G16+H16</f>
        <v>31631.510634317161</v>
      </c>
      <c r="J16" s="67">
        <f>F16*E16</f>
        <v>0</v>
      </c>
      <c r="K16" s="68">
        <f>G16*E16</f>
        <v>3116404.988602676</v>
      </c>
      <c r="L16" s="68">
        <f>H16*E16</f>
        <v>46746.074829040102</v>
      </c>
      <c r="M16" s="69">
        <f>I16*E16</f>
        <v>3163151.0634317161</v>
      </c>
      <c r="N16" s="70">
        <f>M16*$N$2</f>
        <v>3163151.0634317161</v>
      </c>
      <c r="O16" s="71"/>
      <c r="P16" s="68"/>
      <c r="Q16" s="72" t="s">
        <v>54</v>
      </c>
      <c r="R16" s="72">
        <v>1</v>
      </c>
      <c r="S16" s="72" t="s">
        <v>32</v>
      </c>
      <c r="T16" s="72"/>
      <c r="U16" s="72"/>
      <c r="V16" s="68">
        <v>3163151.0634317198</v>
      </c>
      <c r="W16" s="68">
        <f>M16-V16</f>
        <v>-3.7252902984619141E-9</v>
      </c>
      <c r="X16" s="30">
        <f t="shared" si="7"/>
        <v>-1.1777149506164674E-15</v>
      </c>
    </row>
    <row r="17" spans="1:24" ht="14.25" customHeight="1" x14ac:dyDescent="0.3">
      <c r="A17" s="110">
        <v>2.0299999999999998</v>
      </c>
      <c r="B17" s="111" t="s">
        <v>2003</v>
      </c>
      <c r="C17" s="111" t="s">
        <v>55</v>
      </c>
      <c r="D17" s="111" t="s">
        <v>53</v>
      </c>
      <c r="E17" s="112">
        <v>43</v>
      </c>
      <c r="F17" s="55">
        <f>IF(Q17&lt;&gt;"",IFERROR(VLOOKUP(Q17,PARTIDAS!A:P,13,FALSE()),0),0)</f>
        <v>0</v>
      </c>
      <c r="G17" s="56">
        <f>IF(Q17&lt;&gt;"",IFERROR(VLOOKUP(Q17,PARTIDAS!A:P,14,FALSE()),0),0)</f>
        <v>67240.498860267602</v>
      </c>
      <c r="H17" s="56">
        <f>IF(Q17&lt;&gt;"",IFERROR(VLOOKUP(Q17,PARTIDAS!A:P,15,FALSE()),0),0)</f>
        <v>0</v>
      </c>
      <c r="I17" s="57">
        <f>F17+G17+H17</f>
        <v>67240.498860267602</v>
      </c>
      <c r="J17" s="58">
        <f>F17*E17</f>
        <v>0</v>
      </c>
      <c r="K17" s="59">
        <f>G17*E17</f>
        <v>2891341.4509915067</v>
      </c>
      <c r="L17" s="59">
        <f>H17*E17</f>
        <v>0</v>
      </c>
      <c r="M17" s="60">
        <f>I17*E17</f>
        <v>2891341.4509915067</v>
      </c>
      <c r="N17" s="61">
        <f>M17*$N$2</f>
        <v>2891341.4509915067</v>
      </c>
      <c r="O17" s="62"/>
      <c r="P17" s="59"/>
      <c r="Q17" s="63" t="s">
        <v>56</v>
      </c>
      <c r="R17" s="63">
        <v>1</v>
      </c>
      <c r="S17" s="63" t="s">
        <v>28</v>
      </c>
      <c r="T17" s="63"/>
      <c r="U17" s="63"/>
      <c r="V17" s="59">
        <v>2891341.4509915099</v>
      </c>
      <c r="W17" s="59">
        <f>M17-V17</f>
        <v>0</v>
      </c>
      <c r="X17" s="30">
        <f t="shared" si="7"/>
        <v>0</v>
      </c>
    </row>
    <row r="18" spans="1:24" ht="14.25" customHeight="1" x14ac:dyDescent="0.3">
      <c r="A18" s="113">
        <v>2.04</v>
      </c>
      <c r="B18" s="114" t="s">
        <v>2003</v>
      </c>
      <c r="C18" s="114" t="s">
        <v>57</v>
      </c>
      <c r="D18" s="114" t="s">
        <v>26</v>
      </c>
      <c r="E18" s="115">
        <v>0</v>
      </c>
      <c r="F18" s="64">
        <f>IF(Q18&lt;&gt;"",IFERROR(VLOOKUP(Q18,PARTIDAS!A:P,13,FALSE()),0),0)</f>
        <v>0</v>
      </c>
      <c r="G18" s="65">
        <f>IF(Q18&lt;&gt;"",IFERROR(VLOOKUP(Q18,PARTIDAS!A:P,14,FALSE()),0),0)</f>
        <v>0</v>
      </c>
      <c r="H18" s="65">
        <f>IF(Q18&lt;&gt;"",IFERROR(VLOOKUP(Q18,PARTIDAS!A:P,15,FALSE()),0),0)</f>
        <v>0</v>
      </c>
      <c r="I18" s="66">
        <f>F18+G18+H18</f>
        <v>0</v>
      </c>
      <c r="J18" s="67">
        <f>F18*E18</f>
        <v>0</v>
      </c>
      <c r="K18" s="68">
        <f>G18*E18</f>
        <v>0</v>
      </c>
      <c r="L18" s="68">
        <f>H18*E18</f>
        <v>0</v>
      </c>
      <c r="M18" s="69">
        <f>I18*E18</f>
        <v>0</v>
      </c>
      <c r="N18" s="70">
        <f>M18*$N$2</f>
        <v>0</v>
      </c>
      <c r="O18" s="71"/>
      <c r="P18" s="68"/>
      <c r="Q18" s="72" t="s">
        <v>58</v>
      </c>
      <c r="R18" s="72">
        <v>1</v>
      </c>
      <c r="S18" s="72" t="s">
        <v>28</v>
      </c>
      <c r="T18" s="72"/>
      <c r="U18" s="72"/>
      <c r="V18" s="68">
        <v>0</v>
      </c>
      <c r="W18" s="68">
        <f>M18-V18</f>
        <v>0</v>
      </c>
      <c r="X18" s="30">
        <f t="shared" si="7"/>
        <v>0</v>
      </c>
    </row>
    <row r="19" spans="1:24" ht="14.25" customHeight="1" x14ac:dyDescent="0.3">
      <c r="A19" s="108">
        <v>3</v>
      </c>
      <c r="B19" s="108"/>
      <c r="C19" s="108" t="s">
        <v>2004</v>
      </c>
      <c r="D19" s="108"/>
      <c r="E19" s="109"/>
      <c r="F19" s="73"/>
      <c r="G19" s="74"/>
      <c r="H19" s="74"/>
      <c r="I19" s="75"/>
      <c r="J19" s="76"/>
      <c r="K19" s="54"/>
      <c r="L19" s="54"/>
      <c r="M19" s="77"/>
      <c r="N19" s="78"/>
      <c r="O19" s="53">
        <f>SUM(M20:M41)</f>
        <v>334635769.72149557</v>
      </c>
      <c r="P19" s="54">
        <f>SUM(N20:N41)</f>
        <v>334635769.72149557</v>
      </c>
      <c r="Q19" s="46"/>
      <c r="R19" s="46"/>
      <c r="S19" s="46"/>
      <c r="T19" s="46"/>
      <c r="U19" s="46"/>
      <c r="V19" s="54"/>
      <c r="W19" s="54"/>
      <c r="X19" s="30">
        <f t="shared" si="7"/>
        <v>0</v>
      </c>
    </row>
    <row r="20" spans="1:24" ht="14.25" customHeight="1" x14ac:dyDescent="0.3">
      <c r="A20" s="113">
        <v>3.01</v>
      </c>
      <c r="B20" s="114" t="s">
        <v>2004</v>
      </c>
      <c r="C20" s="114" t="s">
        <v>59</v>
      </c>
      <c r="D20" s="114" t="s">
        <v>53</v>
      </c>
      <c r="E20" s="115">
        <v>3</v>
      </c>
      <c r="F20" s="64">
        <f>IF(Q20&lt;&gt;"",IFERROR(VLOOKUP(Q20,PARTIDAS!A:P,13,FALSE()),0),0)</f>
        <v>120430</v>
      </c>
      <c r="G20" s="65">
        <f>IF(Q20&lt;&gt;"",IFERROR(VLOOKUP(Q20,PARTIDAS!A:P,14,FALSE()),0),0)</f>
        <v>155041.21677294979</v>
      </c>
      <c r="H20" s="65">
        <f>IF(Q20&lt;&gt;"",IFERROR(VLOOKUP(Q20,PARTIDAS!A:P,15,FALSE()),0),0)</f>
        <v>4132.0682994173703</v>
      </c>
      <c r="I20" s="66">
        <f t="shared" ref="I20:I41" si="8">F20+G20+H20</f>
        <v>279603.28507236717</v>
      </c>
      <c r="J20" s="67">
        <f t="shared" ref="J20:J41" si="9">F20*E20</f>
        <v>361290</v>
      </c>
      <c r="K20" s="68">
        <f t="shared" ref="K20:K41" si="10">G20*E20</f>
        <v>465123.65031884937</v>
      </c>
      <c r="L20" s="68">
        <f t="shared" ref="L20:L41" si="11">H20*E20</f>
        <v>12396.204898252112</v>
      </c>
      <c r="M20" s="69">
        <f t="shared" ref="M20:M41" si="12">I20*E20</f>
        <v>838809.85521710152</v>
      </c>
      <c r="N20" s="70">
        <f t="shared" ref="N20:N41" si="13">M20*$N$2</f>
        <v>838809.85521710152</v>
      </c>
      <c r="O20" s="71"/>
      <c r="P20" s="68"/>
      <c r="Q20" s="72" t="s">
        <v>60</v>
      </c>
      <c r="R20" s="72">
        <v>1</v>
      </c>
      <c r="S20" s="72" t="s">
        <v>32</v>
      </c>
      <c r="T20" s="72"/>
      <c r="U20" s="72"/>
      <c r="V20" s="68">
        <v>838809.86478172697</v>
      </c>
      <c r="W20" s="68">
        <f t="shared" ref="W20:W41" si="14">M20-V20</f>
        <v>-9.5646254485473037E-3</v>
      </c>
      <c r="X20" s="30">
        <f t="shared" si="7"/>
        <v>-1.140261440658687E-8</v>
      </c>
    </row>
    <row r="21" spans="1:24" ht="14.25" customHeight="1" x14ac:dyDescent="0.3">
      <c r="A21" s="110">
        <v>3.02</v>
      </c>
      <c r="B21" s="111" t="s">
        <v>2004</v>
      </c>
      <c r="C21" s="111" t="s">
        <v>61</v>
      </c>
      <c r="D21" s="111" t="s">
        <v>26</v>
      </c>
      <c r="E21" s="112">
        <v>1</v>
      </c>
      <c r="F21" s="55">
        <f>IF(Q21&lt;&gt;"",IFERROR(VLOOKUP(Q21,PARTIDAS!A:P,13,FALSE()),0),0)</f>
        <v>11090041.199999999</v>
      </c>
      <c r="G21" s="56">
        <f>IF(Q21&lt;&gt;"",IFERROR(VLOOKUP(Q21,PARTIDAS!A:P,14,FALSE()),0),0)</f>
        <v>37760301.494533725</v>
      </c>
      <c r="H21" s="56">
        <f>IF(Q21&lt;&gt;"",IFERROR(VLOOKUP(Q21,PARTIDAS!A:P,15,FALSE()),0),0)</f>
        <v>718505.14041800599</v>
      </c>
      <c r="I21" s="57">
        <f t="shared" si="8"/>
        <v>49568847.834951729</v>
      </c>
      <c r="J21" s="58">
        <f t="shared" si="9"/>
        <v>11090041.199999999</v>
      </c>
      <c r="K21" s="59">
        <f t="shared" si="10"/>
        <v>37760301.494533725</v>
      </c>
      <c r="L21" s="59">
        <f t="shared" si="11"/>
        <v>718505.14041800599</v>
      </c>
      <c r="M21" s="60">
        <f t="shared" si="12"/>
        <v>49568847.834951729</v>
      </c>
      <c r="N21" s="61">
        <f t="shared" si="13"/>
        <v>49568847.834951729</v>
      </c>
      <c r="O21" s="62"/>
      <c r="P21" s="59"/>
      <c r="Q21" s="63" t="s">
        <v>62</v>
      </c>
      <c r="R21" s="63">
        <v>1</v>
      </c>
      <c r="S21" s="63" t="s">
        <v>32</v>
      </c>
      <c r="T21" s="63"/>
      <c r="U21" s="63"/>
      <c r="V21" s="59">
        <v>48618847.834951699</v>
      </c>
      <c r="W21" s="59">
        <f t="shared" si="14"/>
        <v>950000.0000000298</v>
      </c>
      <c r="X21" s="30">
        <f t="shared" si="7"/>
        <v>1.9539747285353858E-2</v>
      </c>
    </row>
    <row r="22" spans="1:24" ht="14.25" customHeight="1" x14ac:dyDescent="0.3">
      <c r="A22" s="113">
        <v>3.03</v>
      </c>
      <c r="B22" s="114" t="s">
        <v>2004</v>
      </c>
      <c r="C22" s="114" t="s">
        <v>63</v>
      </c>
      <c r="D22" s="114" t="s">
        <v>53</v>
      </c>
      <c r="E22" s="115">
        <v>7</v>
      </c>
      <c r="F22" s="64">
        <f>IF(Q22&lt;&gt;"",IFERROR(VLOOKUP(Q22,PARTIDAS!A:P,13,FALSE()),0),0)</f>
        <v>357146.16970278037</v>
      </c>
      <c r="G22" s="65">
        <f>IF(Q22&lt;&gt;"",IFERROR(VLOOKUP(Q22,PARTIDAS!A:P,14,FALSE()),0),0)</f>
        <v>222927.95987015401</v>
      </c>
      <c r="H22" s="65">
        <f>IF(Q22&lt;&gt;"",IFERROR(VLOOKUP(Q22,PARTIDAS!A:P,15,FALSE()),0),0)</f>
        <v>8701.11194359402</v>
      </c>
      <c r="I22" s="66">
        <f t="shared" si="8"/>
        <v>588775.24151652842</v>
      </c>
      <c r="J22" s="67">
        <f t="shared" si="9"/>
        <v>2500023.1879194626</v>
      </c>
      <c r="K22" s="68">
        <f t="shared" si="10"/>
        <v>1560495.719091078</v>
      </c>
      <c r="L22" s="68">
        <f t="shared" si="11"/>
        <v>60907.78360515814</v>
      </c>
      <c r="M22" s="69">
        <f t="shared" si="12"/>
        <v>4121426.6906156987</v>
      </c>
      <c r="N22" s="70">
        <f t="shared" si="13"/>
        <v>4121426.6906156987</v>
      </c>
      <c r="O22" s="71"/>
      <c r="P22" s="68"/>
      <c r="Q22" s="72" t="s">
        <v>64</v>
      </c>
      <c r="R22" s="72">
        <v>1</v>
      </c>
      <c r="S22" s="72" t="s">
        <v>28</v>
      </c>
      <c r="T22" s="72"/>
      <c r="U22" s="72"/>
      <c r="V22" s="68">
        <v>4121426.6906157001</v>
      </c>
      <c r="W22" s="68">
        <f t="shared" si="14"/>
        <v>0</v>
      </c>
      <c r="X22" s="30">
        <f t="shared" si="7"/>
        <v>0</v>
      </c>
    </row>
    <row r="23" spans="1:24" ht="14.25" customHeight="1" x14ac:dyDescent="0.3">
      <c r="A23" s="110">
        <v>3.04</v>
      </c>
      <c r="B23" s="111" t="s">
        <v>2004</v>
      </c>
      <c r="C23" s="111" t="s">
        <v>65</v>
      </c>
      <c r="D23" s="111" t="s">
        <v>53</v>
      </c>
      <c r="E23" s="112">
        <v>4</v>
      </c>
      <c r="F23" s="55">
        <f>IF(Q23&lt;&gt;"",IFERROR(VLOOKUP(Q23,PARTIDAS!A:P,13,FALSE()),0),0)</f>
        <v>537813.28786424536</v>
      </c>
      <c r="G23" s="56">
        <f>IF(Q23&lt;&gt;"",IFERROR(VLOOKUP(Q23,PARTIDAS!A:P,14,FALSE()),0),0)</f>
        <v>323083.99981181801</v>
      </c>
      <c r="H23" s="56">
        <f>IF(Q23&lt;&gt;"",IFERROR(VLOOKUP(Q23,PARTIDAS!A:P,15,FALSE()),0),0)</f>
        <v>12913.459315141001</v>
      </c>
      <c r="I23" s="57">
        <f t="shared" si="8"/>
        <v>873810.74699120433</v>
      </c>
      <c r="J23" s="58">
        <f t="shared" si="9"/>
        <v>2151253.1514569814</v>
      </c>
      <c r="K23" s="59">
        <f t="shared" si="10"/>
        <v>1292335.999247272</v>
      </c>
      <c r="L23" s="59">
        <f t="shared" si="11"/>
        <v>51653.837260564003</v>
      </c>
      <c r="M23" s="60">
        <f t="shared" si="12"/>
        <v>3495242.9879648173</v>
      </c>
      <c r="N23" s="61">
        <f t="shared" si="13"/>
        <v>3495242.9879648173</v>
      </c>
      <c r="O23" s="62"/>
      <c r="P23" s="59"/>
      <c r="Q23" s="63" t="s">
        <v>66</v>
      </c>
      <c r="R23" s="63">
        <v>1</v>
      </c>
      <c r="S23" s="63" t="s">
        <v>28</v>
      </c>
      <c r="T23" s="63"/>
      <c r="U23" s="63"/>
      <c r="V23" s="59">
        <v>3495242.9879648201</v>
      </c>
      <c r="W23" s="59">
        <f t="shared" si="14"/>
        <v>0</v>
      </c>
      <c r="X23" s="30">
        <f t="shared" si="7"/>
        <v>0</v>
      </c>
    </row>
    <row r="24" spans="1:24" ht="14.25" customHeight="1" x14ac:dyDescent="0.3">
      <c r="A24" s="113">
        <v>3.05</v>
      </c>
      <c r="B24" s="114" t="s">
        <v>2004</v>
      </c>
      <c r="C24" s="114" t="s">
        <v>67</v>
      </c>
      <c r="D24" s="114" t="s">
        <v>53</v>
      </c>
      <c r="E24" s="115">
        <v>2</v>
      </c>
      <c r="F24" s="64">
        <f>IF(Q24&lt;&gt;"",IFERROR(VLOOKUP(Q24,PARTIDAS!A:P,13,FALSE()),0),0)</f>
        <v>357146.16970278003</v>
      </c>
      <c r="G24" s="65">
        <f>IF(Q24&lt;&gt;"",IFERROR(VLOOKUP(Q24,PARTIDAS!A:P,14,FALSE()),0),0)</f>
        <v>222927.95987015401</v>
      </c>
      <c r="H24" s="65">
        <f>IF(Q24&lt;&gt;"",IFERROR(VLOOKUP(Q24,PARTIDAS!A:P,15,FALSE()),0),0)</f>
        <v>8701.11194359402</v>
      </c>
      <c r="I24" s="66">
        <f t="shared" si="8"/>
        <v>588775.24151652807</v>
      </c>
      <c r="J24" s="67">
        <f t="shared" si="9"/>
        <v>714292.33940556005</v>
      </c>
      <c r="K24" s="68">
        <f t="shared" si="10"/>
        <v>445855.91974030802</v>
      </c>
      <c r="L24" s="68">
        <f t="shared" si="11"/>
        <v>17402.22388718804</v>
      </c>
      <c r="M24" s="69">
        <f t="shared" si="12"/>
        <v>1177550.4830330561</v>
      </c>
      <c r="N24" s="70">
        <f t="shared" si="13"/>
        <v>1177550.4830330561</v>
      </c>
      <c r="O24" s="71"/>
      <c r="P24" s="68"/>
      <c r="Q24" s="72" t="s">
        <v>68</v>
      </c>
      <c r="R24" s="72">
        <v>1</v>
      </c>
      <c r="S24" s="72" t="s">
        <v>28</v>
      </c>
      <c r="T24" s="72"/>
      <c r="U24" s="72"/>
      <c r="V24" s="68">
        <v>1177550.4830330601</v>
      </c>
      <c r="W24" s="68">
        <f t="shared" si="14"/>
        <v>-3.9581209421157837E-9</v>
      </c>
      <c r="X24" s="30">
        <f t="shared" si="7"/>
        <v>-3.3613174119895956E-15</v>
      </c>
    </row>
    <row r="25" spans="1:24" ht="14.25" customHeight="1" x14ac:dyDescent="0.3">
      <c r="A25" s="110">
        <v>3.06</v>
      </c>
      <c r="B25" s="111" t="s">
        <v>2004</v>
      </c>
      <c r="C25" s="111" t="s">
        <v>69</v>
      </c>
      <c r="D25" s="111" t="s">
        <v>53</v>
      </c>
      <c r="E25" s="112">
        <v>11</v>
      </c>
      <c r="F25" s="55">
        <f>IF(Q25&lt;&gt;"",IFERROR(VLOOKUP(Q25,PARTIDAS!A:P,13,FALSE()),0),0)</f>
        <v>392586.16970278037</v>
      </c>
      <c r="G25" s="56">
        <f>IF(Q25&lt;&gt;"",IFERROR(VLOOKUP(Q25,PARTIDAS!A:P,14,FALSE()),0),0)</f>
        <v>222927.95987015401</v>
      </c>
      <c r="H25" s="56">
        <f>IF(Q25&lt;&gt;"",IFERROR(VLOOKUP(Q25,PARTIDAS!A:P,15,FALSE()),0),0)</f>
        <v>9232.7119435940203</v>
      </c>
      <c r="I25" s="57">
        <f t="shared" si="8"/>
        <v>624746.8415165284</v>
      </c>
      <c r="J25" s="58">
        <f t="shared" si="9"/>
        <v>4318447.8667305838</v>
      </c>
      <c r="K25" s="59">
        <f t="shared" si="10"/>
        <v>2452207.558571694</v>
      </c>
      <c r="L25" s="59">
        <f t="shared" si="11"/>
        <v>101559.83137953423</v>
      </c>
      <c r="M25" s="60">
        <f t="shared" si="12"/>
        <v>6872215.256681812</v>
      </c>
      <c r="N25" s="61">
        <f t="shared" si="13"/>
        <v>6872215.256681812</v>
      </c>
      <c r="O25" s="62"/>
      <c r="P25" s="59"/>
      <c r="Q25" s="63" t="s">
        <v>70</v>
      </c>
      <c r="R25" s="63">
        <v>1</v>
      </c>
      <c r="S25" s="63" t="s">
        <v>28</v>
      </c>
      <c r="T25" s="63"/>
      <c r="U25" s="63"/>
      <c r="V25" s="59">
        <v>6872215.2566818204</v>
      </c>
      <c r="W25" s="59">
        <f t="shared" si="14"/>
        <v>-8.3819031715393066E-9</v>
      </c>
      <c r="X25" s="30">
        <f t="shared" si="7"/>
        <v>-1.219679951583243E-15</v>
      </c>
    </row>
    <row r="26" spans="1:24" ht="14.25" customHeight="1" x14ac:dyDescent="0.3">
      <c r="A26" s="113">
        <v>3.07</v>
      </c>
      <c r="B26" s="114" t="s">
        <v>2004</v>
      </c>
      <c r="C26" s="114" t="s">
        <v>2016</v>
      </c>
      <c r="D26" s="114" t="s">
        <v>53</v>
      </c>
      <c r="E26" s="115">
        <v>9</v>
      </c>
      <c r="F26" s="64">
        <f>IF(Q26&lt;&gt;"",IFERROR(VLOOKUP(Q26,PARTIDAS!A:P,13,FALSE()),0),0)</f>
        <v>537813.28786424536</v>
      </c>
      <c r="G26" s="65">
        <f>IF(Q26&lt;&gt;"",IFERROR(VLOOKUP(Q26,PARTIDAS!A:P,14,FALSE()),0),0)</f>
        <v>323083.99981181801</v>
      </c>
      <c r="H26" s="65">
        <f>IF(Q26&lt;&gt;"",IFERROR(VLOOKUP(Q26,PARTIDAS!A:P,15,FALSE()),0),0)</f>
        <v>12913.459315141001</v>
      </c>
      <c r="I26" s="66">
        <f t="shared" si="8"/>
        <v>873810.74699120433</v>
      </c>
      <c r="J26" s="67">
        <f t="shared" si="9"/>
        <v>4840319.5907782083</v>
      </c>
      <c r="K26" s="68">
        <f t="shared" si="10"/>
        <v>2907755.998306362</v>
      </c>
      <c r="L26" s="68">
        <f t="shared" si="11"/>
        <v>116221.133836269</v>
      </c>
      <c r="M26" s="69">
        <f t="shared" si="12"/>
        <v>7864296.7229208387</v>
      </c>
      <c r="N26" s="70">
        <f t="shared" si="13"/>
        <v>7864296.7229208387</v>
      </c>
      <c r="O26" s="71"/>
      <c r="P26" s="68"/>
      <c r="Q26" s="72" t="s">
        <v>72</v>
      </c>
      <c r="R26" s="72">
        <v>1</v>
      </c>
      <c r="S26" s="72" t="s">
        <v>28</v>
      </c>
      <c r="T26" s="72"/>
      <c r="U26" s="72"/>
      <c r="V26" s="68">
        <v>7864296.7229208397</v>
      </c>
      <c r="W26" s="68">
        <f t="shared" si="14"/>
        <v>0</v>
      </c>
      <c r="X26" s="30">
        <f t="shared" si="7"/>
        <v>0</v>
      </c>
    </row>
    <row r="27" spans="1:24" ht="14.25" customHeight="1" x14ac:dyDescent="0.3">
      <c r="A27" s="110">
        <v>3.08</v>
      </c>
      <c r="B27" s="111" t="s">
        <v>2004</v>
      </c>
      <c r="C27" s="111" t="s">
        <v>73</v>
      </c>
      <c r="D27" s="111" t="s">
        <v>53</v>
      </c>
      <c r="E27" s="112">
        <v>9</v>
      </c>
      <c r="F27" s="55">
        <f>IF(Q27&lt;&gt;"",IFERROR(VLOOKUP(Q27,PARTIDAS!A:P,13,FALSE()),0),0)</f>
        <v>394401.88571428572</v>
      </c>
      <c r="G27" s="56">
        <f>IF(Q27&lt;&gt;"",IFERROR(VLOOKUP(Q27,PARTIDAS!A:P,14,FALSE()),0),0)</f>
        <v>392678.734102213</v>
      </c>
      <c r="H27" s="56">
        <f>IF(Q27&lt;&gt;"",IFERROR(VLOOKUP(Q27,PARTIDAS!A:P,15,FALSE()),0),0)</f>
        <v>11806.2092972475</v>
      </c>
      <c r="I27" s="57">
        <f t="shared" si="8"/>
        <v>798886.82911374618</v>
      </c>
      <c r="J27" s="58">
        <f t="shared" si="9"/>
        <v>3549616.9714285713</v>
      </c>
      <c r="K27" s="59">
        <f t="shared" si="10"/>
        <v>3534108.6069199168</v>
      </c>
      <c r="L27" s="59">
        <f t="shared" si="11"/>
        <v>106255.88367522749</v>
      </c>
      <c r="M27" s="60">
        <f t="shared" si="12"/>
        <v>7189981.4620237155</v>
      </c>
      <c r="N27" s="61">
        <f t="shared" si="13"/>
        <v>7189981.4620237155</v>
      </c>
      <c r="O27" s="62"/>
      <c r="P27" s="59"/>
      <c r="Q27" s="63" t="s">
        <v>74</v>
      </c>
      <c r="R27" s="63">
        <v>1</v>
      </c>
      <c r="S27" s="63" t="s">
        <v>28</v>
      </c>
      <c r="T27" s="63"/>
      <c r="U27" s="63"/>
      <c r="V27" s="59">
        <v>7189981.4620237099</v>
      </c>
      <c r="W27" s="59">
        <f t="shared" si="14"/>
        <v>0</v>
      </c>
      <c r="X27" s="30">
        <f t="shared" si="7"/>
        <v>0</v>
      </c>
    </row>
    <row r="28" spans="1:24" ht="14.25" customHeight="1" x14ac:dyDescent="0.3">
      <c r="A28" s="113">
        <v>3.09</v>
      </c>
      <c r="B28" s="114" t="s">
        <v>2004</v>
      </c>
      <c r="C28" s="114" t="s">
        <v>75</v>
      </c>
      <c r="D28" s="114" t="s">
        <v>53</v>
      </c>
      <c r="E28" s="115">
        <v>1</v>
      </c>
      <c r="F28" s="64">
        <f>IF(Q28&lt;&gt;"",IFERROR(VLOOKUP(Q28,PARTIDAS!A:P,13,FALSE()),0),0)</f>
        <v>542036.05081495701</v>
      </c>
      <c r="G28" s="65">
        <f>IF(Q28&lt;&gt;"",IFERROR(VLOOKUP(Q28,PARTIDAS!A:P,14,FALSE()),0),0)</f>
        <v>362209.60749629402</v>
      </c>
      <c r="H28" s="65">
        <f>IF(Q28&lt;&gt;"",IFERROR(VLOOKUP(Q28,PARTIDAS!A:P,15,FALSE()),0),0)</f>
        <v>13563.684874668799</v>
      </c>
      <c r="I28" s="66">
        <f t="shared" si="8"/>
        <v>917809.34318591992</v>
      </c>
      <c r="J28" s="67">
        <f t="shared" si="9"/>
        <v>542036.05081495701</v>
      </c>
      <c r="K28" s="68">
        <f t="shared" si="10"/>
        <v>362209.60749629402</v>
      </c>
      <c r="L28" s="68">
        <f t="shared" si="11"/>
        <v>13563.684874668799</v>
      </c>
      <c r="M28" s="69">
        <f t="shared" si="12"/>
        <v>917809.34318591992</v>
      </c>
      <c r="N28" s="70">
        <f t="shared" si="13"/>
        <v>917809.34318591992</v>
      </c>
      <c r="O28" s="71"/>
      <c r="P28" s="68"/>
      <c r="Q28" s="72" t="s">
        <v>76</v>
      </c>
      <c r="R28" s="72">
        <v>1</v>
      </c>
      <c r="S28" s="72" t="s">
        <v>28</v>
      </c>
      <c r="T28" s="72"/>
      <c r="U28" s="72"/>
      <c r="V28" s="68">
        <v>917809.34318592004</v>
      </c>
      <c r="W28" s="68">
        <f t="shared" si="14"/>
        <v>0</v>
      </c>
      <c r="X28" s="30">
        <f t="shared" si="7"/>
        <v>0</v>
      </c>
    </row>
    <row r="29" spans="1:24" ht="14.25" customHeight="1" x14ac:dyDescent="0.3">
      <c r="A29" s="110">
        <v>3.1</v>
      </c>
      <c r="B29" s="111" t="s">
        <v>2004</v>
      </c>
      <c r="C29" s="111" t="s">
        <v>77</v>
      </c>
      <c r="D29" s="111" t="s">
        <v>53</v>
      </c>
      <c r="E29" s="112">
        <v>32</v>
      </c>
      <c r="F29" s="55">
        <f>IF(Q29&lt;&gt;"",IFERROR(VLOOKUP(Q29,PARTIDAS!A:P,13,FALSE()),0),0)</f>
        <v>648356.05081495689</v>
      </c>
      <c r="G29" s="56">
        <f>IF(Q29&lt;&gt;"",IFERROR(VLOOKUP(Q29,PARTIDAS!A:P,14,FALSE()),0),0)</f>
        <v>362209.60749629402</v>
      </c>
      <c r="H29" s="56">
        <f>IF(Q29&lt;&gt;"",IFERROR(VLOOKUP(Q29,PARTIDAS!A:P,15,FALSE()),0),0)</f>
        <v>15158.4848746688</v>
      </c>
      <c r="I29" s="57">
        <f t="shared" si="8"/>
        <v>1025724.1431859196</v>
      </c>
      <c r="J29" s="58">
        <f t="shared" si="9"/>
        <v>20747393.626078621</v>
      </c>
      <c r="K29" s="59">
        <f t="shared" si="10"/>
        <v>11590707.439881409</v>
      </c>
      <c r="L29" s="59">
        <f t="shared" si="11"/>
        <v>485071.51598940161</v>
      </c>
      <c r="M29" s="60">
        <f t="shared" si="12"/>
        <v>32823172.581949428</v>
      </c>
      <c r="N29" s="61">
        <f t="shared" si="13"/>
        <v>32823172.581949428</v>
      </c>
      <c r="O29" s="62"/>
      <c r="P29" s="59"/>
      <c r="Q29" s="63" t="s">
        <v>78</v>
      </c>
      <c r="R29" s="63">
        <v>1</v>
      </c>
      <c r="S29" s="63" t="s">
        <v>28</v>
      </c>
      <c r="T29" s="63"/>
      <c r="U29" s="63"/>
      <c r="V29" s="59">
        <v>32823172.581949402</v>
      </c>
      <c r="W29" s="59">
        <f t="shared" si="14"/>
        <v>0</v>
      </c>
      <c r="X29" s="30">
        <f t="shared" si="7"/>
        <v>0</v>
      </c>
    </row>
    <row r="30" spans="1:24" ht="14.25" customHeight="1" x14ac:dyDescent="0.3">
      <c r="A30" s="113">
        <v>3.11</v>
      </c>
      <c r="B30" s="114" t="s">
        <v>2004</v>
      </c>
      <c r="C30" s="114" t="s">
        <v>79</v>
      </c>
      <c r="D30" s="114" t="s">
        <v>53</v>
      </c>
      <c r="E30" s="115">
        <v>30</v>
      </c>
      <c r="F30" s="64">
        <f>IF(Q30&lt;&gt;"",IFERROR(VLOOKUP(Q30,PARTIDAS!A:P,13,FALSE()),0),0)</f>
        <v>447561.88571428572</v>
      </c>
      <c r="G30" s="65">
        <f>IF(Q30&lt;&gt;"",IFERROR(VLOOKUP(Q30,PARTIDAS!A:P,14,FALSE()),0),0)</f>
        <v>392678.734102213</v>
      </c>
      <c r="H30" s="65">
        <f>IF(Q30&lt;&gt;"",IFERROR(VLOOKUP(Q30,PARTIDAS!A:P,15,FALSE()),0),0)</f>
        <v>12603.6092972475</v>
      </c>
      <c r="I30" s="66">
        <f t="shared" si="8"/>
        <v>852844.2291137462</v>
      </c>
      <c r="J30" s="67">
        <f t="shared" si="9"/>
        <v>13426856.571428571</v>
      </c>
      <c r="K30" s="68">
        <f t="shared" si="10"/>
        <v>11780362.02306639</v>
      </c>
      <c r="L30" s="68">
        <f t="shared" si="11"/>
        <v>378108.27891742502</v>
      </c>
      <c r="M30" s="69">
        <f t="shared" si="12"/>
        <v>25585326.873412386</v>
      </c>
      <c r="N30" s="70">
        <f t="shared" si="13"/>
        <v>25585326.873412386</v>
      </c>
      <c r="O30" s="71"/>
      <c r="P30" s="68"/>
      <c r="Q30" s="72" t="s">
        <v>80</v>
      </c>
      <c r="R30" s="72">
        <v>1</v>
      </c>
      <c r="S30" s="72" t="s">
        <v>28</v>
      </c>
      <c r="T30" s="72"/>
      <c r="U30" s="72"/>
      <c r="V30" s="68">
        <v>25585326.8734124</v>
      </c>
      <c r="W30" s="68">
        <f t="shared" si="14"/>
        <v>0</v>
      </c>
      <c r="X30" s="30">
        <f t="shared" si="7"/>
        <v>0</v>
      </c>
    </row>
    <row r="31" spans="1:24" ht="14.25" customHeight="1" x14ac:dyDescent="0.3">
      <c r="A31" s="110">
        <v>3.12</v>
      </c>
      <c r="B31" s="111" t="s">
        <v>2004</v>
      </c>
      <c r="C31" s="111" t="s">
        <v>81</v>
      </c>
      <c r="D31" s="111" t="s">
        <v>53</v>
      </c>
      <c r="E31" s="112">
        <v>7</v>
      </c>
      <c r="F31" s="55">
        <f>IF(Q31&lt;&gt;"",IFERROR(VLOOKUP(Q31,PARTIDAS!A:P,13,FALSE()),0),0)</f>
        <v>466389.29851905268</v>
      </c>
      <c r="G31" s="56">
        <f>IF(Q31&lt;&gt;"",IFERROR(VLOOKUP(Q31,PARTIDAS!A:P,14,FALSE()),0),0)</f>
        <v>786980.44420506305</v>
      </c>
      <c r="H31" s="56">
        <f>IF(Q31&lt;&gt;"",IFERROR(VLOOKUP(Q31,PARTIDAS!A:P,15,FALSE()),0),0)</f>
        <v>18800.546137111702</v>
      </c>
      <c r="I31" s="57">
        <f t="shared" si="8"/>
        <v>1272170.2888612275</v>
      </c>
      <c r="J31" s="58">
        <f t="shared" si="9"/>
        <v>3264725.0896333689</v>
      </c>
      <c r="K31" s="59">
        <f t="shared" si="10"/>
        <v>5508863.109435441</v>
      </c>
      <c r="L31" s="59">
        <f t="shared" si="11"/>
        <v>131603.82295978192</v>
      </c>
      <c r="M31" s="60">
        <f t="shared" si="12"/>
        <v>8905192.0220285915</v>
      </c>
      <c r="N31" s="61">
        <f t="shared" si="13"/>
        <v>8905192.0220285915</v>
      </c>
      <c r="O31" s="62"/>
      <c r="P31" s="59"/>
      <c r="Q31" s="63" t="s">
        <v>82</v>
      </c>
      <c r="R31" s="63">
        <v>1</v>
      </c>
      <c r="S31" s="63" t="s">
        <v>28</v>
      </c>
      <c r="T31" s="63"/>
      <c r="U31" s="63"/>
      <c r="V31" s="59">
        <v>8905192.0202785898</v>
      </c>
      <c r="W31" s="59">
        <f t="shared" si="14"/>
        <v>1.7500016838312149E-3</v>
      </c>
      <c r="X31" s="30">
        <f t="shared" si="7"/>
        <v>1.9651476125906917E-10</v>
      </c>
    </row>
    <row r="32" spans="1:24" ht="14.25" customHeight="1" x14ac:dyDescent="0.3">
      <c r="A32" s="113">
        <v>3.13</v>
      </c>
      <c r="B32" s="114" t="s">
        <v>2004</v>
      </c>
      <c r="C32" s="114" t="s">
        <v>83</v>
      </c>
      <c r="D32" s="114" t="s">
        <v>53</v>
      </c>
      <c r="E32" s="115">
        <v>12</v>
      </c>
      <c r="F32" s="64">
        <f>IF(Q32&lt;&gt;"",IFERROR(VLOOKUP(Q32,PARTIDAS!A:P,13,FALSE()),0),0)</f>
        <v>578369.50878875039</v>
      </c>
      <c r="G32" s="65">
        <f>IF(Q32&lt;&gt;"",IFERROR(VLOOKUP(Q32,PARTIDAS!A:P,14,FALSE()),0),0)</f>
        <v>786980.44420506305</v>
      </c>
      <c r="H32" s="65">
        <f>IF(Q32&lt;&gt;"",IFERROR(VLOOKUP(Q32,PARTIDAS!A:P,15,FALSE()),0),0)</f>
        <v>20480.249291157201</v>
      </c>
      <c r="I32" s="66">
        <f t="shared" si="8"/>
        <v>1385830.2022849706</v>
      </c>
      <c r="J32" s="67">
        <f t="shared" si="9"/>
        <v>6940434.1054650042</v>
      </c>
      <c r="K32" s="68">
        <f t="shared" si="10"/>
        <v>9443765.330460757</v>
      </c>
      <c r="L32" s="68">
        <f t="shared" si="11"/>
        <v>245762.99149388639</v>
      </c>
      <c r="M32" s="69">
        <f t="shared" si="12"/>
        <v>16629962.427419648</v>
      </c>
      <c r="N32" s="70">
        <f t="shared" si="13"/>
        <v>16629962.427419648</v>
      </c>
      <c r="O32" s="71"/>
      <c r="P32" s="68"/>
      <c r="Q32" s="72" t="s">
        <v>84</v>
      </c>
      <c r="R32" s="72">
        <v>1</v>
      </c>
      <c r="S32" s="72" t="s">
        <v>28</v>
      </c>
      <c r="T32" s="72"/>
      <c r="U32" s="72"/>
      <c r="V32" s="68">
        <v>16629962.424419601</v>
      </c>
      <c r="W32" s="68">
        <f t="shared" si="14"/>
        <v>3.0000470578670502E-3</v>
      </c>
      <c r="X32" s="30">
        <f t="shared" si="7"/>
        <v>1.8040011043330752E-10</v>
      </c>
    </row>
    <row r="33" spans="1:24" ht="14.25" customHeight="1" x14ac:dyDescent="0.3">
      <c r="A33" s="110">
        <v>3.14</v>
      </c>
      <c r="B33" s="111" t="s">
        <v>2004</v>
      </c>
      <c r="C33" s="111" t="s">
        <v>85</v>
      </c>
      <c r="D33" s="111" t="s">
        <v>53</v>
      </c>
      <c r="E33" s="112">
        <v>41</v>
      </c>
      <c r="F33" s="55">
        <f>IF(Q33&lt;&gt;"",IFERROR(VLOOKUP(Q33,PARTIDAS!A:P,13,FALSE()),0),0)</f>
        <v>472049.50878875039</v>
      </c>
      <c r="G33" s="56">
        <f>IF(Q33&lt;&gt;"",IFERROR(VLOOKUP(Q33,PARTIDAS!A:P,14,FALSE()),0),0)</f>
        <v>629584.35516405001</v>
      </c>
      <c r="H33" s="56">
        <f>IF(Q33&lt;&gt;"",IFERROR(VLOOKUP(Q33,PARTIDAS!A:P,15,FALSE()),0),0)</f>
        <v>16524.507959292001</v>
      </c>
      <c r="I33" s="57">
        <f t="shared" si="8"/>
        <v>1118158.3719120924</v>
      </c>
      <c r="J33" s="58">
        <f t="shared" si="9"/>
        <v>19354029.860338766</v>
      </c>
      <c r="K33" s="59">
        <f t="shared" si="10"/>
        <v>25812958.561726049</v>
      </c>
      <c r="L33" s="59">
        <f t="shared" si="11"/>
        <v>677504.82633097202</v>
      </c>
      <c r="M33" s="60">
        <f t="shared" si="12"/>
        <v>45844493.248395793</v>
      </c>
      <c r="N33" s="61">
        <f t="shared" si="13"/>
        <v>45844493.248395793</v>
      </c>
      <c r="O33" s="62"/>
      <c r="P33" s="59"/>
      <c r="Q33" s="63" t="s">
        <v>86</v>
      </c>
      <c r="R33" s="63">
        <v>1</v>
      </c>
      <c r="S33" s="63" t="s">
        <v>28</v>
      </c>
      <c r="T33" s="63"/>
      <c r="U33" s="63"/>
      <c r="V33" s="59">
        <v>45844493.248395801</v>
      </c>
      <c r="W33" s="59">
        <f t="shared" si="14"/>
        <v>0</v>
      </c>
      <c r="X33" s="30">
        <f t="shared" si="7"/>
        <v>0</v>
      </c>
    </row>
    <row r="34" spans="1:24" ht="14.25" customHeight="1" x14ac:dyDescent="0.3">
      <c r="A34" s="113">
        <v>3.15</v>
      </c>
      <c r="B34" s="114" t="s">
        <v>2004</v>
      </c>
      <c r="C34" s="114" t="s">
        <v>87</v>
      </c>
      <c r="D34" s="114" t="s">
        <v>53</v>
      </c>
      <c r="E34" s="115">
        <v>135</v>
      </c>
      <c r="F34" s="64">
        <f>IF(Q34&lt;&gt;"",IFERROR(VLOOKUP(Q34,PARTIDAS!A:P,13,FALSE()),0),0)</f>
        <v>361563.22243528278</v>
      </c>
      <c r="G34" s="65">
        <f>IF(Q34&lt;&gt;"",IFERROR(VLOOKUP(Q34,PARTIDAS!A:P,14,FALSE()),0),0)</f>
        <v>253632.45059711899</v>
      </c>
      <c r="H34" s="65">
        <f>IF(Q34&lt;&gt;"",IFERROR(VLOOKUP(Q34,PARTIDAS!A:P,15,FALSE()),0),0)</f>
        <v>9227.9350954860201</v>
      </c>
      <c r="I34" s="66">
        <f t="shared" si="8"/>
        <v>624423.60812788783</v>
      </c>
      <c r="J34" s="67">
        <f t="shared" si="9"/>
        <v>48811035.028763175</v>
      </c>
      <c r="K34" s="68">
        <f t="shared" si="10"/>
        <v>34240380.830611065</v>
      </c>
      <c r="L34" s="68">
        <f t="shared" si="11"/>
        <v>1245771.2378906128</v>
      </c>
      <c r="M34" s="69">
        <f t="shared" si="12"/>
        <v>84297187.097264856</v>
      </c>
      <c r="N34" s="70">
        <f t="shared" si="13"/>
        <v>84297187.097264856</v>
      </c>
      <c r="O34" s="71"/>
      <c r="P34" s="68"/>
      <c r="Q34" s="72" t="s">
        <v>88</v>
      </c>
      <c r="R34" s="72">
        <v>1</v>
      </c>
      <c r="S34" s="72" t="s">
        <v>28</v>
      </c>
      <c r="T34" s="72"/>
      <c r="U34" s="72"/>
      <c r="V34" s="68">
        <v>84297187.097264796</v>
      </c>
      <c r="W34" s="68">
        <f t="shared" si="14"/>
        <v>0</v>
      </c>
      <c r="X34" s="30">
        <f t="shared" si="7"/>
        <v>0</v>
      </c>
    </row>
    <row r="35" spans="1:24" ht="14.25" customHeight="1" x14ac:dyDescent="0.3">
      <c r="A35" s="110">
        <v>3.16</v>
      </c>
      <c r="B35" s="111" t="s">
        <v>2004</v>
      </c>
      <c r="C35" s="111" t="s">
        <v>89</v>
      </c>
      <c r="D35" s="111" t="s">
        <v>53</v>
      </c>
      <c r="E35" s="112">
        <v>13</v>
      </c>
      <c r="F35" s="55">
        <f>IF(Q35&lt;&gt;"",IFERROR(VLOOKUP(Q35,PARTIDAS!A:P,13,FALSE()),0),0)</f>
        <v>367994.55172222527</v>
      </c>
      <c r="G35" s="56">
        <f>IF(Q35&lt;&gt;"",IFERROR(VLOOKUP(Q35,PARTIDAS!A:P,14,FALSE()),0),0)</f>
        <v>317040.56324639881</v>
      </c>
      <c r="H35" s="56">
        <f>IF(Q35&lt;&gt;"",IFERROR(VLOOKUP(Q35,PARTIDAS!A:P,15,FALSE()),0),0)</f>
        <v>10275.5267245294</v>
      </c>
      <c r="I35" s="57">
        <f t="shared" si="8"/>
        <v>695310.64169315354</v>
      </c>
      <c r="J35" s="58">
        <f t="shared" si="9"/>
        <v>4783929.172388928</v>
      </c>
      <c r="K35" s="59">
        <f t="shared" si="10"/>
        <v>4121527.3222031845</v>
      </c>
      <c r="L35" s="59">
        <f t="shared" si="11"/>
        <v>133581.84741888219</v>
      </c>
      <c r="M35" s="60">
        <f t="shared" si="12"/>
        <v>9039038.3420109954</v>
      </c>
      <c r="N35" s="61">
        <f t="shared" si="13"/>
        <v>9039038.3420109954</v>
      </c>
      <c r="O35" s="62"/>
      <c r="P35" s="59"/>
      <c r="Q35" s="63" t="s">
        <v>90</v>
      </c>
      <c r="R35" s="63">
        <v>1</v>
      </c>
      <c r="S35" s="63" t="s">
        <v>28</v>
      </c>
      <c r="T35" s="63"/>
      <c r="U35" s="63"/>
      <c r="V35" s="59">
        <v>9039038.3420109898</v>
      </c>
      <c r="W35" s="59">
        <f t="shared" si="14"/>
        <v>0</v>
      </c>
      <c r="X35" s="30">
        <f t="shared" si="7"/>
        <v>0</v>
      </c>
    </row>
    <row r="36" spans="1:24" ht="14.25" customHeight="1" x14ac:dyDescent="0.3">
      <c r="A36" s="113">
        <v>3.17</v>
      </c>
      <c r="B36" s="114" t="s">
        <v>2004</v>
      </c>
      <c r="C36" s="114" t="s">
        <v>91</v>
      </c>
      <c r="D36" s="114" t="s">
        <v>53</v>
      </c>
      <c r="E36" s="115">
        <v>14</v>
      </c>
      <c r="F36" s="64">
        <f>IF(Q36&lt;&gt;"",IFERROR(VLOOKUP(Q36,PARTIDAS!A:P,13,FALSE()),0),0)</f>
        <v>404870.23328859062</v>
      </c>
      <c r="G36" s="65">
        <f>IF(Q36&lt;&gt;"",IFERROR(VLOOKUP(Q36,PARTIDAS!A:P,14,FALSE()),0),0)</f>
        <v>370454.15079626901</v>
      </c>
      <c r="H36" s="65">
        <f>IF(Q36&lt;&gt;"",IFERROR(VLOOKUP(Q36,PARTIDAS!A:P,15,FALSE()),0),0)</f>
        <v>11629.8657612729</v>
      </c>
      <c r="I36" s="66">
        <f t="shared" si="8"/>
        <v>786954.24984613247</v>
      </c>
      <c r="J36" s="67">
        <f t="shared" si="9"/>
        <v>5668183.2660402684</v>
      </c>
      <c r="K36" s="68">
        <f t="shared" si="10"/>
        <v>5186358.111147766</v>
      </c>
      <c r="L36" s="68">
        <f t="shared" si="11"/>
        <v>162818.1206578206</v>
      </c>
      <c r="M36" s="69">
        <f t="shared" si="12"/>
        <v>11017359.497845855</v>
      </c>
      <c r="N36" s="70">
        <f t="shared" si="13"/>
        <v>11017359.497845855</v>
      </c>
      <c r="O36" s="71"/>
      <c r="P36" s="68"/>
      <c r="Q36" s="72" t="s">
        <v>92</v>
      </c>
      <c r="R36" s="72">
        <v>1</v>
      </c>
      <c r="S36" s="72" t="s">
        <v>28</v>
      </c>
      <c r="T36" s="72"/>
      <c r="U36" s="72"/>
      <c r="V36" s="68">
        <v>11017359.497845899</v>
      </c>
      <c r="W36" s="68">
        <f t="shared" si="14"/>
        <v>-4.4703483581542969E-8</v>
      </c>
      <c r="X36" s="30">
        <f t="shared" si="7"/>
        <v>-4.0575496869538782E-15</v>
      </c>
    </row>
    <row r="37" spans="1:24" ht="14.25" customHeight="1" x14ac:dyDescent="0.3">
      <c r="A37" s="110">
        <v>3.18</v>
      </c>
      <c r="B37" s="111" t="s">
        <v>2004</v>
      </c>
      <c r="C37" s="111" t="s">
        <v>93</v>
      </c>
      <c r="D37" s="111" t="s">
        <v>53</v>
      </c>
      <c r="E37" s="112">
        <v>2</v>
      </c>
      <c r="F37" s="55">
        <f>IF(Q37&lt;&gt;"",IFERROR(VLOOKUP(Q37,PARTIDAS!A:P,13,FALSE()),0),0)</f>
        <v>466389.29851905268</v>
      </c>
      <c r="G37" s="56">
        <f>IF(Q37&lt;&gt;"",IFERROR(VLOOKUP(Q37,PARTIDAS!A:P,14,FALSE()),0),0)</f>
        <v>786980.44420506305</v>
      </c>
      <c r="H37" s="56">
        <f>IF(Q37&lt;&gt;"",IFERROR(VLOOKUP(Q37,PARTIDAS!A:P,15,FALSE()),0),0)</f>
        <v>18800.546137111702</v>
      </c>
      <c r="I37" s="57">
        <f t="shared" si="8"/>
        <v>1272170.2888612275</v>
      </c>
      <c r="J37" s="58">
        <f t="shared" si="9"/>
        <v>932778.59703810536</v>
      </c>
      <c r="K37" s="59">
        <f t="shared" si="10"/>
        <v>1573960.8884101261</v>
      </c>
      <c r="L37" s="59">
        <f t="shared" si="11"/>
        <v>37601.092274223403</v>
      </c>
      <c r="M37" s="60">
        <f t="shared" si="12"/>
        <v>2544340.5777224549</v>
      </c>
      <c r="N37" s="61">
        <f t="shared" si="13"/>
        <v>2544340.5777224549</v>
      </c>
      <c r="O37" s="62"/>
      <c r="P37" s="59"/>
      <c r="Q37" s="63" t="s">
        <v>94</v>
      </c>
      <c r="R37" s="63">
        <v>1</v>
      </c>
      <c r="S37" s="63" t="s">
        <v>28</v>
      </c>
      <c r="T37" s="63"/>
      <c r="U37" s="63"/>
      <c r="V37" s="59">
        <v>2544340.5772224502</v>
      </c>
      <c r="W37" s="59">
        <f t="shared" si="14"/>
        <v>5.0000473856925964E-4</v>
      </c>
      <c r="X37" s="30">
        <f t="shared" si="7"/>
        <v>1.9651643457067915E-10</v>
      </c>
    </row>
    <row r="38" spans="1:24" ht="14.25" customHeight="1" x14ac:dyDescent="0.3">
      <c r="A38" s="113">
        <v>3.19</v>
      </c>
      <c r="B38" s="114" t="s">
        <v>2004</v>
      </c>
      <c r="C38" s="114" t="s">
        <v>95</v>
      </c>
      <c r="D38" s="114" t="s">
        <v>26</v>
      </c>
      <c r="E38" s="115">
        <v>1</v>
      </c>
      <c r="F38" s="64">
        <f>IF(Q38&lt;&gt;"",IFERROR(VLOOKUP(Q38,PARTIDAS!A:P,13,FALSE()),0),0)</f>
        <v>0</v>
      </c>
      <c r="G38" s="65">
        <f>IF(Q38&lt;&gt;"",IFERROR(VLOOKUP(Q38,PARTIDAS!A:P,14,FALSE()),0),0)</f>
        <v>0</v>
      </c>
      <c r="H38" s="65">
        <f>IF(Q38&lt;&gt;"",IFERROR(VLOOKUP(Q38,PARTIDAS!A:P,15,FALSE()),0),0)</f>
        <v>10584987.9932345</v>
      </c>
      <c r="I38" s="66">
        <f t="shared" si="8"/>
        <v>10584987.9932345</v>
      </c>
      <c r="J38" s="67">
        <f t="shared" si="9"/>
        <v>0</v>
      </c>
      <c r="K38" s="68">
        <f t="shared" si="10"/>
        <v>0</v>
      </c>
      <c r="L38" s="68">
        <f t="shared" si="11"/>
        <v>10584987.9932345</v>
      </c>
      <c r="M38" s="69">
        <f t="shared" si="12"/>
        <v>10584987.9932345</v>
      </c>
      <c r="N38" s="70">
        <f t="shared" si="13"/>
        <v>10584987.9932345</v>
      </c>
      <c r="O38" s="71"/>
      <c r="P38" s="68"/>
      <c r="Q38" s="72" t="s">
        <v>96</v>
      </c>
      <c r="R38" s="72">
        <v>1</v>
      </c>
      <c r="S38" s="72" t="s">
        <v>28</v>
      </c>
      <c r="T38" s="72"/>
      <c r="U38" s="72"/>
      <c r="V38" s="68">
        <v>10584987.9932345</v>
      </c>
      <c r="W38" s="68">
        <f t="shared" si="14"/>
        <v>0</v>
      </c>
      <c r="X38" s="30">
        <f t="shared" si="7"/>
        <v>0</v>
      </c>
    </row>
    <row r="39" spans="1:24" ht="14.25" customHeight="1" x14ac:dyDescent="0.3">
      <c r="A39" s="110">
        <v>3.2</v>
      </c>
      <c r="B39" s="111" t="s">
        <v>2004</v>
      </c>
      <c r="C39" s="111" t="s">
        <v>97</v>
      </c>
      <c r="D39" s="111" t="s">
        <v>98</v>
      </c>
      <c r="E39" s="112">
        <v>13</v>
      </c>
      <c r="F39" s="55">
        <f>IF(Q39&lt;&gt;"",IFERROR(VLOOKUP(Q39,PARTIDAS!A:P,13,FALSE()),0),0)</f>
        <v>0</v>
      </c>
      <c r="G39" s="56">
        <f>IF(Q39&lt;&gt;"",IFERROR(VLOOKUP(Q39,PARTIDAS!A:P,14,FALSE()),0),0)</f>
        <v>246942.14876033101</v>
      </c>
      <c r="H39" s="56">
        <f>IF(Q39&lt;&gt;"",IFERROR(VLOOKUP(Q39,PARTIDAS!A:P,15,FALSE()),0),0)</f>
        <v>0</v>
      </c>
      <c r="I39" s="57">
        <f t="shared" si="8"/>
        <v>246942.14876033101</v>
      </c>
      <c r="J39" s="58">
        <f t="shared" si="9"/>
        <v>0</v>
      </c>
      <c r="K39" s="59">
        <f t="shared" si="10"/>
        <v>3210247.9338843031</v>
      </c>
      <c r="L39" s="59">
        <f t="shared" si="11"/>
        <v>0</v>
      </c>
      <c r="M39" s="60">
        <f t="shared" si="12"/>
        <v>3210247.9338843031</v>
      </c>
      <c r="N39" s="61">
        <f t="shared" si="13"/>
        <v>3210247.9338843031</v>
      </c>
      <c r="O39" s="62"/>
      <c r="P39" s="59"/>
      <c r="Q39" s="63" t="s">
        <v>99</v>
      </c>
      <c r="R39" s="63">
        <v>1</v>
      </c>
      <c r="S39" s="63" t="s">
        <v>28</v>
      </c>
      <c r="T39" s="63"/>
      <c r="U39" s="63"/>
      <c r="V39" s="59">
        <v>3210247.9338842998</v>
      </c>
      <c r="W39" s="59">
        <f t="shared" si="14"/>
        <v>0</v>
      </c>
      <c r="X39" s="30">
        <f t="shared" si="7"/>
        <v>0</v>
      </c>
    </row>
    <row r="40" spans="1:24" ht="14.25" customHeight="1" x14ac:dyDescent="0.3">
      <c r="A40" s="113">
        <v>3.21</v>
      </c>
      <c r="B40" s="114" t="s">
        <v>2004</v>
      </c>
      <c r="C40" s="114" t="s">
        <v>100</v>
      </c>
      <c r="D40" s="114" t="s">
        <v>26</v>
      </c>
      <c r="E40" s="115">
        <v>3</v>
      </c>
      <c r="F40" s="64">
        <f>IF(Q40&lt;&gt;"",IFERROR(VLOOKUP(Q40,PARTIDAS!A:P,13,FALSE()),0),0)</f>
        <v>55000</v>
      </c>
      <c r="G40" s="65">
        <f>IF(Q40&lt;&gt;"",IFERROR(VLOOKUP(Q40,PARTIDAS!A:P,14,FALSE()),0),0)</f>
        <v>0</v>
      </c>
      <c r="H40" s="65">
        <f>IF(Q40&lt;&gt;"",IFERROR(VLOOKUP(Q40,PARTIDAS!A:P,15,FALSE()),0),0)</f>
        <v>0</v>
      </c>
      <c r="I40" s="66">
        <f t="shared" si="8"/>
        <v>55000</v>
      </c>
      <c r="J40" s="67">
        <f t="shared" si="9"/>
        <v>165000</v>
      </c>
      <c r="K40" s="68">
        <f t="shared" si="10"/>
        <v>0</v>
      </c>
      <c r="L40" s="68">
        <f t="shared" si="11"/>
        <v>0</v>
      </c>
      <c r="M40" s="69">
        <f t="shared" si="12"/>
        <v>165000</v>
      </c>
      <c r="N40" s="70">
        <f t="shared" si="13"/>
        <v>165000</v>
      </c>
      <c r="O40" s="71"/>
      <c r="P40" s="68"/>
      <c r="Q40" s="72" t="s">
        <v>101</v>
      </c>
      <c r="R40" s="72">
        <v>1</v>
      </c>
      <c r="S40" s="72" t="s">
        <v>28</v>
      </c>
      <c r="T40" s="72"/>
      <c r="U40" s="72"/>
      <c r="V40" s="68">
        <v>165000</v>
      </c>
      <c r="W40" s="68">
        <f t="shared" si="14"/>
        <v>0</v>
      </c>
      <c r="X40" s="30">
        <f t="shared" si="7"/>
        <v>0</v>
      </c>
    </row>
    <row r="41" spans="1:24" ht="14.25" customHeight="1" x14ac:dyDescent="0.3">
      <c r="A41" s="110">
        <v>3.22</v>
      </c>
      <c r="B41" s="111" t="s">
        <v>2004</v>
      </c>
      <c r="C41" s="111" t="s">
        <v>102</v>
      </c>
      <c r="D41" s="111" t="s">
        <v>50</v>
      </c>
      <c r="E41" s="112">
        <v>65</v>
      </c>
      <c r="F41" s="55">
        <f>IF(Q41&lt;&gt;"",IFERROR(VLOOKUP(Q41,PARTIDAS!A:P,13,FALSE()),0),0)</f>
        <v>9230.7846150000005</v>
      </c>
      <c r="G41" s="56">
        <f>IF(Q41&lt;&gt;"",IFERROR(VLOOKUP(Q41,PARTIDAS!A:P,14,FALSE()),0),0)</f>
        <v>20224.016520282959</v>
      </c>
      <c r="H41" s="56">
        <f>IF(Q41&lt;&gt;"",IFERROR(VLOOKUP(Q41,PARTIDAS!A:P,15,FALSE()),0),0)</f>
        <v>441.82178367244802</v>
      </c>
      <c r="I41" s="57">
        <f t="shared" si="8"/>
        <v>29896.622918955407</v>
      </c>
      <c r="J41" s="58">
        <f t="shared" si="9"/>
        <v>600000.99997500004</v>
      </c>
      <c r="K41" s="59">
        <f t="shared" si="10"/>
        <v>1314561.0738183924</v>
      </c>
      <c r="L41" s="59">
        <f t="shared" si="11"/>
        <v>28718.41593870912</v>
      </c>
      <c r="M41" s="60">
        <f t="shared" si="12"/>
        <v>1943280.4897321016</v>
      </c>
      <c r="N41" s="61">
        <f t="shared" si="13"/>
        <v>1943280.4897321016</v>
      </c>
      <c r="O41" s="62"/>
      <c r="P41" s="59"/>
      <c r="Q41" s="63" t="s">
        <v>103</v>
      </c>
      <c r="R41" s="63">
        <v>1</v>
      </c>
      <c r="S41" s="63" t="s">
        <v>32</v>
      </c>
      <c r="T41" s="63"/>
      <c r="U41" s="63"/>
      <c r="V41" s="59">
        <v>1943279.47851932</v>
      </c>
      <c r="W41" s="59">
        <f t="shared" si="14"/>
        <v>1.0112127815373242</v>
      </c>
      <c r="X41" s="30">
        <f t="shared" si="7"/>
        <v>5.2036405093302221E-7</v>
      </c>
    </row>
    <row r="42" spans="1:24" ht="14.25" customHeight="1" x14ac:dyDescent="0.3">
      <c r="A42" s="108">
        <v>4</v>
      </c>
      <c r="B42" s="108"/>
      <c r="C42" s="108" t="s">
        <v>2017</v>
      </c>
      <c r="D42" s="108"/>
      <c r="E42" s="109"/>
      <c r="F42" s="73"/>
      <c r="G42" s="74"/>
      <c r="H42" s="74"/>
      <c r="I42" s="75"/>
      <c r="J42" s="76"/>
      <c r="K42" s="54"/>
      <c r="L42" s="54"/>
      <c r="M42" s="77"/>
      <c r="N42" s="78"/>
      <c r="O42" s="53">
        <f>SUM(M43:M48)</f>
        <v>59733620.48813533</v>
      </c>
      <c r="P42" s="54">
        <f>SUM(N43:N48)</f>
        <v>59733620.48813533</v>
      </c>
      <c r="Q42" s="46"/>
      <c r="R42" s="46"/>
      <c r="S42" s="46"/>
      <c r="T42" s="46"/>
      <c r="U42" s="46"/>
      <c r="V42" s="54"/>
      <c r="W42" s="54"/>
      <c r="X42" s="30">
        <f t="shared" si="7"/>
        <v>0</v>
      </c>
    </row>
    <row r="43" spans="1:24" ht="14.25" customHeight="1" x14ac:dyDescent="0.3">
      <c r="A43" s="110">
        <v>4.01</v>
      </c>
      <c r="B43" s="111" t="s">
        <v>2017</v>
      </c>
      <c r="C43" s="111" t="s">
        <v>104</v>
      </c>
      <c r="D43" s="111" t="s">
        <v>50</v>
      </c>
      <c r="E43" s="112">
        <v>437</v>
      </c>
      <c r="F43" s="55">
        <f>IF(Q43&lt;&gt;"",IFERROR(VLOOKUP(Q43,PARTIDAS!A:P,13,FALSE()),0),0)</f>
        <v>10053.788125999999</v>
      </c>
      <c r="G43" s="56">
        <f>IF(Q43&lt;&gt;"",IFERROR(VLOOKUP(Q43,PARTIDAS!A:P,14,FALSE()),0),0)</f>
        <v>10761.175782920434</v>
      </c>
      <c r="H43" s="56">
        <f>IF(Q43&lt;&gt;"",IFERROR(VLOOKUP(Q43,PARTIDAS!A:P,15,FALSE()),0),0)</f>
        <v>255.78052240790086</v>
      </c>
      <c r="I43" s="57">
        <f t="shared" ref="I43:I48" si="15">F43+G43+H43</f>
        <v>21070.744431328338</v>
      </c>
      <c r="J43" s="58">
        <f t="shared" ref="J43:J48" si="16">F43*E43</f>
        <v>4393505.4110619994</v>
      </c>
      <c r="K43" s="59">
        <f t="shared" ref="K43:K48" si="17">G43*E43</f>
        <v>4702633.8171362299</v>
      </c>
      <c r="L43" s="59">
        <f t="shared" ref="L43:L48" si="18">H43*E43</f>
        <v>111776.08829225268</v>
      </c>
      <c r="M43" s="60">
        <f t="shared" ref="M43:M48" si="19">I43*E43</f>
        <v>9207915.3164904844</v>
      </c>
      <c r="N43" s="61">
        <f t="shared" ref="N43:N48" si="20">M43*$N$2</f>
        <v>9207915.3164904844</v>
      </c>
      <c r="O43" s="62"/>
      <c r="P43" s="59"/>
      <c r="Q43" s="63" t="s">
        <v>105</v>
      </c>
      <c r="R43" s="63">
        <v>1</v>
      </c>
      <c r="S43" s="63" t="s">
        <v>106</v>
      </c>
      <c r="T43" s="63"/>
      <c r="U43" s="63"/>
      <c r="V43" s="59">
        <v>9207915.3100262899</v>
      </c>
      <c r="W43" s="59">
        <f t="shared" ref="W43:W48" si="21">M43-V43</f>
        <v>6.4641945064067841E-3</v>
      </c>
      <c r="X43" s="30">
        <f t="shared" si="7"/>
        <v>7.0202584284936567E-10</v>
      </c>
    </row>
    <row r="44" spans="1:24" ht="14.25" customHeight="1" x14ac:dyDescent="0.3">
      <c r="A44" s="113">
        <v>4.0199999999999996</v>
      </c>
      <c r="B44" s="114" t="s">
        <v>2017</v>
      </c>
      <c r="C44" s="114" t="s">
        <v>107</v>
      </c>
      <c r="D44" s="114" t="s">
        <v>50</v>
      </c>
      <c r="E44" s="115">
        <v>723</v>
      </c>
      <c r="F44" s="64">
        <f>IF(Q44&lt;&gt;"",IFERROR(VLOOKUP(Q44,PARTIDAS!A:P,13,FALSE()),0),0)</f>
        <v>18207.260483999999</v>
      </c>
      <c r="G44" s="65">
        <f>IF(Q44&lt;&gt;"",IFERROR(VLOOKUP(Q44,PARTIDAS!A:P,14,FALSE()),0),0)</f>
        <v>10761.175782920434</v>
      </c>
      <c r="H44" s="65">
        <f>IF(Q44&lt;&gt;"",IFERROR(VLOOKUP(Q44,PARTIDAS!A:P,15,FALSE()),0),0)</f>
        <v>255.78052240790086</v>
      </c>
      <c r="I44" s="66">
        <f t="shared" si="15"/>
        <v>29224.216789328337</v>
      </c>
      <c r="J44" s="67">
        <f t="shared" si="16"/>
        <v>13163849.329931999</v>
      </c>
      <c r="K44" s="68">
        <f t="shared" si="17"/>
        <v>7780330.0910514742</v>
      </c>
      <c r="L44" s="68">
        <f t="shared" si="18"/>
        <v>184929.31770091233</v>
      </c>
      <c r="M44" s="69">
        <f t="shared" si="19"/>
        <v>21129108.738684386</v>
      </c>
      <c r="N44" s="70">
        <f t="shared" si="20"/>
        <v>21129108.738684386</v>
      </c>
      <c r="O44" s="71"/>
      <c r="P44" s="68"/>
      <c r="Q44" s="72" t="s">
        <v>108</v>
      </c>
      <c r="R44" s="72">
        <v>1</v>
      </c>
      <c r="S44" s="72" t="s">
        <v>109</v>
      </c>
      <c r="T44" s="72"/>
      <c r="U44" s="72"/>
      <c r="V44" s="68">
        <v>21129108.7149087</v>
      </c>
      <c r="W44" s="68">
        <f t="shared" si="21"/>
        <v>2.3775685578584671E-2</v>
      </c>
      <c r="X44" s="30">
        <f t="shared" si="7"/>
        <v>1.1252573830437318E-9</v>
      </c>
    </row>
    <row r="45" spans="1:24" ht="14.25" customHeight="1" x14ac:dyDescent="0.3">
      <c r="A45" s="110">
        <v>4.03</v>
      </c>
      <c r="B45" s="111" t="s">
        <v>2017</v>
      </c>
      <c r="C45" s="111" t="s">
        <v>2018</v>
      </c>
      <c r="D45" s="111" t="s">
        <v>50</v>
      </c>
      <c r="E45" s="112">
        <v>1008</v>
      </c>
      <c r="F45" s="55">
        <f>IF(Q45&lt;&gt;"",IFERROR(VLOOKUP(Q45,PARTIDAS!A:P,13,FALSE()),0),0)</f>
        <v>12465.047584000004</v>
      </c>
      <c r="G45" s="56">
        <f>IF(Q45&lt;&gt;"",IFERROR(VLOOKUP(Q45,PARTIDAS!A:P,14,FALSE()),0),0)</f>
        <v>10761.175782920434</v>
      </c>
      <c r="H45" s="56">
        <f>IF(Q45&lt;&gt;"",IFERROR(VLOOKUP(Q45,PARTIDAS!A:P,15,FALSE()),0),0)</f>
        <v>255.78052240790086</v>
      </c>
      <c r="I45" s="57">
        <f t="shared" si="15"/>
        <v>23482.003889328338</v>
      </c>
      <c r="J45" s="58">
        <f t="shared" si="16"/>
        <v>12564767.964672003</v>
      </c>
      <c r="K45" s="59">
        <f t="shared" si="17"/>
        <v>10847265.189183798</v>
      </c>
      <c r="L45" s="59">
        <f t="shared" si="18"/>
        <v>257826.76658716408</v>
      </c>
      <c r="M45" s="60">
        <f t="shared" si="19"/>
        <v>23669859.920442965</v>
      </c>
      <c r="N45" s="61">
        <f t="shared" si="20"/>
        <v>23669859.920442965</v>
      </c>
      <c r="O45" s="62"/>
      <c r="P45" s="59"/>
      <c r="Q45" s="63" t="s">
        <v>111</v>
      </c>
      <c r="R45" s="63">
        <v>1</v>
      </c>
      <c r="S45" s="63" t="s">
        <v>112</v>
      </c>
      <c r="T45" s="63"/>
      <c r="U45" s="63"/>
      <c r="V45" s="59">
        <v>23669849.840443</v>
      </c>
      <c r="W45" s="59">
        <f t="shared" si="21"/>
        <v>10.079999964684248</v>
      </c>
      <c r="X45" s="30">
        <f t="shared" si="7"/>
        <v>4.2585821340789682E-7</v>
      </c>
    </row>
    <row r="46" spans="1:24" ht="14.25" customHeight="1" x14ac:dyDescent="0.3">
      <c r="A46" s="113">
        <v>4.04</v>
      </c>
      <c r="B46" s="114" t="s">
        <v>2017</v>
      </c>
      <c r="C46" s="114" t="s">
        <v>113</v>
      </c>
      <c r="D46" s="114" t="s">
        <v>50</v>
      </c>
      <c r="E46" s="115">
        <v>199</v>
      </c>
      <c r="F46" s="64">
        <f>IF(Q46&lt;&gt;"",IFERROR(VLOOKUP(Q46,PARTIDAS!A:P,13,FALSE()),0),0)</f>
        <v>6069.2195661000014</v>
      </c>
      <c r="G46" s="65">
        <f>IF(Q46&lt;&gt;"",IFERROR(VLOOKUP(Q46,PARTIDAS!A:P,14,FALSE()),0),0)</f>
        <v>5380.5878914602172</v>
      </c>
      <c r="H46" s="65">
        <f>IF(Q46&lt;&gt;"",IFERROR(VLOOKUP(Q46,PARTIDAS!A:P,15,FALSE()),0),0)</f>
        <v>255.78052240790086</v>
      </c>
      <c r="I46" s="66">
        <f t="shared" si="15"/>
        <v>11705.587979968119</v>
      </c>
      <c r="J46" s="67">
        <f t="shared" si="16"/>
        <v>1207774.6936539002</v>
      </c>
      <c r="K46" s="68">
        <f t="shared" si="17"/>
        <v>1070736.9904005833</v>
      </c>
      <c r="L46" s="68">
        <f t="shared" si="18"/>
        <v>50900.323959172274</v>
      </c>
      <c r="M46" s="69">
        <f t="shared" si="19"/>
        <v>2329412.0080136554</v>
      </c>
      <c r="N46" s="70">
        <f t="shared" si="20"/>
        <v>2329412.0080136554</v>
      </c>
      <c r="O46" s="71"/>
      <c r="P46" s="68"/>
      <c r="Q46" s="72" t="s">
        <v>114</v>
      </c>
      <c r="R46" s="72">
        <v>1</v>
      </c>
      <c r="S46" s="72" t="s">
        <v>106</v>
      </c>
      <c r="T46" s="72"/>
      <c r="U46" s="72"/>
      <c r="V46" s="68">
        <v>2329385.5909504001</v>
      </c>
      <c r="W46" s="68">
        <f t="shared" si="21"/>
        <v>26.417063255328685</v>
      </c>
      <c r="X46" s="30">
        <f t="shared" si="7"/>
        <v>1.1340785895627697E-5</v>
      </c>
    </row>
    <row r="47" spans="1:24" ht="14.25" customHeight="1" x14ac:dyDescent="0.3">
      <c r="A47" s="110">
        <v>4.05</v>
      </c>
      <c r="B47" s="111" t="s">
        <v>2017</v>
      </c>
      <c r="C47" s="111" t="s">
        <v>115</v>
      </c>
      <c r="D47" s="111" t="s">
        <v>50</v>
      </c>
      <c r="E47" s="112">
        <v>34</v>
      </c>
      <c r="F47" s="55">
        <f>IF(Q47&lt;&gt;"",IFERROR(VLOOKUP(Q47,PARTIDAS!A:P,13,FALSE()),0),0)</f>
        <v>28944.117259275001</v>
      </c>
      <c r="G47" s="56">
        <f>IF(Q47&lt;&gt;"",IFERROR(VLOOKUP(Q47,PARTIDAS!A:P,14,FALSE()),0),0)</f>
        <v>27718.212708188166</v>
      </c>
      <c r="H47" s="56">
        <f>IF(Q47&lt;&gt;"",IFERROR(VLOOKUP(Q47,PARTIDAS!A:P,15,FALSE()),0),0)</f>
        <v>441.15834230058925</v>
      </c>
      <c r="I47" s="57">
        <f t="shared" si="15"/>
        <v>57103.488309763758</v>
      </c>
      <c r="J47" s="58">
        <f t="shared" si="16"/>
        <v>984099.98681535001</v>
      </c>
      <c r="K47" s="59">
        <f t="shared" si="17"/>
        <v>942419.23207839765</v>
      </c>
      <c r="L47" s="59">
        <f t="shared" si="18"/>
        <v>14999.383638220035</v>
      </c>
      <c r="M47" s="60">
        <f t="shared" si="19"/>
        <v>1941518.6025319677</v>
      </c>
      <c r="N47" s="61">
        <f t="shared" si="20"/>
        <v>1941518.6025319677</v>
      </c>
      <c r="O47" s="62"/>
      <c r="P47" s="59"/>
      <c r="Q47" s="63" t="s">
        <v>116</v>
      </c>
      <c r="R47" s="63">
        <v>1</v>
      </c>
      <c r="S47" s="63" t="s">
        <v>117</v>
      </c>
      <c r="T47" s="63"/>
      <c r="U47" s="63"/>
      <c r="V47" s="59">
        <v>1941518.1872660399</v>
      </c>
      <c r="W47" s="59">
        <f t="shared" si="21"/>
        <v>0.41526592778973281</v>
      </c>
      <c r="X47" s="30">
        <f t="shared" si="7"/>
        <v>2.1388722007002775E-7</v>
      </c>
    </row>
    <row r="48" spans="1:24" ht="14.25" customHeight="1" x14ac:dyDescent="0.3">
      <c r="A48" s="113">
        <v>4.0599999999999996</v>
      </c>
      <c r="B48" s="114" t="s">
        <v>2017</v>
      </c>
      <c r="C48" s="114" t="s">
        <v>118</v>
      </c>
      <c r="D48" s="114" t="s">
        <v>36</v>
      </c>
      <c r="E48" s="115">
        <v>24</v>
      </c>
      <c r="F48" s="64">
        <f>IF(Q48&lt;&gt;"",IFERROR(VLOOKUP(Q48,PARTIDAS!A:P,13,FALSE()),0),0)</f>
        <v>23405.00333333333</v>
      </c>
      <c r="G48" s="65">
        <f>IF(Q48&lt;&gt;"",IFERROR(VLOOKUP(Q48,PARTIDAS!A:P,14,FALSE()),0),0)</f>
        <v>36357.143586693892</v>
      </c>
      <c r="H48" s="65">
        <f>IF(Q48&lt;&gt;"",IFERROR(VLOOKUP(Q48,PARTIDAS!A:P,15,FALSE()),0),0)</f>
        <v>896.43232880040898</v>
      </c>
      <c r="I48" s="66">
        <f t="shared" si="15"/>
        <v>60658.579248827635</v>
      </c>
      <c r="J48" s="67">
        <f t="shared" si="16"/>
        <v>561720.07999999996</v>
      </c>
      <c r="K48" s="68">
        <f t="shared" si="17"/>
        <v>872571.44608065346</v>
      </c>
      <c r="L48" s="68">
        <f t="shared" si="18"/>
        <v>21514.375891209816</v>
      </c>
      <c r="M48" s="69">
        <f t="shared" si="19"/>
        <v>1455805.9019718631</v>
      </c>
      <c r="N48" s="70">
        <f t="shared" si="20"/>
        <v>1455805.9019718631</v>
      </c>
      <c r="O48" s="71"/>
      <c r="P48" s="68"/>
      <c r="Q48" s="72" t="s">
        <v>119</v>
      </c>
      <c r="R48" s="72">
        <v>1</v>
      </c>
      <c r="S48" s="72" t="s">
        <v>32</v>
      </c>
      <c r="T48" s="72"/>
      <c r="U48" s="72"/>
      <c r="V48" s="68">
        <v>1455806.10197186</v>
      </c>
      <c r="W48" s="68">
        <f t="shared" si="21"/>
        <v>-0.1999999969266355</v>
      </c>
      <c r="X48" s="30">
        <f t="shared" si="7"/>
        <v>-1.3738093050698134E-7</v>
      </c>
    </row>
    <row r="49" spans="1:24" ht="14.25" customHeight="1" x14ac:dyDescent="0.3">
      <c r="A49" s="108">
        <v>5</v>
      </c>
      <c r="B49" s="108"/>
      <c r="C49" s="108" t="s">
        <v>2005</v>
      </c>
      <c r="D49" s="108"/>
      <c r="E49" s="109"/>
      <c r="F49" s="73"/>
      <c r="G49" s="74"/>
      <c r="H49" s="74"/>
      <c r="I49" s="75"/>
      <c r="J49" s="76"/>
      <c r="K49" s="54"/>
      <c r="L49" s="54"/>
      <c r="M49" s="77"/>
      <c r="N49" s="78"/>
      <c r="O49" s="53">
        <f>SUM(M50:M55)</f>
        <v>12211938.878884066</v>
      </c>
      <c r="P49" s="54">
        <f>SUM(N50:N55)</f>
        <v>12211938.878884066</v>
      </c>
      <c r="Q49" s="46"/>
      <c r="R49" s="46"/>
      <c r="S49" s="46"/>
      <c r="T49" s="46"/>
      <c r="U49" s="46"/>
      <c r="V49" s="54"/>
      <c r="W49" s="54"/>
      <c r="X49" s="30">
        <f t="shared" si="7"/>
        <v>0</v>
      </c>
    </row>
    <row r="50" spans="1:24" ht="14.25" customHeight="1" x14ac:dyDescent="0.3">
      <c r="A50" s="113">
        <v>5.01</v>
      </c>
      <c r="B50" s="114" t="s">
        <v>2005</v>
      </c>
      <c r="C50" s="114" t="s">
        <v>120</v>
      </c>
      <c r="D50" s="114" t="s">
        <v>50</v>
      </c>
      <c r="E50" s="115">
        <v>79</v>
      </c>
      <c r="F50" s="64">
        <f>IF(Q50&lt;&gt;"",IFERROR(VLOOKUP(Q50,PARTIDAS!A:P,13,FALSE()),0),0)</f>
        <v>11767.713955588051</v>
      </c>
      <c r="G50" s="65">
        <f>IF(Q50&lt;&gt;"",IFERROR(VLOOKUP(Q50,PARTIDAS!A:P,14,FALSE()),0),0)</f>
        <v>17247.086079764951</v>
      </c>
      <c r="H50" s="65">
        <f>IF(Q50&lt;&gt;"",IFERROR(VLOOKUP(Q50,PARTIDAS!A:P,15,FALSE()),0),0)</f>
        <v>34.976452245793837</v>
      </c>
      <c r="I50" s="66">
        <f t="shared" ref="I50:I55" si="22">F50+G50+H50</f>
        <v>29049.776487598796</v>
      </c>
      <c r="J50" s="67">
        <f t="shared" ref="J50:J55" si="23">F50*E50</f>
        <v>929649.40249145601</v>
      </c>
      <c r="K50" s="68">
        <f t="shared" ref="K50:K55" si="24">G50*E50</f>
        <v>1362519.8003014312</v>
      </c>
      <c r="L50" s="68">
        <f t="shared" ref="L50:L55" si="25">H50*E50</f>
        <v>2763.1397274177129</v>
      </c>
      <c r="M50" s="69">
        <f t="shared" ref="M50:M55" si="26">I50*E50</f>
        <v>2294932.342520305</v>
      </c>
      <c r="N50" s="70">
        <f t="shared" ref="N50:N55" si="27">M50*$N$2</f>
        <v>2294932.342520305</v>
      </c>
      <c r="O50" s="71"/>
      <c r="P50" s="68"/>
      <c r="Q50" s="72" t="s">
        <v>121</v>
      </c>
      <c r="R50" s="72">
        <v>1</v>
      </c>
      <c r="S50" s="72" t="s">
        <v>122</v>
      </c>
      <c r="T50" s="72"/>
      <c r="U50" s="72"/>
      <c r="V50" s="68">
        <v>2294931.6554464302</v>
      </c>
      <c r="W50" s="68">
        <f t="shared" ref="W50:W55" si="28">M50-V50</f>
        <v>0.68707387475296855</v>
      </c>
      <c r="X50" s="30">
        <f t="shared" si="7"/>
        <v>2.993875103523782E-7</v>
      </c>
    </row>
    <row r="51" spans="1:24" ht="14.25" customHeight="1" x14ac:dyDescent="0.3">
      <c r="A51" s="110">
        <v>5.0199999999999996</v>
      </c>
      <c r="B51" s="111" t="s">
        <v>2005</v>
      </c>
      <c r="C51" s="111" t="s">
        <v>123</v>
      </c>
      <c r="D51" s="111" t="s">
        <v>36</v>
      </c>
      <c r="E51" s="112">
        <v>113</v>
      </c>
      <c r="F51" s="55">
        <f>IF(Q51&lt;&gt;"",IFERROR(VLOOKUP(Q51,PARTIDAS!A:P,13,FALSE()),0),0)</f>
        <v>827.27861400000006</v>
      </c>
      <c r="G51" s="56">
        <f>IF(Q51&lt;&gt;"",IFERROR(VLOOKUP(Q51,PARTIDAS!A:P,14,FALSE()),0),0)</f>
        <v>4324.0477652730697</v>
      </c>
      <c r="H51" s="56">
        <f>IF(Q51&lt;&gt;"",IFERROR(VLOOKUP(Q51,PARTIDAS!A:P,15,FALSE()),0),0)</f>
        <v>137.02527986137548</v>
      </c>
      <c r="I51" s="57">
        <f t="shared" si="22"/>
        <v>5288.3516591344451</v>
      </c>
      <c r="J51" s="58">
        <f t="shared" si="23"/>
        <v>93482.483382000006</v>
      </c>
      <c r="K51" s="59">
        <f t="shared" si="24"/>
        <v>488617.39747585688</v>
      </c>
      <c r="L51" s="59">
        <f t="shared" si="25"/>
        <v>15483.856624335429</v>
      </c>
      <c r="M51" s="60">
        <f t="shared" si="26"/>
        <v>597583.73748219234</v>
      </c>
      <c r="N51" s="61">
        <f t="shared" si="27"/>
        <v>597583.73748219234</v>
      </c>
      <c r="O51" s="62"/>
      <c r="P51" s="59"/>
      <c r="Q51" s="63" t="s">
        <v>124</v>
      </c>
      <c r="R51" s="63">
        <v>1</v>
      </c>
      <c r="S51" s="63" t="s">
        <v>125</v>
      </c>
      <c r="T51" s="63"/>
      <c r="U51" s="63"/>
      <c r="V51" s="59">
        <v>597583.73748219199</v>
      </c>
      <c r="W51" s="59">
        <f t="shared" si="28"/>
        <v>0</v>
      </c>
      <c r="X51" s="30">
        <f t="shared" si="7"/>
        <v>0</v>
      </c>
    </row>
    <row r="52" spans="1:24" ht="14.25" customHeight="1" x14ac:dyDescent="0.3">
      <c r="A52" s="113">
        <v>5.03</v>
      </c>
      <c r="B52" s="114" t="s">
        <v>2005</v>
      </c>
      <c r="C52" s="114" t="s">
        <v>126</v>
      </c>
      <c r="D52" s="114" t="s">
        <v>50</v>
      </c>
      <c r="E52" s="115">
        <v>207</v>
      </c>
      <c r="F52" s="64">
        <f>IF(Q52&lt;&gt;"",IFERROR(VLOOKUP(Q52,PARTIDAS!A:P,13,FALSE()),0),0)</f>
        <v>827.27861400000006</v>
      </c>
      <c r="G52" s="65">
        <f>IF(Q52&lt;&gt;"",IFERROR(VLOOKUP(Q52,PARTIDAS!A:P,14,FALSE()),0),0)</f>
        <v>4324.0477652730697</v>
      </c>
      <c r="H52" s="65">
        <f>IF(Q52&lt;&gt;"",IFERROR(VLOOKUP(Q52,PARTIDAS!A:P,15,FALSE()),0),0)</f>
        <v>137.02527986137548</v>
      </c>
      <c r="I52" s="66">
        <f t="shared" si="22"/>
        <v>5288.3516591344451</v>
      </c>
      <c r="J52" s="67">
        <f t="shared" si="23"/>
        <v>171246.673098</v>
      </c>
      <c r="K52" s="68">
        <f t="shared" si="24"/>
        <v>895077.88741152547</v>
      </c>
      <c r="L52" s="68">
        <f t="shared" si="25"/>
        <v>28364.232931304723</v>
      </c>
      <c r="M52" s="69">
        <f t="shared" si="26"/>
        <v>1094688.7934408302</v>
      </c>
      <c r="N52" s="70">
        <f t="shared" si="27"/>
        <v>1094688.7934408302</v>
      </c>
      <c r="O52" s="71"/>
      <c r="P52" s="68"/>
      <c r="Q52" s="72" t="s">
        <v>127</v>
      </c>
      <c r="R52" s="72">
        <v>1</v>
      </c>
      <c r="S52" s="72" t="s">
        <v>125</v>
      </c>
      <c r="T52" s="72"/>
      <c r="U52" s="72"/>
      <c r="V52" s="68">
        <v>1094688.79344083</v>
      </c>
      <c r="W52" s="68">
        <f t="shared" si="28"/>
        <v>0</v>
      </c>
      <c r="X52" s="30">
        <f t="shared" si="7"/>
        <v>0</v>
      </c>
    </row>
    <row r="53" spans="1:24" ht="14.25" customHeight="1" x14ac:dyDescent="0.3">
      <c r="A53" s="110">
        <v>5.04</v>
      </c>
      <c r="B53" s="111" t="s">
        <v>2005</v>
      </c>
      <c r="C53" s="111" t="s">
        <v>128</v>
      </c>
      <c r="D53" s="111" t="s">
        <v>50</v>
      </c>
      <c r="E53" s="112">
        <v>165</v>
      </c>
      <c r="F53" s="55">
        <f>IF(Q53&lt;&gt;"",IFERROR(VLOOKUP(Q53,PARTIDAS!A:P,13,FALSE()),0),0)</f>
        <v>3538.08</v>
      </c>
      <c r="G53" s="56">
        <f>IF(Q53&lt;&gt;"",IFERROR(VLOOKUP(Q53,PARTIDAS!A:P,14,FALSE()),0),0)</f>
        <v>0</v>
      </c>
      <c r="H53" s="56">
        <f>IF(Q53&lt;&gt;"",IFERROR(VLOOKUP(Q53,PARTIDAS!A:P,15,FALSE()),0),0)</f>
        <v>0</v>
      </c>
      <c r="I53" s="57">
        <f t="shared" si="22"/>
        <v>3538.08</v>
      </c>
      <c r="J53" s="58">
        <f t="shared" si="23"/>
        <v>583783.19999999995</v>
      </c>
      <c r="K53" s="59">
        <f t="shared" si="24"/>
        <v>0</v>
      </c>
      <c r="L53" s="59">
        <f t="shared" si="25"/>
        <v>0</v>
      </c>
      <c r="M53" s="60">
        <f t="shared" si="26"/>
        <v>583783.19999999995</v>
      </c>
      <c r="N53" s="61">
        <f t="shared" si="27"/>
        <v>583783.19999999995</v>
      </c>
      <c r="O53" s="62"/>
      <c r="P53" s="59"/>
      <c r="Q53" s="63" t="s">
        <v>129</v>
      </c>
      <c r="R53" s="63">
        <v>1</v>
      </c>
      <c r="S53" s="63" t="s">
        <v>28</v>
      </c>
      <c r="T53" s="63"/>
      <c r="U53" s="63"/>
      <c r="V53" s="59">
        <v>583783.19999999995</v>
      </c>
      <c r="W53" s="59">
        <f t="shared" si="28"/>
        <v>0</v>
      </c>
      <c r="X53" s="30">
        <f t="shared" si="7"/>
        <v>0</v>
      </c>
    </row>
    <row r="54" spans="1:24" ht="14.25" customHeight="1" x14ac:dyDescent="0.3">
      <c r="A54" s="113">
        <v>5.05</v>
      </c>
      <c r="B54" s="114" t="s">
        <v>2005</v>
      </c>
      <c r="C54" s="114" t="s">
        <v>130</v>
      </c>
      <c r="D54" s="114" t="s">
        <v>50</v>
      </c>
      <c r="E54" s="115">
        <v>165</v>
      </c>
      <c r="F54" s="64">
        <f>IF(Q54&lt;&gt;"",IFERROR(VLOOKUP(Q54,PARTIDAS!A:P,13,FALSE()),0),0)</f>
        <v>1393.4781921157023</v>
      </c>
      <c r="G54" s="65">
        <f>IF(Q54&lt;&gt;"",IFERROR(VLOOKUP(Q54,PARTIDAS!A:P,14,FALSE()),0),0)</f>
        <v>2017.7204592975813</v>
      </c>
      <c r="H54" s="65">
        <f>IF(Q54&lt;&gt;"",IFERROR(VLOOKUP(Q54,PARTIDAS!A:P,15,FALSE()),0),0)</f>
        <v>10.930141326810574</v>
      </c>
      <c r="I54" s="66">
        <f t="shared" si="22"/>
        <v>3422.128792740094</v>
      </c>
      <c r="J54" s="67">
        <f t="shared" si="23"/>
        <v>229923.90169909087</v>
      </c>
      <c r="K54" s="68">
        <f t="shared" si="24"/>
        <v>332923.87578410091</v>
      </c>
      <c r="L54" s="68">
        <f t="shared" si="25"/>
        <v>1803.4733189237447</v>
      </c>
      <c r="M54" s="69">
        <f t="shared" si="26"/>
        <v>564651.25080211554</v>
      </c>
      <c r="N54" s="70">
        <f t="shared" si="27"/>
        <v>564651.25080211554</v>
      </c>
      <c r="O54" s="71"/>
      <c r="P54" s="68"/>
      <c r="Q54" s="72" t="s">
        <v>131</v>
      </c>
      <c r="R54" s="72">
        <v>1</v>
      </c>
      <c r="S54" s="72" t="s">
        <v>132</v>
      </c>
      <c r="T54" s="72"/>
      <c r="U54" s="72"/>
      <c r="V54" s="68">
        <v>564507.96065605502</v>
      </c>
      <c r="W54" s="68">
        <f t="shared" si="28"/>
        <v>143.29014606052078</v>
      </c>
      <c r="X54" s="30">
        <f t="shared" si="7"/>
        <v>2.5383193160640827E-4</v>
      </c>
    </row>
    <row r="55" spans="1:24" ht="14.25" customHeight="1" x14ac:dyDescent="0.3">
      <c r="A55" s="110">
        <v>5.0599999999999996</v>
      </c>
      <c r="B55" s="111" t="s">
        <v>2005</v>
      </c>
      <c r="C55" s="111" t="s">
        <v>133</v>
      </c>
      <c r="D55" s="111" t="s">
        <v>50</v>
      </c>
      <c r="E55" s="112">
        <v>274</v>
      </c>
      <c r="F55" s="55">
        <f>IF(Q55&lt;&gt;"",IFERROR(VLOOKUP(Q55,PARTIDAS!A:P,13,FALSE()),0),0)</f>
        <v>10460.19114909356</v>
      </c>
      <c r="G55" s="56">
        <f>IF(Q55&lt;&gt;"",IFERROR(VLOOKUP(Q55,PARTIDAS!A:P,14,FALSE()),0),0)</f>
        <v>15330.743182013279</v>
      </c>
      <c r="H55" s="56">
        <f>IF(Q55&lt;&gt;"",IFERROR(VLOOKUP(Q55,PARTIDAS!A:P,15,FALSE()),0),0)</f>
        <v>34.976452245793837</v>
      </c>
      <c r="I55" s="57">
        <f t="shared" si="22"/>
        <v>25825.910783352632</v>
      </c>
      <c r="J55" s="58">
        <f t="shared" si="23"/>
        <v>2866092.3748516357</v>
      </c>
      <c r="K55" s="59">
        <f t="shared" si="24"/>
        <v>4200623.6318716388</v>
      </c>
      <c r="L55" s="59">
        <f t="shared" si="25"/>
        <v>9583.5479153475117</v>
      </c>
      <c r="M55" s="60">
        <f t="shared" si="26"/>
        <v>7076299.5546386214</v>
      </c>
      <c r="N55" s="61">
        <f t="shared" si="27"/>
        <v>7076299.5546386214</v>
      </c>
      <c r="O55" s="62"/>
      <c r="P55" s="59"/>
      <c r="Q55" s="63" t="s">
        <v>134</v>
      </c>
      <c r="R55" s="63">
        <v>1</v>
      </c>
      <c r="S55" s="63" t="s">
        <v>122</v>
      </c>
      <c r="T55" s="63"/>
      <c r="U55" s="63"/>
      <c r="V55" s="59">
        <v>7076297.1716229199</v>
      </c>
      <c r="W55" s="59">
        <f t="shared" si="28"/>
        <v>2.3830157015472651</v>
      </c>
      <c r="X55" s="30">
        <f t="shared" si="7"/>
        <v>3.3676026370169105E-7</v>
      </c>
    </row>
    <row r="56" spans="1:24" ht="14.25" customHeight="1" x14ac:dyDescent="0.3">
      <c r="A56" s="108">
        <v>6</v>
      </c>
      <c r="B56" s="108"/>
      <c r="C56" s="108" t="s">
        <v>2019</v>
      </c>
      <c r="D56" s="108"/>
      <c r="E56" s="109"/>
      <c r="F56" s="73"/>
      <c r="G56" s="74"/>
      <c r="H56" s="74"/>
      <c r="I56" s="75"/>
      <c r="J56" s="76"/>
      <c r="K56" s="54"/>
      <c r="L56" s="54"/>
      <c r="M56" s="77"/>
      <c r="N56" s="78"/>
      <c r="O56" s="53">
        <f>SUM(M57:M57)</f>
        <v>1090680.2399057446</v>
      </c>
      <c r="P56" s="54">
        <f>SUM(N57:N57)</f>
        <v>1090680.2399057446</v>
      </c>
      <c r="Q56" s="46"/>
      <c r="R56" s="46"/>
      <c r="S56" s="46"/>
      <c r="T56" s="46"/>
      <c r="U56" s="46"/>
      <c r="V56" s="54"/>
      <c r="W56" s="54"/>
      <c r="X56" s="30">
        <f t="shared" si="7"/>
        <v>0</v>
      </c>
    </row>
    <row r="57" spans="1:24" ht="14.25" customHeight="1" x14ac:dyDescent="0.3">
      <c r="A57" s="110">
        <v>6.01</v>
      </c>
      <c r="B57" s="111" t="s">
        <v>2019</v>
      </c>
      <c r="C57" s="111" t="s">
        <v>135</v>
      </c>
      <c r="D57" s="111" t="s">
        <v>36</v>
      </c>
      <c r="E57" s="112">
        <v>44</v>
      </c>
      <c r="F57" s="55">
        <f>IF(Q57&lt;&gt;"",IFERROR(VLOOKUP(Q57,PARTIDAS!A:P,13,FALSE()),0),0)</f>
        <v>16294.976703090948</v>
      </c>
      <c r="G57" s="56">
        <f>IF(Q57&lt;&gt;"",IFERROR(VLOOKUP(Q57,PARTIDAS!A:P,14,FALSE()),0),0)</f>
        <v>8126.8835677096013</v>
      </c>
      <c r="H57" s="56">
        <f>IF(Q57&lt;&gt;"",IFERROR(VLOOKUP(Q57,PARTIDAS!A:P,15,FALSE()),0),0)</f>
        <v>366.32699978455503</v>
      </c>
      <c r="I57" s="57">
        <f>F57+G57+H57</f>
        <v>24788.187270585106</v>
      </c>
      <c r="J57" s="58">
        <f>F57*E57</f>
        <v>716978.9749360017</v>
      </c>
      <c r="K57" s="59">
        <f>G57*E57</f>
        <v>357582.87697922246</v>
      </c>
      <c r="L57" s="59">
        <f>H57*E57</f>
        <v>16118.387990520421</v>
      </c>
      <c r="M57" s="60">
        <f>I57*E57</f>
        <v>1090680.2399057446</v>
      </c>
      <c r="N57" s="61">
        <f>M57*$N$2</f>
        <v>1090680.2399057446</v>
      </c>
      <c r="O57" s="62"/>
      <c r="P57" s="59"/>
      <c r="Q57" s="63" t="s">
        <v>136</v>
      </c>
      <c r="R57" s="63">
        <v>1</v>
      </c>
      <c r="S57" s="63" t="s">
        <v>32</v>
      </c>
      <c r="T57" s="63"/>
      <c r="U57" s="63"/>
      <c r="V57" s="59">
        <v>1090677.5873585499</v>
      </c>
      <c r="W57" s="59">
        <f>M57-V57</f>
        <v>2.652547194622457</v>
      </c>
      <c r="X57" s="30">
        <f t="shared" si="7"/>
        <v>2.4320176974081868E-6</v>
      </c>
    </row>
    <row r="58" spans="1:24" ht="14.25" customHeight="1" x14ac:dyDescent="0.3">
      <c r="A58" s="108">
        <v>7</v>
      </c>
      <c r="B58" s="108"/>
      <c r="C58" s="108" t="s">
        <v>2020</v>
      </c>
      <c r="D58" s="108"/>
      <c r="E58" s="109"/>
      <c r="F58" s="73"/>
      <c r="G58" s="74"/>
      <c r="H58" s="74"/>
      <c r="I58" s="75"/>
      <c r="J58" s="76"/>
      <c r="K58" s="54"/>
      <c r="L58" s="54"/>
      <c r="M58" s="77"/>
      <c r="N58" s="78"/>
      <c r="O58" s="53">
        <f>SUM(M59:M66)</f>
        <v>111770942.26667488</v>
      </c>
      <c r="P58" s="54">
        <f>SUM(N59:N66)</f>
        <v>111770942.26667488</v>
      </c>
      <c r="Q58" s="46"/>
      <c r="R58" s="46"/>
      <c r="S58" s="46"/>
      <c r="T58" s="46"/>
      <c r="U58" s="46"/>
      <c r="V58" s="54"/>
      <c r="W58" s="54"/>
      <c r="X58" s="30">
        <f t="shared" si="7"/>
        <v>0</v>
      </c>
    </row>
    <row r="59" spans="1:24" ht="14.25" customHeight="1" x14ac:dyDescent="0.3">
      <c r="A59" s="110">
        <v>7.01</v>
      </c>
      <c r="B59" s="111" t="s">
        <v>2020</v>
      </c>
      <c r="C59" s="111" t="s">
        <v>137</v>
      </c>
      <c r="D59" s="111" t="s">
        <v>50</v>
      </c>
      <c r="E59" s="112">
        <v>663</v>
      </c>
      <c r="F59" s="55">
        <f>IF(Q59&lt;&gt;"",IFERROR(VLOOKUP(Q59,PARTIDAS!A:P,13,FALSE()),0),0)</f>
        <v>4061.1650940000004</v>
      </c>
      <c r="G59" s="56">
        <f>IF(Q59&lt;&gt;"",IFERROR(VLOOKUP(Q59,PARTIDAS!A:P,14,FALSE()),0),0)</f>
        <v>11697.516278234736</v>
      </c>
      <c r="H59" s="56">
        <f>IF(Q59&lt;&gt;"",IFERROR(VLOOKUP(Q59,PARTIDAS!A:P,15,FALSE()),0),0)</f>
        <v>333.62676835813159</v>
      </c>
      <c r="I59" s="57">
        <f t="shared" ref="I59:I66" si="29">F59+G59+H59</f>
        <v>16092.308140592868</v>
      </c>
      <c r="J59" s="58">
        <f t="shared" ref="J59:J66" si="30">F59*E59</f>
        <v>2692552.4573220001</v>
      </c>
      <c r="K59" s="59">
        <f t="shared" ref="K59:K66" si="31">G59*E59</f>
        <v>7755453.29246963</v>
      </c>
      <c r="L59" s="59">
        <f t="shared" ref="L59:L66" si="32">H59*E59</f>
        <v>221194.54742144124</v>
      </c>
      <c r="M59" s="60">
        <f t="shared" ref="M59:M66" si="33">I59*E59</f>
        <v>10669200.297213072</v>
      </c>
      <c r="N59" s="61">
        <f t="shared" ref="N59:N66" si="34">M59*$N$2</f>
        <v>10669200.297213072</v>
      </c>
      <c r="O59" s="62"/>
      <c r="P59" s="59"/>
      <c r="Q59" s="63" t="s">
        <v>138</v>
      </c>
      <c r="R59" s="63">
        <v>1</v>
      </c>
      <c r="S59" s="63" t="s">
        <v>139</v>
      </c>
      <c r="T59" s="63"/>
      <c r="U59" s="63"/>
      <c r="V59" s="59">
        <v>10669200.2972131</v>
      </c>
      <c r="W59" s="59">
        <f t="shared" ref="W59:W66" si="35">M59-V59</f>
        <v>-2.7939677238464355E-8</v>
      </c>
      <c r="X59" s="30">
        <f t="shared" si="7"/>
        <v>-2.6187227214923012E-15</v>
      </c>
    </row>
    <row r="60" spans="1:24" ht="14.25" customHeight="1" x14ac:dyDescent="0.3">
      <c r="A60" s="113">
        <v>7.02</v>
      </c>
      <c r="B60" s="114" t="s">
        <v>2020</v>
      </c>
      <c r="C60" s="114" t="s">
        <v>140</v>
      </c>
      <c r="D60" s="114" t="s">
        <v>50</v>
      </c>
      <c r="E60" s="115">
        <v>1164</v>
      </c>
      <c r="F60" s="64">
        <f>IF(Q60&lt;&gt;"",IFERROR(VLOOKUP(Q60,PARTIDAS!A:P,13,FALSE()),0),0)</f>
        <v>4061.1650940000004</v>
      </c>
      <c r="G60" s="65">
        <f>IF(Q60&lt;&gt;"",IFERROR(VLOOKUP(Q60,PARTIDAS!A:P,14,FALSE()),0),0)</f>
        <v>16815.179649962432</v>
      </c>
      <c r="H60" s="65">
        <f>IF(Q60&lt;&gt;"",IFERROR(VLOOKUP(Q60,PARTIDAS!A:P,15,FALSE()),0),0)</f>
        <v>863.36280564124024</v>
      </c>
      <c r="I60" s="66">
        <f t="shared" si="29"/>
        <v>21739.707549603674</v>
      </c>
      <c r="J60" s="67">
        <f t="shared" si="30"/>
        <v>4727196.1694160001</v>
      </c>
      <c r="K60" s="68">
        <f t="shared" si="31"/>
        <v>19572869.112556271</v>
      </c>
      <c r="L60" s="68">
        <f t="shared" si="32"/>
        <v>1004954.3057664037</v>
      </c>
      <c r="M60" s="69">
        <f t="shared" si="33"/>
        <v>25305019.587738678</v>
      </c>
      <c r="N60" s="70">
        <f t="shared" si="34"/>
        <v>25305019.587738678</v>
      </c>
      <c r="O60" s="71"/>
      <c r="P60" s="68"/>
      <c r="Q60" s="72" t="s">
        <v>141</v>
      </c>
      <c r="R60" s="72">
        <v>1</v>
      </c>
      <c r="S60" s="72" t="s">
        <v>142</v>
      </c>
      <c r="T60" s="72"/>
      <c r="U60" s="72"/>
      <c r="V60" s="68">
        <v>25305019.5877387</v>
      </c>
      <c r="W60" s="68">
        <f t="shared" si="35"/>
        <v>0</v>
      </c>
      <c r="X60" s="30">
        <f t="shared" si="7"/>
        <v>0</v>
      </c>
    </row>
    <row r="61" spans="1:24" ht="14.25" customHeight="1" x14ac:dyDescent="0.3">
      <c r="A61" s="110">
        <v>7.03</v>
      </c>
      <c r="B61" s="111" t="s">
        <v>2020</v>
      </c>
      <c r="C61" s="111" t="s">
        <v>143</v>
      </c>
      <c r="D61" s="111" t="s">
        <v>36</v>
      </c>
      <c r="E61" s="112">
        <v>500</v>
      </c>
      <c r="F61" s="55">
        <f>IF(Q61&lt;&gt;"",IFERROR(VLOOKUP(Q61,PARTIDAS!A:P,13,FALSE()),0),0)</f>
        <v>0</v>
      </c>
      <c r="G61" s="56">
        <f>IF(Q61&lt;&gt;"",IFERROR(VLOOKUP(Q61,PARTIDAS!A:P,14,FALSE()),0),0)</f>
        <v>11122.3391600798</v>
      </c>
      <c r="H61" s="56">
        <f>IF(Q61&lt;&gt;"",IFERROR(VLOOKUP(Q61,PARTIDAS!A:P,15,FALSE()),0),0)</f>
        <v>0</v>
      </c>
      <c r="I61" s="57">
        <f t="shared" si="29"/>
        <v>11122.3391600798</v>
      </c>
      <c r="J61" s="58">
        <f t="shared" si="30"/>
        <v>0</v>
      </c>
      <c r="K61" s="59">
        <f t="shared" si="31"/>
        <v>5561169.5800398998</v>
      </c>
      <c r="L61" s="59">
        <f t="shared" si="32"/>
        <v>0</v>
      </c>
      <c r="M61" s="60">
        <f t="shared" si="33"/>
        <v>5561169.5800398998</v>
      </c>
      <c r="N61" s="61">
        <f t="shared" si="34"/>
        <v>5561169.5800398998</v>
      </c>
      <c r="O61" s="62"/>
      <c r="P61" s="59"/>
      <c r="Q61" s="63" t="s">
        <v>144</v>
      </c>
      <c r="R61" s="63">
        <v>1</v>
      </c>
      <c r="S61" s="63" t="s">
        <v>28</v>
      </c>
      <c r="T61" s="63"/>
      <c r="U61" s="63"/>
      <c r="V61" s="59">
        <v>5561169.5800398998</v>
      </c>
      <c r="W61" s="59">
        <f t="shared" si="35"/>
        <v>0</v>
      </c>
      <c r="X61" s="30">
        <f t="shared" si="7"/>
        <v>0</v>
      </c>
    </row>
    <row r="62" spans="1:24" ht="14.25" customHeight="1" x14ac:dyDescent="0.3">
      <c r="A62" s="113">
        <v>7.04</v>
      </c>
      <c r="B62" s="114" t="s">
        <v>2020</v>
      </c>
      <c r="C62" s="114" t="s">
        <v>145</v>
      </c>
      <c r="D62" s="114" t="s">
        <v>50</v>
      </c>
      <c r="E62" s="115">
        <v>521</v>
      </c>
      <c r="F62" s="64">
        <f>IF(Q62&lt;&gt;"",IFERROR(VLOOKUP(Q62,PARTIDAS!A:P,13,FALSE()),0),0)</f>
        <v>2891.2175380000003</v>
      </c>
      <c r="G62" s="65">
        <f>IF(Q62&lt;&gt;"",IFERROR(VLOOKUP(Q62,PARTIDAS!A:P,14,FALSE()),0),0)</f>
        <v>22980.577023785474</v>
      </c>
      <c r="H62" s="65">
        <f>IF(Q62&lt;&gt;"",IFERROR(VLOOKUP(Q62,PARTIDAS!A:P,15,FALSE()),0),0)</f>
        <v>639.45130601975222</v>
      </c>
      <c r="I62" s="66">
        <f t="shared" si="29"/>
        <v>26511.245867805228</v>
      </c>
      <c r="J62" s="67">
        <f t="shared" si="30"/>
        <v>1506324.3372980002</v>
      </c>
      <c r="K62" s="68">
        <f t="shared" si="31"/>
        <v>11972880.629392233</v>
      </c>
      <c r="L62" s="68">
        <f t="shared" si="32"/>
        <v>333154.13043629093</v>
      </c>
      <c r="M62" s="69">
        <f t="shared" si="33"/>
        <v>13812359.097126523</v>
      </c>
      <c r="N62" s="70">
        <f t="shared" si="34"/>
        <v>13812359.097126523</v>
      </c>
      <c r="O62" s="71"/>
      <c r="P62" s="68"/>
      <c r="Q62" s="72" t="s">
        <v>146</v>
      </c>
      <c r="R62" s="72">
        <v>1</v>
      </c>
      <c r="S62" s="72" t="s">
        <v>147</v>
      </c>
      <c r="T62" s="72"/>
      <c r="U62" s="72"/>
      <c r="V62" s="68">
        <v>13812359.097126501</v>
      </c>
      <c r="W62" s="68">
        <f t="shared" si="35"/>
        <v>2.2351741790771484E-8</v>
      </c>
      <c r="X62" s="30">
        <f t="shared" si="7"/>
        <v>1.6182421578817411E-15</v>
      </c>
    </row>
    <row r="63" spans="1:24" ht="14.25" customHeight="1" x14ac:dyDescent="0.3">
      <c r="A63" s="110">
        <v>7.05</v>
      </c>
      <c r="B63" s="111" t="s">
        <v>2020</v>
      </c>
      <c r="C63" s="111" t="s">
        <v>148</v>
      </c>
      <c r="D63" s="111" t="s">
        <v>50</v>
      </c>
      <c r="E63" s="112">
        <v>2180</v>
      </c>
      <c r="F63" s="55">
        <f>IF(Q63&lt;&gt;"",IFERROR(VLOOKUP(Q63,PARTIDAS!A:P,13,FALSE()),0),0)</f>
        <v>5780.83643536</v>
      </c>
      <c r="G63" s="56">
        <f>IF(Q63&lt;&gt;"",IFERROR(VLOOKUP(Q63,PARTIDAS!A:P,14,FALSE()),0),0)</f>
        <v>12252.5485737202</v>
      </c>
      <c r="H63" s="56">
        <f>IF(Q63&lt;&gt;"",IFERROR(VLOOKUP(Q63,PARTIDAS!A:P,15,FALSE()),0),0)</f>
        <v>270.50123209204202</v>
      </c>
      <c r="I63" s="57">
        <f t="shared" si="29"/>
        <v>18303.886241172244</v>
      </c>
      <c r="J63" s="58">
        <f t="shared" si="30"/>
        <v>12602223.4290848</v>
      </c>
      <c r="K63" s="59">
        <f t="shared" si="31"/>
        <v>26710555.890710037</v>
      </c>
      <c r="L63" s="59">
        <f t="shared" si="32"/>
        <v>589692.68596065161</v>
      </c>
      <c r="M63" s="60">
        <f t="shared" si="33"/>
        <v>39902472.005755492</v>
      </c>
      <c r="N63" s="61">
        <f t="shared" si="34"/>
        <v>39902472.005755492</v>
      </c>
      <c r="O63" s="62"/>
      <c r="P63" s="59"/>
      <c r="Q63" s="63" t="s">
        <v>149</v>
      </c>
      <c r="R63" s="63">
        <v>1</v>
      </c>
      <c r="S63" s="63" t="s">
        <v>32</v>
      </c>
      <c r="T63" s="63"/>
      <c r="U63" s="63"/>
      <c r="V63" s="59">
        <v>39902538.416670799</v>
      </c>
      <c r="W63" s="59">
        <f t="shared" si="35"/>
        <v>-66.410915307700634</v>
      </c>
      <c r="X63" s="30">
        <f t="shared" si="7"/>
        <v>-1.6643280839485378E-6</v>
      </c>
    </row>
    <row r="64" spans="1:24" ht="14.25" customHeight="1" x14ac:dyDescent="0.3">
      <c r="A64" s="113">
        <v>7.06</v>
      </c>
      <c r="B64" s="114" t="s">
        <v>2020</v>
      </c>
      <c r="C64" s="114" t="s">
        <v>150</v>
      </c>
      <c r="D64" s="114" t="s">
        <v>36</v>
      </c>
      <c r="E64" s="115">
        <v>255</v>
      </c>
      <c r="F64" s="64">
        <f>IF(Q64&lt;&gt;"",IFERROR(VLOOKUP(Q64,PARTIDAS!A:P,13,FALSE()),0),0)</f>
        <v>0</v>
      </c>
      <c r="G64" s="65">
        <f>IF(Q64&lt;&gt;"",IFERROR(VLOOKUP(Q64,PARTIDAS!A:P,14,FALSE()),0),0)</f>
        <v>13144.582643730701</v>
      </c>
      <c r="H64" s="65">
        <f>IF(Q64&lt;&gt;"",IFERROR(VLOOKUP(Q64,PARTIDAS!A:P,15,FALSE()),0),0)</f>
        <v>197.16873965596</v>
      </c>
      <c r="I64" s="66">
        <f t="shared" si="29"/>
        <v>13341.75138338666</v>
      </c>
      <c r="J64" s="67">
        <f t="shared" si="30"/>
        <v>0</v>
      </c>
      <c r="K64" s="68">
        <f t="shared" si="31"/>
        <v>3351868.5741513288</v>
      </c>
      <c r="L64" s="68">
        <f t="shared" si="32"/>
        <v>50278.028612269802</v>
      </c>
      <c r="M64" s="69">
        <f t="shared" si="33"/>
        <v>3402146.6027635983</v>
      </c>
      <c r="N64" s="70">
        <f t="shared" si="34"/>
        <v>3402146.6027635983</v>
      </c>
      <c r="O64" s="71"/>
      <c r="P64" s="68"/>
      <c r="Q64" s="72" t="s">
        <v>151</v>
      </c>
      <c r="R64" s="72">
        <v>1</v>
      </c>
      <c r="S64" s="72" t="s">
        <v>32</v>
      </c>
      <c r="T64" s="72"/>
      <c r="U64" s="72"/>
      <c r="V64" s="68">
        <v>3402146.6027635899</v>
      </c>
      <c r="W64" s="68">
        <f t="shared" si="35"/>
        <v>8.3819031715393066E-9</v>
      </c>
      <c r="X64" s="30">
        <f t="shared" si="7"/>
        <v>2.4637101660259502E-15</v>
      </c>
    </row>
    <row r="65" spans="1:25" ht="14.25" customHeight="1" x14ac:dyDescent="0.3">
      <c r="A65" s="110">
        <v>7.07</v>
      </c>
      <c r="B65" s="111" t="s">
        <v>2020</v>
      </c>
      <c r="C65" s="111" t="s">
        <v>152</v>
      </c>
      <c r="D65" s="111" t="s">
        <v>98</v>
      </c>
      <c r="E65" s="112">
        <v>102</v>
      </c>
      <c r="F65" s="55">
        <f>IF(Q65&lt;&gt;"",IFERROR(VLOOKUP(Q65,PARTIDAS!A:P,13,FALSE()),0),0)</f>
        <v>1658.1183839999999</v>
      </c>
      <c r="G65" s="56">
        <f>IF(Q65&lt;&gt;"",IFERROR(VLOOKUP(Q65,PARTIDAS!A:P,14,FALSE()),0),0)</f>
        <v>13917.799573165516</v>
      </c>
      <c r="H65" s="56">
        <f>IF(Q65&lt;&gt;"",IFERROR(VLOOKUP(Q65,PARTIDAS!A:P,15,FALSE()),0),0)</f>
        <v>233.63866551807499</v>
      </c>
      <c r="I65" s="57">
        <f t="shared" si="29"/>
        <v>15809.556622683591</v>
      </c>
      <c r="J65" s="58">
        <f t="shared" si="30"/>
        <v>169128.07516799998</v>
      </c>
      <c r="K65" s="59">
        <f t="shared" si="31"/>
        <v>1419615.5564628826</v>
      </c>
      <c r="L65" s="59">
        <f t="shared" si="32"/>
        <v>23831.143882843648</v>
      </c>
      <c r="M65" s="60">
        <f t="shared" si="33"/>
        <v>1612574.7755137263</v>
      </c>
      <c r="N65" s="61">
        <f t="shared" si="34"/>
        <v>1612574.7755137263</v>
      </c>
      <c r="O65" s="62"/>
      <c r="P65" s="59"/>
      <c r="Q65" s="63" t="s">
        <v>153</v>
      </c>
      <c r="R65" s="63">
        <v>1</v>
      </c>
      <c r="S65" s="63" t="s">
        <v>32</v>
      </c>
      <c r="T65" s="63"/>
      <c r="U65" s="63"/>
      <c r="V65" s="59">
        <v>1612574.0694057599</v>
      </c>
      <c r="W65" s="59">
        <f t="shared" si="35"/>
        <v>0.70610796636901796</v>
      </c>
      <c r="X65" s="30">
        <f t="shared" si="7"/>
        <v>4.3787629961656372E-7</v>
      </c>
    </row>
    <row r="66" spans="1:25" ht="14.25" customHeight="1" x14ac:dyDescent="0.3">
      <c r="A66" s="113">
        <v>7.08</v>
      </c>
      <c r="B66" s="114" t="s">
        <v>2020</v>
      </c>
      <c r="C66" s="114" t="s">
        <v>154</v>
      </c>
      <c r="D66" s="114" t="s">
        <v>50</v>
      </c>
      <c r="E66" s="115">
        <v>715</v>
      </c>
      <c r="F66" s="64">
        <f>IF(Q66&lt;&gt;"",IFERROR(VLOOKUP(Q66,PARTIDAS!A:P,13,FALSE()),0),0)</f>
        <v>4061.1650940000004</v>
      </c>
      <c r="G66" s="65">
        <f>IF(Q66&lt;&gt;"",IFERROR(VLOOKUP(Q66,PARTIDAS!A:P,14,FALSE()),0),0)</f>
        <v>11697.516278234736</v>
      </c>
      <c r="H66" s="65">
        <f>IF(Q66&lt;&gt;"",IFERROR(VLOOKUP(Q66,PARTIDAS!A:P,15,FALSE()),0),0)</f>
        <v>333.62676835813159</v>
      </c>
      <c r="I66" s="66">
        <f t="shared" si="29"/>
        <v>16092.308140592868</v>
      </c>
      <c r="J66" s="67">
        <f t="shared" si="30"/>
        <v>2903733.0422100001</v>
      </c>
      <c r="K66" s="68">
        <f t="shared" si="31"/>
        <v>8363724.1389378365</v>
      </c>
      <c r="L66" s="68">
        <f t="shared" si="32"/>
        <v>238543.13937606409</v>
      </c>
      <c r="M66" s="69">
        <f t="shared" si="33"/>
        <v>11506000.320523901</v>
      </c>
      <c r="N66" s="70">
        <f t="shared" si="34"/>
        <v>11506000.320523901</v>
      </c>
      <c r="O66" s="71"/>
      <c r="P66" s="68"/>
      <c r="Q66" s="72" t="s">
        <v>155</v>
      </c>
      <c r="R66" s="72">
        <v>1</v>
      </c>
      <c r="S66" s="72" t="s">
        <v>139</v>
      </c>
      <c r="T66" s="72"/>
      <c r="U66" s="72"/>
      <c r="V66" s="68">
        <v>11506000.320523901</v>
      </c>
      <c r="W66" s="68">
        <f t="shared" si="35"/>
        <v>0</v>
      </c>
      <c r="X66" s="30">
        <f t="shared" si="7"/>
        <v>0</v>
      </c>
    </row>
    <row r="67" spans="1:25" ht="14.25" customHeight="1" x14ac:dyDescent="0.3">
      <c r="A67" s="108">
        <v>8</v>
      </c>
      <c r="B67" s="108"/>
      <c r="C67" s="108" t="s">
        <v>2021</v>
      </c>
      <c r="D67" s="108"/>
      <c r="E67" s="109"/>
      <c r="F67" s="73"/>
      <c r="G67" s="74"/>
      <c r="H67" s="74"/>
      <c r="I67" s="75"/>
      <c r="J67" s="76"/>
      <c r="K67" s="54"/>
      <c r="L67" s="54"/>
      <c r="M67" s="77"/>
      <c r="N67" s="78"/>
      <c r="O67" s="53">
        <f>SUM(M68:M75)</f>
        <v>36751191.024504229</v>
      </c>
      <c r="P67" s="54">
        <f>SUM(N68:N75)</f>
        <v>36751191.024504229</v>
      </c>
      <c r="Q67" s="46"/>
      <c r="R67" s="46"/>
      <c r="S67" s="46"/>
      <c r="T67" s="46"/>
      <c r="U67" s="46"/>
      <c r="V67" s="54"/>
      <c r="W67" s="54"/>
      <c r="X67" s="30">
        <f t="shared" si="7"/>
        <v>0</v>
      </c>
    </row>
    <row r="68" spans="1:25" ht="14.25" customHeight="1" x14ac:dyDescent="0.3">
      <c r="A68" s="113">
        <v>8.01</v>
      </c>
      <c r="B68" s="114" t="s">
        <v>2021</v>
      </c>
      <c r="C68" s="114" t="s">
        <v>156</v>
      </c>
      <c r="D68" s="114" t="s">
        <v>50</v>
      </c>
      <c r="E68" s="115">
        <v>21</v>
      </c>
      <c r="F68" s="64">
        <f>IF(Q68&lt;&gt;"",IFERROR(VLOOKUP(Q68,PARTIDAS!A:P,13,FALSE()),0),0)</f>
        <v>13595.3268924</v>
      </c>
      <c r="G68" s="65">
        <f>IF(Q68&lt;&gt;"",IFERROR(VLOOKUP(Q68,PARTIDAS!A:P,14,FALSE()),0),0)</f>
        <v>19696.193181845971</v>
      </c>
      <c r="H68" s="65">
        <f>IF(Q68&lt;&gt;"",IFERROR(VLOOKUP(Q68,PARTIDAS!A:P,15,FALSE()),0),0)</f>
        <v>503.75749216141747</v>
      </c>
      <c r="I68" s="66">
        <f t="shared" ref="I68:I75" si="36">F68+G68+H68</f>
        <v>33795.277566407385</v>
      </c>
      <c r="J68" s="67">
        <f t="shared" ref="J68:J75" si="37">F68*E68</f>
        <v>285501.86474039999</v>
      </c>
      <c r="K68" s="68">
        <f t="shared" ref="K68:K75" si="38">G68*E68</f>
        <v>413620.05681876536</v>
      </c>
      <c r="L68" s="68">
        <f t="shared" ref="L68:L75" si="39">H68*E68</f>
        <v>10578.907335389767</v>
      </c>
      <c r="M68" s="69">
        <f t="shared" ref="M68:M75" si="40">I68*E68</f>
        <v>709700.8288945551</v>
      </c>
      <c r="N68" s="70">
        <f t="shared" ref="N68:N75" si="41">M68*$N$2</f>
        <v>709700.8288945551</v>
      </c>
      <c r="O68" s="71"/>
      <c r="P68" s="68"/>
      <c r="Q68" s="72" t="s">
        <v>157</v>
      </c>
      <c r="R68" s="72">
        <v>1</v>
      </c>
      <c r="S68" s="72" t="s">
        <v>158</v>
      </c>
      <c r="T68" s="72"/>
      <c r="U68" s="72"/>
      <c r="V68" s="68">
        <v>709700.82889455499</v>
      </c>
      <c r="W68" s="68">
        <f t="shared" ref="W68:W75" si="42">M68-V68</f>
        <v>0</v>
      </c>
      <c r="X68" s="30">
        <f t="shared" si="7"/>
        <v>0</v>
      </c>
    </row>
    <row r="69" spans="1:25" ht="14.25" customHeight="1" x14ac:dyDescent="0.3">
      <c r="A69" s="110">
        <v>8.02</v>
      </c>
      <c r="B69" s="111" t="s">
        <v>2021</v>
      </c>
      <c r="C69" s="111" t="s">
        <v>159</v>
      </c>
      <c r="D69" s="111" t="s">
        <v>50</v>
      </c>
      <c r="E69" s="112">
        <v>201</v>
      </c>
      <c r="F69" s="55">
        <f>IF(Q69&lt;&gt;"",IFERROR(VLOOKUP(Q69,PARTIDAS!A:P,13,FALSE()),0),0)</f>
        <v>30954.653439200003</v>
      </c>
      <c r="G69" s="56">
        <f>IF(Q69&lt;&gt;"",IFERROR(VLOOKUP(Q69,PARTIDAS!A:P,14,FALSE()),0),0)</f>
        <v>8768.7576875522227</v>
      </c>
      <c r="H69" s="56">
        <f>IF(Q69&lt;&gt;"",IFERROR(VLOOKUP(Q69,PARTIDAS!A:P,15,FALSE()),0),0)</f>
        <v>595.85224768735895</v>
      </c>
      <c r="I69" s="57">
        <f t="shared" si="36"/>
        <v>40319.263374439586</v>
      </c>
      <c r="J69" s="58">
        <f t="shared" si="37"/>
        <v>6221885.3412792003</v>
      </c>
      <c r="K69" s="59">
        <f t="shared" si="38"/>
        <v>1762520.2951979968</v>
      </c>
      <c r="L69" s="59">
        <f t="shared" si="39"/>
        <v>119766.30178515914</v>
      </c>
      <c r="M69" s="60">
        <f t="shared" si="40"/>
        <v>8104171.9382623564</v>
      </c>
      <c r="N69" s="61">
        <f t="shared" si="41"/>
        <v>8104171.9382623564</v>
      </c>
      <c r="O69" s="62"/>
      <c r="P69" s="59"/>
      <c r="Q69" s="63" t="s">
        <v>160</v>
      </c>
      <c r="R69" s="63">
        <v>1</v>
      </c>
      <c r="S69" s="63" t="s">
        <v>32</v>
      </c>
      <c r="T69" s="63"/>
      <c r="U69" s="63"/>
      <c r="V69" s="59">
        <v>8104186.4207957601</v>
      </c>
      <c r="W69" s="59">
        <f t="shared" si="42"/>
        <v>-14.482533403672278</v>
      </c>
      <c r="X69" s="30">
        <f t="shared" si="7"/>
        <v>-1.78704346762179E-6</v>
      </c>
    </row>
    <row r="70" spans="1:25" ht="14.25" customHeight="1" x14ac:dyDescent="0.3">
      <c r="A70" s="113">
        <v>8.0299999999999994</v>
      </c>
      <c r="B70" s="114" t="s">
        <v>2021</v>
      </c>
      <c r="C70" s="114" t="s">
        <v>161</v>
      </c>
      <c r="D70" s="114" t="s">
        <v>50</v>
      </c>
      <c r="E70" s="115">
        <v>107</v>
      </c>
      <c r="F70" s="64">
        <f>IF(Q70&lt;&gt;"",IFERROR(VLOOKUP(Q70,PARTIDAS!A:P,13,FALSE()),0),0)</f>
        <v>13595.3268924</v>
      </c>
      <c r="G70" s="65">
        <f>IF(Q70&lt;&gt;"",IFERROR(VLOOKUP(Q70,PARTIDAS!A:P,14,FALSE()),0),0)</f>
        <v>19696.193181845971</v>
      </c>
      <c r="H70" s="65">
        <f>IF(Q70&lt;&gt;"",IFERROR(VLOOKUP(Q70,PARTIDAS!A:P,15,FALSE()),0),0)</f>
        <v>503.75749216141747</v>
      </c>
      <c r="I70" s="66">
        <f t="shared" si="36"/>
        <v>33795.277566407385</v>
      </c>
      <c r="J70" s="67">
        <f t="shared" si="37"/>
        <v>1454699.9774867999</v>
      </c>
      <c r="K70" s="68">
        <f t="shared" si="38"/>
        <v>2107492.6704575187</v>
      </c>
      <c r="L70" s="68">
        <f t="shared" si="39"/>
        <v>53902.051661271667</v>
      </c>
      <c r="M70" s="69">
        <f t="shared" si="40"/>
        <v>3616094.6996055902</v>
      </c>
      <c r="N70" s="70">
        <f t="shared" si="41"/>
        <v>3616094.6996055902</v>
      </c>
      <c r="O70" s="71"/>
      <c r="P70" s="68"/>
      <c r="Q70" s="72" t="s">
        <v>162</v>
      </c>
      <c r="R70" s="72">
        <v>1</v>
      </c>
      <c r="S70" s="72" t="s">
        <v>158</v>
      </c>
      <c r="T70" s="72"/>
      <c r="U70" s="72"/>
      <c r="V70" s="68">
        <v>3616094.6996055902</v>
      </c>
      <c r="W70" s="68">
        <f t="shared" si="42"/>
        <v>0</v>
      </c>
      <c r="X70" s="30">
        <f t="shared" ref="X70:X133" si="43">IFERROR(W70/V70,0)</f>
        <v>0</v>
      </c>
    </row>
    <row r="71" spans="1:25" ht="14.25" customHeight="1" x14ac:dyDescent="0.3">
      <c r="A71" s="110">
        <v>8.0399999999999991</v>
      </c>
      <c r="B71" s="111" t="s">
        <v>2021</v>
      </c>
      <c r="C71" s="111" t="s">
        <v>163</v>
      </c>
      <c r="D71" s="111" t="s">
        <v>50</v>
      </c>
      <c r="E71" s="112">
        <v>850</v>
      </c>
      <c r="F71" s="55">
        <f>IF(Q71&lt;&gt;"",IFERROR(VLOOKUP(Q71,PARTIDAS!A:P,13,FALSE()),0),0)</f>
        <v>6717.8752369750009</v>
      </c>
      <c r="G71" s="56">
        <f>IF(Q71&lt;&gt;"",IFERROR(VLOOKUP(Q71,PARTIDAS!A:P,14,FALSE()),0),0)</f>
        <v>11145.022067082304</v>
      </c>
      <c r="H71" s="56">
        <f>IF(Q71&lt;&gt;"",IFERROR(VLOOKUP(Q71,PARTIDAS!A:P,15,FALSE()),0),0)</f>
        <v>130.47811125144128</v>
      </c>
      <c r="I71" s="57">
        <f t="shared" si="36"/>
        <v>17993.375415308747</v>
      </c>
      <c r="J71" s="58">
        <f t="shared" si="37"/>
        <v>5710193.9514287505</v>
      </c>
      <c r="K71" s="59">
        <f t="shared" si="38"/>
        <v>9473268.7570199575</v>
      </c>
      <c r="L71" s="59">
        <f t="shared" si="39"/>
        <v>110906.39456372509</v>
      </c>
      <c r="M71" s="60">
        <f t="shared" si="40"/>
        <v>15294369.103012435</v>
      </c>
      <c r="N71" s="61">
        <f t="shared" si="41"/>
        <v>15294369.103012435</v>
      </c>
      <c r="O71" s="62"/>
      <c r="P71" s="59"/>
      <c r="Q71" s="63" t="s">
        <v>164</v>
      </c>
      <c r="R71" s="63">
        <v>1</v>
      </c>
      <c r="S71" s="63" t="s">
        <v>165</v>
      </c>
      <c r="T71" s="63"/>
      <c r="U71" s="63"/>
      <c r="V71" s="59">
        <v>15294369.1030124</v>
      </c>
      <c r="W71" s="59">
        <f t="shared" si="42"/>
        <v>3.5390257835388184E-8</v>
      </c>
      <c r="X71" s="30">
        <f t="shared" si="43"/>
        <v>2.3139403526241346E-15</v>
      </c>
    </row>
    <row r="72" spans="1:25" ht="14.25" customHeight="1" x14ac:dyDescent="0.3">
      <c r="A72" s="113">
        <v>8.0500000000000007</v>
      </c>
      <c r="B72" s="114" t="s">
        <v>2021</v>
      </c>
      <c r="C72" s="114" t="s">
        <v>166</v>
      </c>
      <c r="D72" s="114" t="s">
        <v>50</v>
      </c>
      <c r="E72" s="115">
        <v>365</v>
      </c>
      <c r="F72" s="64">
        <f>IF(Q72&lt;&gt;"",IFERROR(VLOOKUP(Q72,PARTIDAS!A:P,13,FALSE()),0),0)</f>
        <v>3420.3193200000005</v>
      </c>
      <c r="G72" s="65">
        <f>IF(Q72&lt;&gt;"",IFERROR(VLOOKUP(Q72,PARTIDAS!A:P,14,FALSE()),0),0)</f>
        <v>8295.6908247106221</v>
      </c>
      <c r="H72" s="65">
        <f>IF(Q72&lt;&gt;"",IFERROR(VLOOKUP(Q72,PARTIDAS!A:P,15,FALSE()),0),0)</f>
        <v>235.08682967532812</v>
      </c>
      <c r="I72" s="66">
        <f t="shared" si="36"/>
        <v>11951.096974385951</v>
      </c>
      <c r="J72" s="67">
        <f t="shared" si="37"/>
        <v>1248416.5518000002</v>
      </c>
      <c r="K72" s="68">
        <f t="shared" si="38"/>
        <v>3027927.1510193772</v>
      </c>
      <c r="L72" s="68">
        <f t="shared" si="39"/>
        <v>85806.692831494758</v>
      </c>
      <c r="M72" s="69">
        <f t="shared" si="40"/>
        <v>4362150.395650872</v>
      </c>
      <c r="N72" s="70">
        <f t="shared" si="41"/>
        <v>4362150.395650872</v>
      </c>
      <c r="O72" s="71"/>
      <c r="P72" s="68"/>
      <c r="Q72" s="72" t="s">
        <v>167</v>
      </c>
      <c r="R72" s="72">
        <v>1</v>
      </c>
      <c r="S72" s="72" t="s">
        <v>168</v>
      </c>
      <c r="T72" s="72"/>
      <c r="U72" s="72"/>
      <c r="V72" s="68">
        <v>4362150.3956508702</v>
      </c>
      <c r="W72" s="68">
        <f t="shared" si="42"/>
        <v>0</v>
      </c>
      <c r="X72" s="30">
        <f t="shared" si="43"/>
        <v>0</v>
      </c>
    </row>
    <row r="73" spans="1:25" ht="14.25" customHeight="1" x14ac:dyDescent="0.3">
      <c r="A73" s="110">
        <v>8.06</v>
      </c>
      <c r="B73" s="111" t="s">
        <v>2021</v>
      </c>
      <c r="C73" s="111" t="s">
        <v>169</v>
      </c>
      <c r="D73" s="111" t="s">
        <v>50</v>
      </c>
      <c r="E73" s="112">
        <v>357</v>
      </c>
      <c r="F73" s="55">
        <f>IF(Q73&lt;&gt;"",IFERROR(VLOOKUP(Q73,PARTIDAS!A:P,13,FALSE()),0),0)</f>
        <v>3420.3193200000005</v>
      </c>
      <c r="G73" s="56">
        <f>IF(Q73&lt;&gt;"",IFERROR(VLOOKUP(Q73,PARTIDAS!A:P,14,FALSE()),0),0)</f>
        <v>8295.6908247106221</v>
      </c>
      <c r="H73" s="56">
        <f>IF(Q73&lt;&gt;"",IFERROR(VLOOKUP(Q73,PARTIDAS!A:P,15,FALSE()),0),0)</f>
        <v>235.08682967532812</v>
      </c>
      <c r="I73" s="57">
        <f t="shared" si="36"/>
        <v>11951.096974385951</v>
      </c>
      <c r="J73" s="58">
        <f t="shared" si="37"/>
        <v>1221053.9972400002</v>
      </c>
      <c r="K73" s="59">
        <f t="shared" si="38"/>
        <v>2961561.624421692</v>
      </c>
      <c r="L73" s="59">
        <f t="shared" si="39"/>
        <v>83925.998194092143</v>
      </c>
      <c r="M73" s="60">
        <f t="shared" si="40"/>
        <v>4266541.6198557848</v>
      </c>
      <c r="N73" s="61">
        <f t="shared" si="41"/>
        <v>4266541.6198557848</v>
      </c>
      <c r="O73" s="62"/>
      <c r="P73" s="59"/>
      <c r="Q73" s="63" t="s">
        <v>170</v>
      </c>
      <c r="R73" s="63">
        <v>1</v>
      </c>
      <c r="S73" s="63" t="s">
        <v>168</v>
      </c>
      <c r="T73" s="63"/>
      <c r="U73" s="63"/>
      <c r="V73" s="59">
        <v>4266541.6198557802</v>
      </c>
      <c r="W73" s="59">
        <f t="shared" si="42"/>
        <v>0</v>
      </c>
      <c r="X73" s="30">
        <f t="shared" si="43"/>
        <v>0</v>
      </c>
    </row>
    <row r="74" spans="1:25" ht="14.25" customHeight="1" x14ac:dyDescent="0.3">
      <c r="A74" s="113">
        <v>8.07</v>
      </c>
      <c r="B74" s="114" t="s">
        <v>2021</v>
      </c>
      <c r="C74" s="114" t="s">
        <v>171</v>
      </c>
      <c r="D74" s="114" t="s">
        <v>26</v>
      </c>
      <c r="E74" s="115">
        <v>0</v>
      </c>
      <c r="F74" s="64">
        <f>IF(Q74&lt;&gt;"",IFERROR(VLOOKUP(Q74,PARTIDAS!A:P,13,FALSE()),0),0)</f>
        <v>0</v>
      </c>
      <c r="G74" s="65">
        <f>IF(Q74&lt;&gt;"",IFERROR(VLOOKUP(Q74,PARTIDAS!A:P,14,FALSE()),0),0)</f>
        <v>0</v>
      </c>
      <c r="H74" s="65">
        <f>IF(Q74&lt;&gt;"",IFERROR(VLOOKUP(Q74,PARTIDAS!A:P,15,FALSE()),0),0)</f>
        <v>0</v>
      </c>
      <c r="I74" s="66">
        <f t="shared" si="36"/>
        <v>0</v>
      </c>
      <c r="J74" s="67">
        <f t="shared" si="37"/>
        <v>0</v>
      </c>
      <c r="K74" s="68">
        <f t="shared" si="38"/>
        <v>0</v>
      </c>
      <c r="L74" s="68">
        <f t="shared" si="39"/>
        <v>0</v>
      </c>
      <c r="M74" s="69">
        <f t="shared" si="40"/>
        <v>0</v>
      </c>
      <c r="N74" s="70">
        <f t="shared" si="41"/>
        <v>0</v>
      </c>
      <c r="O74" s="71"/>
      <c r="P74" s="68"/>
      <c r="Q74" s="72" t="s">
        <v>172</v>
      </c>
      <c r="R74" s="72">
        <v>1</v>
      </c>
      <c r="S74" s="72" t="s">
        <v>28</v>
      </c>
      <c r="T74" s="72"/>
      <c r="U74" s="72"/>
      <c r="V74" s="68">
        <v>0</v>
      </c>
      <c r="W74" s="68">
        <f t="shared" si="42"/>
        <v>0</v>
      </c>
      <c r="X74" s="30">
        <f t="shared" si="43"/>
        <v>0</v>
      </c>
    </row>
    <row r="75" spans="1:25" ht="14.25" customHeight="1" x14ac:dyDescent="0.3">
      <c r="A75" s="110">
        <v>8.08</v>
      </c>
      <c r="B75" s="111" t="s">
        <v>2021</v>
      </c>
      <c r="C75" s="111" t="s">
        <v>173</v>
      </c>
      <c r="D75" s="111" t="s">
        <v>26</v>
      </c>
      <c r="E75" s="112">
        <v>1</v>
      </c>
      <c r="F75" s="55">
        <f>IF(Q75&lt;&gt;"",IFERROR(VLOOKUP(Q75,PARTIDAS!A:P,13,FALSE()),0),0)</f>
        <v>88498.550382000016</v>
      </c>
      <c r="G75" s="56">
        <f>IF(Q75&lt;&gt;"",IFERROR(VLOOKUP(Q75,PARTIDAS!A:P,14,FALSE()),0),0)</f>
        <v>303706.02313966805</v>
      </c>
      <c r="H75" s="56">
        <f>IF(Q75&lt;&gt;"",IFERROR(VLOOKUP(Q75,PARTIDAS!A:P,15,FALSE()),0),0)</f>
        <v>5957.8657009641702</v>
      </c>
      <c r="I75" s="57">
        <f t="shared" si="36"/>
        <v>398162.43922263227</v>
      </c>
      <c r="J75" s="58">
        <f t="shared" si="37"/>
        <v>88498.550382000016</v>
      </c>
      <c r="K75" s="59">
        <f t="shared" si="38"/>
        <v>303706.02313966805</v>
      </c>
      <c r="L75" s="59">
        <f t="shared" si="39"/>
        <v>5957.8657009641702</v>
      </c>
      <c r="M75" s="60">
        <f t="shared" si="40"/>
        <v>398162.43922263227</v>
      </c>
      <c r="N75" s="61">
        <f t="shared" si="41"/>
        <v>398162.43922263227</v>
      </c>
      <c r="O75" s="62"/>
      <c r="P75" s="59"/>
      <c r="Q75" s="63" t="s">
        <v>174</v>
      </c>
      <c r="R75" s="63">
        <v>1</v>
      </c>
      <c r="S75" s="63" t="s">
        <v>32</v>
      </c>
      <c r="T75" s="63"/>
      <c r="U75" s="63"/>
      <c r="V75" s="59">
        <v>398087.64212449302</v>
      </c>
      <c r="W75" s="59">
        <f t="shared" si="42"/>
        <v>74.797098139242735</v>
      </c>
      <c r="X75" s="30">
        <f t="shared" si="43"/>
        <v>1.8789103258787322E-4</v>
      </c>
      <c r="Y75" s="34" t="s">
        <v>175</v>
      </c>
    </row>
    <row r="76" spans="1:25" ht="14.25" customHeight="1" x14ac:dyDescent="0.3">
      <c r="A76" s="108">
        <v>9</v>
      </c>
      <c r="B76" s="108"/>
      <c r="C76" s="108" t="s">
        <v>2022</v>
      </c>
      <c r="D76" s="108"/>
      <c r="E76" s="109"/>
      <c r="F76" s="73"/>
      <c r="G76" s="74"/>
      <c r="H76" s="74"/>
      <c r="I76" s="75"/>
      <c r="J76" s="76"/>
      <c r="K76" s="54"/>
      <c r="L76" s="54"/>
      <c r="M76" s="77"/>
      <c r="N76" s="78"/>
      <c r="O76" s="53">
        <f>SUM(M77:M79)</f>
        <v>5878466.6343339365</v>
      </c>
      <c r="P76" s="54">
        <f>SUM(N77:N79)</f>
        <v>5878466.6343339365</v>
      </c>
      <c r="Q76" s="46"/>
      <c r="R76" s="46"/>
      <c r="S76" s="46"/>
      <c r="T76" s="46"/>
      <c r="U76" s="46"/>
      <c r="V76" s="54"/>
      <c r="W76" s="54"/>
      <c r="X76" s="30">
        <f t="shared" si="43"/>
        <v>0</v>
      </c>
    </row>
    <row r="77" spans="1:25" ht="14.25" customHeight="1" x14ac:dyDescent="0.3">
      <c r="A77" s="110">
        <v>9.01</v>
      </c>
      <c r="B77" s="111" t="s">
        <v>2022</v>
      </c>
      <c r="C77" s="111" t="s">
        <v>176</v>
      </c>
      <c r="D77" s="111" t="s">
        <v>26</v>
      </c>
      <c r="E77" s="112">
        <v>1</v>
      </c>
      <c r="F77" s="55">
        <f>IF(Q77&lt;&gt;"",IFERROR(VLOOKUP(Q77,PARTIDAS!A:P,13,FALSE()),0),0)</f>
        <v>427516.45160946477</v>
      </c>
      <c r="G77" s="56">
        <f>IF(Q77&lt;&gt;"",IFERROR(VLOOKUP(Q77,PARTIDAS!A:P,14,FALSE()),0),0)</f>
        <v>2044758.1970187633</v>
      </c>
      <c r="H77" s="56">
        <f>IF(Q77&lt;&gt;"",IFERROR(VLOOKUP(Q77,PARTIDAS!A:P,15,FALSE()),0),0)</f>
        <v>37083.9965979279</v>
      </c>
      <c r="I77" s="57">
        <f>F77+G77+H77</f>
        <v>2509358.6452261559</v>
      </c>
      <c r="J77" s="58">
        <f>F77*E77</f>
        <v>427516.45160946477</v>
      </c>
      <c r="K77" s="59">
        <f>G77*E77</f>
        <v>2044758.1970187633</v>
      </c>
      <c r="L77" s="59">
        <f>H77*E77</f>
        <v>37083.9965979279</v>
      </c>
      <c r="M77" s="60">
        <f>I77*E77</f>
        <v>2509358.6452261559</v>
      </c>
      <c r="N77" s="61">
        <f>M77*$N$2</f>
        <v>2509358.6452261559</v>
      </c>
      <c r="O77" s="62"/>
      <c r="P77" s="59"/>
      <c r="Q77" s="63" t="s">
        <v>177</v>
      </c>
      <c r="R77" s="63">
        <v>1</v>
      </c>
      <c r="S77" s="63" t="s">
        <v>32</v>
      </c>
      <c r="T77" s="63"/>
      <c r="U77" s="63"/>
      <c r="V77" s="59">
        <v>2509350.43645979</v>
      </c>
      <c r="W77" s="59">
        <f>M77-V77</f>
        <v>8.2087663658894598</v>
      </c>
      <c r="X77" s="30">
        <f t="shared" si="43"/>
        <v>3.2712714201331112E-6</v>
      </c>
    </row>
    <row r="78" spans="1:25" ht="14.25" customHeight="1" x14ac:dyDescent="0.3">
      <c r="A78" s="113">
        <v>9.02</v>
      </c>
      <c r="B78" s="114" t="s">
        <v>2022</v>
      </c>
      <c r="C78" s="114" t="s">
        <v>178</v>
      </c>
      <c r="D78" s="114" t="s">
        <v>26</v>
      </c>
      <c r="E78" s="115">
        <v>1</v>
      </c>
      <c r="F78" s="64">
        <f>IF(Q78&lt;&gt;"",IFERROR(VLOOKUP(Q78,PARTIDAS!A:P,13,FALSE()),0),0)</f>
        <v>463902.76859503996</v>
      </c>
      <c r="G78" s="65">
        <f>IF(Q78&lt;&gt;"",IFERROR(VLOOKUP(Q78,PARTIDAS!A:P,14,FALSE()),0),0)</f>
        <v>1775796.2015776928</v>
      </c>
      <c r="H78" s="65">
        <f>IF(Q78&lt;&gt;"",IFERROR(VLOOKUP(Q78,PARTIDAS!A:P,15,FALSE()),0),0)</f>
        <v>33595.484552590999</v>
      </c>
      <c r="I78" s="66">
        <f>F78+G78+H78</f>
        <v>2273294.4547253237</v>
      </c>
      <c r="J78" s="67">
        <f>F78*E78</f>
        <v>463902.76859503996</v>
      </c>
      <c r="K78" s="68">
        <f>G78*E78</f>
        <v>1775796.2015776928</v>
      </c>
      <c r="L78" s="68">
        <f>H78*E78</f>
        <v>33595.484552590999</v>
      </c>
      <c r="M78" s="69">
        <f>I78*E78</f>
        <v>2273294.4547253237</v>
      </c>
      <c r="N78" s="70">
        <f>M78*$N$2</f>
        <v>2273294.4547253237</v>
      </c>
      <c r="O78" s="71"/>
      <c r="P78" s="68"/>
      <c r="Q78" s="72" t="s">
        <v>179</v>
      </c>
      <c r="R78" s="72">
        <v>1</v>
      </c>
      <c r="S78" s="72" t="s">
        <v>32</v>
      </c>
      <c r="T78" s="72"/>
      <c r="U78" s="72"/>
      <c r="V78" s="68">
        <v>2273294.4547253302</v>
      </c>
      <c r="W78" s="68">
        <f>M78-V78</f>
        <v>-6.5192580223083496E-9</v>
      </c>
      <c r="X78" s="30">
        <f t="shared" si="43"/>
        <v>-2.8677578519391742E-15</v>
      </c>
    </row>
    <row r="79" spans="1:25" ht="14.25" customHeight="1" x14ac:dyDescent="0.3">
      <c r="A79" s="110">
        <v>9.0299999999999994</v>
      </c>
      <c r="B79" s="111" t="s">
        <v>2022</v>
      </c>
      <c r="C79" s="111" t="s">
        <v>180</v>
      </c>
      <c r="D79" s="111" t="s">
        <v>36</v>
      </c>
      <c r="E79" s="112">
        <v>114</v>
      </c>
      <c r="F79" s="55">
        <f>IF(Q79&lt;&gt;"",IFERROR(VLOOKUP(Q79,PARTIDAS!A:P,13,FALSE()),0),0)</f>
        <v>827.27861400000006</v>
      </c>
      <c r="G79" s="56">
        <f>IF(Q79&lt;&gt;"",IFERROR(VLOOKUP(Q79,PARTIDAS!A:P,14,FALSE()),0),0)</f>
        <v>8648.0955305461393</v>
      </c>
      <c r="H79" s="56">
        <f>IF(Q79&lt;&gt;"",IFERROR(VLOOKUP(Q79,PARTIDAS!A:P,15,FALSE()),0),0)</f>
        <v>137.02527986137548</v>
      </c>
      <c r="I79" s="57">
        <f>F79+G79+H79</f>
        <v>9612.3994244075147</v>
      </c>
      <c r="J79" s="58">
        <f>F79*E79</f>
        <v>94309.761996000001</v>
      </c>
      <c r="K79" s="59">
        <f>G79*E79</f>
        <v>985882.89048225991</v>
      </c>
      <c r="L79" s="59">
        <f>H79*E79</f>
        <v>15620.881904196805</v>
      </c>
      <c r="M79" s="60">
        <f>I79*E79</f>
        <v>1095813.5343824567</v>
      </c>
      <c r="N79" s="61">
        <f>M79*$N$2</f>
        <v>1095813.5343824567</v>
      </c>
      <c r="O79" s="62"/>
      <c r="P79" s="59"/>
      <c r="Q79" s="63" t="s">
        <v>181</v>
      </c>
      <c r="R79" s="63">
        <v>1</v>
      </c>
      <c r="S79" s="63" t="s">
        <v>125</v>
      </c>
      <c r="T79" s="63"/>
      <c r="U79" s="63"/>
      <c r="V79" s="59">
        <v>1095813.5343824599</v>
      </c>
      <c r="W79" s="59">
        <f>M79-V79</f>
        <v>-3.2596290111541748E-9</v>
      </c>
      <c r="X79" s="30">
        <f t="shared" si="43"/>
        <v>-2.9746201419123024E-15</v>
      </c>
    </row>
    <row r="80" spans="1:25" ht="14.25" customHeight="1" x14ac:dyDescent="0.3">
      <c r="A80" s="108">
        <v>10</v>
      </c>
      <c r="B80" s="108"/>
      <c r="C80" s="108" t="s">
        <v>2023</v>
      </c>
      <c r="D80" s="108"/>
      <c r="E80" s="109"/>
      <c r="F80" s="73"/>
      <c r="G80" s="74"/>
      <c r="H80" s="74"/>
      <c r="I80" s="75"/>
      <c r="J80" s="76"/>
      <c r="K80" s="54"/>
      <c r="L80" s="54"/>
      <c r="M80" s="77"/>
      <c r="N80" s="78"/>
      <c r="O80" s="53">
        <f>SUM(M81:M83)</f>
        <v>4784535.9687879756</v>
      </c>
      <c r="P80" s="54">
        <f>SUM(N81:N83)</f>
        <v>4784535.9687879756</v>
      </c>
      <c r="Q80" s="46"/>
      <c r="R80" s="46"/>
      <c r="S80" s="46"/>
      <c r="T80" s="46"/>
      <c r="U80" s="46"/>
      <c r="V80" s="54"/>
      <c r="W80" s="54"/>
      <c r="X80" s="30">
        <f t="shared" si="43"/>
        <v>0</v>
      </c>
    </row>
    <row r="81" spans="1:24" ht="14.25" customHeight="1" x14ac:dyDescent="0.3">
      <c r="A81" s="110">
        <v>10.01</v>
      </c>
      <c r="B81" s="111" t="s">
        <v>2023</v>
      </c>
      <c r="C81" s="111" t="s">
        <v>182</v>
      </c>
      <c r="D81" s="111" t="s">
        <v>26</v>
      </c>
      <c r="E81" s="112">
        <v>1</v>
      </c>
      <c r="F81" s="55">
        <f>IF(Q81&lt;&gt;"",IFERROR(VLOOKUP(Q81,PARTIDAS!A:P,13,FALSE()),0),0)</f>
        <v>250000</v>
      </c>
      <c r="G81" s="56">
        <f>IF(Q81&lt;&gt;"",IFERROR(VLOOKUP(Q81,PARTIDAS!A:P,14,FALSE()),0),0)</f>
        <v>1663092.76249129</v>
      </c>
      <c r="H81" s="56">
        <f>IF(Q81&lt;&gt;"",IFERROR(VLOOKUP(Q81,PARTIDAS!A:P,15,FALSE()),0),0)</f>
        <v>28696.391437369301</v>
      </c>
      <c r="I81" s="57">
        <f>F81+G81+H81</f>
        <v>1941789.1539286594</v>
      </c>
      <c r="J81" s="58">
        <f>F81*E81</f>
        <v>250000</v>
      </c>
      <c r="K81" s="59">
        <f>G81*E81</f>
        <v>1663092.76249129</v>
      </c>
      <c r="L81" s="59">
        <f>H81*E81</f>
        <v>28696.391437369301</v>
      </c>
      <c r="M81" s="60">
        <f>I81*E81</f>
        <v>1941789.1539286594</v>
      </c>
      <c r="N81" s="61">
        <f>M81*$N$2</f>
        <v>1941789.1539286594</v>
      </c>
      <c r="O81" s="62"/>
      <c r="P81" s="59"/>
      <c r="Q81" s="63" t="s">
        <v>183</v>
      </c>
      <c r="R81" s="63">
        <v>1</v>
      </c>
      <c r="S81" s="63" t="s">
        <v>32</v>
      </c>
      <c r="T81" s="63"/>
      <c r="U81" s="63"/>
      <c r="V81" s="59">
        <v>1941789.1539286601</v>
      </c>
      <c r="W81" s="59">
        <f>M81-V81</f>
        <v>0</v>
      </c>
      <c r="X81" s="30">
        <f t="shared" si="43"/>
        <v>0</v>
      </c>
    </row>
    <row r="82" spans="1:24" ht="14.25" customHeight="1" x14ac:dyDescent="0.3">
      <c r="A82" s="113">
        <v>10.02</v>
      </c>
      <c r="B82" s="114" t="s">
        <v>2023</v>
      </c>
      <c r="C82" s="114" t="s">
        <v>184</v>
      </c>
      <c r="D82" s="114" t="s">
        <v>26</v>
      </c>
      <c r="E82" s="115">
        <v>1</v>
      </c>
      <c r="F82" s="64">
        <f>IF(Q82&lt;&gt;"",IFERROR(VLOOKUP(Q82,PARTIDAS!A:P,13,FALSE()),0),0)</f>
        <v>250000</v>
      </c>
      <c r="G82" s="65">
        <f>IF(Q82&lt;&gt;"",IFERROR(VLOOKUP(Q82,PARTIDAS!A:P,14,FALSE()),0),0)</f>
        <v>1663092.76249129</v>
      </c>
      <c r="H82" s="65">
        <f>IF(Q82&lt;&gt;"",IFERROR(VLOOKUP(Q82,PARTIDAS!A:P,15,FALSE()),0),0)</f>
        <v>28696.391437369301</v>
      </c>
      <c r="I82" s="66">
        <f>F82+G82+H82</f>
        <v>1941789.1539286594</v>
      </c>
      <c r="J82" s="67">
        <f>F82*E82</f>
        <v>250000</v>
      </c>
      <c r="K82" s="68">
        <f>G82*E82</f>
        <v>1663092.76249129</v>
      </c>
      <c r="L82" s="68">
        <f>H82*E82</f>
        <v>28696.391437369301</v>
      </c>
      <c r="M82" s="69">
        <f>I82*E82</f>
        <v>1941789.1539286594</v>
      </c>
      <c r="N82" s="70">
        <f>M82*$N$2</f>
        <v>1941789.1539286594</v>
      </c>
      <c r="O82" s="71"/>
      <c r="P82" s="68"/>
      <c r="Q82" s="72" t="s">
        <v>185</v>
      </c>
      <c r="R82" s="72">
        <v>1</v>
      </c>
      <c r="S82" s="72" t="s">
        <v>32</v>
      </c>
      <c r="T82" s="72"/>
      <c r="U82" s="72"/>
      <c r="V82" s="68">
        <v>1941789.1539286601</v>
      </c>
      <c r="W82" s="68">
        <f>M82-V82</f>
        <v>0</v>
      </c>
      <c r="X82" s="30">
        <f t="shared" si="43"/>
        <v>0</v>
      </c>
    </row>
    <row r="83" spans="1:24" ht="14.25" customHeight="1" x14ac:dyDescent="0.3">
      <c r="A83" s="110">
        <v>10.029999999999999</v>
      </c>
      <c r="B83" s="111" t="s">
        <v>2023</v>
      </c>
      <c r="C83" s="111" t="s">
        <v>186</v>
      </c>
      <c r="D83" s="111" t="s">
        <v>98</v>
      </c>
      <c r="E83" s="112">
        <v>7</v>
      </c>
      <c r="F83" s="55">
        <f>IF(Q83&lt;&gt;"",IFERROR(VLOOKUP(Q83,PARTIDAS!A:P,13,FALSE()),0),0)</f>
        <v>31772.201561033078</v>
      </c>
      <c r="G83" s="56">
        <f>IF(Q83&lt;&gt;"",IFERROR(VLOOKUP(Q83,PARTIDAS!A:P,14,FALSE()),0),0)</f>
        <v>95033.943417763541</v>
      </c>
      <c r="H83" s="56">
        <f>IF(Q83&lt;&gt;"",IFERROR(VLOOKUP(Q83,PARTIDAS!A:P,15,FALSE()),0),0)</f>
        <v>1902.09229701142</v>
      </c>
      <c r="I83" s="57">
        <f>F83+G83+H83</f>
        <v>128708.23727580805</v>
      </c>
      <c r="J83" s="58">
        <f>F83*E83</f>
        <v>222405.41092723154</v>
      </c>
      <c r="K83" s="59">
        <f>G83*E83</f>
        <v>665237.60392434476</v>
      </c>
      <c r="L83" s="59">
        <f>H83*E83</f>
        <v>13314.646079079939</v>
      </c>
      <c r="M83" s="60">
        <f>I83*E83</f>
        <v>900957.66093065636</v>
      </c>
      <c r="N83" s="61">
        <f>M83*$N$2</f>
        <v>900957.66093065636</v>
      </c>
      <c r="O83" s="62"/>
      <c r="P83" s="59"/>
      <c r="Q83" s="63" t="s">
        <v>187</v>
      </c>
      <c r="R83" s="63">
        <v>1</v>
      </c>
      <c r="S83" s="63" t="s">
        <v>32</v>
      </c>
      <c r="T83" s="63"/>
      <c r="U83" s="63"/>
      <c r="V83" s="59">
        <v>900957.71801774495</v>
      </c>
      <c r="W83" s="59">
        <f>M83-V83</f>
        <v>-5.7087088585831225E-2</v>
      </c>
      <c r="X83" s="30">
        <f t="shared" si="43"/>
        <v>-6.3362672236641918E-8</v>
      </c>
    </row>
    <row r="84" spans="1:24" ht="14.25" customHeight="1" x14ac:dyDescent="0.3">
      <c r="A84" s="108">
        <v>11</v>
      </c>
      <c r="B84" s="108"/>
      <c r="C84" s="108" t="s">
        <v>2024</v>
      </c>
      <c r="D84" s="108"/>
      <c r="E84" s="109"/>
      <c r="F84" s="73"/>
      <c r="G84" s="74"/>
      <c r="H84" s="74"/>
      <c r="I84" s="75"/>
      <c r="J84" s="76"/>
      <c r="K84" s="54"/>
      <c r="L84" s="54"/>
      <c r="M84" s="77"/>
      <c r="N84" s="78"/>
      <c r="O84" s="53">
        <f>SUM(M85:M91)</f>
        <v>27324424.686844073</v>
      </c>
      <c r="P84" s="54">
        <f>SUM(N85:N91)</f>
        <v>27324424.686844073</v>
      </c>
      <c r="Q84" s="46"/>
      <c r="R84" s="46"/>
      <c r="S84" s="46"/>
      <c r="T84" s="46"/>
      <c r="U84" s="46"/>
      <c r="V84" s="54"/>
      <c r="W84" s="54"/>
      <c r="X84" s="30">
        <f t="shared" si="43"/>
        <v>0</v>
      </c>
    </row>
    <row r="85" spans="1:24" ht="14.25" customHeight="1" x14ac:dyDescent="0.3">
      <c r="A85" s="110">
        <v>11.01</v>
      </c>
      <c r="B85" s="111" t="s">
        <v>2024</v>
      </c>
      <c r="C85" s="111" t="s">
        <v>2025</v>
      </c>
      <c r="D85" s="111" t="s">
        <v>50</v>
      </c>
      <c r="E85" s="112">
        <v>101</v>
      </c>
      <c r="F85" s="55">
        <f>IF(Q85&lt;&gt;"",IFERROR(VLOOKUP(Q85,PARTIDAS!A:P,13,FALSE()),0),0)</f>
        <v>6932.2708051239679</v>
      </c>
      <c r="G85" s="56">
        <f>IF(Q85&lt;&gt;"",IFERROR(VLOOKUP(Q85,PARTIDAS!A:P,14,FALSE()),0),0)</f>
        <v>12793.021249933001</v>
      </c>
      <c r="H85" s="56">
        <f>IF(Q85&lt;&gt;"",IFERROR(VLOOKUP(Q85,PARTIDAS!A:P,15,FALSE()),0),0)</f>
        <v>245.4342096733794</v>
      </c>
      <c r="I85" s="57">
        <f t="shared" ref="I85:I91" si="44">F85+G85+H85</f>
        <v>19970.726264730347</v>
      </c>
      <c r="J85" s="58">
        <f t="shared" ref="J85:J91" si="45">F85*E85</f>
        <v>700159.35131752072</v>
      </c>
      <c r="K85" s="59">
        <f t="shared" ref="K85:K91" si="46">G85*E85</f>
        <v>1292095.146243233</v>
      </c>
      <c r="L85" s="59">
        <f t="shared" ref="L85:L91" si="47">H85*E85</f>
        <v>24788.855177011319</v>
      </c>
      <c r="M85" s="60">
        <f t="shared" ref="M85:M91" si="48">I85*E85</f>
        <v>2017043.3527377651</v>
      </c>
      <c r="N85" s="61">
        <f t="shared" ref="N85:N91" si="49">M85*$N$2</f>
        <v>2017043.3527377651</v>
      </c>
      <c r="O85" s="62"/>
      <c r="P85" s="59"/>
      <c r="Q85" s="63" t="s">
        <v>189</v>
      </c>
      <c r="R85" s="63">
        <v>1</v>
      </c>
      <c r="S85" s="63" t="s">
        <v>190</v>
      </c>
      <c r="T85" s="63"/>
      <c r="U85" s="63"/>
      <c r="V85" s="59">
        <v>2017043.35273777</v>
      </c>
      <c r="W85" s="59">
        <f t="shared" ref="W85:W91" si="50">M85-V85</f>
        <v>-4.8894435167312622E-9</v>
      </c>
      <c r="X85" s="30">
        <f t="shared" si="43"/>
        <v>-2.424064663803448E-15</v>
      </c>
    </row>
    <row r="86" spans="1:24" ht="14.25" customHeight="1" x14ac:dyDescent="0.3">
      <c r="A86" s="113">
        <v>11.02</v>
      </c>
      <c r="B86" s="114" t="s">
        <v>2024</v>
      </c>
      <c r="C86" s="114" t="s">
        <v>191</v>
      </c>
      <c r="D86" s="114" t="s">
        <v>50</v>
      </c>
      <c r="E86" s="115">
        <v>898</v>
      </c>
      <c r="F86" s="64">
        <f>IF(Q86&lt;&gt;"",IFERROR(VLOOKUP(Q86,PARTIDAS!A:P,13,FALSE()),0),0)</f>
        <v>6932.2708051239679</v>
      </c>
      <c r="G86" s="65">
        <f>IF(Q86&lt;&gt;"",IFERROR(VLOOKUP(Q86,PARTIDAS!A:P,14,FALSE()),0),0)</f>
        <v>12793.021249933001</v>
      </c>
      <c r="H86" s="65">
        <f>IF(Q86&lt;&gt;"",IFERROR(VLOOKUP(Q86,PARTIDAS!A:P,15,FALSE()),0),0)</f>
        <v>245.4342096733794</v>
      </c>
      <c r="I86" s="66">
        <f t="shared" si="44"/>
        <v>19970.726264730347</v>
      </c>
      <c r="J86" s="67">
        <f t="shared" si="45"/>
        <v>6225179.1830013236</v>
      </c>
      <c r="K86" s="68">
        <f t="shared" si="46"/>
        <v>11488133.082439834</v>
      </c>
      <c r="L86" s="68">
        <f t="shared" si="47"/>
        <v>220399.92028669469</v>
      </c>
      <c r="M86" s="69">
        <f t="shared" si="48"/>
        <v>17933712.185727853</v>
      </c>
      <c r="N86" s="70">
        <f t="shared" si="49"/>
        <v>17933712.185727853</v>
      </c>
      <c r="O86" s="71"/>
      <c r="P86" s="68"/>
      <c r="Q86" s="72" t="s">
        <v>192</v>
      </c>
      <c r="R86" s="72">
        <v>1</v>
      </c>
      <c r="S86" s="72" t="s">
        <v>190</v>
      </c>
      <c r="T86" s="72"/>
      <c r="U86" s="72"/>
      <c r="V86" s="68">
        <v>17933712.185727902</v>
      </c>
      <c r="W86" s="68">
        <f t="shared" si="50"/>
        <v>-4.8428773880004883E-8</v>
      </c>
      <c r="X86" s="30">
        <f t="shared" si="43"/>
        <v>-2.7004322015687146E-15</v>
      </c>
    </row>
    <row r="87" spans="1:24" ht="14.25" customHeight="1" x14ac:dyDescent="0.3">
      <c r="A87" s="110">
        <v>11.03</v>
      </c>
      <c r="B87" s="111" t="s">
        <v>2024</v>
      </c>
      <c r="C87" s="111" t="s">
        <v>193</v>
      </c>
      <c r="D87" s="111" t="s">
        <v>50</v>
      </c>
      <c r="E87" s="112">
        <v>88</v>
      </c>
      <c r="F87" s="55">
        <f>IF(Q87&lt;&gt;"",IFERROR(VLOOKUP(Q87,PARTIDAS!A:P,13,FALSE()),0),0)</f>
        <v>6932.2708051239679</v>
      </c>
      <c r="G87" s="56">
        <f>IF(Q87&lt;&gt;"",IFERROR(VLOOKUP(Q87,PARTIDAS!A:P,14,FALSE()),0),0)</f>
        <v>16630.9276249129</v>
      </c>
      <c r="H87" s="56">
        <f>IF(Q87&lt;&gt;"",IFERROR(VLOOKUP(Q87,PARTIDAS!A:P,15,FALSE()),0),0)</f>
        <v>319.06447257539321</v>
      </c>
      <c r="I87" s="57">
        <f t="shared" si="44"/>
        <v>23882.262902612259</v>
      </c>
      <c r="J87" s="58">
        <f t="shared" si="45"/>
        <v>610039.83085090923</v>
      </c>
      <c r="K87" s="59">
        <f t="shared" si="46"/>
        <v>1463521.6309923353</v>
      </c>
      <c r="L87" s="59">
        <f t="shared" si="47"/>
        <v>28077.673586634603</v>
      </c>
      <c r="M87" s="60">
        <f t="shared" si="48"/>
        <v>2101639.1354298787</v>
      </c>
      <c r="N87" s="61">
        <f t="shared" si="49"/>
        <v>2101639.1354298787</v>
      </c>
      <c r="O87" s="62"/>
      <c r="P87" s="59"/>
      <c r="Q87" s="63" t="s">
        <v>194</v>
      </c>
      <c r="R87" s="63">
        <v>1</v>
      </c>
      <c r="S87" s="63" t="s">
        <v>195</v>
      </c>
      <c r="T87" s="63"/>
      <c r="U87" s="63"/>
      <c r="V87" s="59">
        <v>2101639.1354298801</v>
      </c>
      <c r="W87" s="59">
        <f t="shared" si="50"/>
        <v>0</v>
      </c>
      <c r="X87" s="30">
        <f t="shared" si="43"/>
        <v>0</v>
      </c>
    </row>
    <row r="88" spans="1:24" ht="14.25" customHeight="1" x14ac:dyDescent="0.3">
      <c r="A88" s="113">
        <v>11.04</v>
      </c>
      <c r="B88" s="114" t="s">
        <v>2024</v>
      </c>
      <c r="C88" s="114" t="s">
        <v>196</v>
      </c>
      <c r="D88" s="114" t="s">
        <v>50</v>
      </c>
      <c r="E88" s="115">
        <v>63</v>
      </c>
      <c r="F88" s="64">
        <f>IF(Q88&lt;&gt;"",IFERROR(VLOOKUP(Q88,PARTIDAS!A:P,13,FALSE()),0),0)</f>
        <v>6932.2708051239679</v>
      </c>
      <c r="G88" s="65">
        <f>IF(Q88&lt;&gt;"",IFERROR(VLOOKUP(Q88,PARTIDAS!A:P,14,FALSE()),0),0)</f>
        <v>12793.021249933001</v>
      </c>
      <c r="H88" s="65">
        <f>IF(Q88&lt;&gt;"",IFERROR(VLOOKUP(Q88,PARTIDAS!A:P,15,FALSE()),0),0)</f>
        <v>245.4342096733794</v>
      </c>
      <c r="I88" s="66">
        <f t="shared" si="44"/>
        <v>19970.726264730347</v>
      </c>
      <c r="J88" s="67">
        <f t="shared" si="45"/>
        <v>436733.06072280998</v>
      </c>
      <c r="K88" s="68">
        <f t="shared" si="46"/>
        <v>805960.33874577901</v>
      </c>
      <c r="L88" s="68">
        <f t="shared" si="47"/>
        <v>15462.355209422902</v>
      </c>
      <c r="M88" s="69">
        <f t="shared" si="48"/>
        <v>1258155.7546780119</v>
      </c>
      <c r="N88" s="70">
        <f t="shared" si="49"/>
        <v>1258155.7546780119</v>
      </c>
      <c r="O88" s="71"/>
      <c r="P88" s="68"/>
      <c r="Q88" s="72" t="s">
        <v>197</v>
      </c>
      <c r="R88" s="72">
        <v>1</v>
      </c>
      <c r="S88" s="72" t="s">
        <v>190</v>
      </c>
      <c r="T88" s="72"/>
      <c r="U88" s="72"/>
      <c r="V88" s="68">
        <v>1258155.75467801</v>
      </c>
      <c r="W88" s="68">
        <f t="shared" si="50"/>
        <v>1.862645149230957E-9</v>
      </c>
      <c r="X88" s="30">
        <f t="shared" si="43"/>
        <v>1.480456725890547E-15</v>
      </c>
    </row>
    <row r="89" spans="1:24" ht="14.25" customHeight="1" x14ac:dyDescent="0.3">
      <c r="A89" s="110">
        <v>11.05</v>
      </c>
      <c r="B89" s="111" t="s">
        <v>2024</v>
      </c>
      <c r="C89" s="111" t="s">
        <v>198</v>
      </c>
      <c r="D89" s="111" t="s">
        <v>50</v>
      </c>
      <c r="E89" s="112">
        <v>25</v>
      </c>
      <c r="F89" s="55">
        <f>IF(Q89&lt;&gt;"",IFERROR(VLOOKUP(Q89,PARTIDAS!A:P,13,FALSE()),0),0)</f>
        <v>0</v>
      </c>
      <c r="G89" s="56">
        <f>IF(Q89&lt;&gt;"",IFERROR(VLOOKUP(Q89,PARTIDAS!A:P,14,FALSE()),0),0)</f>
        <v>0</v>
      </c>
      <c r="H89" s="56">
        <f>IF(Q89&lt;&gt;"",IFERROR(VLOOKUP(Q89,PARTIDAS!A:P,15,FALSE()),0),0)</f>
        <v>0</v>
      </c>
      <c r="I89" s="57">
        <f t="shared" si="44"/>
        <v>0</v>
      </c>
      <c r="J89" s="58">
        <f t="shared" si="45"/>
        <v>0</v>
      </c>
      <c r="K89" s="59">
        <f t="shared" si="46"/>
        <v>0</v>
      </c>
      <c r="L89" s="59">
        <f t="shared" si="47"/>
        <v>0</v>
      </c>
      <c r="M89" s="60">
        <f t="shared" si="48"/>
        <v>0</v>
      </c>
      <c r="N89" s="61">
        <f t="shared" si="49"/>
        <v>0</v>
      </c>
      <c r="O89" s="62"/>
      <c r="P89" s="59"/>
      <c r="Q89" s="63" t="s">
        <v>199</v>
      </c>
      <c r="R89" s="63">
        <v>1</v>
      </c>
      <c r="S89" s="63" t="s">
        <v>28</v>
      </c>
      <c r="T89" s="63"/>
      <c r="U89" s="63"/>
      <c r="V89" s="59">
        <v>0</v>
      </c>
      <c r="W89" s="59">
        <f t="shared" si="50"/>
        <v>0</v>
      </c>
      <c r="X89" s="30">
        <f t="shared" si="43"/>
        <v>0</v>
      </c>
    </row>
    <row r="90" spans="1:24" ht="14.25" customHeight="1" x14ac:dyDescent="0.3">
      <c r="A90" s="113">
        <v>11.06</v>
      </c>
      <c r="B90" s="114" t="s">
        <v>2024</v>
      </c>
      <c r="C90" s="114" t="s">
        <v>200</v>
      </c>
      <c r="D90" s="114" t="s">
        <v>50</v>
      </c>
      <c r="E90" s="115">
        <v>27</v>
      </c>
      <c r="F90" s="64">
        <f>IF(Q90&lt;&gt;"",IFERROR(VLOOKUP(Q90,PARTIDAS!A:P,13,FALSE()),0),0)</f>
        <v>4104.3831840000003</v>
      </c>
      <c r="G90" s="65">
        <f>IF(Q90&lt;&gt;"",IFERROR(VLOOKUP(Q90,PARTIDAS!A:P,14,FALSE()),0),0)</f>
        <v>11112.816288145452</v>
      </c>
      <c r="H90" s="65">
        <f>IF(Q90&lt;&gt;"",IFERROR(VLOOKUP(Q90,PARTIDAS!A:P,15,FALSE()),0),0)</f>
        <v>306.63499522868881</v>
      </c>
      <c r="I90" s="66">
        <f t="shared" si="44"/>
        <v>15523.834467374141</v>
      </c>
      <c r="J90" s="67">
        <f t="shared" si="45"/>
        <v>110818.34596800001</v>
      </c>
      <c r="K90" s="68">
        <f t="shared" si="46"/>
        <v>300046.03977992717</v>
      </c>
      <c r="L90" s="68">
        <f t="shared" si="47"/>
        <v>8279.1448711745979</v>
      </c>
      <c r="M90" s="69">
        <f t="shared" si="48"/>
        <v>419143.53061910183</v>
      </c>
      <c r="N90" s="70">
        <f t="shared" si="49"/>
        <v>419143.53061910183</v>
      </c>
      <c r="O90" s="71"/>
      <c r="P90" s="68"/>
      <c r="Q90" s="72" t="s">
        <v>201</v>
      </c>
      <c r="R90" s="72">
        <v>1</v>
      </c>
      <c r="S90" s="72" t="s">
        <v>202</v>
      </c>
      <c r="T90" s="72"/>
      <c r="U90" s="72"/>
      <c r="V90" s="68">
        <v>419143.53061910201</v>
      </c>
      <c r="W90" s="68">
        <f t="shared" si="50"/>
        <v>0</v>
      </c>
      <c r="X90" s="30">
        <f t="shared" si="43"/>
        <v>0</v>
      </c>
    </row>
    <row r="91" spans="1:24" ht="14.25" customHeight="1" x14ac:dyDescent="0.3">
      <c r="A91" s="110">
        <v>11.07</v>
      </c>
      <c r="B91" s="111" t="s">
        <v>2024</v>
      </c>
      <c r="C91" s="111" t="s">
        <v>203</v>
      </c>
      <c r="D91" s="111" t="s">
        <v>50</v>
      </c>
      <c r="E91" s="112">
        <v>180</v>
      </c>
      <c r="F91" s="55">
        <f>IF(Q91&lt;&gt;"",IFERROR(VLOOKUP(Q91,PARTIDAS!A:P,13,FALSE()),0),0)</f>
        <v>6932.2708051239679</v>
      </c>
      <c r="G91" s="56">
        <f>IF(Q91&lt;&gt;"",IFERROR(VLOOKUP(Q91,PARTIDAS!A:P,14,FALSE()),0),0)</f>
        <v>12793.021249933001</v>
      </c>
      <c r="H91" s="56">
        <f>IF(Q91&lt;&gt;"",IFERROR(VLOOKUP(Q91,PARTIDAS!A:P,15,FALSE()),0),0)</f>
        <v>245.4342096733794</v>
      </c>
      <c r="I91" s="57">
        <f t="shared" si="44"/>
        <v>19970.726264730347</v>
      </c>
      <c r="J91" s="58">
        <f t="shared" si="45"/>
        <v>1247808.7449223143</v>
      </c>
      <c r="K91" s="59">
        <f t="shared" si="46"/>
        <v>2302743.82498794</v>
      </c>
      <c r="L91" s="59">
        <f t="shared" si="47"/>
        <v>44178.157741208292</v>
      </c>
      <c r="M91" s="60">
        <f t="shared" si="48"/>
        <v>3594730.7276514624</v>
      </c>
      <c r="N91" s="61">
        <f t="shared" si="49"/>
        <v>3594730.7276514624</v>
      </c>
      <c r="O91" s="62"/>
      <c r="P91" s="59"/>
      <c r="Q91" s="63" t="s">
        <v>204</v>
      </c>
      <c r="R91" s="63">
        <v>1</v>
      </c>
      <c r="S91" s="63" t="s">
        <v>190</v>
      </c>
      <c r="T91" s="63"/>
      <c r="U91" s="63"/>
      <c r="V91" s="59">
        <v>3594730.7276514601</v>
      </c>
      <c r="W91" s="59">
        <f t="shared" si="50"/>
        <v>0</v>
      </c>
      <c r="X91" s="30">
        <f t="shared" si="43"/>
        <v>0</v>
      </c>
    </row>
    <row r="92" spans="1:24" ht="14.25" customHeight="1" x14ac:dyDescent="0.3">
      <c r="A92" s="108">
        <v>12</v>
      </c>
      <c r="B92" s="108"/>
      <c r="C92" s="108" t="s">
        <v>2026</v>
      </c>
      <c r="D92" s="108"/>
      <c r="E92" s="109"/>
      <c r="F92" s="73"/>
      <c r="G92" s="74"/>
      <c r="H92" s="74"/>
      <c r="I92" s="75"/>
      <c r="J92" s="76"/>
      <c r="K92" s="54"/>
      <c r="L92" s="54"/>
      <c r="M92" s="77"/>
      <c r="N92" s="78"/>
      <c r="O92" s="53">
        <f>SUM(M93:M96)</f>
        <v>11405960.479245892</v>
      </c>
      <c r="P92" s="54">
        <f>SUM(N93:N96)</f>
        <v>11405960.479245892</v>
      </c>
      <c r="Q92" s="46"/>
      <c r="R92" s="46"/>
      <c r="S92" s="46"/>
      <c r="T92" s="46"/>
      <c r="U92" s="46"/>
      <c r="V92" s="54"/>
      <c r="W92" s="54"/>
      <c r="X92" s="30">
        <f t="shared" si="43"/>
        <v>0</v>
      </c>
    </row>
    <row r="93" spans="1:24" ht="14.25" customHeight="1" x14ac:dyDescent="0.3">
      <c r="A93" s="110">
        <v>12.01</v>
      </c>
      <c r="B93" s="111" t="s">
        <v>2026</v>
      </c>
      <c r="C93" s="111" t="s">
        <v>205</v>
      </c>
      <c r="D93" s="111" t="s">
        <v>36</v>
      </c>
      <c r="E93" s="112">
        <v>792</v>
      </c>
      <c r="F93" s="55">
        <f>IF(Q93&lt;&gt;"",IFERROR(VLOOKUP(Q93,PARTIDAS!A:P,13,FALSE()),0),0)</f>
        <v>4349.9861450413264</v>
      </c>
      <c r="G93" s="56">
        <f>IF(Q93&lt;&gt;"",IFERROR(VLOOKUP(Q93,PARTIDAS!A:P,14,FALSE()),0),0)</f>
        <v>5122.3334930063902</v>
      </c>
      <c r="H93" s="56">
        <f>IF(Q93&lt;&gt;"",IFERROR(VLOOKUP(Q93,PARTIDAS!A:P,15,FALSE()),0),0)</f>
        <v>142.08512790120599</v>
      </c>
      <c r="I93" s="57">
        <f>F93+G93+H93</f>
        <v>9614.4047659489224</v>
      </c>
      <c r="J93" s="58">
        <f>F93*E93</f>
        <v>3445189.0268727303</v>
      </c>
      <c r="K93" s="59">
        <f>G93*E93</f>
        <v>4056888.1264610612</v>
      </c>
      <c r="L93" s="59">
        <f>H93*E93</f>
        <v>112531.42129775515</v>
      </c>
      <c r="M93" s="60">
        <f>I93*E93</f>
        <v>7614608.5746315466</v>
      </c>
      <c r="N93" s="61">
        <f>M93*$N$2</f>
        <v>7614608.5746315466</v>
      </c>
      <c r="O93" s="62"/>
      <c r="P93" s="59"/>
      <c r="Q93" s="63" t="s">
        <v>206</v>
      </c>
      <c r="R93" s="63">
        <v>1</v>
      </c>
      <c r="S93" s="63" t="s">
        <v>32</v>
      </c>
      <c r="T93" s="63"/>
      <c r="U93" s="63"/>
      <c r="V93" s="59">
        <v>7614626.1744814403</v>
      </c>
      <c r="W93" s="59">
        <f>M93-V93</f>
        <v>-17.599849893711507</v>
      </c>
      <c r="X93" s="30">
        <f t="shared" si="43"/>
        <v>-2.3113215922132992E-6</v>
      </c>
    </row>
    <row r="94" spans="1:24" ht="14.25" customHeight="1" x14ac:dyDescent="0.3">
      <c r="A94" s="113">
        <v>12.02</v>
      </c>
      <c r="B94" s="114" t="s">
        <v>2026</v>
      </c>
      <c r="C94" s="114" t="s">
        <v>207</v>
      </c>
      <c r="D94" s="114" t="s">
        <v>36</v>
      </c>
      <c r="E94" s="115">
        <v>282</v>
      </c>
      <c r="F94" s="64">
        <f>IF(Q94&lt;&gt;"",IFERROR(VLOOKUP(Q94,PARTIDAS!A:P,13,FALSE()),0),0)</f>
        <v>1001.4972036694214</v>
      </c>
      <c r="G94" s="65">
        <f>IF(Q94&lt;&gt;"",IFERROR(VLOOKUP(Q94,PARTIDAS!A:P,14,FALSE()),0),0)</f>
        <v>5543.6425416376333</v>
      </c>
      <c r="H94" s="65">
        <f>IF(Q94&lt;&gt;"",IFERROR(VLOOKUP(Q94,PARTIDAS!A:P,15,FALSE()),0),0)</f>
        <v>106.35482419179773</v>
      </c>
      <c r="I94" s="66">
        <f>F94+G94+H94</f>
        <v>6651.4945694988528</v>
      </c>
      <c r="J94" s="67">
        <f>F94*E94</f>
        <v>282422.21143477684</v>
      </c>
      <c r="K94" s="68">
        <f>G94*E94</f>
        <v>1563307.1967418126</v>
      </c>
      <c r="L94" s="68">
        <f>H94*E94</f>
        <v>29992.060422086961</v>
      </c>
      <c r="M94" s="69">
        <f>I94*E94</f>
        <v>1875721.4685986764</v>
      </c>
      <c r="N94" s="70">
        <f>M94*$N$2</f>
        <v>1875721.4685986764</v>
      </c>
      <c r="O94" s="71"/>
      <c r="P94" s="68"/>
      <c r="Q94" s="72" t="s">
        <v>208</v>
      </c>
      <c r="R94" s="72">
        <v>1</v>
      </c>
      <c r="S94" s="72" t="s">
        <v>209</v>
      </c>
      <c r="T94" s="72"/>
      <c r="U94" s="72"/>
      <c r="V94" s="68">
        <v>1875721.4685986801</v>
      </c>
      <c r="W94" s="68">
        <f>M94-V94</f>
        <v>-3.7252902984619141E-9</v>
      </c>
      <c r="X94" s="30">
        <f t="shared" si="43"/>
        <v>-1.9860572909287089E-15</v>
      </c>
    </row>
    <row r="95" spans="1:24" ht="14.25" customHeight="1" x14ac:dyDescent="0.3">
      <c r="A95" s="110">
        <v>12.03</v>
      </c>
      <c r="B95" s="111" t="s">
        <v>2026</v>
      </c>
      <c r="C95" s="111" t="s">
        <v>210</v>
      </c>
      <c r="D95" s="111" t="s">
        <v>36</v>
      </c>
      <c r="E95" s="112">
        <v>263</v>
      </c>
      <c r="F95" s="55">
        <f>IF(Q95&lt;&gt;"",IFERROR(VLOOKUP(Q95,PARTIDAS!A:P,13,FALSE()),0),0)</f>
        <v>1001.4972036694214</v>
      </c>
      <c r="G95" s="56">
        <f>IF(Q95&lt;&gt;"",IFERROR(VLOOKUP(Q95,PARTIDAS!A:P,14,FALSE()),0),0)</f>
        <v>5543.6425416376333</v>
      </c>
      <c r="H95" s="56">
        <f>IF(Q95&lt;&gt;"",IFERROR(VLOOKUP(Q95,PARTIDAS!A:P,15,FALSE()),0),0)</f>
        <v>106.35482419179773</v>
      </c>
      <c r="I95" s="57">
        <f>F95+G95+H95</f>
        <v>6651.4945694988528</v>
      </c>
      <c r="J95" s="58">
        <f>F95*E95</f>
        <v>263393.76456505782</v>
      </c>
      <c r="K95" s="59">
        <f>G95*E95</f>
        <v>1457977.9884506976</v>
      </c>
      <c r="L95" s="59">
        <f>H95*E95</f>
        <v>27971.318762442803</v>
      </c>
      <c r="M95" s="60">
        <f>I95*E95</f>
        <v>1749343.0717781982</v>
      </c>
      <c r="N95" s="61">
        <f>M95*$N$2</f>
        <v>1749343.0717781982</v>
      </c>
      <c r="O95" s="62"/>
      <c r="P95" s="59"/>
      <c r="Q95" s="63" t="s">
        <v>211</v>
      </c>
      <c r="R95" s="63">
        <v>1</v>
      </c>
      <c r="S95" s="63" t="s">
        <v>209</v>
      </c>
      <c r="T95" s="63"/>
      <c r="U95" s="63"/>
      <c r="V95" s="59">
        <v>1749343.0717782001</v>
      </c>
      <c r="W95" s="59">
        <f>M95-V95</f>
        <v>-1.862645149230957E-9</v>
      </c>
      <c r="X95" s="30">
        <f t="shared" si="43"/>
        <v>-1.0647683574940998E-15</v>
      </c>
    </row>
    <row r="96" spans="1:24" ht="14.25" customHeight="1" x14ac:dyDescent="0.3">
      <c r="A96" s="113">
        <v>12.04</v>
      </c>
      <c r="B96" s="114" t="s">
        <v>2026</v>
      </c>
      <c r="C96" s="114" t="s">
        <v>212</v>
      </c>
      <c r="D96" s="114" t="s">
        <v>36</v>
      </c>
      <c r="E96" s="115">
        <v>25</v>
      </c>
      <c r="F96" s="64">
        <f>IF(Q96&lt;&gt;"",IFERROR(VLOOKUP(Q96,PARTIDAS!A:P,13,FALSE()),0),0)</f>
        <v>1001.4972036694214</v>
      </c>
      <c r="G96" s="65">
        <f>IF(Q96&lt;&gt;"",IFERROR(VLOOKUP(Q96,PARTIDAS!A:P,14,FALSE()),0),0)</f>
        <v>5543.6425416376333</v>
      </c>
      <c r="H96" s="65">
        <f>IF(Q96&lt;&gt;"",IFERROR(VLOOKUP(Q96,PARTIDAS!A:P,15,FALSE()),0),0)</f>
        <v>106.35482419179773</v>
      </c>
      <c r="I96" s="66">
        <f>F96+G96+H96</f>
        <v>6651.4945694988528</v>
      </c>
      <c r="J96" s="67">
        <f>F96*E96</f>
        <v>25037.430091735536</v>
      </c>
      <c r="K96" s="68">
        <f>G96*E96</f>
        <v>138591.06354094084</v>
      </c>
      <c r="L96" s="68">
        <f>H96*E96</f>
        <v>2658.8706047949431</v>
      </c>
      <c r="M96" s="69">
        <f>I96*E96</f>
        <v>166287.36423747131</v>
      </c>
      <c r="N96" s="70">
        <f>M96*$N$2</f>
        <v>166287.36423747131</v>
      </c>
      <c r="O96" s="71"/>
      <c r="P96" s="68"/>
      <c r="Q96" s="72" t="s">
        <v>213</v>
      </c>
      <c r="R96" s="72">
        <v>1</v>
      </c>
      <c r="S96" s="72" t="s">
        <v>209</v>
      </c>
      <c r="T96" s="72"/>
      <c r="U96" s="72"/>
      <c r="V96" s="68">
        <v>166287.36423747099</v>
      </c>
      <c r="W96" s="68">
        <f>M96-V96</f>
        <v>3.2014213502407074E-10</v>
      </c>
      <c r="X96" s="30">
        <f t="shared" si="43"/>
        <v>1.9252342863940248E-15</v>
      </c>
    </row>
    <row r="97" spans="1:25" ht="14.25" customHeight="1" x14ac:dyDescent="0.3">
      <c r="A97" s="108">
        <v>13</v>
      </c>
      <c r="B97" s="108"/>
      <c r="C97" s="108" t="s">
        <v>2027</v>
      </c>
      <c r="D97" s="108"/>
      <c r="E97" s="109"/>
      <c r="F97" s="73"/>
      <c r="G97" s="74"/>
      <c r="H97" s="74"/>
      <c r="I97" s="75"/>
      <c r="J97" s="76"/>
      <c r="K97" s="54"/>
      <c r="L97" s="54"/>
      <c r="M97" s="77"/>
      <c r="N97" s="78"/>
      <c r="O97" s="53">
        <f>SUM(M98:M100)</f>
        <v>14743328.343565874</v>
      </c>
      <c r="P97" s="54">
        <f>SUM(N98:N100)</f>
        <v>14743328.343565874</v>
      </c>
      <c r="Q97" s="46"/>
      <c r="R97" s="46"/>
      <c r="S97" s="46"/>
      <c r="T97" s="46"/>
      <c r="U97" s="46"/>
      <c r="V97" s="54"/>
      <c r="W97" s="54"/>
      <c r="X97" s="30">
        <f t="shared" si="43"/>
        <v>0</v>
      </c>
    </row>
    <row r="98" spans="1:25" ht="14.25" customHeight="1" x14ac:dyDescent="0.3">
      <c r="A98" s="113">
        <v>13.01</v>
      </c>
      <c r="B98" s="114" t="s">
        <v>2027</v>
      </c>
      <c r="C98" s="114" t="s">
        <v>214</v>
      </c>
      <c r="D98" s="114" t="s">
        <v>50</v>
      </c>
      <c r="E98" s="115">
        <v>493</v>
      </c>
      <c r="F98" s="64">
        <f>IF(Q98&lt;&gt;"",IFERROR(VLOOKUP(Q98,PARTIDAS!A:P,13,FALSE()),0),0)</f>
        <v>6932.2708051239679</v>
      </c>
      <c r="G98" s="65">
        <f>IF(Q98&lt;&gt;"",IFERROR(VLOOKUP(Q98,PARTIDAS!A:P,14,FALSE()),0),0)</f>
        <v>16630.9276249129</v>
      </c>
      <c r="H98" s="65">
        <f>IF(Q98&lt;&gt;"",IFERROR(VLOOKUP(Q98,PARTIDAS!A:P,15,FALSE()),0),0)</f>
        <v>319.06447257539321</v>
      </c>
      <c r="I98" s="66">
        <f>F98+G98+H98</f>
        <v>23882.262902612259</v>
      </c>
      <c r="J98" s="67">
        <f>F98*E98</f>
        <v>3417609.5069261161</v>
      </c>
      <c r="K98" s="68">
        <f>G98*E98</f>
        <v>8199047.3190820599</v>
      </c>
      <c r="L98" s="68">
        <f>H98*E98</f>
        <v>157298.78497966885</v>
      </c>
      <c r="M98" s="69">
        <f>I98*E98</f>
        <v>11773955.610987844</v>
      </c>
      <c r="N98" s="70">
        <f>M98*$N$2</f>
        <v>11773955.610987844</v>
      </c>
      <c r="O98" s="71"/>
      <c r="P98" s="68"/>
      <c r="Q98" s="72" t="s">
        <v>215</v>
      </c>
      <c r="R98" s="72">
        <v>1</v>
      </c>
      <c r="S98" s="72" t="s">
        <v>195</v>
      </c>
      <c r="T98" s="72"/>
      <c r="U98" s="72"/>
      <c r="V98" s="68">
        <v>11773955.610987799</v>
      </c>
      <c r="W98" s="68">
        <f>M98-V98</f>
        <v>4.4703483581542969E-8</v>
      </c>
      <c r="X98" s="30">
        <f t="shared" si="43"/>
        <v>3.7968109493995689E-15</v>
      </c>
    </row>
    <row r="99" spans="1:25" ht="14.25" customHeight="1" x14ac:dyDescent="0.3">
      <c r="A99" s="110">
        <v>13.02</v>
      </c>
      <c r="B99" s="111" t="s">
        <v>2027</v>
      </c>
      <c r="C99" s="111" t="s">
        <v>216</v>
      </c>
      <c r="D99" s="111" t="s">
        <v>50</v>
      </c>
      <c r="E99" s="112">
        <v>82</v>
      </c>
      <c r="F99" s="55">
        <f>IF(Q99&lt;&gt;"",IFERROR(VLOOKUP(Q99,PARTIDAS!A:P,13,FALSE()),0),0)</f>
        <v>6932.2708051239679</v>
      </c>
      <c r="G99" s="56">
        <f>IF(Q99&lt;&gt;"",IFERROR(VLOOKUP(Q99,PARTIDAS!A:P,14,FALSE()),0),0)</f>
        <v>16630.9276249129</v>
      </c>
      <c r="H99" s="56">
        <f>IF(Q99&lt;&gt;"",IFERROR(VLOOKUP(Q99,PARTIDAS!A:P,15,FALSE()),0),0)</f>
        <v>319.06447257539321</v>
      </c>
      <c r="I99" s="57">
        <f>F99+G99+H99</f>
        <v>23882.262902612259</v>
      </c>
      <c r="J99" s="58">
        <f>F99*E99</f>
        <v>568446.20602016535</v>
      </c>
      <c r="K99" s="59">
        <f>G99*E99</f>
        <v>1363736.0652428577</v>
      </c>
      <c r="L99" s="59">
        <f>H99*E99</f>
        <v>26163.286751182244</v>
      </c>
      <c r="M99" s="60">
        <f>I99*E99</f>
        <v>1958345.5580142052</v>
      </c>
      <c r="N99" s="61">
        <f>M99*$N$2</f>
        <v>1958345.5580142052</v>
      </c>
      <c r="O99" s="62"/>
      <c r="P99" s="59"/>
      <c r="Q99" s="63" t="s">
        <v>217</v>
      </c>
      <c r="R99" s="63">
        <v>1</v>
      </c>
      <c r="S99" s="63" t="s">
        <v>195</v>
      </c>
      <c r="T99" s="63"/>
      <c r="U99" s="63"/>
      <c r="V99" s="59">
        <v>1958345.5580142101</v>
      </c>
      <c r="W99" s="59">
        <f>M99-V99</f>
        <v>-4.8894435167312622E-9</v>
      </c>
      <c r="X99" s="30">
        <f t="shared" si="43"/>
        <v>-2.4967215294165074E-15</v>
      </c>
    </row>
    <row r="100" spans="1:25" ht="14.25" customHeight="1" x14ac:dyDescent="0.3">
      <c r="A100" s="113">
        <v>13.03</v>
      </c>
      <c r="B100" s="114" t="s">
        <v>2027</v>
      </c>
      <c r="C100" s="114" t="s">
        <v>218</v>
      </c>
      <c r="D100" s="114" t="s">
        <v>36</v>
      </c>
      <c r="E100" s="115">
        <v>152</v>
      </c>
      <c r="F100" s="64">
        <f>IF(Q100&lt;&gt;"",IFERROR(VLOOKUP(Q100,PARTIDAS!A:P,13,FALSE()),0),0)</f>
        <v>1001.4972036694214</v>
      </c>
      <c r="G100" s="65">
        <f>IF(Q100&lt;&gt;"",IFERROR(VLOOKUP(Q100,PARTIDAS!A:P,14,FALSE()),0),0)</f>
        <v>5543.6425416376333</v>
      </c>
      <c r="H100" s="65">
        <f>IF(Q100&lt;&gt;"",IFERROR(VLOOKUP(Q100,PARTIDAS!A:P,15,FALSE()),0),0)</f>
        <v>106.35482419179773</v>
      </c>
      <c r="I100" s="66">
        <f>F100+G100+H100</f>
        <v>6651.4945694988528</v>
      </c>
      <c r="J100" s="67">
        <f>F100*E100</f>
        <v>152227.57495775205</v>
      </c>
      <c r="K100" s="68">
        <f>G100*E100</f>
        <v>842633.66632892028</v>
      </c>
      <c r="L100" s="68">
        <f>H100*E100</f>
        <v>16165.933277153255</v>
      </c>
      <c r="M100" s="69">
        <f>I100*E100</f>
        <v>1011027.1745638256</v>
      </c>
      <c r="N100" s="70">
        <f>M100*$N$2</f>
        <v>1011027.1745638256</v>
      </c>
      <c r="O100" s="71"/>
      <c r="P100" s="68"/>
      <c r="Q100" s="72" t="s">
        <v>219</v>
      </c>
      <c r="R100" s="72">
        <v>1</v>
      </c>
      <c r="S100" s="72" t="s">
        <v>209</v>
      </c>
      <c r="T100" s="72"/>
      <c r="U100" s="72"/>
      <c r="V100" s="68">
        <v>1011027.17456383</v>
      </c>
      <c r="W100" s="68">
        <f>M100-V100</f>
        <v>-4.4237822294235229E-9</v>
      </c>
      <c r="X100" s="30">
        <f t="shared" si="43"/>
        <v>-4.3755324690773016E-15</v>
      </c>
    </row>
    <row r="101" spans="1:25" ht="14.25" customHeight="1" x14ac:dyDescent="0.3">
      <c r="A101" s="108">
        <v>14</v>
      </c>
      <c r="B101" s="108"/>
      <c r="C101" s="108" t="s">
        <v>2006</v>
      </c>
      <c r="D101" s="108"/>
      <c r="E101" s="109"/>
      <c r="F101" s="73"/>
      <c r="G101" s="74"/>
      <c r="H101" s="74"/>
      <c r="I101" s="75"/>
      <c r="J101" s="76"/>
      <c r="K101" s="54"/>
      <c r="L101" s="54"/>
      <c r="M101" s="77"/>
      <c r="N101" s="78"/>
      <c r="O101" s="53">
        <f>SUM(M102:M109)</f>
        <v>35470460.54992225</v>
      </c>
      <c r="P101" s="54">
        <f>SUM(N102:N109)</f>
        <v>35470460.54992225</v>
      </c>
      <c r="Q101" s="46"/>
      <c r="R101" s="46"/>
      <c r="S101" s="46"/>
      <c r="T101" s="46"/>
      <c r="U101" s="46"/>
      <c r="V101" s="54"/>
      <c r="W101" s="54"/>
      <c r="X101" s="30">
        <f t="shared" si="43"/>
        <v>0</v>
      </c>
    </row>
    <row r="102" spans="1:25" ht="14.25" customHeight="1" x14ac:dyDescent="0.3">
      <c r="A102" s="113">
        <v>14.01</v>
      </c>
      <c r="B102" s="114" t="s">
        <v>2006</v>
      </c>
      <c r="C102" s="114" t="s">
        <v>221</v>
      </c>
      <c r="D102" s="114" t="s">
        <v>50</v>
      </c>
      <c r="E102" s="115">
        <v>146</v>
      </c>
      <c r="F102" s="64">
        <f>IF(Q102&lt;&gt;"",IFERROR(VLOOKUP(Q102,PARTIDAS!A:P,13,FALSE()),0),0)</f>
        <v>10667.041884105001</v>
      </c>
      <c r="G102" s="65">
        <f>IF(Q102&lt;&gt;"",IFERROR(VLOOKUP(Q102,PARTIDAS!A:P,14,FALSE()),0),0)</f>
        <v>17506.239605171475</v>
      </c>
      <c r="H102" s="65">
        <f>IF(Q102&lt;&gt;"",IFERROR(VLOOKUP(Q102,PARTIDAS!A:P,15,FALSE()),0),0)</f>
        <v>286.64633588846362</v>
      </c>
      <c r="I102" s="66">
        <f t="shared" ref="I102:I109" si="51">F102+G102+H102</f>
        <v>28459.927825164941</v>
      </c>
      <c r="J102" s="67">
        <f t="shared" ref="J102:J109" si="52">F102*E102</f>
        <v>1557388.1150793303</v>
      </c>
      <c r="K102" s="68">
        <f t="shared" ref="K102:K109" si="53">G102*E102</f>
        <v>2555910.9823550354</v>
      </c>
      <c r="L102" s="68">
        <f t="shared" ref="L102:L109" si="54">H102*E102</f>
        <v>41850.365039715689</v>
      </c>
      <c r="M102" s="69">
        <f t="shared" ref="M102:M109" si="55">I102*E102</f>
        <v>4155149.4624740812</v>
      </c>
      <c r="N102" s="70">
        <f t="shared" ref="N102:N109" si="56">M102*$N$2</f>
        <v>4155149.4624740812</v>
      </c>
      <c r="O102" s="71"/>
      <c r="P102" s="68"/>
      <c r="Q102" s="72" t="s">
        <v>222</v>
      </c>
      <c r="R102" s="72">
        <v>1</v>
      </c>
      <c r="S102" s="72" t="s">
        <v>223</v>
      </c>
      <c r="T102" s="72"/>
      <c r="U102" s="72"/>
      <c r="V102" s="68">
        <v>4155149.9130524602</v>
      </c>
      <c r="W102" s="68">
        <f t="shared" ref="W102:W109" si="57">M102-V102</f>
        <v>-0.45057837897911668</v>
      </c>
      <c r="X102" s="30">
        <f t="shared" si="43"/>
        <v>-1.0843853733501335E-7</v>
      </c>
    </row>
    <row r="103" spans="1:25" ht="14.25" customHeight="1" x14ac:dyDescent="0.3">
      <c r="A103" s="110">
        <v>14.02</v>
      </c>
      <c r="B103" s="111" t="s">
        <v>2006</v>
      </c>
      <c r="C103" s="111" t="s">
        <v>224</v>
      </c>
      <c r="D103" s="111" t="s">
        <v>50</v>
      </c>
      <c r="E103" s="112">
        <v>89</v>
      </c>
      <c r="F103" s="55">
        <f>IF(Q103&lt;&gt;"",IFERROR(VLOOKUP(Q103,PARTIDAS!A:P,13,FALSE()),0),0)</f>
        <v>14748.696655519001</v>
      </c>
      <c r="G103" s="56">
        <f>IF(Q103&lt;&gt;"",IFERROR(VLOOKUP(Q103,PARTIDAS!A:P,14,FALSE()),0),0)</f>
        <v>17506.239605171475</v>
      </c>
      <c r="H103" s="56">
        <f>IF(Q103&lt;&gt;"",IFERROR(VLOOKUP(Q103,PARTIDAS!A:P,15,FALSE()),0),0)</f>
        <v>286.64633588846362</v>
      </c>
      <c r="I103" s="57">
        <f t="shared" si="51"/>
        <v>32541.582596578941</v>
      </c>
      <c r="J103" s="58">
        <f t="shared" si="52"/>
        <v>1312634.0023411911</v>
      </c>
      <c r="K103" s="59">
        <f t="shared" si="53"/>
        <v>1558055.3248602613</v>
      </c>
      <c r="L103" s="59">
        <f t="shared" si="54"/>
        <v>25511.523894073263</v>
      </c>
      <c r="M103" s="60">
        <f t="shared" si="55"/>
        <v>2896200.8510955255</v>
      </c>
      <c r="N103" s="61">
        <f t="shared" si="56"/>
        <v>2896200.8510955255</v>
      </c>
      <c r="O103" s="62"/>
      <c r="P103" s="59"/>
      <c r="Q103" s="63" t="s">
        <v>225</v>
      </c>
      <c r="R103" s="63">
        <v>1</v>
      </c>
      <c r="S103" s="63" t="s">
        <v>226</v>
      </c>
      <c r="T103" s="63"/>
      <c r="U103" s="63"/>
      <c r="V103" s="59">
        <v>2896201.16938425</v>
      </c>
      <c r="W103" s="59">
        <f t="shared" si="57"/>
        <v>-0.31828872440382838</v>
      </c>
      <c r="X103" s="30">
        <f t="shared" si="43"/>
        <v>-1.0989869342242497E-7</v>
      </c>
    </row>
    <row r="104" spans="1:25" ht="14.25" customHeight="1" x14ac:dyDescent="0.3">
      <c r="A104" s="113">
        <v>14.03</v>
      </c>
      <c r="B104" s="114" t="s">
        <v>2006</v>
      </c>
      <c r="C104" s="114" t="s">
        <v>227</v>
      </c>
      <c r="D104" s="114" t="s">
        <v>36</v>
      </c>
      <c r="E104" s="115">
        <v>62</v>
      </c>
      <c r="F104" s="64">
        <f>IF(Q104&lt;&gt;"",IFERROR(VLOOKUP(Q104,PARTIDAS!A:P,13,FALSE()),0),0)</f>
        <v>11654.216383905001</v>
      </c>
      <c r="G104" s="65">
        <f>IF(Q104&lt;&gt;"",IFERROR(VLOOKUP(Q104,PARTIDAS!A:P,14,FALSE()),0),0)</f>
        <v>27419.622540280834</v>
      </c>
      <c r="H104" s="65">
        <f>IF(Q104&lt;&gt;"",IFERROR(VLOOKUP(Q104,PARTIDAS!A:P,15,FALSE()),0),0)</f>
        <v>286.64633588846362</v>
      </c>
      <c r="I104" s="66">
        <f t="shared" si="51"/>
        <v>39360.485260074303</v>
      </c>
      <c r="J104" s="67">
        <f t="shared" si="52"/>
        <v>722561.4158021101</v>
      </c>
      <c r="K104" s="68">
        <f t="shared" si="53"/>
        <v>1700016.5974974118</v>
      </c>
      <c r="L104" s="68">
        <f t="shared" si="54"/>
        <v>17772.072825084746</v>
      </c>
      <c r="M104" s="69">
        <f t="shared" si="55"/>
        <v>2440350.0861246069</v>
      </c>
      <c r="N104" s="70">
        <f t="shared" si="56"/>
        <v>2440350.0861246069</v>
      </c>
      <c r="O104" s="71"/>
      <c r="P104" s="68"/>
      <c r="Q104" s="72" t="s">
        <v>228</v>
      </c>
      <c r="R104" s="72">
        <v>1</v>
      </c>
      <c r="S104" s="72" t="s">
        <v>223</v>
      </c>
      <c r="T104" s="72"/>
      <c r="U104" s="72"/>
      <c r="V104" s="68">
        <v>2226241.6849662899</v>
      </c>
      <c r="W104" s="68">
        <f t="shared" si="57"/>
        <v>214108.40115831699</v>
      </c>
      <c r="X104" s="30">
        <f t="shared" si="43"/>
        <v>9.6174823517222507E-2</v>
      </c>
      <c r="Y104" s="34" t="s">
        <v>229</v>
      </c>
    </row>
    <row r="105" spans="1:25" ht="14.25" customHeight="1" x14ac:dyDescent="0.3">
      <c r="A105" s="110">
        <v>14.04</v>
      </c>
      <c r="B105" s="111" t="s">
        <v>2006</v>
      </c>
      <c r="C105" s="111" t="s">
        <v>230</v>
      </c>
      <c r="D105" s="111" t="s">
        <v>36</v>
      </c>
      <c r="E105" s="112">
        <v>689</v>
      </c>
      <c r="F105" s="55">
        <f>IF(Q105&lt;&gt;"",IFERROR(VLOOKUP(Q105,PARTIDAS!A:P,13,FALSE()),0),0)</f>
        <v>987.17449980000015</v>
      </c>
      <c r="G105" s="56">
        <f>IF(Q105&lt;&gt;"",IFERROR(VLOOKUP(Q105,PARTIDAS!A:P,14,FALSE()),0),0)</f>
        <v>6278.4758589025932</v>
      </c>
      <c r="H105" s="56">
        <f>IF(Q105&lt;&gt;"",IFERROR(VLOOKUP(Q105,PARTIDAS!A:P,15,FALSE()),0),0)</f>
        <v>181.54267939602695</v>
      </c>
      <c r="I105" s="57">
        <f t="shared" si="51"/>
        <v>7447.1930380986205</v>
      </c>
      <c r="J105" s="58">
        <f t="shared" si="52"/>
        <v>680163.23036220006</v>
      </c>
      <c r="K105" s="59">
        <f t="shared" si="53"/>
        <v>4325869.8667838871</v>
      </c>
      <c r="L105" s="59">
        <f t="shared" si="54"/>
        <v>125082.90610386257</v>
      </c>
      <c r="M105" s="60">
        <f t="shared" si="55"/>
        <v>5131116.0032499498</v>
      </c>
      <c r="N105" s="61">
        <f t="shared" si="56"/>
        <v>5131116.0032499498</v>
      </c>
      <c r="O105" s="62"/>
      <c r="P105" s="59"/>
      <c r="Q105" s="63" t="s">
        <v>231</v>
      </c>
      <c r="R105" s="63">
        <v>1</v>
      </c>
      <c r="S105" s="63" t="s">
        <v>232</v>
      </c>
      <c r="T105" s="63"/>
      <c r="U105" s="63"/>
      <c r="V105" s="59">
        <v>5131116.0043884497</v>
      </c>
      <c r="W105" s="59">
        <f t="shared" si="57"/>
        <v>-1.1384999379515648E-3</v>
      </c>
      <c r="X105" s="30">
        <f t="shared" si="43"/>
        <v>-2.2188154330906743E-10</v>
      </c>
    </row>
    <row r="106" spans="1:25" ht="14.25" customHeight="1" x14ac:dyDescent="0.3">
      <c r="A106" s="113">
        <v>14.05</v>
      </c>
      <c r="B106" s="114" t="s">
        <v>2006</v>
      </c>
      <c r="C106" s="114" t="s">
        <v>233</v>
      </c>
      <c r="D106" s="114" t="s">
        <v>50</v>
      </c>
      <c r="E106" s="115">
        <v>668</v>
      </c>
      <c r="F106" s="64">
        <f>IF(Q106&lt;&gt;"",IFERROR(VLOOKUP(Q106,PARTIDAS!A:P,13,FALSE()),0),0)</f>
        <v>6515.4028598400009</v>
      </c>
      <c r="G106" s="65">
        <f>IF(Q106&lt;&gt;"",IFERROR(VLOOKUP(Q106,PARTIDAS!A:P,14,FALSE()),0),0)</f>
        <v>12252.5485737202</v>
      </c>
      <c r="H106" s="65">
        <f>IF(Q106&lt;&gt;"",IFERROR(VLOOKUP(Q106,PARTIDAS!A:P,15,FALSE()),0),0)</f>
        <v>281.51932381538398</v>
      </c>
      <c r="I106" s="66">
        <f t="shared" si="51"/>
        <v>19049.470757375584</v>
      </c>
      <c r="J106" s="67">
        <f t="shared" si="52"/>
        <v>4352289.1103731208</v>
      </c>
      <c r="K106" s="68">
        <f t="shared" si="53"/>
        <v>8184702.4472450931</v>
      </c>
      <c r="L106" s="68">
        <f t="shared" si="54"/>
        <v>188054.9083086765</v>
      </c>
      <c r="M106" s="69">
        <f t="shared" si="55"/>
        <v>12725046.465926889</v>
      </c>
      <c r="N106" s="70">
        <f t="shared" si="56"/>
        <v>12725046.465926889</v>
      </c>
      <c r="O106" s="71"/>
      <c r="P106" s="68"/>
      <c r="Q106" s="72" t="s">
        <v>234</v>
      </c>
      <c r="R106" s="72">
        <v>1</v>
      </c>
      <c r="S106" s="72" t="s">
        <v>32</v>
      </c>
      <c r="T106" s="72"/>
      <c r="U106" s="72"/>
      <c r="V106" s="68">
        <v>12725048.7955538</v>
      </c>
      <c r="W106" s="68">
        <f t="shared" si="57"/>
        <v>-2.3296269103884697</v>
      </c>
      <c r="X106" s="30">
        <f t="shared" si="43"/>
        <v>-1.8307410429753744E-7</v>
      </c>
    </row>
    <row r="107" spans="1:25" ht="14.25" customHeight="1" x14ac:dyDescent="0.3">
      <c r="A107" s="110">
        <v>14.06</v>
      </c>
      <c r="B107" s="111" t="s">
        <v>2006</v>
      </c>
      <c r="C107" s="111" t="s">
        <v>235</v>
      </c>
      <c r="D107" s="111" t="s">
        <v>36</v>
      </c>
      <c r="E107" s="112">
        <v>446</v>
      </c>
      <c r="F107" s="55">
        <f>IF(Q107&lt;&gt;"",IFERROR(VLOOKUP(Q107,PARTIDAS!A:P,13,FALSE()),0),0)</f>
        <v>0</v>
      </c>
      <c r="G107" s="56">
        <f>IF(Q107&lt;&gt;"",IFERROR(VLOOKUP(Q107,PARTIDAS!A:P,14,FALSE()),0),0)</f>
        <v>13144.582643730701</v>
      </c>
      <c r="H107" s="56">
        <f>IF(Q107&lt;&gt;"",IFERROR(VLOOKUP(Q107,PARTIDAS!A:P,15,FALSE()),0),0)</f>
        <v>197.16873965596</v>
      </c>
      <c r="I107" s="57">
        <f t="shared" si="51"/>
        <v>13341.75138338666</v>
      </c>
      <c r="J107" s="58">
        <f t="shared" si="52"/>
        <v>0</v>
      </c>
      <c r="K107" s="59">
        <f t="shared" si="53"/>
        <v>5862483.859103892</v>
      </c>
      <c r="L107" s="59">
        <f t="shared" si="54"/>
        <v>87937.25788655816</v>
      </c>
      <c r="M107" s="60">
        <f t="shared" si="55"/>
        <v>5950421.1169904498</v>
      </c>
      <c r="N107" s="61">
        <f t="shared" si="56"/>
        <v>5950421.1169904498</v>
      </c>
      <c r="O107" s="62"/>
      <c r="P107" s="59"/>
      <c r="Q107" s="63" t="s">
        <v>236</v>
      </c>
      <c r="R107" s="63">
        <v>1</v>
      </c>
      <c r="S107" s="63" t="s">
        <v>28</v>
      </c>
      <c r="T107" s="63"/>
      <c r="U107" s="63"/>
      <c r="V107" s="59">
        <v>5950421.1169904396</v>
      </c>
      <c r="W107" s="59">
        <f t="shared" si="57"/>
        <v>1.0244548320770264E-8</v>
      </c>
      <c r="X107" s="30">
        <f t="shared" si="43"/>
        <v>1.7216509755114066E-15</v>
      </c>
    </row>
    <row r="108" spans="1:25" ht="14.25" customHeight="1" x14ac:dyDescent="0.3">
      <c r="A108" s="113">
        <v>14.07</v>
      </c>
      <c r="B108" s="114" t="s">
        <v>2006</v>
      </c>
      <c r="C108" s="114" t="s">
        <v>150</v>
      </c>
      <c r="D108" s="114" t="s">
        <v>36</v>
      </c>
      <c r="E108" s="115">
        <v>2</v>
      </c>
      <c r="F108" s="64">
        <f>IF(Q108&lt;&gt;"",IFERROR(VLOOKUP(Q108,PARTIDAS!A:P,13,FALSE()),0),0)</f>
        <v>0</v>
      </c>
      <c r="G108" s="65">
        <f>IF(Q108&lt;&gt;"",IFERROR(VLOOKUP(Q108,PARTIDAS!A:P,14,FALSE()),0),0)</f>
        <v>13144.582643730701</v>
      </c>
      <c r="H108" s="65">
        <f>IF(Q108&lt;&gt;"",IFERROR(VLOOKUP(Q108,PARTIDAS!A:P,15,FALSE()),0),0)</f>
        <v>0</v>
      </c>
      <c r="I108" s="66">
        <f t="shared" si="51"/>
        <v>13144.582643730701</v>
      </c>
      <c r="J108" s="67">
        <f t="shared" si="52"/>
        <v>0</v>
      </c>
      <c r="K108" s="68">
        <f t="shared" si="53"/>
        <v>26289.165287461401</v>
      </c>
      <c r="L108" s="68">
        <f t="shared" si="54"/>
        <v>0</v>
      </c>
      <c r="M108" s="69">
        <f t="shared" si="55"/>
        <v>26289.165287461401</v>
      </c>
      <c r="N108" s="70">
        <f t="shared" si="56"/>
        <v>26289.165287461401</v>
      </c>
      <c r="O108" s="71"/>
      <c r="P108" s="68"/>
      <c r="Q108" s="72" t="s">
        <v>237</v>
      </c>
      <c r="R108" s="72">
        <v>1</v>
      </c>
      <c r="S108" s="72" t="s">
        <v>28</v>
      </c>
      <c r="T108" s="72"/>
      <c r="U108" s="72"/>
      <c r="V108" s="68">
        <v>26289.165287461299</v>
      </c>
      <c r="W108" s="68">
        <f t="shared" si="57"/>
        <v>1.0186340659856796E-10</v>
      </c>
      <c r="X108" s="30">
        <f t="shared" si="43"/>
        <v>3.8747295885865204E-15</v>
      </c>
    </row>
    <row r="109" spans="1:25" ht="14.25" customHeight="1" x14ac:dyDescent="0.3">
      <c r="A109" s="110">
        <v>14.08</v>
      </c>
      <c r="B109" s="111" t="s">
        <v>2006</v>
      </c>
      <c r="C109" s="111" t="s">
        <v>238</v>
      </c>
      <c r="D109" s="111" t="s">
        <v>50</v>
      </c>
      <c r="E109" s="112">
        <v>370</v>
      </c>
      <c r="F109" s="55">
        <f>IF(Q109&lt;&gt;"",IFERROR(VLOOKUP(Q109,PARTIDAS!A:P,13,FALSE()),0),0)</f>
        <v>1351.3513513513999</v>
      </c>
      <c r="G109" s="56">
        <f>IF(Q109&lt;&gt;"",IFERROR(VLOOKUP(Q109,PARTIDAS!A:P,14,FALSE()),0),0)</f>
        <v>4362.6344682748586</v>
      </c>
      <c r="H109" s="56">
        <f>IF(Q109&lt;&gt;"",IFERROR(VLOOKUP(Q109,PARTIDAS!A:P,15,FALSE()),0),0)</f>
        <v>85.709852733975595</v>
      </c>
      <c r="I109" s="57">
        <f t="shared" si="51"/>
        <v>5799.6956723602343</v>
      </c>
      <c r="J109" s="58">
        <f t="shared" si="52"/>
        <v>500000.00000001799</v>
      </c>
      <c r="K109" s="59">
        <f t="shared" si="53"/>
        <v>1614174.7532616977</v>
      </c>
      <c r="L109" s="59">
        <f t="shared" si="54"/>
        <v>31712.645511570969</v>
      </c>
      <c r="M109" s="60">
        <f t="shared" si="55"/>
        <v>2145887.3987732865</v>
      </c>
      <c r="N109" s="61">
        <f t="shared" si="56"/>
        <v>2145887.3987732865</v>
      </c>
      <c r="O109" s="62"/>
      <c r="P109" s="59"/>
      <c r="Q109" s="63" t="s">
        <v>239</v>
      </c>
      <c r="R109" s="63">
        <v>1</v>
      </c>
      <c r="S109" s="63" t="s">
        <v>32</v>
      </c>
      <c r="T109" s="63"/>
      <c r="U109" s="63"/>
      <c r="V109" s="59">
        <v>2145889.0129496399</v>
      </c>
      <c r="W109" s="59">
        <f t="shared" si="57"/>
        <v>-1.6141763534396887</v>
      </c>
      <c r="X109" s="30">
        <f t="shared" si="43"/>
        <v>-7.5221800554396632E-7</v>
      </c>
    </row>
    <row r="110" spans="1:25" ht="14.25" customHeight="1" x14ac:dyDescent="0.3">
      <c r="A110" s="108">
        <v>15</v>
      </c>
      <c r="B110" s="108"/>
      <c r="C110" s="108" t="s">
        <v>2028</v>
      </c>
      <c r="D110" s="108"/>
      <c r="E110" s="109"/>
      <c r="F110" s="73"/>
      <c r="G110" s="74"/>
      <c r="H110" s="74"/>
      <c r="I110" s="75"/>
      <c r="J110" s="76"/>
      <c r="K110" s="54"/>
      <c r="L110" s="54"/>
      <c r="M110" s="77"/>
      <c r="N110" s="78"/>
      <c r="O110" s="53">
        <f>SUM(M111:M122)</f>
        <v>90860633.369853824</v>
      </c>
      <c r="P110" s="54">
        <f>SUM(N111:N122)</f>
        <v>90860633.369853824</v>
      </c>
      <c r="Q110" s="46"/>
      <c r="R110" s="46"/>
      <c r="S110" s="46"/>
      <c r="T110" s="46"/>
      <c r="U110" s="46"/>
      <c r="V110" s="54"/>
      <c r="W110" s="54"/>
      <c r="X110" s="30">
        <f t="shared" si="43"/>
        <v>0</v>
      </c>
    </row>
    <row r="111" spans="1:25" ht="14.25" customHeight="1" x14ac:dyDescent="0.3">
      <c r="A111" s="110">
        <v>15.01</v>
      </c>
      <c r="B111" s="111" t="s">
        <v>2028</v>
      </c>
      <c r="C111" s="111" t="s">
        <v>240</v>
      </c>
      <c r="D111" s="111" t="s">
        <v>50</v>
      </c>
      <c r="E111" s="112">
        <v>2180</v>
      </c>
      <c r="F111" s="55">
        <f>IF(Q111&lt;&gt;"",IFERROR(VLOOKUP(Q111,PARTIDAS!A:P,13,FALSE()),0),0)</f>
        <v>2880.1572817933875</v>
      </c>
      <c r="G111" s="56">
        <f>IF(Q111&lt;&gt;"",IFERROR(VLOOKUP(Q111,PARTIDAS!A:P,14,FALSE()),0),0)</f>
        <v>4708.8568941769454</v>
      </c>
      <c r="H111" s="56">
        <f>IF(Q111&lt;&gt;"",IFERROR(VLOOKUP(Q111,PARTIDAS!A:P,15,FALSE()),0),0)</f>
        <v>104.55249790152314</v>
      </c>
      <c r="I111" s="57">
        <f t="shared" ref="I111:I122" si="58">F111+G111+H111</f>
        <v>7693.5666738718564</v>
      </c>
      <c r="J111" s="58">
        <f t="shared" ref="J111:J122" si="59">F111*E111</f>
        <v>6278742.8743095845</v>
      </c>
      <c r="K111" s="59">
        <f t="shared" ref="K111:K122" si="60">G111*E111</f>
        <v>10265308.029305741</v>
      </c>
      <c r="L111" s="59">
        <f t="shared" ref="L111:L122" si="61">H111*E111</f>
        <v>227924.44542532045</v>
      </c>
      <c r="M111" s="60">
        <f t="shared" ref="M111:M122" si="62">I111*E111</f>
        <v>16771975.349040646</v>
      </c>
      <c r="N111" s="61">
        <f t="shared" ref="N111:N122" si="63">M111*$N$2</f>
        <v>16771975.349040646</v>
      </c>
      <c r="O111" s="62"/>
      <c r="P111" s="59"/>
      <c r="Q111" s="63" t="s">
        <v>241</v>
      </c>
      <c r="R111" s="63">
        <v>1</v>
      </c>
      <c r="S111" s="63" t="s">
        <v>242</v>
      </c>
      <c r="T111" s="63"/>
      <c r="U111" s="63"/>
      <c r="V111" s="59">
        <v>16771975.3348526</v>
      </c>
      <c r="W111" s="59">
        <f t="shared" ref="W111:W122" si="64">M111-V111</f>
        <v>1.4188045635819435E-2</v>
      </c>
      <c r="X111" s="30">
        <f t="shared" si="43"/>
        <v>8.4593766402317013E-10</v>
      </c>
    </row>
    <row r="112" spans="1:25" ht="14.25" customHeight="1" x14ac:dyDescent="0.3">
      <c r="A112" s="113">
        <v>15.02</v>
      </c>
      <c r="B112" s="114" t="s">
        <v>2028</v>
      </c>
      <c r="C112" s="114" t="s">
        <v>243</v>
      </c>
      <c r="D112" s="114" t="s">
        <v>50</v>
      </c>
      <c r="E112" s="115">
        <v>525</v>
      </c>
      <c r="F112" s="64">
        <f>IF(Q112&lt;&gt;"",IFERROR(VLOOKUP(Q112,PARTIDAS!A:P,13,FALSE()),0),0)</f>
        <v>2664.5680255950401</v>
      </c>
      <c r="G112" s="65">
        <f>IF(Q112&lt;&gt;"",IFERROR(VLOOKUP(Q112,PARTIDAS!A:P,14,FALSE()),0),0)</f>
        <v>3767.0855153415559</v>
      </c>
      <c r="H112" s="65">
        <f>IF(Q112&lt;&gt;"",IFERROR(VLOOKUP(Q112,PARTIDAS!A:P,15,FALSE()),0),0)</f>
        <v>83.641998321218509</v>
      </c>
      <c r="I112" s="66">
        <f t="shared" si="58"/>
        <v>6515.2955392578142</v>
      </c>
      <c r="J112" s="67">
        <f t="shared" si="59"/>
        <v>1398898.2134373961</v>
      </c>
      <c r="K112" s="68">
        <f t="shared" si="60"/>
        <v>1977719.8955543169</v>
      </c>
      <c r="L112" s="68">
        <f t="shared" si="61"/>
        <v>43912.049118639719</v>
      </c>
      <c r="M112" s="69">
        <f t="shared" si="62"/>
        <v>3420530.1581103522</v>
      </c>
      <c r="N112" s="70">
        <f t="shared" si="63"/>
        <v>3420530.1581103522</v>
      </c>
      <c r="O112" s="71"/>
      <c r="P112" s="68"/>
      <c r="Q112" s="72" t="s">
        <v>244</v>
      </c>
      <c r="R112" s="72">
        <v>1</v>
      </c>
      <c r="S112" s="72" t="s">
        <v>245</v>
      </c>
      <c r="T112" s="72"/>
      <c r="U112" s="72"/>
      <c r="V112" s="68">
        <v>3420530.1546935099</v>
      </c>
      <c r="W112" s="68">
        <f t="shared" si="64"/>
        <v>3.4168423153460026E-3</v>
      </c>
      <c r="X112" s="30">
        <f t="shared" si="43"/>
        <v>9.989218515315682E-10</v>
      </c>
    </row>
    <row r="113" spans="1:24" ht="14.25" customHeight="1" x14ac:dyDescent="0.3">
      <c r="A113" s="110">
        <v>15.03</v>
      </c>
      <c r="B113" s="111" t="s">
        <v>2028</v>
      </c>
      <c r="C113" s="111" t="s">
        <v>246</v>
      </c>
      <c r="D113" s="111" t="s">
        <v>50</v>
      </c>
      <c r="E113" s="112">
        <v>136</v>
      </c>
      <c r="F113" s="55">
        <f>IF(Q113&lt;&gt;"",IFERROR(VLOOKUP(Q113,PARTIDAS!A:P,13,FALSE()),0),0)</f>
        <v>4251.3981947210741</v>
      </c>
      <c r="G113" s="56">
        <f>IF(Q113&lt;&gt;"",IFERROR(VLOOKUP(Q113,PARTIDAS!A:P,14,FALSE()),0),0)</f>
        <v>9503.3872142359432</v>
      </c>
      <c r="H113" s="56">
        <f>IF(Q113&lt;&gt;"",IFERROR(VLOOKUP(Q113,PARTIDAS!A:P,15,FALSE()),0),0)</f>
        <v>262.01469147676153</v>
      </c>
      <c r="I113" s="57">
        <f t="shared" si="58"/>
        <v>14016.800100433778</v>
      </c>
      <c r="J113" s="58">
        <f t="shared" si="59"/>
        <v>578190.15448206605</v>
      </c>
      <c r="K113" s="59">
        <f t="shared" si="60"/>
        <v>1292460.6611360882</v>
      </c>
      <c r="L113" s="59">
        <f t="shared" si="61"/>
        <v>35633.998040839564</v>
      </c>
      <c r="M113" s="60">
        <f t="shared" si="62"/>
        <v>1906284.8136589939</v>
      </c>
      <c r="N113" s="61">
        <f t="shared" si="63"/>
        <v>1906284.8136589939</v>
      </c>
      <c r="O113" s="62"/>
      <c r="P113" s="59"/>
      <c r="Q113" s="63" t="s">
        <v>247</v>
      </c>
      <c r="R113" s="63">
        <v>1</v>
      </c>
      <c r="S113" s="63" t="s">
        <v>248</v>
      </c>
      <c r="T113" s="63"/>
      <c r="U113" s="63"/>
      <c r="V113" s="59">
        <v>1906284.8127738701</v>
      </c>
      <c r="W113" s="59">
        <f t="shared" si="64"/>
        <v>8.851238526403904E-4</v>
      </c>
      <c r="X113" s="30">
        <f t="shared" si="43"/>
        <v>4.6431878736547787E-10</v>
      </c>
    </row>
    <row r="114" spans="1:24" ht="14.25" customHeight="1" x14ac:dyDescent="0.3">
      <c r="A114" s="113">
        <v>15.04</v>
      </c>
      <c r="B114" s="114" t="s">
        <v>2028</v>
      </c>
      <c r="C114" s="114" t="s">
        <v>249</v>
      </c>
      <c r="D114" s="114" t="s">
        <v>50</v>
      </c>
      <c r="E114" s="115">
        <v>296</v>
      </c>
      <c r="F114" s="64">
        <f>IF(Q114&lt;&gt;"",IFERROR(VLOOKUP(Q114,PARTIDAS!A:P,13,FALSE()),0),0)</f>
        <v>4251.3981947210741</v>
      </c>
      <c r="G114" s="65">
        <f>IF(Q114&lt;&gt;"",IFERROR(VLOOKUP(Q114,PARTIDAS!A:P,14,FALSE()),0),0)</f>
        <v>9503.3872142359432</v>
      </c>
      <c r="H114" s="65">
        <f>IF(Q114&lt;&gt;"",IFERROR(VLOOKUP(Q114,PARTIDAS!A:P,15,FALSE()),0),0)</f>
        <v>262.01469147676153</v>
      </c>
      <c r="I114" s="66">
        <f t="shared" si="58"/>
        <v>14016.800100433778</v>
      </c>
      <c r="J114" s="67">
        <f t="shared" si="59"/>
        <v>1258413.8656374379</v>
      </c>
      <c r="K114" s="68">
        <f t="shared" si="60"/>
        <v>2813002.615413839</v>
      </c>
      <c r="L114" s="68">
        <f t="shared" si="61"/>
        <v>77556.348677121408</v>
      </c>
      <c r="M114" s="69">
        <f t="shared" si="62"/>
        <v>4148972.8297283985</v>
      </c>
      <c r="N114" s="70">
        <f t="shared" si="63"/>
        <v>4148972.8297283985</v>
      </c>
      <c r="O114" s="71"/>
      <c r="P114" s="68"/>
      <c r="Q114" s="72" t="s">
        <v>250</v>
      </c>
      <c r="R114" s="72">
        <v>1</v>
      </c>
      <c r="S114" s="72" t="s">
        <v>248</v>
      </c>
      <c r="T114" s="72"/>
      <c r="U114" s="72"/>
      <c r="V114" s="68">
        <v>4148972.8278019498</v>
      </c>
      <c r="W114" s="68">
        <f t="shared" si="64"/>
        <v>1.9264486618340015E-3</v>
      </c>
      <c r="X114" s="30">
        <f t="shared" si="43"/>
        <v>4.6431942116492456E-10</v>
      </c>
    </row>
    <row r="115" spans="1:24" ht="14.25" customHeight="1" x14ac:dyDescent="0.3">
      <c r="A115" s="110">
        <v>15.05</v>
      </c>
      <c r="B115" s="111" t="s">
        <v>2028</v>
      </c>
      <c r="C115" s="111" t="s">
        <v>251</v>
      </c>
      <c r="D115" s="111" t="s">
        <v>50</v>
      </c>
      <c r="E115" s="112">
        <v>668</v>
      </c>
      <c r="F115" s="55">
        <f>IF(Q115&lt;&gt;"",IFERROR(VLOOKUP(Q115,PARTIDAS!A:P,13,FALSE()),0),0)</f>
        <v>2880.1572817933875</v>
      </c>
      <c r="G115" s="56">
        <f>IF(Q115&lt;&gt;"",IFERROR(VLOOKUP(Q115,PARTIDAS!A:P,14,FALSE()),0),0)</f>
        <v>4708.8568941769454</v>
      </c>
      <c r="H115" s="56">
        <f>IF(Q115&lt;&gt;"",IFERROR(VLOOKUP(Q115,PARTIDAS!A:P,15,FALSE()),0),0)</f>
        <v>104.55249790152314</v>
      </c>
      <c r="I115" s="57">
        <f t="shared" si="58"/>
        <v>7693.5666738718564</v>
      </c>
      <c r="J115" s="58">
        <f t="shared" si="59"/>
        <v>1923945.0642379827</v>
      </c>
      <c r="K115" s="59">
        <f t="shared" si="60"/>
        <v>3145516.4053101996</v>
      </c>
      <c r="L115" s="59">
        <f t="shared" si="61"/>
        <v>69841.068598217462</v>
      </c>
      <c r="M115" s="60">
        <f t="shared" si="62"/>
        <v>5139302.5381463999</v>
      </c>
      <c r="N115" s="61">
        <f t="shared" si="63"/>
        <v>5139302.5381463999</v>
      </c>
      <c r="O115" s="62"/>
      <c r="P115" s="59"/>
      <c r="Q115" s="63" t="s">
        <v>252</v>
      </c>
      <c r="R115" s="63">
        <v>1</v>
      </c>
      <c r="S115" s="63" t="s">
        <v>242</v>
      </c>
      <c r="T115" s="63"/>
      <c r="U115" s="63"/>
      <c r="V115" s="59">
        <v>5139302.5337988799</v>
      </c>
      <c r="W115" s="59">
        <f t="shared" si="64"/>
        <v>4.3475199490785599E-3</v>
      </c>
      <c r="X115" s="30">
        <f t="shared" si="43"/>
        <v>8.4593579001953629E-10</v>
      </c>
    </row>
    <row r="116" spans="1:24" ht="14.25" customHeight="1" x14ac:dyDescent="0.3">
      <c r="A116" s="113">
        <v>15.06</v>
      </c>
      <c r="B116" s="114" t="s">
        <v>2028</v>
      </c>
      <c r="C116" s="114" t="s">
        <v>253</v>
      </c>
      <c r="D116" s="114" t="s">
        <v>50</v>
      </c>
      <c r="E116" s="115">
        <v>281</v>
      </c>
      <c r="F116" s="64">
        <f>IF(Q116&lt;&gt;"",IFERROR(VLOOKUP(Q116,PARTIDAS!A:P,13,FALSE()),0),0)</f>
        <v>2664.5680255950401</v>
      </c>
      <c r="G116" s="65">
        <f>IF(Q116&lt;&gt;"",IFERROR(VLOOKUP(Q116,PARTIDAS!A:P,14,FALSE()),0),0)</f>
        <v>3767.0855153415559</v>
      </c>
      <c r="H116" s="65">
        <f>IF(Q116&lt;&gt;"",IFERROR(VLOOKUP(Q116,PARTIDAS!A:P,15,FALSE()),0),0)</f>
        <v>83.641998321218509</v>
      </c>
      <c r="I116" s="66">
        <f t="shared" si="58"/>
        <v>6515.2955392578142</v>
      </c>
      <c r="J116" s="67">
        <f t="shared" si="59"/>
        <v>748743.61519220623</v>
      </c>
      <c r="K116" s="68">
        <f t="shared" si="60"/>
        <v>1058551.0298109772</v>
      </c>
      <c r="L116" s="68">
        <f t="shared" si="61"/>
        <v>23503.401528262402</v>
      </c>
      <c r="M116" s="69">
        <f t="shared" si="62"/>
        <v>1830798.0465314458</v>
      </c>
      <c r="N116" s="70">
        <f t="shared" si="63"/>
        <v>1830798.0465314458</v>
      </c>
      <c r="O116" s="71"/>
      <c r="P116" s="68"/>
      <c r="Q116" s="72" t="s">
        <v>254</v>
      </c>
      <c r="R116" s="72">
        <v>1</v>
      </c>
      <c r="S116" s="72" t="s">
        <v>245</v>
      </c>
      <c r="T116" s="72"/>
      <c r="U116" s="72"/>
      <c r="V116" s="68">
        <v>1830798.04470262</v>
      </c>
      <c r="W116" s="68">
        <f t="shared" si="64"/>
        <v>1.8288257997483015E-3</v>
      </c>
      <c r="X116" s="30">
        <f t="shared" si="43"/>
        <v>9.9892274029895042E-10</v>
      </c>
    </row>
    <row r="117" spans="1:24" ht="14.25" customHeight="1" x14ac:dyDescent="0.3">
      <c r="A117" s="110">
        <v>15.07</v>
      </c>
      <c r="B117" s="111" t="s">
        <v>2028</v>
      </c>
      <c r="C117" s="111" t="s">
        <v>255</v>
      </c>
      <c r="D117" s="111" t="s">
        <v>50</v>
      </c>
      <c r="E117" s="112">
        <v>752</v>
      </c>
      <c r="F117" s="55">
        <f>IF(Q117&lt;&gt;"",IFERROR(VLOOKUP(Q117,PARTIDAS!A:P,13,FALSE()),0),0)</f>
        <v>6929.1780147727241</v>
      </c>
      <c r="G117" s="56">
        <f>IF(Q117&lt;&gt;"",IFERROR(VLOOKUP(Q117,PARTIDAS!A:P,14,FALSE()),0),0)</f>
        <v>12350.904731051613</v>
      </c>
      <c r="H117" s="56">
        <f>IF(Q117&lt;&gt;"",IFERROR(VLOOKUP(Q117,PARTIDAS!A:P,15,FALSE()),0),0)</f>
        <v>197.4805534338069</v>
      </c>
      <c r="I117" s="57">
        <f t="shared" si="58"/>
        <v>19477.563299258145</v>
      </c>
      <c r="J117" s="58">
        <f t="shared" si="59"/>
        <v>5210741.8671090882</v>
      </c>
      <c r="K117" s="59">
        <f t="shared" si="60"/>
        <v>9287880.3577508125</v>
      </c>
      <c r="L117" s="59">
        <f t="shared" si="61"/>
        <v>148505.3761822228</v>
      </c>
      <c r="M117" s="60">
        <f t="shared" si="62"/>
        <v>14647127.601042125</v>
      </c>
      <c r="N117" s="61">
        <f t="shared" si="63"/>
        <v>14647127.601042125</v>
      </c>
      <c r="O117" s="62"/>
      <c r="P117" s="59"/>
      <c r="Q117" s="63" t="s">
        <v>256</v>
      </c>
      <c r="R117" s="63">
        <v>1</v>
      </c>
      <c r="S117" s="63" t="s">
        <v>257</v>
      </c>
      <c r="T117" s="63"/>
      <c r="U117" s="63"/>
      <c r="V117" s="59">
        <v>14647127.5961479</v>
      </c>
      <c r="W117" s="59">
        <f t="shared" si="64"/>
        <v>4.8942249268293381E-3</v>
      </c>
      <c r="X117" s="30">
        <f t="shared" si="43"/>
        <v>3.3414230160161146E-10</v>
      </c>
    </row>
    <row r="118" spans="1:24" ht="14.25" customHeight="1" x14ac:dyDescent="0.3">
      <c r="A118" s="113">
        <v>15.08</v>
      </c>
      <c r="B118" s="114" t="s">
        <v>2028</v>
      </c>
      <c r="C118" s="114" t="s">
        <v>258</v>
      </c>
      <c r="D118" s="114" t="s">
        <v>50</v>
      </c>
      <c r="E118" s="115">
        <v>433</v>
      </c>
      <c r="F118" s="64">
        <f>IF(Q118&lt;&gt;"",IFERROR(VLOOKUP(Q118,PARTIDAS!A:P,13,FALSE()),0),0)</f>
        <v>6929.1780147727241</v>
      </c>
      <c r="G118" s="65">
        <f>IF(Q118&lt;&gt;"",IFERROR(VLOOKUP(Q118,PARTIDAS!A:P,14,FALSE()),0),0)</f>
        <v>17291.266623472264</v>
      </c>
      <c r="H118" s="65">
        <f>IF(Q118&lt;&gt;"",IFERROR(VLOOKUP(Q118,PARTIDAS!A:P,15,FALSE()),0),0)</f>
        <v>197.4805534338069</v>
      </c>
      <c r="I118" s="66">
        <f t="shared" si="58"/>
        <v>24417.925191678798</v>
      </c>
      <c r="J118" s="67">
        <f t="shared" si="59"/>
        <v>3000334.0803965894</v>
      </c>
      <c r="K118" s="68">
        <f t="shared" si="60"/>
        <v>7487118.4479634902</v>
      </c>
      <c r="L118" s="68">
        <f t="shared" si="61"/>
        <v>85509.079636838389</v>
      </c>
      <c r="M118" s="69">
        <f t="shared" si="62"/>
        <v>10572961.60799692</v>
      </c>
      <c r="N118" s="70">
        <f t="shared" si="63"/>
        <v>10572961.60799692</v>
      </c>
      <c r="O118" s="71"/>
      <c r="P118" s="68"/>
      <c r="Q118" s="72" t="s">
        <v>259</v>
      </c>
      <c r="R118" s="72">
        <v>1</v>
      </c>
      <c r="S118" s="72" t="s">
        <v>257</v>
      </c>
      <c r="T118" s="72"/>
      <c r="U118" s="72"/>
      <c r="V118" s="68">
        <v>10572961.605178799</v>
      </c>
      <c r="W118" s="68">
        <f t="shared" si="64"/>
        <v>2.8181206434965134E-3</v>
      </c>
      <c r="X118" s="30">
        <f t="shared" si="43"/>
        <v>2.665403269899471E-10</v>
      </c>
    </row>
    <row r="119" spans="1:24" ht="14.25" customHeight="1" x14ac:dyDescent="0.3">
      <c r="A119" s="110">
        <v>15.09</v>
      </c>
      <c r="B119" s="111" t="s">
        <v>2028</v>
      </c>
      <c r="C119" s="111" t="s">
        <v>260</v>
      </c>
      <c r="D119" s="111" t="s">
        <v>50</v>
      </c>
      <c r="E119" s="112">
        <v>219</v>
      </c>
      <c r="F119" s="55">
        <f>IF(Q119&lt;&gt;"",IFERROR(VLOOKUP(Q119,PARTIDAS!A:P,13,FALSE()),0),0)</f>
        <v>11873.028925619834</v>
      </c>
      <c r="G119" s="56">
        <f>IF(Q119&lt;&gt;"",IFERROR(VLOOKUP(Q119,PARTIDAS!A:P,14,FALSE()),0),0)</f>
        <v>9112.9167920710242</v>
      </c>
      <c r="H119" s="56">
        <f>IF(Q119&lt;&gt;"",IFERROR(VLOOKUP(Q119,PARTIDAS!A:P,15,FALSE()),0),0)</f>
        <v>314.77474760202398</v>
      </c>
      <c r="I119" s="57">
        <f t="shared" si="58"/>
        <v>21300.720465292881</v>
      </c>
      <c r="J119" s="58">
        <f t="shared" si="59"/>
        <v>2600193.3347107437</v>
      </c>
      <c r="K119" s="59">
        <f t="shared" si="60"/>
        <v>1995728.7774635544</v>
      </c>
      <c r="L119" s="59">
        <f t="shared" si="61"/>
        <v>68935.669724843247</v>
      </c>
      <c r="M119" s="60">
        <f t="shared" si="62"/>
        <v>4664857.7818991411</v>
      </c>
      <c r="N119" s="61">
        <f t="shared" si="63"/>
        <v>4664857.7818991411</v>
      </c>
      <c r="O119" s="62"/>
      <c r="P119" s="59"/>
      <c r="Q119" s="63" t="s">
        <v>261</v>
      </c>
      <c r="R119" s="63">
        <v>1</v>
      </c>
      <c r="S119" s="63" t="s">
        <v>32</v>
      </c>
      <c r="T119" s="63"/>
      <c r="U119" s="63"/>
      <c r="V119" s="59">
        <v>4664646.9847143898</v>
      </c>
      <c r="W119" s="59">
        <f t="shared" si="64"/>
        <v>210.79718475136906</v>
      </c>
      <c r="X119" s="30">
        <f t="shared" si="43"/>
        <v>4.5190383204159206E-5</v>
      </c>
    </row>
    <row r="120" spans="1:24" ht="14.25" customHeight="1" x14ac:dyDescent="0.3">
      <c r="A120" s="113">
        <v>15.1</v>
      </c>
      <c r="B120" s="114" t="s">
        <v>2028</v>
      </c>
      <c r="C120" s="114" t="s">
        <v>262</v>
      </c>
      <c r="D120" s="114" t="s">
        <v>50</v>
      </c>
      <c r="E120" s="115">
        <v>861</v>
      </c>
      <c r="F120" s="64">
        <f>IF(Q120&lt;&gt;"",IFERROR(VLOOKUP(Q120,PARTIDAS!A:P,13,FALSE()),0),0)</f>
        <v>3455.5346560313137</v>
      </c>
      <c r="G120" s="65">
        <f>IF(Q120&lt;&gt;"",IFERROR(VLOOKUP(Q120,PARTIDAS!A:P,14,FALSE()),0),0)</f>
        <v>9286.5141314164102</v>
      </c>
      <c r="H120" s="65">
        <f>IF(Q120&lt;&gt;"",IFERROR(VLOOKUP(Q120,PARTIDAS!A:P,15,FALSE()),0),0)</f>
        <v>191.13501684180801</v>
      </c>
      <c r="I120" s="66">
        <f t="shared" si="58"/>
        <v>12933.183804289532</v>
      </c>
      <c r="J120" s="67">
        <f t="shared" si="59"/>
        <v>2975215.338842961</v>
      </c>
      <c r="K120" s="68">
        <f t="shared" si="60"/>
        <v>7995688.6671495289</v>
      </c>
      <c r="L120" s="68">
        <f t="shared" si="61"/>
        <v>164567.24950079669</v>
      </c>
      <c r="M120" s="69">
        <f t="shared" si="62"/>
        <v>11135471.255493287</v>
      </c>
      <c r="N120" s="70">
        <f t="shared" si="63"/>
        <v>11135471.255493287</v>
      </c>
      <c r="O120" s="71"/>
      <c r="P120" s="68"/>
      <c r="Q120" s="72" t="s">
        <v>263</v>
      </c>
      <c r="R120" s="72">
        <v>1</v>
      </c>
      <c r="S120" s="72" t="s">
        <v>32</v>
      </c>
      <c r="T120" s="72"/>
      <c r="U120" s="72"/>
      <c r="V120" s="68">
        <v>11135717.216220601</v>
      </c>
      <c r="W120" s="68">
        <f t="shared" si="64"/>
        <v>-245.96072731353343</v>
      </c>
      <c r="X120" s="30">
        <f t="shared" si="43"/>
        <v>-2.2087551483011805E-5</v>
      </c>
    </row>
    <row r="121" spans="1:24" ht="14.25" customHeight="1" x14ac:dyDescent="0.3">
      <c r="A121" s="110">
        <v>15.11</v>
      </c>
      <c r="B121" s="111" t="s">
        <v>2028</v>
      </c>
      <c r="C121" s="111" t="s">
        <v>264</v>
      </c>
      <c r="D121" s="111" t="s">
        <v>30</v>
      </c>
      <c r="E121" s="112">
        <v>88</v>
      </c>
      <c r="F121" s="55">
        <f>IF(Q121&lt;&gt;"",IFERROR(VLOOKUP(Q121,PARTIDAS!A:P,13,FALSE()),0),0)</f>
        <v>25797.285775335757</v>
      </c>
      <c r="G121" s="56">
        <f>IF(Q121&lt;&gt;"",IFERROR(VLOOKUP(Q121,PARTIDAS!A:P,14,FALSE()),0),0)</f>
        <v>81200.102755438114</v>
      </c>
      <c r="H121" s="56">
        <f>IF(Q121&lt;&gt;"",IFERROR(VLOOKUP(Q121,PARTIDAS!A:P,15,FALSE()),0),0)</f>
        <v>1604.9614296013699</v>
      </c>
      <c r="I121" s="57">
        <f t="shared" si="58"/>
        <v>108602.34996037524</v>
      </c>
      <c r="J121" s="58">
        <f t="shared" si="59"/>
        <v>2270161.1482295464</v>
      </c>
      <c r="K121" s="59">
        <f t="shared" si="60"/>
        <v>7145609.042478554</v>
      </c>
      <c r="L121" s="59">
        <f t="shared" si="61"/>
        <v>141236.60580492055</v>
      </c>
      <c r="M121" s="60">
        <f t="shared" si="62"/>
        <v>9557006.796513021</v>
      </c>
      <c r="N121" s="61">
        <f t="shared" si="63"/>
        <v>9557006.796513021</v>
      </c>
      <c r="O121" s="62"/>
      <c r="P121" s="59"/>
      <c r="Q121" s="63" t="s">
        <v>265</v>
      </c>
      <c r="R121" s="63">
        <v>1</v>
      </c>
      <c r="S121" s="63" t="s">
        <v>32</v>
      </c>
      <c r="T121" s="63"/>
      <c r="U121" s="63"/>
      <c r="V121" s="59">
        <v>9557010.3261329606</v>
      </c>
      <c r="W121" s="59">
        <f t="shared" si="64"/>
        <v>-3.5296199396252632</v>
      </c>
      <c r="X121" s="30">
        <f t="shared" si="43"/>
        <v>-3.6932260395008366E-7</v>
      </c>
    </row>
    <row r="122" spans="1:24" ht="14.25" customHeight="1" x14ac:dyDescent="0.3">
      <c r="A122" s="113">
        <v>15.12</v>
      </c>
      <c r="B122" s="114" t="s">
        <v>2028</v>
      </c>
      <c r="C122" s="114" t="s">
        <v>266</v>
      </c>
      <c r="D122" s="114" t="s">
        <v>26</v>
      </c>
      <c r="E122" s="115">
        <v>1</v>
      </c>
      <c r="F122" s="64">
        <f>IF(Q122&lt;&gt;"",IFERROR(VLOOKUP(Q122,PARTIDAS!A:P,13,FALSE()),0),0)</f>
        <v>1266522.9190993365</v>
      </c>
      <c r="G122" s="65">
        <f>IF(Q122&lt;&gt;"",IFERROR(VLOOKUP(Q122,PARTIDAS!A:P,14,FALSE()),0),0)</f>
        <v>5694407.7131106043</v>
      </c>
      <c r="H122" s="65">
        <f>IF(Q122&lt;&gt;"",IFERROR(VLOOKUP(Q122,PARTIDAS!A:P,15,FALSE()),0),0)</f>
        <v>104413.959483149</v>
      </c>
      <c r="I122" s="66">
        <f t="shared" si="58"/>
        <v>7065344.5916930903</v>
      </c>
      <c r="J122" s="67">
        <f t="shared" si="59"/>
        <v>1266522.9190993365</v>
      </c>
      <c r="K122" s="68">
        <f t="shared" si="60"/>
        <v>5694407.7131106043</v>
      </c>
      <c r="L122" s="68">
        <f t="shared" si="61"/>
        <v>104413.959483149</v>
      </c>
      <c r="M122" s="69">
        <f t="shared" si="62"/>
        <v>7065344.5916930903</v>
      </c>
      <c r="N122" s="70">
        <f t="shared" si="63"/>
        <v>7065344.5916930903</v>
      </c>
      <c r="O122" s="71"/>
      <c r="P122" s="68"/>
      <c r="Q122" s="72" t="s">
        <v>267</v>
      </c>
      <c r="R122" s="72">
        <v>1</v>
      </c>
      <c r="S122" s="72" t="s">
        <v>32</v>
      </c>
      <c r="T122" s="72"/>
      <c r="U122" s="72"/>
      <c r="V122" s="68">
        <v>7065344.59169308</v>
      </c>
      <c r="W122" s="68">
        <f t="shared" si="64"/>
        <v>1.0244548320770264E-8</v>
      </c>
      <c r="X122" s="30">
        <f t="shared" si="43"/>
        <v>1.4499715035576695E-15</v>
      </c>
    </row>
    <row r="123" spans="1:24" ht="14.25" customHeight="1" x14ac:dyDescent="0.3">
      <c r="A123" s="108">
        <v>17</v>
      </c>
      <c r="B123" s="108"/>
      <c r="C123" s="108" t="s">
        <v>2029</v>
      </c>
      <c r="D123" s="108"/>
      <c r="E123" s="109"/>
      <c r="F123" s="73"/>
      <c r="G123" s="74"/>
      <c r="H123" s="74"/>
      <c r="I123" s="75"/>
      <c r="J123" s="76"/>
      <c r="K123" s="54"/>
      <c r="L123" s="54"/>
      <c r="M123" s="77"/>
      <c r="N123" s="78"/>
      <c r="O123" s="53">
        <f>SUM(M124:M127)</f>
        <v>9063477.9625211246</v>
      </c>
      <c r="P123" s="54">
        <f>SUM(N124:N127)</f>
        <v>9063477.9625211246</v>
      </c>
      <c r="Q123" s="46"/>
      <c r="R123" s="46"/>
      <c r="S123" s="46"/>
      <c r="T123" s="46"/>
      <c r="U123" s="46"/>
      <c r="V123" s="54"/>
      <c r="W123" s="54"/>
      <c r="X123" s="30">
        <f t="shared" si="43"/>
        <v>0</v>
      </c>
    </row>
    <row r="124" spans="1:24" ht="14.25" customHeight="1" x14ac:dyDescent="0.3">
      <c r="A124" s="113">
        <v>17.010000000000002</v>
      </c>
      <c r="B124" s="114" t="s">
        <v>2029</v>
      </c>
      <c r="C124" s="114" t="s">
        <v>2030</v>
      </c>
      <c r="D124" s="114" t="s">
        <v>98</v>
      </c>
      <c r="E124" s="115">
        <v>43</v>
      </c>
      <c r="F124" s="64">
        <f>IF(Q124&lt;&gt;"",IFERROR(VLOOKUP(Q124,PARTIDAS!A:P,13,FALSE()),0),0)</f>
        <v>4104.3831840000003</v>
      </c>
      <c r="G124" s="65">
        <f>IF(Q124&lt;&gt;"",IFERROR(VLOOKUP(Q124,PARTIDAS!A:P,14,FALSE()),0),0)</f>
        <v>60531.613778927436</v>
      </c>
      <c r="H124" s="65">
        <f>IF(Q124&lt;&gt;"",IFERROR(VLOOKUP(Q124,PARTIDAS!A:P,15,FALSE()),0),0)</f>
        <v>440.7878056412402</v>
      </c>
      <c r="I124" s="66">
        <f>F124+G124+H124</f>
        <v>65076.784768568672</v>
      </c>
      <c r="J124" s="67">
        <f>F124*E124</f>
        <v>176488.47691200001</v>
      </c>
      <c r="K124" s="68">
        <f>G124*E124</f>
        <v>2602859.3924938799</v>
      </c>
      <c r="L124" s="68">
        <f>H124*E124</f>
        <v>18953.87564257333</v>
      </c>
      <c r="M124" s="69">
        <f>I124*E124</f>
        <v>2798301.7450484531</v>
      </c>
      <c r="N124" s="70">
        <f>M124*$N$2</f>
        <v>2798301.7450484531</v>
      </c>
      <c r="O124" s="71"/>
      <c r="P124" s="68"/>
      <c r="Q124" s="72" t="s">
        <v>269</v>
      </c>
      <c r="R124" s="72">
        <v>1</v>
      </c>
      <c r="S124" s="72" t="s">
        <v>270</v>
      </c>
      <c r="T124" s="72"/>
      <c r="U124" s="72"/>
      <c r="V124" s="68">
        <v>2798301.7450484498</v>
      </c>
      <c r="W124" s="68">
        <f>M124-V124</f>
        <v>0</v>
      </c>
      <c r="X124" s="30">
        <f t="shared" si="43"/>
        <v>0</v>
      </c>
    </row>
    <row r="125" spans="1:24" ht="14.25" customHeight="1" x14ac:dyDescent="0.3">
      <c r="A125" s="110">
        <v>17.02</v>
      </c>
      <c r="B125" s="111" t="s">
        <v>2029</v>
      </c>
      <c r="C125" s="111" t="s">
        <v>271</v>
      </c>
      <c r="D125" s="111" t="s">
        <v>98</v>
      </c>
      <c r="E125" s="112">
        <v>38</v>
      </c>
      <c r="F125" s="55">
        <f>IF(Q125&lt;&gt;"",IFERROR(VLOOKUP(Q125,PARTIDAS!A:P,13,FALSE()),0),0)</f>
        <v>4104.3831840000003</v>
      </c>
      <c r="G125" s="56">
        <f>IF(Q125&lt;&gt;"",IFERROR(VLOOKUP(Q125,PARTIDAS!A:P,14,FALSE()),0),0)</f>
        <v>60531.613778927436</v>
      </c>
      <c r="H125" s="56">
        <f>IF(Q125&lt;&gt;"",IFERROR(VLOOKUP(Q125,PARTIDAS!A:P,15,FALSE()),0),0)</f>
        <v>440.7878056412402</v>
      </c>
      <c r="I125" s="57">
        <f>F125+G125+H125</f>
        <v>65076.784768568672</v>
      </c>
      <c r="J125" s="58">
        <f>F125*E125</f>
        <v>155966.56099200001</v>
      </c>
      <c r="K125" s="59">
        <f>G125*E125</f>
        <v>2300201.3235992426</v>
      </c>
      <c r="L125" s="59">
        <f>H125*E125</f>
        <v>16749.936614367129</v>
      </c>
      <c r="M125" s="60">
        <f>I125*E125</f>
        <v>2472917.8212056095</v>
      </c>
      <c r="N125" s="61">
        <f>M125*$N$2</f>
        <v>2472917.8212056095</v>
      </c>
      <c r="O125" s="62"/>
      <c r="P125" s="59"/>
      <c r="Q125" s="63" t="s">
        <v>272</v>
      </c>
      <c r="R125" s="63">
        <v>1</v>
      </c>
      <c r="S125" s="63" t="s">
        <v>270</v>
      </c>
      <c r="T125" s="63"/>
      <c r="U125" s="63"/>
      <c r="V125" s="59">
        <v>2472917.8212056099</v>
      </c>
      <c r="W125" s="59">
        <f>M125-V125</f>
        <v>0</v>
      </c>
      <c r="X125" s="30">
        <f t="shared" si="43"/>
        <v>0</v>
      </c>
    </row>
    <row r="126" spans="1:24" ht="14.25" customHeight="1" x14ac:dyDescent="0.3">
      <c r="A126" s="113">
        <v>17.03</v>
      </c>
      <c r="B126" s="114" t="s">
        <v>2029</v>
      </c>
      <c r="C126" s="114" t="s">
        <v>273</v>
      </c>
      <c r="D126" s="114" t="s">
        <v>98</v>
      </c>
      <c r="E126" s="115">
        <v>72</v>
      </c>
      <c r="F126" s="64">
        <f>IF(Q126&lt;&gt;"",IFERROR(VLOOKUP(Q126,PARTIDAS!A:P,13,FALSE()),0),0)</f>
        <v>1501.8311196</v>
      </c>
      <c r="G126" s="65">
        <f>IF(Q126&lt;&gt;"",IFERROR(VLOOKUP(Q126,PARTIDAS!A:P,14,FALSE()),0),0)</f>
        <v>40354.409185951627</v>
      </c>
      <c r="H126" s="65">
        <f>IF(Q126&lt;&gt;"",IFERROR(VLOOKUP(Q126,PARTIDAS!A:P,15,FALSE()),0),0)</f>
        <v>220.3939028206201</v>
      </c>
      <c r="I126" s="66">
        <f>F126+G126+H126</f>
        <v>42076.634208372248</v>
      </c>
      <c r="J126" s="67">
        <f>F126*E126</f>
        <v>108131.84061119999</v>
      </c>
      <c r="K126" s="68">
        <f>G126*E126</f>
        <v>2905517.4613885172</v>
      </c>
      <c r="L126" s="68">
        <f>H126*E126</f>
        <v>15868.361003084647</v>
      </c>
      <c r="M126" s="69">
        <f>I126*E126</f>
        <v>3029517.6630028021</v>
      </c>
      <c r="N126" s="70">
        <f>M126*$N$2</f>
        <v>3029517.6630028021</v>
      </c>
      <c r="O126" s="71"/>
      <c r="P126" s="68"/>
      <c r="Q126" s="72" t="s">
        <v>274</v>
      </c>
      <c r="R126" s="72">
        <v>1</v>
      </c>
      <c r="S126" s="72" t="s">
        <v>275</v>
      </c>
      <c r="T126" s="72"/>
      <c r="U126" s="72"/>
      <c r="V126" s="68">
        <v>3029517.6630028002</v>
      </c>
      <c r="W126" s="68">
        <f>M126-V126</f>
        <v>0</v>
      </c>
      <c r="X126" s="30">
        <f t="shared" si="43"/>
        <v>0</v>
      </c>
    </row>
    <row r="127" spans="1:24" ht="14.25" customHeight="1" x14ac:dyDescent="0.3">
      <c r="A127" s="110">
        <v>17.04</v>
      </c>
      <c r="B127" s="111" t="s">
        <v>2029</v>
      </c>
      <c r="C127" s="111" t="s">
        <v>276</v>
      </c>
      <c r="D127" s="111" t="s">
        <v>98</v>
      </c>
      <c r="E127" s="112">
        <v>8</v>
      </c>
      <c r="F127" s="55">
        <f>IF(Q127&lt;&gt;"",IFERROR(VLOOKUP(Q127,PARTIDAS!A:P,13,FALSE()),0),0)</f>
        <v>4104.3831840000003</v>
      </c>
      <c r="G127" s="56">
        <f>IF(Q127&lt;&gt;"",IFERROR(VLOOKUP(Q127,PARTIDAS!A:P,14,FALSE()),0),0)</f>
        <v>90797.420668391205</v>
      </c>
      <c r="H127" s="56">
        <f>IF(Q127&lt;&gt;"",IFERROR(VLOOKUP(Q127,PARTIDAS!A:P,15,FALSE()),0),0)</f>
        <v>440.78780564124003</v>
      </c>
      <c r="I127" s="57">
        <f>F127+G127+H127</f>
        <v>95342.591658032456</v>
      </c>
      <c r="J127" s="58">
        <f>F127*E127</f>
        <v>32835.065472000002</v>
      </c>
      <c r="K127" s="59">
        <f>G127*E127</f>
        <v>726379.36534712964</v>
      </c>
      <c r="L127" s="59">
        <f>H127*E127</f>
        <v>3526.3024451299202</v>
      </c>
      <c r="M127" s="60">
        <f>I127*E127</f>
        <v>762740.73326425964</v>
      </c>
      <c r="N127" s="61">
        <f>M127*$N$2</f>
        <v>762740.73326425964</v>
      </c>
      <c r="O127" s="62"/>
      <c r="P127" s="59"/>
      <c r="Q127" s="63" t="s">
        <v>277</v>
      </c>
      <c r="R127" s="63">
        <v>1</v>
      </c>
      <c r="S127" s="63" t="s">
        <v>28</v>
      </c>
      <c r="T127" s="63"/>
      <c r="U127" s="63"/>
      <c r="V127" s="59">
        <v>762740.73326425895</v>
      </c>
      <c r="W127" s="59">
        <f>M127-V127</f>
        <v>0</v>
      </c>
      <c r="X127" s="30">
        <f t="shared" si="43"/>
        <v>0</v>
      </c>
    </row>
    <row r="128" spans="1:24" ht="14.25" customHeight="1" x14ac:dyDescent="0.3">
      <c r="A128" s="108">
        <v>18</v>
      </c>
      <c r="B128" s="108"/>
      <c r="C128" s="108" t="s">
        <v>2007</v>
      </c>
      <c r="D128" s="108"/>
      <c r="E128" s="109"/>
      <c r="F128" s="73"/>
      <c r="G128" s="74"/>
      <c r="H128" s="74"/>
      <c r="I128" s="75"/>
      <c r="J128" s="76"/>
      <c r="K128" s="54"/>
      <c r="L128" s="54"/>
      <c r="M128" s="77"/>
      <c r="N128" s="78"/>
      <c r="O128" s="53"/>
      <c r="P128" s="54"/>
      <c r="Q128" s="46"/>
      <c r="R128" s="46"/>
      <c r="S128" s="46"/>
      <c r="T128" s="46"/>
      <c r="U128" s="46"/>
      <c r="V128" s="54"/>
      <c r="W128" s="54"/>
      <c r="X128" s="30">
        <f t="shared" si="43"/>
        <v>0</v>
      </c>
    </row>
    <row r="129" spans="1:24" ht="14.25" customHeight="1" x14ac:dyDescent="0.3">
      <c r="A129" s="110">
        <v>18.010000000000002</v>
      </c>
      <c r="B129" s="111" t="s">
        <v>2007</v>
      </c>
      <c r="C129" s="111" t="s">
        <v>278</v>
      </c>
      <c r="D129" s="111" t="s">
        <v>98</v>
      </c>
      <c r="E129" s="112">
        <v>222</v>
      </c>
      <c r="F129" s="55">
        <f>IF(Q129&lt;&gt;"",IFERROR(VLOOKUP(Q129,PARTIDAS!A:P,13,FALSE()),0),0)</f>
        <v>18798.887787227555</v>
      </c>
      <c r="G129" s="56">
        <f>IF(Q129&lt;&gt;"",IFERROR(VLOOKUP(Q129,PARTIDAS!A:P,14,FALSE()),0),0)</f>
        <v>49666.965151940465</v>
      </c>
      <c r="H129" s="56">
        <f>IF(Q129&lt;&gt;"",IFERROR(VLOOKUP(Q129,PARTIDAS!A:P,15,FALSE()),0),0)</f>
        <v>1812.1956821517999</v>
      </c>
      <c r="I129" s="57">
        <f t="shared" ref="I129:I155" si="65">F129+G129+H129</f>
        <v>70278.048621319816</v>
      </c>
      <c r="J129" s="58">
        <f t="shared" ref="J129:J155" si="66">F129*E129</f>
        <v>4173353.0887645171</v>
      </c>
      <c r="K129" s="59">
        <f t="shared" ref="K129:K155" si="67">G129*E129</f>
        <v>11026066.263730783</v>
      </c>
      <c r="L129" s="59">
        <f t="shared" ref="L129:L155" si="68">H129*E129</f>
        <v>402307.4414376996</v>
      </c>
      <c r="M129" s="60">
        <f t="shared" ref="M129:M155" si="69">I129*E129</f>
        <v>15601726.793932999</v>
      </c>
      <c r="N129" s="61">
        <f t="shared" ref="N129:N155" si="70">M129*$N$2</f>
        <v>15601726.793932999</v>
      </c>
      <c r="O129" s="62"/>
      <c r="P129" s="59"/>
      <c r="Q129" s="63" t="s">
        <v>279</v>
      </c>
      <c r="R129" s="63">
        <v>1</v>
      </c>
      <c r="S129" s="63" t="s">
        <v>280</v>
      </c>
      <c r="T129" s="63"/>
      <c r="U129" s="63"/>
      <c r="V129" s="59">
        <v>15601726.793975901</v>
      </c>
      <c r="W129" s="59">
        <f t="shared" ref="W129:W155" si="71">M129-V129</f>
        <v>-4.2902305722236633E-5</v>
      </c>
      <c r="X129" s="30">
        <f t="shared" si="43"/>
        <v>-2.749843417255708E-12</v>
      </c>
    </row>
    <row r="130" spans="1:24" ht="14.25" customHeight="1" x14ac:dyDescent="0.3">
      <c r="A130" s="113">
        <v>18.02</v>
      </c>
      <c r="B130" s="114" t="s">
        <v>2007</v>
      </c>
      <c r="C130" s="114" t="s">
        <v>281</v>
      </c>
      <c r="D130" s="114" t="s">
        <v>98</v>
      </c>
      <c r="E130" s="115">
        <v>67</v>
      </c>
      <c r="F130" s="64">
        <f>IF(Q130&lt;&gt;"",IFERROR(VLOOKUP(Q130,PARTIDAS!A:P,13,FALSE()),0),0)</f>
        <v>17610.205138664016</v>
      </c>
      <c r="G130" s="65">
        <f>IF(Q130&lt;&gt;"",IFERROR(VLOOKUP(Q130,PARTIDAS!A:P,14,FALSE()),0),0)</f>
        <v>49666.965151940465</v>
      </c>
      <c r="H130" s="65">
        <f>IF(Q130&lt;&gt;"",IFERROR(VLOOKUP(Q130,PARTIDAS!A:P,15,FALSE()),0),0)</f>
        <v>1812.1956821517999</v>
      </c>
      <c r="I130" s="66">
        <f t="shared" si="65"/>
        <v>69089.365972756277</v>
      </c>
      <c r="J130" s="67">
        <f t="shared" si="66"/>
        <v>1179883.744290489</v>
      </c>
      <c r="K130" s="68">
        <f t="shared" si="67"/>
        <v>3327686.6651800112</v>
      </c>
      <c r="L130" s="68">
        <f t="shared" si="68"/>
        <v>121417.1107041706</v>
      </c>
      <c r="M130" s="69">
        <f t="shared" si="69"/>
        <v>4628987.520174671</v>
      </c>
      <c r="N130" s="70">
        <f t="shared" si="70"/>
        <v>4628987.520174671</v>
      </c>
      <c r="O130" s="71"/>
      <c r="P130" s="68"/>
      <c r="Q130" s="72" t="s">
        <v>282</v>
      </c>
      <c r="R130" s="72">
        <v>1</v>
      </c>
      <c r="S130" s="72" t="s">
        <v>283</v>
      </c>
      <c r="T130" s="72"/>
      <c r="U130" s="72"/>
      <c r="V130" s="68">
        <v>4628987.5201548897</v>
      </c>
      <c r="W130" s="68">
        <f t="shared" si="71"/>
        <v>1.9781291484832764E-5</v>
      </c>
      <c r="X130" s="30">
        <f t="shared" si="43"/>
        <v>4.2733516559947139E-12</v>
      </c>
    </row>
    <row r="131" spans="1:24" ht="14.25" customHeight="1" x14ac:dyDescent="0.3">
      <c r="A131" s="110">
        <v>18.03</v>
      </c>
      <c r="B131" s="111" t="s">
        <v>2007</v>
      </c>
      <c r="C131" s="111" t="s">
        <v>284</v>
      </c>
      <c r="D131" s="111" t="s">
        <v>98</v>
      </c>
      <c r="E131" s="112">
        <v>23</v>
      </c>
      <c r="F131" s="55">
        <f>IF(Q131&lt;&gt;"",IFERROR(VLOOKUP(Q131,PARTIDAS!A:P,13,FALSE()),0),0)</f>
        <v>17610.205138664016</v>
      </c>
      <c r="G131" s="56">
        <f>IF(Q131&lt;&gt;"",IFERROR(VLOOKUP(Q131,PARTIDAS!A:P,14,FALSE()),0),0)</f>
        <v>49666.965151940465</v>
      </c>
      <c r="H131" s="56">
        <f>IF(Q131&lt;&gt;"",IFERROR(VLOOKUP(Q131,PARTIDAS!A:P,15,FALSE()),0),0)</f>
        <v>1812.1956821517999</v>
      </c>
      <c r="I131" s="57">
        <f t="shared" si="65"/>
        <v>69089.365972756277</v>
      </c>
      <c r="J131" s="58">
        <f t="shared" si="66"/>
        <v>405034.71818927239</v>
      </c>
      <c r="K131" s="59">
        <f t="shared" si="67"/>
        <v>1142340.1984946306</v>
      </c>
      <c r="L131" s="59">
        <f t="shared" si="68"/>
        <v>41680.500689491397</v>
      </c>
      <c r="M131" s="60">
        <f t="shared" si="69"/>
        <v>1589055.4173733944</v>
      </c>
      <c r="N131" s="61">
        <f t="shared" si="70"/>
        <v>1589055.4173733944</v>
      </c>
      <c r="O131" s="62"/>
      <c r="P131" s="59"/>
      <c r="Q131" s="63" t="s">
        <v>285</v>
      </c>
      <c r="R131" s="63">
        <v>1</v>
      </c>
      <c r="S131" s="63" t="s">
        <v>283</v>
      </c>
      <c r="T131" s="63"/>
      <c r="U131" s="63"/>
      <c r="V131" s="59">
        <v>1589055.4173665999</v>
      </c>
      <c r="W131" s="59">
        <f t="shared" si="71"/>
        <v>6.7944638431072235E-6</v>
      </c>
      <c r="X131" s="30">
        <f t="shared" si="43"/>
        <v>4.2757878478316909E-12</v>
      </c>
    </row>
    <row r="132" spans="1:24" ht="14.25" customHeight="1" x14ac:dyDescent="0.3">
      <c r="A132" s="113">
        <v>18.04</v>
      </c>
      <c r="B132" s="114" t="s">
        <v>2007</v>
      </c>
      <c r="C132" s="114" t="s">
        <v>286</v>
      </c>
      <c r="D132" s="114" t="s">
        <v>98</v>
      </c>
      <c r="E132" s="115">
        <v>11</v>
      </c>
      <c r="F132" s="64">
        <f>IF(Q132&lt;&gt;"",IFERROR(VLOOKUP(Q132,PARTIDAS!A:P,13,FALSE()),0),0)</f>
        <v>17610.205138664016</v>
      </c>
      <c r="G132" s="65">
        <f>IF(Q132&lt;&gt;"",IFERROR(VLOOKUP(Q132,PARTIDAS!A:P,14,FALSE()),0),0)</f>
        <v>49666.965151940465</v>
      </c>
      <c r="H132" s="65">
        <f>IF(Q132&lt;&gt;"",IFERROR(VLOOKUP(Q132,PARTIDAS!A:P,15,FALSE()),0),0)</f>
        <v>1812.1956821517999</v>
      </c>
      <c r="I132" s="66">
        <f t="shared" si="65"/>
        <v>69089.365972756277</v>
      </c>
      <c r="J132" s="67">
        <f t="shared" si="66"/>
        <v>193712.25652530417</v>
      </c>
      <c r="K132" s="68">
        <f t="shared" si="67"/>
        <v>546336.61667134508</v>
      </c>
      <c r="L132" s="68">
        <f t="shared" si="68"/>
        <v>19934.1525036698</v>
      </c>
      <c r="M132" s="69">
        <f t="shared" si="69"/>
        <v>759983.02570031909</v>
      </c>
      <c r="N132" s="70">
        <f t="shared" si="70"/>
        <v>759983.02570031909</v>
      </c>
      <c r="O132" s="71"/>
      <c r="P132" s="68"/>
      <c r="Q132" s="72" t="s">
        <v>287</v>
      </c>
      <c r="R132" s="72">
        <v>1</v>
      </c>
      <c r="S132" s="72" t="s">
        <v>283</v>
      </c>
      <c r="T132" s="72"/>
      <c r="U132" s="72"/>
      <c r="V132" s="68">
        <v>759983.02569707099</v>
      </c>
      <c r="W132" s="68">
        <f t="shared" si="71"/>
        <v>3.2481038942933083E-6</v>
      </c>
      <c r="X132" s="30">
        <f t="shared" si="43"/>
        <v>4.2739163697953456E-12</v>
      </c>
    </row>
    <row r="133" spans="1:24" ht="14.25" customHeight="1" x14ac:dyDescent="0.3">
      <c r="A133" s="110">
        <v>18.05</v>
      </c>
      <c r="B133" s="111" t="s">
        <v>2007</v>
      </c>
      <c r="C133" s="111" t="s">
        <v>288</v>
      </c>
      <c r="D133" s="111" t="s">
        <v>98</v>
      </c>
      <c r="E133" s="112">
        <v>313</v>
      </c>
      <c r="F133" s="55">
        <f>IF(Q133&lt;&gt;"",IFERROR(VLOOKUP(Q133,PARTIDAS!A:P,13,FALSE()),0),0)</f>
        <v>15896.430635621633</v>
      </c>
      <c r="G133" s="56">
        <f>IF(Q133&lt;&gt;"",IFERROR(VLOOKUP(Q133,PARTIDAS!A:P,14,FALSE()),0),0)</f>
        <v>49666.965151940465</v>
      </c>
      <c r="H133" s="56">
        <f>IF(Q133&lt;&gt;"",IFERROR(VLOOKUP(Q133,PARTIDAS!A:P,15,FALSE()),0),0)</f>
        <v>1812.1956821517999</v>
      </c>
      <c r="I133" s="57">
        <f t="shared" si="65"/>
        <v>67375.591469713894</v>
      </c>
      <c r="J133" s="58">
        <f t="shared" si="66"/>
        <v>4975582.7889495715</v>
      </c>
      <c r="K133" s="59">
        <f t="shared" si="67"/>
        <v>15545760.092557365</v>
      </c>
      <c r="L133" s="59">
        <f t="shared" si="68"/>
        <v>567217.24851351336</v>
      </c>
      <c r="M133" s="60">
        <f t="shared" si="69"/>
        <v>21088560.130020447</v>
      </c>
      <c r="N133" s="61">
        <f t="shared" si="70"/>
        <v>21088560.130020447</v>
      </c>
      <c r="O133" s="62"/>
      <c r="P133" s="59"/>
      <c r="Q133" s="63" t="s">
        <v>289</v>
      </c>
      <c r="R133" s="63">
        <v>1</v>
      </c>
      <c r="S133" s="63" t="s">
        <v>290</v>
      </c>
      <c r="T133" s="63"/>
      <c r="U133" s="63"/>
      <c r="V133" s="59">
        <v>21088560.129484098</v>
      </c>
      <c r="W133" s="59">
        <f t="shared" si="71"/>
        <v>5.3634867072105408E-4</v>
      </c>
      <c r="X133" s="30">
        <f t="shared" si="43"/>
        <v>2.543315747627456E-11</v>
      </c>
    </row>
    <row r="134" spans="1:24" ht="14.25" customHeight="1" x14ac:dyDescent="0.3">
      <c r="A134" s="113">
        <v>18.059999999999999</v>
      </c>
      <c r="B134" s="114" t="s">
        <v>2007</v>
      </c>
      <c r="C134" s="114" t="s">
        <v>291</v>
      </c>
      <c r="D134" s="114" t="s">
        <v>98</v>
      </c>
      <c r="E134" s="115">
        <v>40</v>
      </c>
      <c r="F134" s="64">
        <f>IF(Q134&lt;&gt;"",IFERROR(VLOOKUP(Q134,PARTIDAS!A:P,13,FALSE()),0),0)</f>
        <v>34095.002045405148</v>
      </c>
      <c r="G134" s="65">
        <f>IF(Q134&lt;&gt;"",IFERROR(VLOOKUP(Q134,PARTIDAS!A:P,14,FALSE()),0),0)</f>
        <v>49666.965151940465</v>
      </c>
      <c r="H134" s="65">
        <f>IF(Q134&lt;&gt;"",IFERROR(VLOOKUP(Q134,PARTIDAS!A:P,15,FALSE()),0),0)</f>
        <v>1812.1956821517999</v>
      </c>
      <c r="I134" s="66">
        <f t="shared" si="65"/>
        <v>85574.162879497409</v>
      </c>
      <c r="J134" s="67">
        <f t="shared" si="66"/>
        <v>1363800.081816206</v>
      </c>
      <c r="K134" s="68">
        <f t="shared" si="67"/>
        <v>1986678.6060776187</v>
      </c>
      <c r="L134" s="68">
        <f t="shared" si="68"/>
        <v>72487.827286072003</v>
      </c>
      <c r="M134" s="69">
        <f t="shared" si="69"/>
        <v>3422966.5151798963</v>
      </c>
      <c r="N134" s="70">
        <f t="shared" si="70"/>
        <v>3422966.5151798963</v>
      </c>
      <c r="O134" s="71"/>
      <c r="P134" s="68"/>
      <c r="Q134" s="72" t="s">
        <v>292</v>
      </c>
      <c r="R134" s="72">
        <v>1</v>
      </c>
      <c r="S134" s="72" t="s">
        <v>293</v>
      </c>
      <c r="T134" s="72"/>
      <c r="U134" s="72"/>
      <c r="V134" s="68">
        <v>3422966.5151603599</v>
      </c>
      <c r="W134" s="68">
        <f t="shared" si="71"/>
        <v>1.9536353647708893E-5</v>
      </c>
      <c r="X134" s="30">
        <f t="shared" ref="X134:X197" si="72">IFERROR(W134/V134,0)</f>
        <v>5.7074334677777734E-12</v>
      </c>
    </row>
    <row r="135" spans="1:24" ht="14.25" customHeight="1" x14ac:dyDescent="0.3">
      <c r="A135" s="110">
        <v>18.07</v>
      </c>
      <c r="B135" s="111" t="s">
        <v>2007</v>
      </c>
      <c r="C135" s="111" t="s">
        <v>294</v>
      </c>
      <c r="D135" s="111" t="s">
        <v>98</v>
      </c>
      <c r="E135" s="112">
        <v>50</v>
      </c>
      <c r="F135" s="55">
        <f>IF(Q135&lt;&gt;"",IFERROR(VLOOKUP(Q135,PARTIDAS!A:P,13,FALSE()),0),0)</f>
        <v>34095.002045405148</v>
      </c>
      <c r="G135" s="56">
        <f>IF(Q135&lt;&gt;"",IFERROR(VLOOKUP(Q135,PARTIDAS!A:P,14,FALSE()),0),0)</f>
        <v>49666.965151940465</v>
      </c>
      <c r="H135" s="56">
        <f>IF(Q135&lt;&gt;"",IFERROR(VLOOKUP(Q135,PARTIDAS!A:P,15,FALSE()),0),0)</f>
        <v>1812.1956821517999</v>
      </c>
      <c r="I135" s="57">
        <f t="shared" si="65"/>
        <v>85574.162879497409</v>
      </c>
      <c r="J135" s="58">
        <f t="shared" si="66"/>
        <v>1704750.1022702574</v>
      </c>
      <c r="K135" s="59">
        <f t="shared" si="67"/>
        <v>2483348.2575970232</v>
      </c>
      <c r="L135" s="59">
        <f t="shared" si="68"/>
        <v>90609.784107589992</v>
      </c>
      <c r="M135" s="60">
        <f t="shared" si="69"/>
        <v>4278708.1439748704</v>
      </c>
      <c r="N135" s="61">
        <f t="shared" si="70"/>
        <v>4278708.1439748704</v>
      </c>
      <c r="O135" s="62"/>
      <c r="P135" s="59"/>
      <c r="Q135" s="63" t="s">
        <v>295</v>
      </c>
      <c r="R135" s="63">
        <v>1</v>
      </c>
      <c r="S135" s="63" t="s">
        <v>293</v>
      </c>
      <c r="T135" s="63"/>
      <c r="U135" s="63"/>
      <c r="V135" s="59">
        <v>4278708.1439504595</v>
      </c>
      <c r="W135" s="59">
        <f t="shared" si="71"/>
        <v>2.4410896003246307E-5</v>
      </c>
      <c r="X135" s="30">
        <f t="shared" si="72"/>
        <v>5.7052024073575011E-12</v>
      </c>
    </row>
    <row r="136" spans="1:24" ht="14.25" customHeight="1" x14ac:dyDescent="0.3">
      <c r="A136" s="113">
        <v>18.079999999999998</v>
      </c>
      <c r="B136" s="114" t="s">
        <v>2007</v>
      </c>
      <c r="C136" s="114" t="s">
        <v>296</v>
      </c>
      <c r="D136" s="114" t="s">
        <v>98</v>
      </c>
      <c r="E136" s="115">
        <v>0</v>
      </c>
      <c r="F136" s="64">
        <f>IF(Q136&lt;&gt;"",IFERROR(VLOOKUP(Q136,PARTIDAS!A:P,13,FALSE()),0),0)</f>
        <v>15896.430635621633</v>
      </c>
      <c r="G136" s="65">
        <f>IF(Q136&lt;&gt;"",IFERROR(VLOOKUP(Q136,PARTIDAS!A:P,14,FALSE()),0),0)</f>
        <v>49666.965151940465</v>
      </c>
      <c r="H136" s="65">
        <f>IF(Q136&lt;&gt;"",IFERROR(VLOOKUP(Q136,PARTIDAS!A:P,15,FALSE()),0),0)</f>
        <v>1812.1956821517999</v>
      </c>
      <c r="I136" s="66">
        <f t="shared" si="65"/>
        <v>67375.591469713894</v>
      </c>
      <c r="J136" s="67">
        <f t="shared" si="66"/>
        <v>0</v>
      </c>
      <c r="K136" s="68">
        <f t="shared" si="67"/>
        <v>0</v>
      </c>
      <c r="L136" s="68">
        <f t="shared" si="68"/>
        <v>0</v>
      </c>
      <c r="M136" s="69">
        <f t="shared" si="69"/>
        <v>0</v>
      </c>
      <c r="N136" s="70">
        <f t="shared" si="70"/>
        <v>0</v>
      </c>
      <c r="O136" s="71"/>
      <c r="P136" s="68"/>
      <c r="Q136" s="72" t="s">
        <v>297</v>
      </c>
      <c r="R136" s="72">
        <v>1</v>
      </c>
      <c r="S136" s="72" t="s">
        <v>290</v>
      </c>
      <c r="T136" s="72"/>
      <c r="U136" s="72"/>
      <c r="V136" s="68">
        <v>0</v>
      </c>
      <c r="W136" s="68">
        <f t="shared" si="71"/>
        <v>0</v>
      </c>
      <c r="X136" s="30">
        <f t="shared" si="72"/>
        <v>0</v>
      </c>
    </row>
    <row r="137" spans="1:24" ht="14.25" customHeight="1" x14ac:dyDescent="0.3">
      <c r="A137" s="110">
        <v>18.09</v>
      </c>
      <c r="B137" s="111" t="s">
        <v>2007</v>
      </c>
      <c r="C137" s="111" t="s">
        <v>298</v>
      </c>
      <c r="D137" s="111" t="s">
        <v>98</v>
      </c>
      <c r="E137" s="112">
        <v>40</v>
      </c>
      <c r="F137" s="55">
        <f>IF(Q137&lt;&gt;"",IFERROR(VLOOKUP(Q137,PARTIDAS!A:P,13,FALSE()),0),0)</f>
        <v>10557.999724208143</v>
      </c>
      <c r="G137" s="56">
        <f>IF(Q137&lt;&gt;"",IFERROR(VLOOKUP(Q137,PARTIDAS!A:P,14,FALSE()),0),0)</f>
        <v>32283.527348761301</v>
      </c>
      <c r="H137" s="56">
        <f>IF(Q137&lt;&gt;"",IFERROR(VLOOKUP(Q137,PARTIDAS!A:P,15,FALSE()),0),0)</f>
        <v>1177.9271933986699</v>
      </c>
      <c r="I137" s="57">
        <f t="shared" si="65"/>
        <v>44019.454266368113</v>
      </c>
      <c r="J137" s="58">
        <f t="shared" si="66"/>
        <v>422319.98896832572</v>
      </c>
      <c r="K137" s="59">
        <f t="shared" si="67"/>
        <v>1291341.0939504521</v>
      </c>
      <c r="L137" s="59">
        <f t="shared" si="68"/>
        <v>47117.0877359468</v>
      </c>
      <c r="M137" s="60">
        <f t="shared" si="69"/>
        <v>1760778.1706547246</v>
      </c>
      <c r="N137" s="61">
        <f t="shared" si="70"/>
        <v>1760778.1706547246</v>
      </c>
      <c r="O137" s="62"/>
      <c r="P137" s="59"/>
      <c r="Q137" s="63" t="s">
        <v>299</v>
      </c>
      <c r="R137" s="63">
        <v>1</v>
      </c>
      <c r="S137" s="63" t="s">
        <v>293</v>
      </c>
      <c r="T137" s="63"/>
      <c r="U137" s="63"/>
      <c r="V137" s="59">
        <v>1760778.1706351901</v>
      </c>
      <c r="W137" s="59">
        <f t="shared" si="71"/>
        <v>1.9534491002559662E-5</v>
      </c>
      <c r="X137" s="30">
        <f t="shared" si="72"/>
        <v>1.109423738227781E-11</v>
      </c>
    </row>
    <row r="138" spans="1:24" ht="14.25" customHeight="1" x14ac:dyDescent="0.3">
      <c r="A138" s="113">
        <v>18.100000000000001</v>
      </c>
      <c r="B138" s="114" t="s">
        <v>2007</v>
      </c>
      <c r="C138" s="114" t="s">
        <v>300</v>
      </c>
      <c r="D138" s="114" t="s">
        <v>98</v>
      </c>
      <c r="E138" s="115">
        <v>0</v>
      </c>
      <c r="F138" s="64">
        <f>IF(Q138&lt;&gt;"",IFERROR(VLOOKUP(Q138,PARTIDAS!A:P,13,FALSE()),0),0)</f>
        <v>34095.002045405148</v>
      </c>
      <c r="G138" s="65">
        <f>IF(Q138&lt;&gt;"",IFERROR(VLOOKUP(Q138,PARTIDAS!A:P,14,FALSE()),0),0)</f>
        <v>49666.965151940465</v>
      </c>
      <c r="H138" s="65">
        <f>IF(Q138&lt;&gt;"",IFERROR(VLOOKUP(Q138,PARTIDAS!A:P,15,FALSE()),0),0)</f>
        <v>1812.1956821517999</v>
      </c>
      <c r="I138" s="66">
        <f t="shared" si="65"/>
        <v>85574.162879497409</v>
      </c>
      <c r="J138" s="67">
        <f t="shared" si="66"/>
        <v>0</v>
      </c>
      <c r="K138" s="68">
        <f t="shared" si="67"/>
        <v>0</v>
      </c>
      <c r="L138" s="68">
        <f t="shared" si="68"/>
        <v>0</v>
      </c>
      <c r="M138" s="69">
        <f t="shared" si="69"/>
        <v>0</v>
      </c>
      <c r="N138" s="70">
        <f t="shared" si="70"/>
        <v>0</v>
      </c>
      <c r="O138" s="71"/>
      <c r="P138" s="68"/>
      <c r="Q138" s="72" t="s">
        <v>301</v>
      </c>
      <c r="R138" s="72">
        <v>1</v>
      </c>
      <c r="S138" s="72" t="s">
        <v>293</v>
      </c>
      <c r="T138" s="72"/>
      <c r="U138" s="72"/>
      <c r="V138" s="68">
        <v>0</v>
      </c>
      <c r="W138" s="68">
        <f t="shared" si="71"/>
        <v>0</v>
      </c>
      <c r="X138" s="30">
        <f t="shared" si="72"/>
        <v>0</v>
      </c>
    </row>
    <row r="139" spans="1:24" ht="14.25" customHeight="1" x14ac:dyDescent="0.3">
      <c r="A139" s="110">
        <v>18.11</v>
      </c>
      <c r="B139" s="111" t="s">
        <v>2007</v>
      </c>
      <c r="C139" s="111" t="s">
        <v>302</v>
      </c>
      <c r="D139" s="111" t="s">
        <v>98</v>
      </c>
      <c r="E139" s="112">
        <v>1</v>
      </c>
      <c r="F139" s="55">
        <f>IF(Q139&lt;&gt;"",IFERROR(VLOOKUP(Q139,PARTIDAS!A:P,13,FALSE()),0),0)</f>
        <v>1409151.0720530131</v>
      </c>
      <c r="G139" s="56">
        <f>IF(Q139&lt;&gt;"",IFERROR(VLOOKUP(Q139,PARTIDAS!A:P,14,FALSE()),0),0)</f>
        <v>434240.1</v>
      </c>
      <c r="H139" s="56">
        <f>IF(Q139&lt;&gt;"",IFERROR(VLOOKUP(Q139,PARTIDAS!A:P,15,FALSE()),0),0)</f>
        <v>27650.867628874701</v>
      </c>
      <c r="I139" s="57">
        <f t="shared" si="65"/>
        <v>1871042.0396818877</v>
      </c>
      <c r="J139" s="58">
        <f t="shared" si="66"/>
        <v>1409151.0720530131</v>
      </c>
      <c r="K139" s="59">
        <f t="shared" si="67"/>
        <v>434240.1</v>
      </c>
      <c r="L139" s="59">
        <f t="shared" si="68"/>
        <v>27650.867628874701</v>
      </c>
      <c r="M139" s="60">
        <f t="shared" si="69"/>
        <v>1871042.0396818877</v>
      </c>
      <c r="N139" s="61">
        <f t="shared" si="70"/>
        <v>1871042.0396818877</v>
      </c>
      <c r="O139" s="62"/>
      <c r="P139" s="59"/>
      <c r="Q139" s="63" t="s">
        <v>303</v>
      </c>
      <c r="R139" s="63">
        <v>1</v>
      </c>
      <c r="S139" s="63" t="s">
        <v>304</v>
      </c>
      <c r="T139" s="63"/>
      <c r="U139" s="63"/>
      <c r="V139" s="59">
        <v>1871042.0428871899</v>
      </c>
      <c r="W139" s="59">
        <f t="shared" si="71"/>
        <v>-3.2053021714091301E-3</v>
      </c>
      <c r="X139" s="30">
        <f t="shared" si="72"/>
        <v>-1.7131107147453802E-9</v>
      </c>
    </row>
    <row r="140" spans="1:24" ht="14.25" customHeight="1" x14ac:dyDescent="0.3">
      <c r="A140" s="113">
        <v>18.12</v>
      </c>
      <c r="B140" s="114" t="s">
        <v>2007</v>
      </c>
      <c r="C140" s="114" t="s">
        <v>305</v>
      </c>
      <c r="D140" s="114" t="s">
        <v>98</v>
      </c>
      <c r="E140" s="115">
        <v>1</v>
      </c>
      <c r="F140" s="64">
        <f>IF(Q140&lt;&gt;"",IFERROR(VLOOKUP(Q140,PARTIDAS!A:P,13,FALSE()),0),0)</f>
        <v>610540.34245514392</v>
      </c>
      <c r="G140" s="65">
        <f>IF(Q140&lt;&gt;"",IFERROR(VLOOKUP(Q140,PARTIDAS!A:P,14,FALSE()),0),0)</f>
        <v>289506.59999999998</v>
      </c>
      <c r="H140" s="65">
        <f>IF(Q140&lt;&gt;"",IFERROR(VLOOKUP(Q140,PARTIDAS!A:P,15,FALSE()),0),0)</f>
        <v>13500.7040955099</v>
      </c>
      <c r="I140" s="66">
        <f t="shared" si="65"/>
        <v>913547.64655065385</v>
      </c>
      <c r="J140" s="67">
        <f t="shared" si="66"/>
        <v>610540.34245514392</v>
      </c>
      <c r="K140" s="68">
        <f t="shared" si="67"/>
        <v>289506.59999999998</v>
      </c>
      <c r="L140" s="68">
        <f t="shared" si="68"/>
        <v>13500.7040955099</v>
      </c>
      <c r="M140" s="69">
        <f t="shared" si="69"/>
        <v>913547.64655065385</v>
      </c>
      <c r="N140" s="70">
        <f t="shared" si="70"/>
        <v>913547.64655065385</v>
      </c>
      <c r="O140" s="71"/>
      <c r="P140" s="68"/>
      <c r="Q140" s="72" t="s">
        <v>306</v>
      </c>
      <c r="R140" s="72">
        <v>1</v>
      </c>
      <c r="S140" s="72" t="s">
        <v>304</v>
      </c>
      <c r="T140" s="72"/>
      <c r="U140" s="72"/>
      <c r="V140" s="68">
        <v>913547.64379616803</v>
      </c>
      <c r="W140" s="68">
        <f t="shared" si="71"/>
        <v>2.7544858166947961E-3</v>
      </c>
      <c r="X140" s="30">
        <f t="shared" si="72"/>
        <v>3.0151528881939526E-9</v>
      </c>
    </row>
    <row r="141" spans="1:24" ht="14.25" customHeight="1" x14ac:dyDescent="0.3">
      <c r="A141" s="110">
        <v>18.13</v>
      </c>
      <c r="B141" s="111" t="s">
        <v>2007</v>
      </c>
      <c r="C141" s="111" t="s">
        <v>307</v>
      </c>
      <c r="D141" s="111" t="s">
        <v>98</v>
      </c>
      <c r="E141" s="112">
        <v>1</v>
      </c>
      <c r="F141" s="55">
        <f>IF(Q141&lt;&gt;"",IFERROR(VLOOKUP(Q141,PARTIDAS!A:P,13,FALSE()),0),0)</f>
        <v>290880.00135847914</v>
      </c>
      <c r="G141" s="56">
        <f>IF(Q141&lt;&gt;"",IFERROR(VLOOKUP(Q141,PARTIDAS!A:P,14,FALSE()),0),0)</f>
        <v>289506.59999999998</v>
      </c>
      <c r="H141" s="56">
        <f>IF(Q141&lt;&gt;"",IFERROR(VLOOKUP(Q141,PARTIDAS!A:P,15,FALSE()),0),0)</f>
        <v>8705.7989624149104</v>
      </c>
      <c r="I141" s="57">
        <f t="shared" si="65"/>
        <v>589092.40032089408</v>
      </c>
      <c r="J141" s="58">
        <f t="shared" si="66"/>
        <v>290880.00135847914</v>
      </c>
      <c r="K141" s="59">
        <f t="shared" si="67"/>
        <v>289506.59999999998</v>
      </c>
      <c r="L141" s="59">
        <f t="shared" si="68"/>
        <v>8705.7989624149104</v>
      </c>
      <c r="M141" s="60">
        <f t="shared" si="69"/>
        <v>589092.40032089408</v>
      </c>
      <c r="N141" s="61">
        <f t="shared" si="70"/>
        <v>589092.40032089408</v>
      </c>
      <c r="O141" s="62"/>
      <c r="P141" s="59"/>
      <c r="Q141" s="63" t="s">
        <v>308</v>
      </c>
      <c r="R141" s="63">
        <v>1</v>
      </c>
      <c r="S141" s="63" t="s">
        <v>304</v>
      </c>
      <c r="T141" s="63"/>
      <c r="U141" s="63"/>
      <c r="V141" s="59">
        <v>589092.39645674196</v>
      </c>
      <c r="W141" s="59">
        <f t="shared" si="71"/>
        <v>3.8641521241515875E-3</v>
      </c>
      <c r="X141" s="30">
        <f t="shared" si="72"/>
        <v>6.5595009329497242E-9</v>
      </c>
    </row>
    <row r="142" spans="1:24" ht="14.25" customHeight="1" x14ac:dyDescent="0.3">
      <c r="A142" s="113">
        <v>18.14</v>
      </c>
      <c r="B142" s="114" t="s">
        <v>2007</v>
      </c>
      <c r="C142" s="114" t="s">
        <v>309</v>
      </c>
      <c r="D142" s="114" t="s">
        <v>98</v>
      </c>
      <c r="E142" s="115">
        <v>1</v>
      </c>
      <c r="F142" s="64">
        <f>IF(Q142&lt;&gt;"",IFERROR(VLOOKUP(Q142,PARTIDAS!A:P,13,FALSE()),0),0)</f>
        <v>502957.66486580932</v>
      </c>
      <c r="G142" s="65">
        <f>IF(Q142&lt;&gt;"",IFERROR(VLOOKUP(Q142,PARTIDAS!A:P,14,FALSE()),0),0)</f>
        <v>289506.59999999998</v>
      </c>
      <c r="H142" s="65">
        <f>IF(Q142&lt;&gt;"",IFERROR(VLOOKUP(Q142,PARTIDAS!A:P,15,FALSE()),0),0)</f>
        <v>11886.9640402859</v>
      </c>
      <c r="I142" s="66">
        <f t="shared" si="65"/>
        <v>804351.22890609526</v>
      </c>
      <c r="J142" s="67">
        <f t="shared" si="66"/>
        <v>502957.66486580932</v>
      </c>
      <c r="K142" s="68">
        <f t="shared" si="67"/>
        <v>289506.59999999998</v>
      </c>
      <c r="L142" s="68">
        <f t="shared" si="68"/>
        <v>11886.9640402859</v>
      </c>
      <c r="M142" s="69">
        <f t="shared" si="69"/>
        <v>804351.22890609526</v>
      </c>
      <c r="N142" s="70">
        <f t="shared" si="70"/>
        <v>804351.22890609526</v>
      </c>
      <c r="O142" s="71"/>
      <c r="P142" s="68"/>
      <c r="Q142" s="72" t="s">
        <v>310</v>
      </c>
      <c r="R142" s="72">
        <v>1</v>
      </c>
      <c r="S142" s="72" t="s">
        <v>304</v>
      </c>
      <c r="T142" s="72"/>
      <c r="U142" s="72"/>
      <c r="V142" s="68">
        <v>804351.23339267599</v>
      </c>
      <c r="W142" s="68">
        <f t="shared" si="71"/>
        <v>-4.4865807285532355E-3</v>
      </c>
      <c r="X142" s="30">
        <f t="shared" si="72"/>
        <v>-5.5778875474949796E-9</v>
      </c>
    </row>
    <row r="143" spans="1:24" ht="14.25" customHeight="1" x14ac:dyDescent="0.3">
      <c r="A143" s="110">
        <v>18.149999999999999</v>
      </c>
      <c r="B143" s="111" t="s">
        <v>2007</v>
      </c>
      <c r="C143" s="111" t="s">
        <v>311</v>
      </c>
      <c r="D143" s="111" t="s">
        <v>98</v>
      </c>
      <c r="E143" s="112">
        <v>11</v>
      </c>
      <c r="F143" s="55">
        <f>IF(Q143&lt;&gt;"",IFERROR(VLOOKUP(Q143,PARTIDAS!A:P,13,FALSE()),0),0)</f>
        <v>136527.37489747169</v>
      </c>
      <c r="G143" s="56">
        <f>IF(Q143&lt;&gt;"",IFERROR(VLOOKUP(Q143,PARTIDAS!A:P,14,FALSE()),0),0)</f>
        <v>289506.59999999998</v>
      </c>
      <c r="H143" s="56">
        <f>IF(Q143&lt;&gt;"",IFERROR(VLOOKUP(Q143,PARTIDAS!A:P,15,FALSE()),0),0)</f>
        <v>6390.5096158082797</v>
      </c>
      <c r="I143" s="57">
        <f t="shared" si="65"/>
        <v>432424.48451327992</v>
      </c>
      <c r="J143" s="58">
        <f t="shared" si="66"/>
        <v>1501801.1238721886</v>
      </c>
      <c r="K143" s="59">
        <f t="shared" si="67"/>
        <v>3184572.5999999996</v>
      </c>
      <c r="L143" s="59">
        <f t="shared" si="68"/>
        <v>70295.605773891075</v>
      </c>
      <c r="M143" s="60">
        <f t="shared" si="69"/>
        <v>4756669.3296460789</v>
      </c>
      <c r="N143" s="61">
        <f t="shared" si="70"/>
        <v>4756669.3296460789</v>
      </c>
      <c r="O143" s="62"/>
      <c r="P143" s="59"/>
      <c r="Q143" s="63" t="s">
        <v>312</v>
      </c>
      <c r="R143" s="63">
        <v>1</v>
      </c>
      <c r="S143" s="63" t="s">
        <v>304</v>
      </c>
      <c r="T143" s="63"/>
      <c r="U143" s="63"/>
      <c r="V143" s="59">
        <v>4756669.3240333004</v>
      </c>
      <c r="W143" s="59">
        <f t="shared" si="71"/>
        <v>5.612778477370739E-3</v>
      </c>
      <c r="X143" s="30">
        <f t="shared" si="72"/>
        <v>1.1799808006438256E-9</v>
      </c>
    </row>
    <row r="144" spans="1:24" ht="14.25" customHeight="1" x14ac:dyDescent="0.3">
      <c r="A144" s="113">
        <v>18.16</v>
      </c>
      <c r="B144" s="114" t="s">
        <v>2007</v>
      </c>
      <c r="C144" s="114" t="s">
        <v>313</v>
      </c>
      <c r="D144" s="114" t="s">
        <v>98</v>
      </c>
      <c r="E144" s="115">
        <v>14</v>
      </c>
      <c r="F144" s="64">
        <f>IF(Q144&lt;&gt;"",IFERROR(VLOOKUP(Q144,PARTIDAS!A:P,13,FALSE()),0),0)</f>
        <v>210979.27364336391</v>
      </c>
      <c r="G144" s="65">
        <f>IF(Q144&lt;&gt;"",IFERROR(VLOOKUP(Q144,PARTIDAS!A:P,14,FALSE()),0),0)</f>
        <v>289506.59999999998</v>
      </c>
      <c r="H144" s="65">
        <f>IF(Q144&lt;&gt;"",IFERROR(VLOOKUP(Q144,PARTIDAS!A:P,15,FALSE()),0),0)</f>
        <v>7507.2881701155102</v>
      </c>
      <c r="I144" s="66">
        <f t="shared" si="65"/>
        <v>507993.16181347938</v>
      </c>
      <c r="J144" s="67">
        <f t="shared" si="66"/>
        <v>2953709.8310070946</v>
      </c>
      <c r="K144" s="68">
        <f t="shared" si="67"/>
        <v>4053092.3999999994</v>
      </c>
      <c r="L144" s="68">
        <f t="shared" si="68"/>
        <v>105102.03438161714</v>
      </c>
      <c r="M144" s="69">
        <f t="shared" si="69"/>
        <v>7111904.2653887114</v>
      </c>
      <c r="N144" s="70">
        <f t="shared" si="70"/>
        <v>7111904.2653887114</v>
      </c>
      <c r="O144" s="71"/>
      <c r="P144" s="68"/>
      <c r="Q144" s="72" t="s">
        <v>314</v>
      </c>
      <c r="R144" s="72">
        <v>1</v>
      </c>
      <c r="S144" s="72" t="s">
        <v>304</v>
      </c>
      <c r="T144" s="72"/>
      <c r="U144" s="72"/>
      <c r="V144" s="68">
        <v>7111904.3264894197</v>
      </c>
      <c r="W144" s="68">
        <f t="shared" si="71"/>
        <v>-6.1100708320736885E-2</v>
      </c>
      <c r="X144" s="30">
        <f t="shared" si="72"/>
        <v>-8.5913287799946315E-9</v>
      </c>
    </row>
    <row r="145" spans="1:24" ht="14.25" customHeight="1" x14ac:dyDescent="0.3">
      <c r="A145" s="110">
        <v>18.170000000000002</v>
      </c>
      <c r="B145" s="111" t="s">
        <v>2007</v>
      </c>
      <c r="C145" s="111" t="s">
        <v>315</v>
      </c>
      <c r="D145" s="111" t="s">
        <v>26</v>
      </c>
      <c r="E145" s="112">
        <v>1</v>
      </c>
      <c r="F145" s="55">
        <f>IF(Q145&lt;&gt;"",IFERROR(VLOOKUP(Q145,PARTIDAS!A:P,13,FALSE()),0),0)</f>
        <v>6941648.2775357002</v>
      </c>
      <c r="G145" s="56">
        <f>IF(Q145&lt;&gt;"",IFERROR(VLOOKUP(Q145,PARTIDAS!A:P,14,FALSE()),0),0)</f>
        <v>3269696.8515315522</v>
      </c>
      <c r="H145" s="56">
        <f>IF(Q145&lt;&gt;"",IFERROR(VLOOKUP(Q145,PARTIDAS!A:P,15,FALSE()),0),0)</f>
        <v>153170.176936009</v>
      </c>
      <c r="I145" s="57">
        <f t="shared" si="65"/>
        <v>10364515.306003263</v>
      </c>
      <c r="J145" s="58">
        <f t="shared" si="66"/>
        <v>6941648.2775357002</v>
      </c>
      <c r="K145" s="59">
        <f t="shared" si="67"/>
        <v>3269696.8515315522</v>
      </c>
      <c r="L145" s="59">
        <f t="shared" si="68"/>
        <v>153170.176936009</v>
      </c>
      <c r="M145" s="60">
        <f t="shared" si="69"/>
        <v>10364515.306003263</v>
      </c>
      <c r="N145" s="61">
        <f t="shared" si="70"/>
        <v>10364515.306003263</v>
      </c>
      <c r="O145" s="62"/>
      <c r="P145" s="59"/>
      <c r="Q145" s="63" t="s">
        <v>316</v>
      </c>
      <c r="R145" s="63">
        <v>1</v>
      </c>
      <c r="S145" s="63" t="s">
        <v>32</v>
      </c>
      <c r="T145" s="63"/>
      <c r="U145" s="63"/>
      <c r="V145" s="59">
        <v>10364515.3060033</v>
      </c>
      <c r="W145" s="59">
        <f t="shared" si="71"/>
        <v>-3.7252902984619141E-8</v>
      </c>
      <c r="X145" s="30">
        <f t="shared" si="72"/>
        <v>-3.5942735270062879E-15</v>
      </c>
    </row>
    <row r="146" spans="1:24" ht="14.25" customHeight="1" x14ac:dyDescent="0.3">
      <c r="A146" s="113">
        <v>18.18</v>
      </c>
      <c r="B146" s="114" t="s">
        <v>2007</v>
      </c>
      <c r="C146" s="114" t="s">
        <v>317</v>
      </c>
      <c r="D146" s="114" t="s">
        <v>26</v>
      </c>
      <c r="E146" s="115">
        <v>1</v>
      </c>
      <c r="F146" s="64">
        <f>IF(Q146&lt;&gt;"",IFERROR(VLOOKUP(Q146,PARTIDAS!A:P,13,FALSE()),0),0)</f>
        <v>896755.59</v>
      </c>
      <c r="G146" s="65">
        <f>IF(Q146&lt;&gt;"",IFERROR(VLOOKUP(Q146,PARTIDAS!A:P,14,FALSE()),0),0)</f>
        <v>1634848.4257657761</v>
      </c>
      <c r="H146" s="65">
        <f>IF(Q146&lt;&gt;"",IFERROR(VLOOKUP(Q146,PARTIDAS!A:P,15,FALSE()),0),0)</f>
        <v>37974.0602915403</v>
      </c>
      <c r="I146" s="66">
        <f t="shared" si="65"/>
        <v>2569578.0760573163</v>
      </c>
      <c r="J146" s="67">
        <f t="shared" si="66"/>
        <v>896755.59</v>
      </c>
      <c r="K146" s="68">
        <f t="shared" si="67"/>
        <v>1634848.4257657761</v>
      </c>
      <c r="L146" s="68">
        <f t="shared" si="68"/>
        <v>37974.0602915403</v>
      </c>
      <c r="M146" s="69">
        <f t="shared" si="69"/>
        <v>2569578.0760573163</v>
      </c>
      <c r="N146" s="70">
        <f t="shared" si="70"/>
        <v>2569578.0760573163</v>
      </c>
      <c r="O146" s="71"/>
      <c r="P146" s="68"/>
      <c r="Q146" s="72" t="s">
        <v>318</v>
      </c>
      <c r="R146" s="72">
        <v>1</v>
      </c>
      <c r="S146" s="72" t="s">
        <v>32</v>
      </c>
      <c r="T146" s="72"/>
      <c r="U146" s="72"/>
      <c r="V146" s="68">
        <v>2569578.0797275598</v>
      </c>
      <c r="W146" s="68">
        <f t="shared" si="71"/>
        <v>-3.6702435463666916E-3</v>
      </c>
      <c r="X146" s="30">
        <f t="shared" si="72"/>
        <v>-1.4283448225694042E-9</v>
      </c>
    </row>
    <row r="147" spans="1:24" ht="14.25" customHeight="1" x14ac:dyDescent="0.3">
      <c r="A147" s="110">
        <v>18.190000000000001</v>
      </c>
      <c r="B147" s="111" t="s">
        <v>2007</v>
      </c>
      <c r="C147" s="111" t="s">
        <v>319</v>
      </c>
      <c r="D147" s="111" t="s">
        <v>26</v>
      </c>
      <c r="E147" s="112">
        <v>0</v>
      </c>
      <c r="F147" s="55">
        <f>IF(Q147&lt;&gt;"",IFERROR(VLOOKUP(Q147,PARTIDAS!A:P,13,FALSE()),0),0)</f>
        <v>0</v>
      </c>
      <c r="G147" s="56">
        <f>IF(Q147&lt;&gt;"",IFERROR(VLOOKUP(Q147,PARTIDAS!A:P,14,FALSE()),0),0)</f>
        <v>0</v>
      </c>
      <c r="H147" s="56">
        <f>IF(Q147&lt;&gt;"",IFERROR(VLOOKUP(Q147,PARTIDAS!A:P,15,FALSE()),0),0)</f>
        <v>0</v>
      </c>
      <c r="I147" s="57">
        <f t="shared" si="65"/>
        <v>0</v>
      </c>
      <c r="J147" s="58">
        <f t="shared" si="66"/>
        <v>0</v>
      </c>
      <c r="K147" s="59">
        <f t="shared" si="67"/>
        <v>0</v>
      </c>
      <c r="L147" s="59">
        <f t="shared" si="68"/>
        <v>0</v>
      </c>
      <c r="M147" s="60">
        <f t="shared" si="69"/>
        <v>0</v>
      </c>
      <c r="N147" s="61">
        <f t="shared" si="70"/>
        <v>0</v>
      </c>
      <c r="O147" s="62"/>
      <c r="P147" s="59"/>
      <c r="Q147" s="63" t="s">
        <v>320</v>
      </c>
      <c r="R147" s="63">
        <v>1</v>
      </c>
      <c r="S147" s="63" t="s">
        <v>28</v>
      </c>
      <c r="T147" s="63"/>
      <c r="U147" s="63"/>
      <c r="V147" s="59">
        <v>0</v>
      </c>
      <c r="W147" s="59">
        <f t="shared" si="71"/>
        <v>0</v>
      </c>
      <c r="X147" s="30">
        <f t="shared" si="72"/>
        <v>0</v>
      </c>
    </row>
    <row r="148" spans="1:24" ht="14.25" customHeight="1" x14ac:dyDescent="0.3">
      <c r="A148" s="113">
        <v>18.2</v>
      </c>
      <c r="B148" s="114" t="s">
        <v>2007</v>
      </c>
      <c r="C148" s="114" t="s">
        <v>321</v>
      </c>
      <c r="D148" s="114" t="s">
        <v>98</v>
      </c>
      <c r="E148" s="115">
        <v>119</v>
      </c>
      <c r="F148" s="64">
        <f>IF(Q148&lt;&gt;"",IFERROR(VLOOKUP(Q148,PARTIDAS!A:P,13,FALSE()),0),0)</f>
        <v>0</v>
      </c>
      <c r="G148" s="65">
        <f>IF(Q148&lt;&gt;"",IFERROR(VLOOKUP(Q148,PARTIDAS!A:P,14,FALSE()),0),0)</f>
        <v>9575.2999999999993</v>
      </c>
      <c r="H148" s="65">
        <f>IF(Q148&lt;&gt;"",IFERROR(VLOOKUP(Q148,PARTIDAS!A:P,15,FALSE()),0),0)</f>
        <v>143.62950000000001</v>
      </c>
      <c r="I148" s="66">
        <f t="shared" si="65"/>
        <v>9718.9294999999984</v>
      </c>
      <c r="J148" s="67">
        <f t="shared" si="66"/>
        <v>0</v>
      </c>
      <c r="K148" s="68">
        <f t="shared" si="67"/>
        <v>1139460.7</v>
      </c>
      <c r="L148" s="68">
        <f t="shared" si="68"/>
        <v>17091.910500000002</v>
      </c>
      <c r="M148" s="69">
        <f t="shared" si="69"/>
        <v>1156552.6104999997</v>
      </c>
      <c r="N148" s="70">
        <f t="shared" si="70"/>
        <v>1156552.6104999997</v>
      </c>
      <c r="O148" s="71"/>
      <c r="P148" s="68"/>
      <c r="Q148" s="72" t="s">
        <v>322</v>
      </c>
      <c r="R148" s="72">
        <v>1</v>
      </c>
      <c r="S148" s="72" t="s">
        <v>28</v>
      </c>
      <c r="T148" s="72"/>
      <c r="U148" s="72"/>
      <c r="V148" s="68">
        <v>1156552.6105</v>
      </c>
      <c r="W148" s="68">
        <f t="shared" si="71"/>
        <v>0</v>
      </c>
      <c r="X148" s="30">
        <f t="shared" si="72"/>
        <v>0</v>
      </c>
    </row>
    <row r="149" spans="1:24" ht="14.25" customHeight="1" x14ac:dyDescent="0.3">
      <c r="A149" s="110">
        <v>18.21</v>
      </c>
      <c r="B149" s="111" t="s">
        <v>2007</v>
      </c>
      <c r="C149" s="111" t="s">
        <v>323</v>
      </c>
      <c r="D149" s="111" t="s">
        <v>98</v>
      </c>
      <c r="E149" s="112">
        <v>16</v>
      </c>
      <c r="F149" s="55">
        <f>IF(Q149&lt;&gt;"",IFERROR(VLOOKUP(Q149,PARTIDAS!A:P,13,FALSE()),0),0)</f>
        <v>0</v>
      </c>
      <c r="G149" s="56">
        <f>IF(Q149&lt;&gt;"",IFERROR(VLOOKUP(Q149,PARTIDAS!A:P,14,FALSE()),0),0)</f>
        <v>9575.2999999999993</v>
      </c>
      <c r="H149" s="56">
        <f>IF(Q149&lt;&gt;"",IFERROR(VLOOKUP(Q149,PARTIDAS!A:P,15,FALSE()),0),0)</f>
        <v>143.62950000000001</v>
      </c>
      <c r="I149" s="57">
        <f t="shared" si="65"/>
        <v>9718.9294999999984</v>
      </c>
      <c r="J149" s="58">
        <f t="shared" si="66"/>
        <v>0</v>
      </c>
      <c r="K149" s="59">
        <f t="shared" si="67"/>
        <v>153204.79999999999</v>
      </c>
      <c r="L149" s="59">
        <f t="shared" si="68"/>
        <v>2298.0720000000001</v>
      </c>
      <c r="M149" s="60">
        <f t="shared" si="69"/>
        <v>155502.87199999997</v>
      </c>
      <c r="N149" s="61">
        <f t="shared" si="70"/>
        <v>155502.87199999997</v>
      </c>
      <c r="O149" s="62"/>
      <c r="P149" s="59"/>
      <c r="Q149" s="63" t="s">
        <v>324</v>
      </c>
      <c r="R149" s="63">
        <v>1</v>
      </c>
      <c r="S149" s="63" t="s">
        <v>28</v>
      </c>
      <c r="T149" s="63"/>
      <c r="U149" s="63"/>
      <c r="V149" s="59">
        <v>155502.872</v>
      </c>
      <c r="W149" s="59">
        <f t="shared" si="71"/>
        <v>0</v>
      </c>
      <c r="X149" s="30">
        <f t="shared" si="72"/>
        <v>0</v>
      </c>
    </row>
    <row r="150" spans="1:24" ht="14.25" customHeight="1" x14ac:dyDescent="0.3">
      <c r="A150" s="113">
        <v>18.22</v>
      </c>
      <c r="B150" s="114" t="s">
        <v>2007</v>
      </c>
      <c r="C150" s="114" t="s">
        <v>325</v>
      </c>
      <c r="D150" s="114" t="s">
        <v>98</v>
      </c>
      <c r="E150" s="115">
        <v>363</v>
      </c>
      <c r="F150" s="64">
        <f>IF(Q150&lt;&gt;"",IFERROR(VLOOKUP(Q150,PARTIDAS!A:P,13,FALSE()),0),0)</f>
        <v>0</v>
      </c>
      <c r="G150" s="65">
        <f>IF(Q150&lt;&gt;"",IFERROR(VLOOKUP(Q150,PARTIDAS!A:P,14,FALSE()),0),0)</f>
        <v>9575.2999999999993</v>
      </c>
      <c r="H150" s="65">
        <f>IF(Q150&lt;&gt;"",IFERROR(VLOOKUP(Q150,PARTIDAS!A:P,15,FALSE()),0),0)</f>
        <v>143.62950000000001</v>
      </c>
      <c r="I150" s="66">
        <f t="shared" si="65"/>
        <v>9718.9294999999984</v>
      </c>
      <c r="J150" s="67">
        <f t="shared" si="66"/>
        <v>0</v>
      </c>
      <c r="K150" s="68">
        <f t="shared" si="67"/>
        <v>3475833.9</v>
      </c>
      <c r="L150" s="68">
        <f t="shared" si="68"/>
        <v>52137.508500000004</v>
      </c>
      <c r="M150" s="69">
        <f t="shared" si="69"/>
        <v>3527971.4084999994</v>
      </c>
      <c r="N150" s="70">
        <f t="shared" si="70"/>
        <v>3527971.4084999994</v>
      </c>
      <c r="O150" s="71"/>
      <c r="P150" s="68"/>
      <c r="Q150" s="72" t="s">
        <v>326</v>
      </c>
      <c r="R150" s="72">
        <v>1</v>
      </c>
      <c r="S150" s="72" t="s">
        <v>28</v>
      </c>
      <c r="T150" s="72"/>
      <c r="U150" s="72"/>
      <c r="V150" s="68">
        <v>3527971.4084999999</v>
      </c>
      <c r="W150" s="68">
        <f t="shared" si="71"/>
        <v>0</v>
      </c>
      <c r="X150" s="30">
        <f t="shared" si="72"/>
        <v>0</v>
      </c>
    </row>
    <row r="151" spans="1:24" ht="14.25" customHeight="1" x14ac:dyDescent="0.3">
      <c r="A151" s="110">
        <v>18.23</v>
      </c>
      <c r="B151" s="111" t="s">
        <v>2007</v>
      </c>
      <c r="C151" s="111" t="s">
        <v>327</v>
      </c>
      <c r="D151" s="111" t="s">
        <v>98</v>
      </c>
      <c r="E151" s="112">
        <v>119</v>
      </c>
      <c r="F151" s="55">
        <f>IF(Q151&lt;&gt;"",IFERROR(VLOOKUP(Q151,PARTIDAS!A:P,13,FALSE()),0),0)</f>
        <v>0</v>
      </c>
      <c r="G151" s="56">
        <f>IF(Q151&lt;&gt;"",IFERROR(VLOOKUP(Q151,PARTIDAS!A:P,14,FALSE()),0),0)</f>
        <v>14693.7</v>
      </c>
      <c r="H151" s="56">
        <f>IF(Q151&lt;&gt;"",IFERROR(VLOOKUP(Q151,PARTIDAS!A:P,15,FALSE()),0),0)</f>
        <v>220.40549999999999</v>
      </c>
      <c r="I151" s="57">
        <f t="shared" si="65"/>
        <v>14914.105500000001</v>
      </c>
      <c r="J151" s="58">
        <f t="shared" si="66"/>
        <v>0</v>
      </c>
      <c r="K151" s="59">
        <f t="shared" si="67"/>
        <v>1748550.3</v>
      </c>
      <c r="L151" s="59">
        <f t="shared" si="68"/>
        <v>26228.254499999999</v>
      </c>
      <c r="M151" s="60">
        <f t="shared" si="69"/>
        <v>1774778.5545000001</v>
      </c>
      <c r="N151" s="61">
        <f t="shared" si="70"/>
        <v>1774778.5545000001</v>
      </c>
      <c r="O151" s="62"/>
      <c r="P151" s="59"/>
      <c r="Q151" s="63" t="s">
        <v>328</v>
      </c>
      <c r="R151" s="63">
        <v>1</v>
      </c>
      <c r="S151" s="63" t="s">
        <v>28</v>
      </c>
      <c r="T151" s="63"/>
      <c r="U151" s="63"/>
      <c r="V151" s="59">
        <v>1774778.5545000001</v>
      </c>
      <c r="W151" s="59">
        <f t="shared" si="71"/>
        <v>0</v>
      </c>
      <c r="X151" s="30">
        <f t="shared" si="72"/>
        <v>0</v>
      </c>
    </row>
    <row r="152" spans="1:24" ht="14.25" customHeight="1" x14ac:dyDescent="0.3">
      <c r="A152" s="113">
        <v>18.239999999999998</v>
      </c>
      <c r="B152" s="114" t="s">
        <v>2007</v>
      </c>
      <c r="C152" s="114" t="s">
        <v>329</v>
      </c>
      <c r="D152" s="114" t="s">
        <v>98</v>
      </c>
      <c r="E152" s="115">
        <v>25</v>
      </c>
      <c r="F152" s="64">
        <f>IF(Q152&lt;&gt;"",IFERROR(VLOOKUP(Q152,PARTIDAS!A:P,13,FALSE()),0),0)</f>
        <v>0</v>
      </c>
      <c r="G152" s="65">
        <f>IF(Q152&lt;&gt;"",IFERROR(VLOOKUP(Q152,PARTIDAS!A:P,14,FALSE()),0),0)</f>
        <v>14693.7</v>
      </c>
      <c r="H152" s="65">
        <f>IF(Q152&lt;&gt;"",IFERROR(VLOOKUP(Q152,PARTIDAS!A:P,15,FALSE()),0),0)</f>
        <v>220.40549999999999</v>
      </c>
      <c r="I152" s="66">
        <f t="shared" si="65"/>
        <v>14914.105500000001</v>
      </c>
      <c r="J152" s="67">
        <f t="shared" si="66"/>
        <v>0</v>
      </c>
      <c r="K152" s="68">
        <f t="shared" si="67"/>
        <v>367342.5</v>
      </c>
      <c r="L152" s="68">
        <f t="shared" si="68"/>
        <v>5510.1374999999998</v>
      </c>
      <c r="M152" s="69">
        <f t="shared" si="69"/>
        <v>372852.63750000001</v>
      </c>
      <c r="N152" s="70">
        <f t="shared" si="70"/>
        <v>372852.63750000001</v>
      </c>
      <c r="O152" s="71"/>
      <c r="P152" s="68"/>
      <c r="Q152" s="72" t="s">
        <v>330</v>
      </c>
      <c r="R152" s="72">
        <v>1</v>
      </c>
      <c r="S152" s="72" t="s">
        <v>28</v>
      </c>
      <c r="T152" s="72"/>
      <c r="U152" s="72"/>
      <c r="V152" s="68">
        <v>372852.63750000001</v>
      </c>
      <c r="W152" s="68">
        <f t="shared" si="71"/>
        <v>0</v>
      </c>
      <c r="X152" s="30">
        <f t="shared" si="72"/>
        <v>0</v>
      </c>
    </row>
    <row r="153" spans="1:24" ht="14.25" customHeight="1" x14ac:dyDescent="0.3">
      <c r="A153" s="110">
        <v>18.25</v>
      </c>
      <c r="B153" s="111" t="s">
        <v>2007</v>
      </c>
      <c r="C153" s="111" t="s">
        <v>331</v>
      </c>
      <c r="D153" s="111" t="s">
        <v>26</v>
      </c>
      <c r="E153" s="112">
        <v>1</v>
      </c>
      <c r="F153" s="55">
        <f>IF(Q153&lt;&gt;"",IFERROR(VLOOKUP(Q153,PARTIDAS!A:P,13,FALSE()),0),0)</f>
        <v>6991302.4321481204</v>
      </c>
      <c r="G153" s="56">
        <f>IF(Q153&lt;&gt;"",IFERROR(VLOOKUP(Q153,PARTIDAS!A:P,14,FALSE()),0),0)</f>
        <v>3242733.2</v>
      </c>
      <c r="H153" s="56">
        <f>IF(Q153&lt;&gt;"",IFERROR(VLOOKUP(Q153,PARTIDAS!A:P,15,FALSE()),0),0)</f>
        <v>153510.53448222199</v>
      </c>
      <c r="I153" s="57">
        <f t="shared" si="65"/>
        <v>10387546.166630343</v>
      </c>
      <c r="J153" s="58">
        <f t="shared" si="66"/>
        <v>6991302.4321481204</v>
      </c>
      <c r="K153" s="59">
        <f t="shared" si="67"/>
        <v>3242733.2</v>
      </c>
      <c r="L153" s="59">
        <f t="shared" si="68"/>
        <v>153510.53448222199</v>
      </c>
      <c r="M153" s="60">
        <f t="shared" si="69"/>
        <v>10387546.166630343</v>
      </c>
      <c r="N153" s="61">
        <f t="shared" si="70"/>
        <v>10387546.166630343</v>
      </c>
      <c r="O153" s="62"/>
      <c r="P153" s="59"/>
      <c r="Q153" s="63" t="s">
        <v>332</v>
      </c>
      <c r="R153" s="63">
        <v>1</v>
      </c>
      <c r="S153" s="63" t="s">
        <v>32</v>
      </c>
      <c r="T153" s="63"/>
      <c r="U153" s="63"/>
      <c r="V153" s="59">
        <v>10387546.1666303</v>
      </c>
      <c r="W153" s="59">
        <f t="shared" si="71"/>
        <v>4.2840838432312012E-8</v>
      </c>
      <c r="X153" s="30">
        <f t="shared" si="72"/>
        <v>4.1242501111510821E-15</v>
      </c>
    </row>
    <row r="154" spans="1:24" ht="14.25" customHeight="1" x14ac:dyDescent="0.3">
      <c r="A154" s="113">
        <v>18.260000000000002</v>
      </c>
      <c r="B154" s="114" t="s">
        <v>2007</v>
      </c>
      <c r="C154" s="114" t="s">
        <v>333</v>
      </c>
      <c r="D154" s="114" t="s">
        <v>26</v>
      </c>
      <c r="E154" s="115">
        <v>1</v>
      </c>
      <c r="F154" s="64">
        <f>IF(Q154&lt;&gt;"",IFERROR(VLOOKUP(Q154,PARTIDAS!A:P,13,FALSE()),0),0)</f>
        <v>1057994.98</v>
      </c>
      <c r="G154" s="65">
        <f>IF(Q154&lt;&gt;"",IFERROR(VLOOKUP(Q154,PARTIDAS!A:P,14,FALSE()),0),0)</f>
        <v>401985.5</v>
      </c>
      <c r="H154" s="65">
        <f>IF(Q154&lt;&gt;"",IFERROR(VLOOKUP(Q154,PARTIDAS!A:P,15,FALSE()),0),0)</f>
        <v>21899.707259482599</v>
      </c>
      <c r="I154" s="66">
        <f t="shared" si="65"/>
        <v>1481880.1872594827</v>
      </c>
      <c r="J154" s="67">
        <f t="shared" si="66"/>
        <v>1057994.98</v>
      </c>
      <c r="K154" s="68">
        <f t="shared" si="67"/>
        <v>401985.5</v>
      </c>
      <c r="L154" s="68">
        <f t="shared" si="68"/>
        <v>21899.707259482599</v>
      </c>
      <c r="M154" s="69">
        <f t="shared" si="69"/>
        <v>1481880.1872594827</v>
      </c>
      <c r="N154" s="70">
        <f t="shared" si="70"/>
        <v>1481880.1872594827</v>
      </c>
      <c r="O154" s="71"/>
      <c r="P154" s="68"/>
      <c r="Q154" s="72" t="s">
        <v>334</v>
      </c>
      <c r="R154" s="72">
        <v>1</v>
      </c>
      <c r="S154" s="72" t="s">
        <v>32</v>
      </c>
      <c r="T154" s="72"/>
      <c r="U154" s="72"/>
      <c r="V154" s="68">
        <v>1481880.1912249899</v>
      </c>
      <c r="W154" s="68">
        <f t="shared" si="71"/>
        <v>-3.9655072614550591E-3</v>
      </c>
      <c r="X154" s="30">
        <f t="shared" si="72"/>
        <v>-2.675997212822576E-9</v>
      </c>
    </row>
    <row r="155" spans="1:24" ht="14.25" customHeight="1" x14ac:dyDescent="0.3">
      <c r="A155" s="110">
        <v>18.27</v>
      </c>
      <c r="B155" s="111" t="s">
        <v>2007</v>
      </c>
      <c r="C155" s="111" t="s">
        <v>335</v>
      </c>
      <c r="D155" s="111" t="s">
        <v>26</v>
      </c>
      <c r="E155" s="112">
        <v>1</v>
      </c>
      <c r="F155" s="55">
        <f>IF(Q155&lt;&gt;"",IFERROR(VLOOKUP(Q155,PARTIDAS!A:P,13,FALSE()),0),0)</f>
        <v>0</v>
      </c>
      <c r="G155" s="56">
        <f>IF(Q155&lt;&gt;"",IFERROR(VLOOKUP(Q155,PARTIDAS!A:P,14,FALSE()),0),0)</f>
        <v>113275.771948505</v>
      </c>
      <c r="H155" s="56">
        <f>IF(Q155&lt;&gt;"",IFERROR(VLOOKUP(Q155,PARTIDAS!A:P,15,FALSE()),0),0)</f>
        <v>0</v>
      </c>
      <c r="I155" s="57">
        <f t="shared" si="65"/>
        <v>113275.771948505</v>
      </c>
      <c r="J155" s="58">
        <f t="shared" si="66"/>
        <v>0</v>
      </c>
      <c r="K155" s="59">
        <f t="shared" si="67"/>
        <v>113275.771948505</v>
      </c>
      <c r="L155" s="59">
        <f t="shared" si="68"/>
        <v>0</v>
      </c>
      <c r="M155" s="60">
        <f t="shared" si="69"/>
        <v>113275.771948505</v>
      </c>
      <c r="N155" s="61">
        <f t="shared" si="70"/>
        <v>113275.771948505</v>
      </c>
      <c r="O155" s="62"/>
      <c r="P155" s="59"/>
      <c r="Q155" s="63" t="s">
        <v>336</v>
      </c>
      <c r="R155" s="63">
        <v>1</v>
      </c>
      <c r="S155" s="63" t="s">
        <v>28</v>
      </c>
      <c r="T155" s="63"/>
      <c r="U155" s="63"/>
      <c r="V155" s="59">
        <v>113275.771948505</v>
      </c>
      <c r="W155" s="59">
        <f t="shared" si="71"/>
        <v>0</v>
      </c>
      <c r="X155" s="30">
        <f t="shared" si="72"/>
        <v>0</v>
      </c>
    </row>
    <row r="156" spans="1:24" ht="14.25" customHeight="1" x14ac:dyDescent="0.3">
      <c r="A156" s="116">
        <v>19</v>
      </c>
      <c r="B156" s="108"/>
      <c r="C156" s="108" t="s">
        <v>2008</v>
      </c>
      <c r="D156" s="108"/>
      <c r="E156" s="109"/>
      <c r="F156" s="73"/>
      <c r="G156" s="74"/>
      <c r="H156" s="74"/>
      <c r="I156" s="75"/>
      <c r="J156" s="76"/>
      <c r="K156" s="54"/>
      <c r="L156" s="54"/>
      <c r="M156" s="77"/>
      <c r="N156" s="78"/>
      <c r="O156" s="53">
        <f>SUM(M157:M175)</f>
        <v>78853495.599648327</v>
      </c>
      <c r="P156" s="54">
        <f>SUM(N157:N175)</f>
        <v>78853495.599648327</v>
      </c>
      <c r="Q156" s="46"/>
      <c r="R156" s="46"/>
      <c r="S156" s="46"/>
      <c r="T156" s="46"/>
      <c r="U156" s="46"/>
      <c r="V156" s="54"/>
      <c r="W156" s="54"/>
      <c r="X156" s="30">
        <f t="shared" si="72"/>
        <v>0</v>
      </c>
    </row>
    <row r="157" spans="1:24" ht="14.25" customHeight="1" x14ac:dyDescent="0.3">
      <c r="A157" s="110">
        <v>19.010000000000002</v>
      </c>
      <c r="B157" s="111" t="s">
        <v>2008</v>
      </c>
      <c r="C157" s="111" t="s">
        <v>337</v>
      </c>
      <c r="D157" s="111" t="s">
        <v>26</v>
      </c>
      <c r="E157" s="112">
        <v>1</v>
      </c>
      <c r="F157" s="55">
        <f>IF(Q157&lt;&gt;"",IFERROR(VLOOKUP(Q157,PARTIDAS!A:P,13,FALSE()),0),0)</f>
        <v>559930.45214088424</v>
      </c>
      <c r="G157" s="56">
        <f>IF(Q157&lt;&gt;"",IFERROR(VLOOKUP(Q157,PARTIDAS!A:P,14,FALSE()),0),0)</f>
        <v>931720.65894092806</v>
      </c>
      <c r="H157" s="56">
        <f>IF(Q157&lt;&gt;"",IFERROR(VLOOKUP(Q157,PARTIDAS!A:P,15,FALSE()),0),0)</f>
        <v>22374.766708971001</v>
      </c>
      <c r="I157" s="57">
        <f t="shared" ref="I157:I175" si="73">F157+G157+H157</f>
        <v>1514025.8777907833</v>
      </c>
      <c r="J157" s="58">
        <f t="shared" ref="J157:J175" si="74">F157*E157</f>
        <v>559930.45214088424</v>
      </c>
      <c r="K157" s="59">
        <f t="shared" ref="K157:K175" si="75">G157*E157</f>
        <v>931720.65894092806</v>
      </c>
      <c r="L157" s="59">
        <f t="shared" ref="L157:L175" si="76">H157*E157</f>
        <v>22374.766708971001</v>
      </c>
      <c r="M157" s="60">
        <f t="shared" ref="M157:M175" si="77">I157*E157</f>
        <v>1514025.8777907833</v>
      </c>
      <c r="N157" s="61">
        <f t="shared" ref="N157:N175" si="78">M157*$N$2</f>
        <v>1514025.8777907833</v>
      </c>
      <c r="O157" s="62"/>
      <c r="P157" s="59"/>
      <c r="Q157" s="63" t="s">
        <v>338</v>
      </c>
      <c r="R157" s="63">
        <v>1</v>
      </c>
      <c r="S157" s="63" t="s">
        <v>339</v>
      </c>
      <c r="T157" s="63"/>
      <c r="U157" s="63"/>
      <c r="V157" s="59">
        <v>1514025.8806403701</v>
      </c>
      <c r="W157" s="59">
        <f t="shared" ref="W157:W175" si="79">M157-V157</f>
        <v>-2.8495867736637592E-3</v>
      </c>
      <c r="X157" s="30">
        <f t="shared" si="72"/>
        <v>-1.8821255370208747E-9</v>
      </c>
    </row>
    <row r="158" spans="1:24" ht="14.25" customHeight="1" x14ac:dyDescent="0.3">
      <c r="A158" s="113">
        <v>19.02</v>
      </c>
      <c r="B158" s="114" t="s">
        <v>2008</v>
      </c>
      <c r="C158" s="114" t="s">
        <v>340</v>
      </c>
      <c r="D158" s="114" t="s">
        <v>26</v>
      </c>
      <c r="E158" s="115">
        <v>1</v>
      </c>
      <c r="F158" s="64">
        <f>IF(Q158&lt;&gt;"",IFERROR(VLOOKUP(Q158,PARTIDAS!A:P,13,FALSE()),0),0)</f>
        <v>4309627.8628147747</v>
      </c>
      <c r="G158" s="65">
        <f>IF(Q158&lt;&gt;"",IFERROR(VLOOKUP(Q158,PARTIDAS!A:P,14,FALSE()),0),0)</f>
        <v>7439542.8720526099</v>
      </c>
      <c r="H158" s="65">
        <f>IF(Q158&lt;&gt;"",IFERROR(VLOOKUP(Q158,PARTIDAS!A:P,15,FALSE()),0),0)</f>
        <v>176237.56103145599</v>
      </c>
      <c r="I158" s="66">
        <f t="shared" si="73"/>
        <v>11925408.29589884</v>
      </c>
      <c r="J158" s="67">
        <f t="shared" si="74"/>
        <v>4309627.8628147747</v>
      </c>
      <c r="K158" s="68">
        <f t="shared" si="75"/>
        <v>7439542.8720526099</v>
      </c>
      <c r="L158" s="68">
        <f t="shared" si="76"/>
        <v>176237.56103145599</v>
      </c>
      <c r="M158" s="69">
        <f t="shared" si="77"/>
        <v>11925408.29589884</v>
      </c>
      <c r="N158" s="70">
        <f t="shared" si="78"/>
        <v>11925408.29589884</v>
      </c>
      <c r="O158" s="71"/>
      <c r="P158" s="68"/>
      <c r="Q158" s="72" t="s">
        <v>341</v>
      </c>
      <c r="R158" s="72">
        <v>1</v>
      </c>
      <c r="S158" s="72" t="s">
        <v>339</v>
      </c>
      <c r="T158" s="72"/>
      <c r="U158" s="72"/>
      <c r="V158" s="68">
        <v>11925408.2964618</v>
      </c>
      <c r="W158" s="68">
        <f t="shared" si="79"/>
        <v>-5.6296028196811676E-4</v>
      </c>
      <c r="X158" s="30">
        <f t="shared" si="72"/>
        <v>-4.7206793090274642E-11</v>
      </c>
    </row>
    <row r="159" spans="1:24" ht="14.25" customHeight="1" x14ac:dyDescent="0.3">
      <c r="A159" s="110">
        <v>19.03</v>
      </c>
      <c r="B159" s="111" t="s">
        <v>2008</v>
      </c>
      <c r="C159" s="111" t="s">
        <v>342</v>
      </c>
      <c r="D159" s="111" t="s">
        <v>26</v>
      </c>
      <c r="E159" s="112">
        <v>1</v>
      </c>
      <c r="F159" s="55">
        <f>IF(Q159&lt;&gt;"",IFERROR(VLOOKUP(Q159,PARTIDAS!A:P,13,FALSE()),0),0)</f>
        <v>1446561.6458157499</v>
      </c>
      <c r="G159" s="56">
        <f>IF(Q159&lt;&gt;"",IFERROR(VLOOKUP(Q159,PARTIDAS!A:P,14,FALSE()),0),0)</f>
        <v>2179040.2308093999</v>
      </c>
      <c r="H159" s="56">
        <f>IF(Q159&lt;&gt;"",IFERROR(VLOOKUP(Q159,PARTIDAS!A:P,15,FALSE()),0),0)</f>
        <v>54384.028149377104</v>
      </c>
      <c r="I159" s="57">
        <f t="shared" si="73"/>
        <v>3679985.9047745266</v>
      </c>
      <c r="J159" s="58">
        <f t="shared" si="74"/>
        <v>1446561.6458157499</v>
      </c>
      <c r="K159" s="59">
        <f t="shared" si="75"/>
        <v>2179040.2308093999</v>
      </c>
      <c r="L159" s="59">
        <f t="shared" si="76"/>
        <v>54384.028149377104</v>
      </c>
      <c r="M159" s="60">
        <f t="shared" si="77"/>
        <v>3679985.9047745266</v>
      </c>
      <c r="N159" s="61">
        <f t="shared" si="78"/>
        <v>3679985.9047745266</v>
      </c>
      <c r="O159" s="62"/>
      <c r="P159" s="59"/>
      <c r="Q159" s="63" t="s">
        <v>343</v>
      </c>
      <c r="R159" s="63">
        <v>1</v>
      </c>
      <c r="S159" s="63" t="s">
        <v>339</v>
      </c>
      <c r="T159" s="63"/>
      <c r="U159" s="63"/>
      <c r="V159" s="59">
        <v>3679985.9047745201</v>
      </c>
      <c r="W159" s="59">
        <f t="shared" si="79"/>
        <v>6.5192580223083496E-9</v>
      </c>
      <c r="X159" s="30">
        <f t="shared" si="72"/>
        <v>1.7715442914740722E-15</v>
      </c>
    </row>
    <row r="160" spans="1:24" ht="14.25" customHeight="1" x14ac:dyDescent="0.3">
      <c r="A160" s="113">
        <v>19.04</v>
      </c>
      <c r="B160" s="114" t="s">
        <v>2008</v>
      </c>
      <c r="C160" s="114" t="s">
        <v>344</v>
      </c>
      <c r="D160" s="114" t="s">
        <v>26</v>
      </c>
      <c r="E160" s="115">
        <v>1</v>
      </c>
      <c r="F160" s="64">
        <f>IF(Q160&lt;&gt;"",IFERROR(VLOOKUP(Q160,PARTIDAS!A:P,13,FALSE()),0),0)</f>
        <v>460664.74220464122</v>
      </c>
      <c r="G160" s="65">
        <f>IF(Q160&lt;&gt;"",IFERROR(VLOOKUP(Q160,PARTIDAS!A:P,14,FALSE()),0),0)</f>
        <v>931720.65894092806</v>
      </c>
      <c r="H160" s="65">
        <f>IF(Q160&lt;&gt;"",IFERROR(VLOOKUP(Q160,PARTIDAS!A:P,15,FALSE()),0),0)</f>
        <v>20885.780963797501</v>
      </c>
      <c r="I160" s="66">
        <f t="shared" si="73"/>
        <v>1413271.1821093669</v>
      </c>
      <c r="J160" s="67">
        <f t="shared" si="74"/>
        <v>460664.74220464122</v>
      </c>
      <c r="K160" s="68">
        <f t="shared" si="75"/>
        <v>931720.65894092806</v>
      </c>
      <c r="L160" s="68">
        <f t="shared" si="76"/>
        <v>20885.780963797501</v>
      </c>
      <c r="M160" s="69">
        <f t="shared" si="77"/>
        <v>1413271.1821093669</v>
      </c>
      <c r="N160" s="70">
        <f t="shared" si="78"/>
        <v>1413271.1821093669</v>
      </c>
      <c r="O160" s="71"/>
      <c r="P160" s="68"/>
      <c r="Q160" s="72" t="s">
        <v>345</v>
      </c>
      <c r="R160" s="72">
        <v>1</v>
      </c>
      <c r="S160" s="72" t="s">
        <v>346</v>
      </c>
      <c r="T160" s="72"/>
      <c r="U160" s="72"/>
      <c r="V160" s="68">
        <v>1413271.1785503</v>
      </c>
      <c r="W160" s="68">
        <f t="shared" si="79"/>
        <v>3.5590669140219688E-3</v>
      </c>
      <c r="X160" s="30">
        <f t="shared" si="72"/>
        <v>2.5183184713869106E-9</v>
      </c>
    </row>
    <row r="161" spans="1:24" ht="14.25" customHeight="1" x14ac:dyDescent="0.3">
      <c r="A161" s="110">
        <v>19.05</v>
      </c>
      <c r="B161" s="111" t="s">
        <v>2008</v>
      </c>
      <c r="C161" s="111" t="s">
        <v>347</v>
      </c>
      <c r="D161" s="111" t="s">
        <v>26</v>
      </c>
      <c r="E161" s="112">
        <v>1</v>
      </c>
      <c r="F161" s="55">
        <f>IF(Q161&lt;&gt;"",IFERROR(VLOOKUP(Q161,PARTIDAS!A:P,13,FALSE()),0),0)</f>
        <v>2104760.5606523599</v>
      </c>
      <c r="G161" s="56">
        <f>IF(Q161&lt;&gt;"",IFERROR(VLOOKUP(Q161,PARTIDAS!A:P,14,FALSE()),0),0)</f>
        <v>3537598.1952882898</v>
      </c>
      <c r="H161" s="56">
        <f>IF(Q161&lt;&gt;"",IFERROR(VLOOKUP(Q161,PARTIDAS!A:P,15,FALSE()),0),0)</f>
        <v>84635.381339109605</v>
      </c>
      <c r="I161" s="57">
        <f t="shared" si="73"/>
        <v>5726994.1372797592</v>
      </c>
      <c r="J161" s="58">
        <f t="shared" si="74"/>
        <v>2104760.5606523599</v>
      </c>
      <c r="K161" s="59">
        <f t="shared" si="75"/>
        <v>3537598.1952882898</v>
      </c>
      <c r="L161" s="59">
        <f t="shared" si="76"/>
        <v>84635.381339109605</v>
      </c>
      <c r="M161" s="60">
        <f t="shared" si="77"/>
        <v>5726994.1372797592</v>
      </c>
      <c r="N161" s="61">
        <f t="shared" si="78"/>
        <v>5726994.1372797592</v>
      </c>
      <c r="O161" s="62"/>
      <c r="P161" s="59"/>
      <c r="Q161" s="63" t="s">
        <v>348</v>
      </c>
      <c r="R161" s="63">
        <v>1</v>
      </c>
      <c r="S161" s="63" t="s">
        <v>346</v>
      </c>
      <c r="T161" s="63"/>
      <c r="U161" s="63"/>
      <c r="V161" s="59">
        <v>5726994.1372797498</v>
      </c>
      <c r="W161" s="59">
        <f t="shared" si="79"/>
        <v>9.3132257461547852E-9</v>
      </c>
      <c r="X161" s="30">
        <f t="shared" si="72"/>
        <v>1.6261978837258684E-15</v>
      </c>
    </row>
    <row r="162" spans="1:24" ht="14.25" customHeight="1" x14ac:dyDescent="0.3">
      <c r="A162" s="113">
        <v>19.059999999999999</v>
      </c>
      <c r="B162" s="114" t="s">
        <v>2008</v>
      </c>
      <c r="C162" s="114" t="s">
        <v>349</v>
      </c>
      <c r="D162" s="114" t="s">
        <v>26</v>
      </c>
      <c r="E162" s="115">
        <v>1</v>
      </c>
      <c r="F162" s="64">
        <f>IF(Q162&lt;&gt;"",IFERROR(VLOOKUP(Q162,PARTIDAS!A:P,13,FALSE()),0),0)</f>
        <v>809170.17674968601</v>
      </c>
      <c r="G162" s="65">
        <f>IF(Q162&lt;&gt;"",IFERROR(VLOOKUP(Q162,PARTIDAS!A:P,14,FALSE()),0),0)</f>
        <v>1746247.40061585</v>
      </c>
      <c r="H162" s="65">
        <f>IF(Q162&lt;&gt;"",IFERROR(VLOOKUP(Q162,PARTIDAS!A:P,15,FALSE()),0),0)</f>
        <v>38331.263660483099</v>
      </c>
      <c r="I162" s="66">
        <f t="shared" si="73"/>
        <v>2593748.8410260193</v>
      </c>
      <c r="J162" s="67">
        <f t="shared" si="74"/>
        <v>809170.17674968601</v>
      </c>
      <c r="K162" s="68">
        <f t="shared" si="75"/>
        <v>1746247.40061585</v>
      </c>
      <c r="L162" s="68">
        <f t="shared" si="76"/>
        <v>38331.263660483099</v>
      </c>
      <c r="M162" s="69">
        <f t="shared" si="77"/>
        <v>2593748.8410260193</v>
      </c>
      <c r="N162" s="70">
        <f t="shared" si="78"/>
        <v>2593748.8410260193</v>
      </c>
      <c r="O162" s="71"/>
      <c r="P162" s="68"/>
      <c r="Q162" s="72" t="s">
        <v>350</v>
      </c>
      <c r="R162" s="72">
        <v>1</v>
      </c>
      <c r="S162" s="72" t="s">
        <v>351</v>
      </c>
      <c r="T162" s="72"/>
      <c r="U162" s="72"/>
      <c r="V162" s="68">
        <v>2593748.8410260198</v>
      </c>
      <c r="W162" s="68">
        <f t="shared" si="79"/>
        <v>0</v>
      </c>
      <c r="X162" s="30">
        <f t="shared" si="72"/>
        <v>0</v>
      </c>
    </row>
    <row r="163" spans="1:24" ht="14.25" customHeight="1" x14ac:dyDescent="0.3">
      <c r="A163" s="110">
        <v>19.07</v>
      </c>
      <c r="B163" s="111" t="s">
        <v>2008</v>
      </c>
      <c r="C163" s="111" t="s">
        <v>352</v>
      </c>
      <c r="D163" s="111" t="s">
        <v>26</v>
      </c>
      <c r="E163" s="112">
        <v>1</v>
      </c>
      <c r="F163" s="55">
        <f>IF(Q163&lt;&gt;"",IFERROR(VLOOKUP(Q163,PARTIDAS!A:P,13,FALSE()),0),0)</f>
        <v>1906561.77476009</v>
      </c>
      <c r="G163" s="56">
        <f>IF(Q163&lt;&gt;"",IFERROR(VLOOKUP(Q163,PARTIDAS!A:P,14,FALSE()),0),0)</f>
        <v>3598731.4622267298</v>
      </c>
      <c r="H163" s="56">
        <f>IF(Q163&lt;&gt;"",IFERROR(VLOOKUP(Q163,PARTIDAS!A:P,15,FALSE()),0),0)</f>
        <v>82579.398554802203</v>
      </c>
      <c r="I163" s="57">
        <f t="shared" si="73"/>
        <v>5587872.6355416216</v>
      </c>
      <c r="J163" s="58">
        <f t="shared" si="74"/>
        <v>1906561.77476009</v>
      </c>
      <c r="K163" s="59">
        <f t="shared" si="75"/>
        <v>3598731.4622267298</v>
      </c>
      <c r="L163" s="59">
        <f t="shared" si="76"/>
        <v>82579.398554802203</v>
      </c>
      <c r="M163" s="60">
        <f t="shared" si="77"/>
        <v>5587872.6355416216</v>
      </c>
      <c r="N163" s="61">
        <f t="shared" si="78"/>
        <v>5587872.6355416216</v>
      </c>
      <c r="O163" s="62"/>
      <c r="P163" s="59"/>
      <c r="Q163" s="63" t="s">
        <v>353</v>
      </c>
      <c r="R163" s="63">
        <v>1</v>
      </c>
      <c r="S163" s="63" t="s">
        <v>351</v>
      </c>
      <c r="T163" s="63"/>
      <c r="U163" s="63"/>
      <c r="V163" s="59">
        <v>5587872.6355416197</v>
      </c>
      <c r="W163" s="59">
        <f t="shared" si="79"/>
        <v>0</v>
      </c>
      <c r="X163" s="30">
        <f t="shared" si="72"/>
        <v>0</v>
      </c>
    </row>
    <row r="164" spans="1:24" ht="14.25" customHeight="1" x14ac:dyDescent="0.3">
      <c r="A164" s="113">
        <v>19.079999999999998</v>
      </c>
      <c r="B164" s="114" t="s">
        <v>2008</v>
      </c>
      <c r="C164" s="114" t="s">
        <v>354</v>
      </c>
      <c r="D164" s="114" t="s">
        <v>26</v>
      </c>
      <c r="E164" s="115">
        <v>1</v>
      </c>
      <c r="F164" s="64">
        <f>IF(Q164&lt;&gt;"",IFERROR(VLOOKUP(Q164,PARTIDAS!A:P,13,FALSE()),0),0)</f>
        <v>1435578.0647120301</v>
      </c>
      <c r="G164" s="65">
        <f>IF(Q164&lt;&gt;"",IFERROR(VLOOKUP(Q164,PARTIDAS!A:P,14,FALSE()),0),0)</f>
        <v>2500015.0564415599</v>
      </c>
      <c r="H164" s="65">
        <f>IF(Q164&lt;&gt;"",IFERROR(VLOOKUP(Q164,PARTIDAS!A:P,15,FALSE()),0),0)</f>
        <v>59033.896817303801</v>
      </c>
      <c r="I164" s="66">
        <f t="shared" si="73"/>
        <v>3994627.017970894</v>
      </c>
      <c r="J164" s="67">
        <f t="shared" si="74"/>
        <v>1435578.0647120301</v>
      </c>
      <c r="K164" s="68">
        <f t="shared" si="75"/>
        <v>2500015.0564415599</v>
      </c>
      <c r="L164" s="68">
        <f t="shared" si="76"/>
        <v>59033.896817303801</v>
      </c>
      <c r="M164" s="69">
        <f t="shared" si="77"/>
        <v>3994627.017970894</v>
      </c>
      <c r="N164" s="70">
        <f t="shared" si="78"/>
        <v>3994627.017970894</v>
      </c>
      <c r="O164" s="71"/>
      <c r="P164" s="68"/>
      <c r="Q164" s="72" t="s">
        <v>355</v>
      </c>
      <c r="R164" s="72">
        <v>1</v>
      </c>
      <c r="S164" s="72" t="s">
        <v>351</v>
      </c>
      <c r="T164" s="72"/>
      <c r="U164" s="72"/>
      <c r="V164" s="68">
        <v>3994627.0179708898</v>
      </c>
      <c r="W164" s="68">
        <f t="shared" si="79"/>
        <v>4.1909515857696533E-9</v>
      </c>
      <c r="X164" s="30">
        <f t="shared" si="72"/>
        <v>1.0491471586497427E-15</v>
      </c>
    </row>
    <row r="165" spans="1:24" ht="14.25" customHeight="1" x14ac:dyDescent="0.3">
      <c r="A165" s="110">
        <v>19.09</v>
      </c>
      <c r="B165" s="111" t="s">
        <v>2008</v>
      </c>
      <c r="C165" s="111" t="s">
        <v>356</v>
      </c>
      <c r="D165" s="111" t="s">
        <v>26</v>
      </c>
      <c r="E165" s="112">
        <v>1</v>
      </c>
      <c r="F165" s="55">
        <f>IF(Q165&lt;&gt;"",IFERROR(VLOOKUP(Q165,PARTIDAS!A:P,13,FALSE()),0),0)</f>
        <v>609036.01399088604</v>
      </c>
      <c r="G165" s="56">
        <f>IF(Q165&lt;&gt;"",IFERROR(VLOOKUP(Q165,PARTIDAS!A:P,14,FALSE()),0),0)</f>
        <v>1199577.15407558</v>
      </c>
      <c r="H165" s="56">
        <f>IF(Q165&lt;&gt;"",IFERROR(VLOOKUP(Q165,PARTIDAS!A:P,15,FALSE()),0),0)</f>
        <v>27129.197520996899</v>
      </c>
      <c r="I165" s="57">
        <f t="shared" si="73"/>
        <v>1835742.3655874629</v>
      </c>
      <c r="J165" s="58">
        <f t="shared" si="74"/>
        <v>609036.01399088604</v>
      </c>
      <c r="K165" s="59">
        <f t="shared" si="75"/>
        <v>1199577.15407558</v>
      </c>
      <c r="L165" s="59">
        <f t="shared" si="76"/>
        <v>27129.197520996899</v>
      </c>
      <c r="M165" s="60">
        <f t="shared" si="77"/>
        <v>1835742.3655874629</v>
      </c>
      <c r="N165" s="61">
        <f t="shared" si="78"/>
        <v>1835742.3655874629</v>
      </c>
      <c r="O165" s="62"/>
      <c r="P165" s="59"/>
      <c r="Q165" s="63" t="s">
        <v>357</v>
      </c>
      <c r="R165" s="63">
        <v>1</v>
      </c>
      <c r="S165" s="63" t="s">
        <v>351</v>
      </c>
      <c r="T165" s="63"/>
      <c r="U165" s="63"/>
      <c r="V165" s="59">
        <v>1835742.3655874601</v>
      </c>
      <c r="W165" s="59">
        <f t="shared" si="79"/>
        <v>2.7939677238464355E-9</v>
      </c>
      <c r="X165" s="30">
        <f t="shared" si="72"/>
        <v>1.5219824830660981E-15</v>
      </c>
    </row>
    <row r="166" spans="1:24" ht="14.25" customHeight="1" x14ac:dyDescent="0.3">
      <c r="A166" s="113">
        <v>19.100000000000001</v>
      </c>
      <c r="B166" s="114" t="s">
        <v>2008</v>
      </c>
      <c r="C166" s="114" t="s">
        <v>358</v>
      </c>
      <c r="D166" s="114" t="s">
        <v>26</v>
      </c>
      <c r="E166" s="115">
        <v>1</v>
      </c>
      <c r="F166" s="64">
        <f>IF(Q166&lt;&gt;"",IFERROR(VLOOKUP(Q166,PARTIDAS!A:P,13,FALSE()),0),0)</f>
        <v>2840582.8064988302</v>
      </c>
      <c r="G166" s="65">
        <f>IF(Q166&lt;&gt;"",IFERROR(VLOOKUP(Q166,PARTIDAS!A:P,14,FALSE()),0),0)</f>
        <v>9188039.2000978701</v>
      </c>
      <c r="H166" s="65">
        <f>IF(Q166&lt;&gt;"",IFERROR(VLOOKUP(Q166,PARTIDAS!A:P,15,FALSE()),0),0)</f>
        <v>180429.330098951</v>
      </c>
      <c r="I166" s="66">
        <f t="shared" si="73"/>
        <v>12209051.336695651</v>
      </c>
      <c r="J166" s="67">
        <f t="shared" si="74"/>
        <v>2840582.8064988302</v>
      </c>
      <c r="K166" s="68">
        <f t="shared" si="75"/>
        <v>9188039.2000978701</v>
      </c>
      <c r="L166" s="68">
        <f t="shared" si="76"/>
        <v>180429.330098951</v>
      </c>
      <c r="M166" s="69">
        <f t="shared" si="77"/>
        <v>12209051.336695651</v>
      </c>
      <c r="N166" s="70">
        <f t="shared" si="78"/>
        <v>12209051.336695651</v>
      </c>
      <c r="O166" s="71"/>
      <c r="P166" s="68"/>
      <c r="Q166" s="72" t="s">
        <v>2036</v>
      </c>
      <c r="R166" s="72">
        <v>1</v>
      </c>
      <c r="S166" s="72" t="s">
        <v>351</v>
      </c>
      <c r="T166" s="72"/>
      <c r="U166" s="72"/>
      <c r="V166" s="68">
        <v>12209051.336695701</v>
      </c>
      <c r="W166" s="68">
        <f t="shared" si="79"/>
        <v>-5.029141902923584E-8</v>
      </c>
      <c r="X166" s="30">
        <f t="shared" si="72"/>
        <v>-4.1191913804211164E-15</v>
      </c>
    </row>
    <row r="167" spans="1:24" ht="14.25" customHeight="1" x14ac:dyDescent="0.3">
      <c r="A167" s="110">
        <v>19.11</v>
      </c>
      <c r="B167" s="111" t="s">
        <v>2008</v>
      </c>
      <c r="C167" s="111" t="s">
        <v>359</v>
      </c>
      <c r="D167" s="111" t="s">
        <v>26</v>
      </c>
      <c r="E167" s="112">
        <v>0</v>
      </c>
      <c r="F167" s="55">
        <f>IF(Q167&lt;&gt;"",IFERROR(VLOOKUP(Q167,PARTIDAS!A:P,13,FALSE()),0),0)</f>
        <v>0</v>
      </c>
      <c r="G167" s="56">
        <f>IF(Q167&lt;&gt;"",IFERROR(VLOOKUP(Q167,PARTIDAS!A:P,14,FALSE()),0),0)</f>
        <v>0</v>
      </c>
      <c r="H167" s="56">
        <f>IF(Q167&lt;&gt;"",IFERROR(VLOOKUP(Q167,PARTIDAS!A:P,15,FALSE()),0),0)</f>
        <v>0</v>
      </c>
      <c r="I167" s="57">
        <f t="shared" si="73"/>
        <v>0</v>
      </c>
      <c r="J167" s="58">
        <f t="shared" si="74"/>
        <v>0</v>
      </c>
      <c r="K167" s="59">
        <f t="shared" si="75"/>
        <v>0</v>
      </c>
      <c r="L167" s="59">
        <f t="shared" si="76"/>
        <v>0</v>
      </c>
      <c r="M167" s="60">
        <f t="shared" si="77"/>
        <v>0</v>
      </c>
      <c r="N167" s="61">
        <f t="shared" si="78"/>
        <v>0</v>
      </c>
      <c r="O167" s="62"/>
      <c r="P167" s="59"/>
      <c r="Q167" s="63" t="s">
        <v>360</v>
      </c>
      <c r="R167" s="63">
        <v>1</v>
      </c>
      <c r="S167" s="63" t="s">
        <v>28</v>
      </c>
      <c r="T167" s="63"/>
      <c r="U167" s="63"/>
      <c r="V167" s="59">
        <v>0</v>
      </c>
      <c r="W167" s="59">
        <f t="shared" si="79"/>
        <v>0</v>
      </c>
      <c r="X167" s="30">
        <f t="shared" si="72"/>
        <v>0</v>
      </c>
    </row>
    <row r="168" spans="1:24" ht="14.25" customHeight="1" x14ac:dyDescent="0.3">
      <c r="A168" s="113">
        <v>19.12</v>
      </c>
      <c r="B168" s="114" t="s">
        <v>2008</v>
      </c>
      <c r="C168" s="114" t="s">
        <v>361</v>
      </c>
      <c r="D168" s="114" t="s">
        <v>26</v>
      </c>
      <c r="E168" s="115">
        <v>1</v>
      </c>
      <c r="F168" s="64">
        <f>IF(Q168&lt;&gt;"",IFERROR(VLOOKUP(Q168,PARTIDAS!A:P,13,FALSE()),0),0)</f>
        <v>2501139.9349345602</v>
      </c>
      <c r="G168" s="65">
        <f>IF(Q168&lt;&gt;"",IFERROR(VLOOKUP(Q168,PARTIDAS!A:P,14,FALSE()),0),0)</f>
        <v>5079485.0755870203</v>
      </c>
      <c r="H168" s="65">
        <f>IF(Q168&lt;&gt;"",IFERROR(VLOOKUP(Q168,PARTIDAS!A:P,15,FALSE()),0),0)</f>
        <v>113709.375157824</v>
      </c>
      <c r="I168" s="66">
        <f t="shared" si="73"/>
        <v>7694334.3856794043</v>
      </c>
      <c r="J168" s="67">
        <f t="shared" si="74"/>
        <v>2501139.9349345602</v>
      </c>
      <c r="K168" s="68">
        <f t="shared" si="75"/>
        <v>5079485.0755870203</v>
      </c>
      <c r="L168" s="68">
        <f t="shared" si="76"/>
        <v>113709.375157824</v>
      </c>
      <c r="M168" s="69">
        <f t="shared" si="77"/>
        <v>7694334.3856794043</v>
      </c>
      <c r="N168" s="70">
        <f t="shared" si="78"/>
        <v>7694334.3856794043</v>
      </c>
      <c r="O168" s="71"/>
      <c r="P168" s="68"/>
      <c r="Q168" s="72" t="s">
        <v>362</v>
      </c>
      <c r="R168" s="72">
        <v>1</v>
      </c>
      <c r="S168" s="72" t="s">
        <v>351</v>
      </c>
      <c r="T168" s="72"/>
      <c r="U168" s="72"/>
      <c r="V168" s="68">
        <v>7694334.3856793996</v>
      </c>
      <c r="W168" s="68">
        <f t="shared" si="79"/>
        <v>0</v>
      </c>
      <c r="X168" s="30">
        <f t="shared" si="72"/>
        <v>0</v>
      </c>
    </row>
    <row r="169" spans="1:24" ht="14.25" customHeight="1" x14ac:dyDescent="0.3">
      <c r="A169" s="110">
        <v>19.13</v>
      </c>
      <c r="B169" s="111" t="s">
        <v>2008</v>
      </c>
      <c r="C169" s="111" t="s">
        <v>363</v>
      </c>
      <c r="D169" s="111" t="s">
        <v>26</v>
      </c>
      <c r="E169" s="112">
        <v>1</v>
      </c>
      <c r="F169" s="55">
        <f>IF(Q169&lt;&gt;"",IFERROR(VLOOKUP(Q169,PARTIDAS!A:P,13,FALSE()),0),0)</f>
        <v>358894.516178007</v>
      </c>
      <c r="G169" s="56">
        <f>IF(Q169&lt;&gt;"",IFERROR(VLOOKUP(Q169,PARTIDAS!A:P,14,FALSE()),0),0)</f>
        <v>625003.76411038905</v>
      </c>
      <c r="H169" s="56">
        <f>IF(Q169&lt;&gt;"",IFERROR(VLOOKUP(Q169,PARTIDAS!A:P,15,FALSE()),0),0)</f>
        <v>14758.474204325899</v>
      </c>
      <c r="I169" s="57">
        <f t="shared" si="73"/>
        <v>998656.75449272199</v>
      </c>
      <c r="J169" s="58">
        <f t="shared" si="74"/>
        <v>358894.516178007</v>
      </c>
      <c r="K169" s="59">
        <f t="shared" si="75"/>
        <v>625003.76411038905</v>
      </c>
      <c r="L169" s="59">
        <f t="shared" si="76"/>
        <v>14758.474204325899</v>
      </c>
      <c r="M169" s="60">
        <f t="shared" si="77"/>
        <v>998656.75449272199</v>
      </c>
      <c r="N169" s="61">
        <f t="shared" si="78"/>
        <v>998656.75449272199</v>
      </c>
      <c r="O169" s="62"/>
      <c r="P169" s="59"/>
      <c r="Q169" s="63" t="s">
        <v>364</v>
      </c>
      <c r="R169" s="63">
        <v>1</v>
      </c>
      <c r="S169" s="63" t="s">
        <v>28</v>
      </c>
      <c r="T169" s="63"/>
      <c r="U169" s="63"/>
      <c r="V169" s="59">
        <v>998656.75449272199</v>
      </c>
      <c r="W169" s="59">
        <f t="shared" si="79"/>
        <v>0</v>
      </c>
      <c r="X169" s="30">
        <f t="shared" si="72"/>
        <v>0</v>
      </c>
    </row>
    <row r="170" spans="1:24" ht="14.25" customHeight="1" x14ac:dyDescent="0.3">
      <c r="A170" s="113">
        <v>19.14</v>
      </c>
      <c r="B170" s="114" t="s">
        <v>2008</v>
      </c>
      <c r="C170" s="114" t="s">
        <v>365</v>
      </c>
      <c r="D170" s="114" t="s">
        <v>26</v>
      </c>
      <c r="E170" s="115">
        <v>1</v>
      </c>
      <c r="F170" s="64">
        <f>IF(Q170&lt;&gt;"",IFERROR(VLOOKUP(Q170,PARTIDAS!A:P,13,FALSE()),0),0)</f>
        <v>638103.51477926353</v>
      </c>
      <c r="G170" s="65">
        <f>IF(Q170&lt;&gt;"",IFERROR(VLOOKUP(Q170,PARTIDAS!A:P,14,FALSE()),0),0)</f>
        <v>1746247.40061585</v>
      </c>
      <c r="H170" s="65">
        <f>IF(Q170&lt;&gt;"",IFERROR(VLOOKUP(Q170,PARTIDAS!A:P,15,FALSE()),0),0)</f>
        <v>35765.263711523599</v>
      </c>
      <c r="I170" s="66">
        <f t="shared" si="73"/>
        <v>2420116.1791066374</v>
      </c>
      <c r="J170" s="67">
        <f t="shared" si="74"/>
        <v>638103.51477926353</v>
      </c>
      <c r="K170" s="68">
        <f t="shared" si="75"/>
        <v>1746247.40061585</v>
      </c>
      <c r="L170" s="68">
        <f t="shared" si="76"/>
        <v>35765.263711523599</v>
      </c>
      <c r="M170" s="69">
        <f t="shared" si="77"/>
        <v>2420116.1791066374</v>
      </c>
      <c r="N170" s="70">
        <f t="shared" si="78"/>
        <v>2420116.1791066374</v>
      </c>
      <c r="O170" s="71"/>
      <c r="P170" s="68"/>
      <c r="Q170" s="72" t="s">
        <v>366</v>
      </c>
      <c r="R170" s="72">
        <v>1</v>
      </c>
      <c r="S170" s="72" t="s">
        <v>367</v>
      </c>
      <c r="T170" s="72"/>
      <c r="U170" s="72"/>
      <c r="V170" s="68">
        <v>2420116.1778131002</v>
      </c>
      <c r="W170" s="68">
        <f t="shared" si="79"/>
        <v>1.2935372069478035E-3</v>
      </c>
      <c r="X170" s="30">
        <f t="shared" si="72"/>
        <v>5.3449384736425667E-10</v>
      </c>
    </row>
    <row r="171" spans="1:24" ht="14.25" customHeight="1" x14ac:dyDescent="0.3">
      <c r="A171" s="110">
        <v>19.149999999999999</v>
      </c>
      <c r="B171" s="111" t="s">
        <v>2008</v>
      </c>
      <c r="C171" s="111" t="s">
        <v>368</v>
      </c>
      <c r="D171" s="111" t="s">
        <v>26</v>
      </c>
      <c r="E171" s="112">
        <v>1</v>
      </c>
      <c r="F171" s="55">
        <f>IF(Q171&lt;&gt;"",IFERROR(VLOOKUP(Q171,PARTIDAS!A:P,13,FALSE()),0),0)</f>
        <v>3702330.1060249</v>
      </c>
      <c r="G171" s="56">
        <f>IF(Q171&lt;&gt;"",IFERROR(VLOOKUP(Q171,PARTIDAS!A:P,14,FALSE()),0),0)</f>
        <v>3490533.2546783499</v>
      </c>
      <c r="H171" s="56">
        <f>IF(Q171&lt;&gt;"",IFERROR(VLOOKUP(Q171,PARTIDAS!A:P,15,FALSE()),0),0)</f>
        <v>107892.95041054901</v>
      </c>
      <c r="I171" s="57">
        <f t="shared" si="73"/>
        <v>7300756.311113799</v>
      </c>
      <c r="J171" s="58">
        <f t="shared" si="74"/>
        <v>3702330.1060249</v>
      </c>
      <c r="K171" s="59">
        <f t="shared" si="75"/>
        <v>3490533.2546783499</v>
      </c>
      <c r="L171" s="59">
        <f t="shared" si="76"/>
        <v>107892.95041054901</v>
      </c>
      <c r="M171" s="60">
        <f t="shared" si="77"/>
        <v>7300756.311113799</v>
      </c>
      <c r="N171" s="61">
        <f t="shared" si="78"/>
        <v>7300756.311113799</v>
      </c>
      <c r="O171" s="62"/>
      <c r="P171" s="59"/>
      <c r="Q171" s="63" t="s">
        <v>369</v>
      </c>
      <c r="R171" s="63">
        <v>1</v>
      </c>
      <c r="S171" s="63" t="s">
        <v>370</v>
      </c>
      <c r="T171" s="63"/>
      <c r="U171" s="63"/>
      <c r="V171" s="59">
        <v>7300756.3111137999</v>
      </c>
      <c r="W171" s="59">
        <f t="shared" si="79"/>
        <v>0</v>
      </c>
      <c r="X171" s="30">
        <f t="shared" si="72"/>
        <v>0</v>
      </c>
    </row>
    <row r="172" spans="1:24" ht="14.25" customHeight="1" x14ac:dyDescent="0.3">
      <c r="A172" s="113">
        <v>19.16</v>
      </c>
      <c r="B172" s="114" t="s">
        <v>2008</v>
      </c>
      <c r="C172" s="114" t="s">
        <v>371</v>
      </c>
      <c r="D172" s="114" t="s">
        <v>26</v>
      </c>
      <c r="E172" s="115">
        <v>1</v>
      </c>
      <c r="F172" s="64">
        <f>IF(Q172&lt;&gt;"",IFERROR(VLOOKUP(Q172,PARTIDAS!A:P,13,FALSE()),0),0)</f>
        <v>1540056.2634751408</v>
      </c>
      <c r="G172" s="65">
        <f>IF(Q172&lt;&gt;"",IFERROR(VLOOKUP(Q172,PARTIDAS!A:P,14,FALSE()),0),0)</f>
        <v>4970416.6359473299</v>
      </c>
      <c r="H172" s="65">
        <f>IF(Q172&lt;&gt;"",IFERROR(VLOOKUP(Q172,PARTIDAS!A:P,15,FALSE()),0),0)</f>
        <v>97657.093521783696</v>
      </c>
      <c r="I172" s="66">
        <f t="shared" si="73"/>
        <v>6608129.9929442545</v>
      </c>
      <c r="J172" s="67">
        <f t="shared" si="74"/>
        <v>1540056.2634751408</v>
      </c>
      <c r="K172" s="68">
        <f t="shared" si="75"/>
        <v>4970416.6359473299</v>
      </c>
      <c r="L172" s="68">
        <f t="shared" si="76"/>
        <v>97657.093521783696</v>
      </c>
      <c r="M172" s="69">
        <f t="shared" si="77"/>
        <v>6608129.9929442545</v>
      </c>
      <c r="N172" s="70">
        <f t="shared" si="78"/>
        <v>6608129.9929442545</v>
      </c>
      <c r="O172" s="71"/>
      <c r="P172" s="68"/>
      <c r="Q172" s="72" t="s">
        <v>372</v>
      </c>
      <c r="R172" s="72">
        <v>1</v>
      </c>
      <c r="S172" s="72" t="s">
        <v>373</v>
      </c>
      <c r="T172" s="72"/>
      <c r="U172" s="72"/>
      <c r="V172" s="68">
        <v>6608129.9949740302</v>
      </c>
      <c r="W172" s="68">
        <f t="shared" si="79"/>
        <v>-2.0297756418585777E-3</v>
      </c>
      <c r="X172" s="30">
        <f t="shared" si="72"/>
        <v>-3.0716339469749713E-10</v>
      </c>
    </row>
    <row r="173" spans="1:24" ht="14.25" customHeight="1" x14ac:dyDescent="0.3">
      <c r="A173" s="110">
        <v>19.170000000000002</v>
      </c>
      <c r="B173" s="111" t="s">
        <v>2008</v>
      </c>
      <c r="C173" s="111" t="s">
        <v>374</v>
      </c>
      <c r="D173" s="111" t="s">
        <v>26</v>
      </c>
      <c r="E173" s="112">
        <v>1</v>
      </c>
      <c r="F173" s="55">
        <f>IF(Q173&lt;&gt;"",IFERROR(VLOOKUP(Q173,PARTIDAS!A:P,13,FALSE()),0),0)</f>
        <v>43707.030007852401</v>
      </c>
      <c r="G173" s="56">
        <f>IF(Q173&lt;&gt;"",IFERROR(VLOOKUP(Q173,PARTIDAS!A:P,14,FALSE()),0),0)</f>
        <v>498927.82874738699</v>
      </c>
      <c r="H173" s="56">
        <f>IF(Q173&lt;&gt;"",IFERROR(VLOOKUP(Q173,PARTIDAS!A:P,15,FALSE()),0),0)</f>
        <v>8139.5228813285903</v>
      </c>
      <c r="I173" s="57">
        <f t="shared" si="73"/>
        <v>550774.381636568</v>
      </c>
      <c r="J173" s="58">
        <f t="shared" si="74"/>
        <v>43707.030007852401</v>
      </c>
      <c r="K173" s="59">
        <f t="shared" si="75"/>
        <v>498927.82874738699</v>
      </c>
      <c r="L173" s="59">
        <f t="shared" si="76"/>
        <v>8139.5228813285903</v>
      </c>
      <c r="M173" s="60">
        <f t="shared" si="77"/>
        <v>550774.381636568</v>
      </c>
      <c r="N173" s="61">
        <f t="shared" si="78"/>
        <v>550774.381636568</v>
      </c>
      <c r="O173" s="62"/>
      <c r="P173" s="59"/>
      <c r="Q173" s="63" t="s">
        <v>375</v>
      </c>
      <c r="R173" s="63">
        <v>1</v>
      </c>
      <c r="S173" s="63" t="s">
        <v>373</v>
      </c>
      <c r="T173" s="63"/>
      <c r="U173" s="63"/>
      <c r="V173" s="59">
        <v>550774.381636568</v>
      </c>
      <c r="W173" s="59">
        <f t="shared" si="79"/>
        <v>0</v>
      </c>
      <c r="X173" s="30">
        <f t="shared" si="72"/>
        <v>0</v>
      </c>
    </row>
    <row r="174" spans="1:24" ht="14.25" customHeight="1" x14ac:dyDescent="0.3">
      <c r="A174" s="113">
        <v>19.18</v>
      </c>
      <c r="B174" s="114" t="s">
        <v>2008</v>
      </c>
      <c r="C174" s="114" t="s">
        <v>376</v>
      </c>
      <c r="D174" s="114" t="s">
        <v>26</v>
      </c>
      <c r="E174" s="115">
        <v>1</v>
      </c>
      <c r="F174" s="64">
        <f>IF(Q174&lt;&gt;"",IFERROR(VLOOKUP(Q174,PARTIDAS!A:P,13,FALSE()),0),0)</f>
        <v>0</v>
      </c>
      <c r="G174" s="65">
        <f>IF(Q174&lt;&gt;"",IFERROR(VLOOKUP(Q174,PARTIDAS!A:P,14,FALSE()),0),0)</f>
        <v>1400000</v>
      </c>
      <c r="H174" s="65">
        <f>IF(Q174&lt;&gt;"",IFERROR(VLOOKUP(Q174,PARTIDAS!A:P,15,FALSE()),0),0)</f>
        <v>0</v>
      </c>
      <c r="I174" s="66">
        <f t="shared" si="73"/>
        <v>1400000</v>
      </c>
      <c r="J174" s="67">
        <f t="shared" si="74"/>
        <v>0</v>
      </c>
      <c r="K174" s="68">
        <f t="shared" si="75"/>
        <v>1400000</v>
      </c>
      <c r="L174" s="68">
        <f t="shared" si="76"/>
        <v>0</v>
      </c>
      <c r="M174" s="69">
        <f t="shared" si="77"/>
        <v>1400000</v>
      </c>
      <c r="N174" s="70">
        <f t="shared" si="78"/>
        <v>1400000</v>
      </c>
      <c r="O174" s="71"/>
      <c r="P174" s="68"/>
      <c r="Q174" s="72" t="s">
        <v>377</v>
      </c>
      <c r="R174" s="72">
        <v>1</v>
      </c>
      <c r="S174" s="72" t="s">
        <v>28</v>
      </c>
      <c r="T174" s="72"/>
      <c r="U174" s="72"/>
      <c r="V174" s="68">
        <v>1400000</v>
      </c>
      <c r="W174" s="68">
        <f t="shared" si="79"/>
        <v>0</v>
      </c>
      <c r="X174" s="30">
        <f t="shared" si="72"/>
        <v>0</v>
      </c>
    </row>
    <row r="175" spans="1:24" ht="14.25" customHeight="1" x14ac:dyDescent="0.3">
      <c r="A175" s="110">
        <v>19.190000000000001</v>
      </c>
      <c r="B175" s="111" t="s">
        <v>2008</v>
      </c>
      <c r="C175" s="111" t="s">
        <v>378</v>
      </c>
      <c r="D175" s="111" t="s">
        <v>26</v>
      </c>
      <c r="E175" s="112">
        <v>1</v>
      </c>
      <c r="F175" s="55">
        <f>IF(Q175&lt;&gt;"",IFERROR(VLOOKUP(Q175,PARTIDAS!A:P,13,FALSE()),0),0)</f>
        <v>0</v>
      </c>
      <c r="G175" s="56">
        <f>IF(Q175&lt;&gt;"",IFERROR(VLOOKUP(Q175,PARTIDAS!A:P,14,FALSE()),0),0)</f>
        <v>1400000</v>
      </c>
      <c r="H175" s="56">
        <f>IF(Q175&lt;&gt;"",IFERROR(VLOOKUP(Q175,PARTIDAS!A:P,15,FALSE()),0),0)</f>
        <v>0</v>
      </c>
      <c r="I175" s="57">
        <f t="shared" si="73"/>
        <v>1400000</v>
      </c>
      <c r="J175" s="58">
        <f t="shared" si="74"/>
        <v>0</v>
      </c>
      <c r="K175" s="59">
        <f t="shared" si="75"/>
        <v>1400000</v>
      </c>
      <c r="L175" s="59">
        <f t="shared" si="76"/>
        <v>0</v>
      </c>
      <c r="M175" s="60">
        <f t="shared" si="77"/>
        <v>1400000</v>
      </c>
      <c r="N175" s="61">
        <f t="shared" si="78"/>
        <v>1400000</v>
      </c>
      <c r="O175" s="62"/>
      <c r="P175" s="59"/>
      <c r="Q175" s="63" t="s">
        <v>379</v>
      </c>
      <c r="R175" s="63">
        <v>1</v>
      </c>
      <c r="S175" s="63" t="s">
        <v>28</v>
      </c>
      <c r="T175" s="63"/>
      <c r="U175" s="63"/>
      <c r="V175" s="59">
        <v>1400000</v>
      </c>
      <c r="W175" s="59">
        <f t="shared" si="79"/>
        <v>0</v>
      </c>
      <c r="X175" s="30">
        <f t="shared" si="72"/>
        <v>0</v>
      </c>
    </row>
    <row r="176" spans="1:24" ht="14.25" customHeight="1" x14ac:dyDescent="0.3">
      <c r="A176" s="116">
        <v>20</v>
      </c>
      <c r="B176" s="108"/>
      <c r="C176" s="108" t="s">
        <v>2009</v>
      </c>
      <c r="D176" s="108"/>
      <c r="E176" s="109"/>
      <c r="F176" s="73"/>
      <c r="G176" s="74"/>
      <c r="H176" s="74"/>
      <c r="I176" s="75"/>
      <c r="J176" s="76"/>
      <c r="K176" s="54"/>
      <c r="L176" s="54"/>
      <c r="M176" s="77"/>
      <c r="N176" s="78"/>
      <c r="O176" s="53">
        <f>SUM(M177:M178)</f>
        <v>9200000</v>
      </c>
      <c r="P176" s="54">
        <f>SUM(N177:N178)</f>
        <v>9200000</v>
      </c>
      <c r="Q176" s="46"/>
      <c r="R176" s="46"/>
      <c r="S176" s="46"/>
      <c r="T176" s="46"/>
      <c r="U176" s="46"/>
      <c r="V176" s="54"/>
      <c r="W176" s="54"/>
      <c r="X176" s="30">
        <f t="shared" si="72"/>
        <v>0</v>
      </c>
    </row>
    <row r="177" spans="1:24" ht="14.25" customHeight="1" x14ac:dyDescent="0.3">
      <c r="A177" s="110">
        <v>20.010000000000002</v>
      </c>
      <c r="B177" s="111" t="s">
        <v>2009</v>
      </c>
      <c r="C177" s="111" t="s">
        <v>380</v>
      </c>
      <c r="D177" s="111" t="s">
        <v>98</v>
      </c>
      <c r="E177" s="112">
        <v>40</v>
      </c>
      <c r="F177" s="55">
        <f>IF(Q177&lt;&gt;"",IFERROR(VLOOKUP(Q177,PARTIDAS!A:P,13,FALSE()),0),0)</f>
        <v>0</v>
      </c>
      <c r="G177" s="56">
        <f>IF(Q177&lt;&gt;"",IFERROR(VLOOKUP(Q177,PARTIDAS!A:P,14,FALSE()),0),0)</f>
        <v>230000</v>
      </c>
      <c r="H177" s="56">
        <f>IF(Q177&lt;&gt;"",IFERROR(VLOOKUP(Q177,PARTIDAS!A:P,15,FALSE()),0),0)</f>
        <v>0</v>
      </c>
      <c r="I177" s="57">
        <f>F177+G177+H177</f>
        <v>230000</v>
      </c>
      <c r="J177" s="58">
        <f>F177*E177</f>
        <v>0</v>
      </c>
      <c r="K177" s="59">
        <f>G177*E177</f>
        <v>9200000</v>
      </c>
      <c r="L177" s="59">
        <f>H177*E177</f>
        <v>0</v>
      </c>
      <c r="M177" s="60">
        <f>I177*E177</f>
        <v>9200000</v>
      </c>
      <c r="N177" s="61">
        <f>M177*$N$2</f>
        <v>9200000</v>
      </c>
      <c r="O177" s="62"/>
      <c r="P177" s="59"/>
      <c r="Q177" s="63" t="s">
        <v>381</v>
      </c>
      <c r="R177" s="63">
        <v>1</v>
      </c>
      <c r="S177" s="63" t="s">
        <v>28</v>
      </c>
      <c r="T177" s="63"/>
      <c r="U177" s="63"/>
      <c r="V177" s="59">
        <v>19100000</v>
      </c>
      <c r="W177" s="59">
        <f>M177-V177</f>
        <v>-9900000</v>
      </c>
      <c r="X177" s="30">
        <f t="shared" si="72"/>
        <v>-0.51832460732984298</v>
      </c>
    </row>
    <row r="178" spans="1:24" ht="14.25" customHeight="1" x14ac:dyDescent="0.3">
      <c r="A178" s="113">
        <v>20.02</v>
      </c>
      <c r="B178" s="114" t="s">
        <v>2009</v>
      </c>
      <c r="C178" s="114" t="s">
        <v>382</v>
      </c>
      <c r="D178" s="114" t="s">
        <v>98</v>
      </c>
      <c r="E178" s="115">
        <v>0</v>
      </c>
      <c r="F178" s="64">
        <f>IF(Q178&lt;&gt;"",IFERROR(VLOOKUP(Q178,PARTIDAS!A:P,13,FALSE()),0),0)</f>
        <v>0</v>
      </c>
      <c r="G178" s="65">
        <f>IF(Q178&lt;&gt;"",IFERROR(VLOOKUP(Q178,PARTIDAS!A:P,14,FALSE()),0),0)</f>
        <v>0</v>
      </c>
      <c r="H178" s="65">
        <f>IF(Q178&lt;&gt;"",IFERROR(VLOOKUP(Q178,PARTIDAS!A:P,15,FALSE()),0),0)</f>
        <v>0</v>
      </c>
      <c r="I178" s="66">
        <f>F178+G178+H178</f>
        <v>0</v>
      </c>
      <c r="J178" s="67">
        <f>F178*E178</f>
        <v>0</v>
      </c>
      <c r="K178" s="68">
        <f>G178*E178</f>
        <v>0</v>
      </c>
      <c r="L178" s="68">
        <f>H178*E178</f>
        <v>0</v>
      </c>
      <c r="M178" s="69">
        <f>I178*E178</f>
        <v>0</v>
      </c>
      <c r="N178" s="70">
        <f>M178*$N$2</f>
        <v>0</v>
      </c>
      <c r="O178" s="71"/>
      <c r="P178" s="68"/>
      <c r="Q178" s="72" t="s">
        <v>383</v>
      </c>
      <c r="R178" s="72">
        <v>1</v>
      </c>
      <c r="S178" s="72" t="s">
        <v>28</v>
      </c>
      <c r="T178" s="72"/>
      <c r="U178" s="72"/>
      <c r="V178" s="68">
        <v>0</v>
      </c>
      <c r="W178" s="68">
        <f>M178-V178</f>
        <v>0</v>
      </c>
      <c r="X178" s="30">
        <f t="shared" si="72"/>
        <v>0</v>
      </c>
    </row>
    <row r="179" spans="1:24" ht="14.25" customHeight="1" x14ac:dyDescent="0.3">
      <c r="A179" s="116">
        <v>21</v>
      </c>
      <c r="B179" s="108"/>
      <c r="C179" s="108" t="s">
        <v>2031</v>
      </c>
      <c r="D179" s="108"/>
      <c r="E179" s="109"/>
      <c r="F179" s="73"/>
      <c r="G179" s="74"/>
      <c r="H179" s="74"/>
      <c r="I179" s="75"/>
      <c r="J179" s="76"/>
      <c r="K179" s="54"/>
      <c r="L179" s="54"/>
      <c r="M179" s="77"/>
      <c r="N179" s="78"/>
      <c r="O179" s="53"/>
      <c r="P179" s="54"/>
      <c r="Q179" s="46"/>
      <c r="R179" s="46"/>
      <c r="S179" s="46"/>
      <c r="T179" s="46"/>
      <c r="U179" s="46"/>
      <c r="V179" s="54"/>
      <c r="W179" s="54"/>
      <c r="X179" s="30">
        <f t="shared" si="72"/>
        <v>0</v>
      </c>
    </row>
    <row r="180" spans="1:24" ht="14.25" customHeight="1" x14ac:dyDescent="0.3">
      <c r="A180" s="113">
        <v>21.01</v>
      </c>
      <c r="B180" s="114" t="s">
        <v>2031</v>
      </c>
      <c r="C180" s="114" t="s">
        <v>384</v>
      </c>
      <c r="D180" s="114" t="s">
        <v>26</v>
      </c>
      <c r="E180" s="115">
        <v>0</v>
      </c>
      <c r="F180" s="64">
        <f>IF(Q180&lt;&gt;"",IFERROR(VLOOKUP(Q180,PARTIDAS!A:P,13,FALSE()),0),0)</f>
        <v>0</v>
      </c>
      <c r="G180" s="65">
        <f>IF(Q180&lt;&gt;"",IFERROR(VLOOKUP(Q180,PARTIDAS!A:P,14,FALSE()),0),0)</f>
        <v>0</v>
      </c>
      <c r="H180" s="65">
        <f>IF(Q180&lt;&gt;"",IFERROR(VLOOKUP(Q180,PARTIDAS!A:P,15,FALSE()),0),0)</f>
        <v>0</v>
      </c>
      <c r="I180" s="66">
        <f>F180+G180+H180</f>
        <v>0</v>
      </c>
      <c r="J180" s="67">
        <f>F180*E180</f>
        <v>0</v>
      </c>
      <c r="K180" s="68">
        <f>G180*E180</f>
        <v>0</v>
      </c>
      <c r="L180" s="68">
        <f>H180*E180</f>
        <v>0</v>
      </c>
      <c r="M180" s="69">
        <f>I180*E180</f>
        <v>0</v>
      </c>
      <c r="N180" s="70">
        <f>M180*$N$2</f>
        <v>0</v>
      </c>
      <c r="O180" s="71"/>
      <c r="P180" s="68"/>
      <c r="Q180" s="72" t="s">
        <v>385</v>
      </c>
      <c r="R180" s="72">
        <v>1</v>
      </c>
      <c r="S180" s="72" t="s">
        <v>28</v>
      </c>
      <c r="T180" s="72"/>
      <c r="U180" s="72"/>
      <c r="V180" s="68">
        <v>0</v>
      </c>
      <c r="W180" s="68">
        <f>M180-V180</f>
        <v>0</v>
      </c>
      <c r="X180" s="30">
        <f t="shared" si="72"/>
        <v>0</v>
      </c>
    </row>
    <row r="181" spans="1:24" ht="14.25" customHeight="1" x14ac:dyDescent="0.3">
      <c r="A181" s="116">
        <v>22</v>
      </c>
      <c r="B181" s="108"/>
      <c r="C181" s="108" t="s">
        <v>2010</v>
      </c>
      <c r="D181" s="108"/>
      <c r="E181" s="109"/>
      <c r="F181" s="73"/>
      <c r="G181" s="74"/>
      <c r="H181" s="74"/>
      <c r="I181" s="75"/>
      <c r="J181" s="76"/>
      <c r="K181" s="54"/>
      <c r="L181" s="54"/>
      <c r="M181" s="77"/>
      <c r="N181" s="78"/>
      <c r="O181" s="53">
        <f>SUM(M182:M183)</f>
        <v>2977500</v>
      </c>
      <c r="P181" s="54">
        <f>SUM(N182:N183)</f>
        <v>2977500</v>
      </c>
      <c r="Q181" s="46"/>
      <c r="R181" s="46"/>
      <c r="S181" s="46"/>
      <c r="T181" s="46"/>
      <c r="U181" s="46"/>
      <c r="V181" s="54"/>
      <c r="W181" s="54"/>
      <c r="X181" s="30">
        <f t="shared" si="72"/>
        <v>0</v>
      </c>
    </row>
    <row r="182" spans="1:24" ht="14.25" customHeight="1" x14ac:dyDescent="0.3">
      <c r="A182" s="113">
        <v>22.01</v>
      </c>
      <c r="B182" s="114" t="s">
        <v>2010</v>
      </c>
      <c r="C182" s="114" t="s">
        <v>386</v>
      </c>
      <c r="D182" s="114" t="s">
        <v>98</v>
      </c>
      <c r="E182" s="115">
        <v>50</v>
      </c>
      <c r="F182" s="64">
        <f>IF(Q182&lt;&gt;"",IFERROR(VLOOKUP(Q182,PARTIDAS!A:P,13,FALSE()),0),0)</f>
        <v>0</v>
      </c>
      <c r="G182" s="65">
        <f>IF(Q182&lt;&gt;"",IFERROR(VLOOKUP(Q182,PARTIDAS!A:P,14,FALSE()),0),0)</f>
        <v>59550</v>
      </c>
      <c r="H182" s="65">
        <f>IF(Q182&lt;&gt;"",IFERROR(VLOOKUP(Q182,PARTIDAS!A:P,15,FALSE()),0),0)</f>
        <v>0</v>
      </c>
      <c r="I182" s="66">
        <f>F182+G182+H182</f>
        <v>59550</v>
      </c>
      <c r="J182" s="67">
        <f>F182*E182</f>
        <v>0</v>
      </c>
      <c r="K182" s="68">
        <f>G182*E182</f>
        <v>2977500</v>
      </c>
      <c r="L182" s="68">
        <f>H182*E182</f>
        <v>0</v>
      </c>
      <c r="M182" s="69">
        <f>I182*E182</f>
        <v>2977500</v>
      </c>
      <c r="N182" s="70">
        <f>M182*$N$2</f>
        <v>2977500</v>
      </c>
      <c r="O182" s="71"/>
      <c r="P182" s="68"/>
      <c r="Q182" s="72" t="s">
        <v>387</v>
      </c>
      <c r="R182" s="72">
        <v>1</v>
      </c>
      <c r="S182" s="72" t="s">
        <v>28</v>
      </c>
      <c r="T182" s="72"/>
      <c r="U182" s="72"/>
      <c r="V182" s="68">
        <v>2977500</v>
      </c>
      <c r="W182" s="68">
        <f>M182-V182</f>
        <v>0</v>
      </c>
      <c r="X182" s="30">
        <f t="shared" si="72"/>
        <v>0</v>
      </c>
    </row>
    <row r="183" spans="1:24" ht="14.25" customHeight="1" x14ac:dyDescent="0.3">
      <c r="A183" s="110">
        <v>22.02</v>
      </c>
      <c r="B183" s="111" t="s">
        <v>2010</v>
      </c>
      <c r="C183" s="111" t="s">
        <v>388</v>
      </c>
      <c r="D183" s="111" t="s">
        <v>98</v>
      </c>
      <c r="E183" s="112">
        <v>0</v>
      </c>
      <c r="F183" s="55">
        <f>IF(Q183&lt;&gt;"",IFERROR(VLOOKUP(Q183,PARTIDAS!A:P,13,FALSE()),0),0)</f>
        <v>0</v>
      </c>
      <c r="G183" s="56">
        <f>IF(Q183&lt;&gt;"",IFERROR(VLOOKUP(Q183,PARTIDAS!A:P,14,FALSE()),0),0)</f>
        <v>0</v>
      </c>
      <c r="H183" s="56">
        <f>IF(Q183&lt;&gt;"",IFERROR(VLOOKUP(Q183,PARTIDAS!A:P,15,FALSE()),0),0)</f>
        <v>0</v>
      </c>
      <c r="I183" s="57">
        <f>F183+G183+H183</f>
        <v>0</v>
      </c>
      <c r="J183" s="58">
        <f>F183*E183</f>
        <v>0</v>
      </c>
      <c r="K183" s="59">
        <f>G183*E183</f>
        <v>0</v>
      </c>
      <c r="L183" s="59">
        <f>H183*E183</f>
        <v>0</v>
      </c>
      <c r="M183" s="60">
        <f>I183*E183</f>
        <v>0</v>
      </c>
      <c r="N183" s="61">
        <f>M183*$N$2</f>
        <v>0</v>
      </c>
      <c r="O183" s="62"/>
      <c r="P183" s="59"/>
      <c r="Q183" s="63" t="s">
        <v>389</v>
      </c>
      <c r="R183" s="63">
        <v>1</v>
      </c>
      <c r="S183" s="63" t="s">
        <v>28</v>
      </c>
      <c r="T183" s="63"/>
      <c r="U183" s="63"/>
      <c r="V183" s="59">
        <v>0</v>
      </c>
      <c r="W183" s="59">
        <f>M183-V183</f>
        <v>0</v>
      </c>
      <c r="X183" s="30">
        <f t="shared" si="72"/>
        <v>0</v>
      </c>
    </row>
    <row r="184" spans="1:24" ht="14.25" customHeight="1" x14ac:dyDescent="0.3">
      <c r="A184" s="116">
        <v>23</v>
      </c>
      <c r="B184" s="108"/>
      <c r="C184" s="108" t="s">
        <v>2011</v>
      </c>
      <c r="D184" s="108"/>
      <c r="E184" s="109"/>
      <c r="F184" s="73"/>
      <c r="G184" s="74"/>
      <c r="H184" s="74"/>
      <c r="I184" s="75"/>
      <c r="J184" s="76"/>
      <c r="K184" s="54"/>
      <c r="L184" s="54"/>
      <c r="M184" s="77"/>
      <c r="N184" s="78"/>
      <c r="O184" s="53"/>
      <c r="P184" s="54"/>
      <c r="Q184" s="46"/>
      <c r="R184" s="46"/>
      <c r="S184" s="46"/>
      <c r="T184" s="46"/>
      <c r="U184" s="46"/>
      <c r="V184" s="54"/>
      <c r="W184" s="54"/>
      <c r="X184" s="30">
        <f t="shared" si="72"/>
        <v>0</v>
      </c>
    </row>
    <row r="185" spans="1:24" ht="14.25" customHeight="1" x14ac:dyDescent="0.3">
      <c r="A185" s="110">
        <v>23.01</v>
      </c>
      <c r="B185" s="111" t="s">
        <v>2011</v>
      </c>
      <c r="C185" s="111" t="s">
        <v>391</v>
      </c>
      <c r="D185" s="111" t="s">
        <v>98</v>
      </c>
      <c r="E185" s="112">
        <v>8</v>
      </c>
      <c r="F185" s="55">
        <f>IF(Q185&lt;&gt;"",IFERROR(VLOOKUP(Q185,PARTIDAS!A:P,13,FALSE()),0),0)</f>
        <v>25000</v>
      </c>
      <c r="G185" s="56">
        <f>IF(Q185&lt;&gt;"",IFERROR(VLOOKUP(Q185,PARTIDAS!A:P,14,FALSE()),0),0)</f>
        <v>170902.36265989588</v>
      </c>
      <c r="H185" s="56">
        <f>IF(Q185&lt;&gt;"",IFERROR(VLOOKUP(Q185,PARTIDAS!A:P,15,FALSE()),0),0)</f>
        <v>2938.53543989844</v>
      </c>
      <c r="I185" s="57">
        <f>F185+G185+H185</f>
        <v>198840.89809979431</v>
      </c>
      <c r="J185" s="58">
        <f>F185*E185</f>
        <v>200000</v>
      </c>
      <c r="K185" s="59">
        <f>G185*E185</f>
        <v>1367218.901279167</v>
      </c>
      <c r="L185" s="59">
        <f>H185*E185</f>
        <v>23508.28351918752</v>
      </c>
      <c r="M185" s="60">
        <f>I185*E185</f>
        <v>1590727.1847983545</v>
      </c>
      <c r="N185" s="61">
        <f>M185*$N$2</f>
        <v>1590727.1847983545</v>
      </c>
      <c r="O185" s="62"/>
      <c r="P185" s="59"/>
      <c r="Q185" s="63" t="s">
        <v>392</v>
      </c>
      <c r="R185" s="63">
        <v>1</v>
      </c>
      <c r="S185" s="63" t="s">
        <v>32</v>
      </c>
      <c r="T185" s="63"/>
      <c r="U185" s="63"/>
      <c r="V185" s="59">
        <v>1590727.1847983501</v>
      </c>
      <c r="W185" s="59">
        <f>M185-V185</f>
        <v>4.4237822294235229E-9</v>
      </c>
      <c r="X185" s="30">
        <f t="shared" si="72"/>
        <v>2.7809810957523227E-15</v>
      </c>
    </row>
    <row r="186" spans="1:24" ht="14.25" customHeight="1" x14ac:dyDescent="0.3">
      <c r="A186" s="113">
        <v>23.02</v>
      </c>
      <c r="B186" s="114" t="s">
        <v>2011</v>
      </c>
      <c r="C186" s="114" t="s">
        <v>393</v>
      </c>
      <c r="D186" s="114" t="s">
        <v>26</v>
      </c>
      <c r="E186" s="115">
        <v>1</v>
      </c>
      <c r="F186" s="64">
        <f>IF(Q186&lt;&gt;"",IFERROR(VLOOKUP(Q186,PARTIDAS!A:P,13,FALSE()),0),0)</f>
        <v>60000</v>
      </c>
      <c r="G186" s="65">
        <f>IF(Q186&lt;&gt;"",IFERROR(VLOOKUP(Q186,PARTIDAS!A:P,14,FALSE()),0),0)</f>
        <v>383392.16194101813</v>
      </c>
      <c r="H186" s="65">
        <f>IF(Q186&lt;&gt;"",IFERROR(VLOOKUP(Q186,PARTIDAS!A:P,15,FALSE()),0),0)</f>
        <v>6650.8824291152696</v>
      </c>
      <c r="I186" s="66">
        <f>F186+G186+H186</f>
        <v>450043.04437013337</v>
      </c>
      <c r="J186" s="67">
        <f>F186*E186</f>
        <v>60000</v>
      </c>
      <c r="K186" s="68">
        <f>G186*E186</f>
        <v>383392.16194101813</v>
      </c>
      <c r="L186" s="68">
        <f>H186*E186</f>
        <v>6650.8824291152696</v>
      </c>
      <c r="M186" s="69">
        <f>I186*E186</f>
        <v>450043.04437013337</v>
      </c>
      <c r="N186" s="70">
        <f>M186*$N$2</f>
        <v>450043.04437013337</v>
      </c>
      <c r="O186" s="71"/>
      <c r="P186" s="68"/>
      <c r="Q186" s="72" t="s">
        <v>394</v>
      </c>
      <c r="R186" s="72">
        <v>1</v>
      </c>
      <c r="S186" s="72" t="s">
        <v>32</v>
      </c>
      <c r="T186" s="72"/>
      <c r="U186" s="72"/>
      <c r="V186" s="68">
        <v>450043.04437013302</v>
      </c>
      <c r="W186" s="68">
        <f>M186-V186</f>
        <v>0</v>
      </c>
      <c r="X186" s="30">
        <f t="shared" si="72"/>
        <v>0</v>
      </c>
    </row>
    <row r="187" spans="1:24" ht="14.25" customHeight="1" x14ac:dyDescent="0.3">
      <c r="A187" s="110">
        <v>23.03</v>
      </c>
      <c r="B187" s="111" t="s">
        <v>2011</v>
      </c>
      <c r="C187" s="111" t="s">
        <v>395</v>
      </c>
      <c r="D187" s="111" t="s">
        <v>26</v>
      </c>
      <c r="E187" s="112">
        <v>1</v>
      </c>
      <c r="F187" s="55">
        <f>IF(Q187&lt;&gt;"",IFERROR(VLOOKUP(Q187,PARTIDAS!A:P,13,FALSE()),0),0)</f>
        <v>0</v>
      </c>
      <c r="G187" s="56">
        <f>IF(Q187&lt;&gt;"",IFERROR(VLOOKUP(Q187,PARTIDAS!A:P,14,FALSE()),0),0)</f>
        <v>2357500</v>
      </c>
      <c r="H187" s="56">
        <f>IF(Q187&lt;&gt;"",IFERROR(VLOOKUP(Q187,PARTIDAS!A:P,15,FALSE()),0),0)</f>
        <v>35362.5</v>
      </c>
      <c r="I187" s="57">
        <f>F187+G187+H187</f>
        <v>2392862.5</v>
      </c>
      <c r="J187" s="58">
        <f>F187*E187</f>
        <v>0</v>
      </c>
      <c r="K187" s="59">
        <f>G187*E187</f>
        <v>2357500</v>
      </c>
      <c r="L187" s="59">
        <f>H187*E187</f>
        <v>35362.5</v>
      </c>
      <c r="M187" s="60">
        <f>I187*E187</f>
        <v>2392862.5</v>
      </c>
      <c r="N187" s="61">
        <f>M187*$N$2</f>
        <v>2392862.5</v>
      </c>
      <c r="O187" s="62"/>
      <c r="P187" s="59"/>
      <c r="Q187" s="63" t="s">
        <v>396</v>
      </c>
      <c r="R187" s="63">
        <v>1</v>
      </c>
      <c r="S187" s="63" t="s">
        <v>32</v>
      </c>
      <c r="T187" s="63"/>
      <c r="U187" s="63"/>
      <c r="V187" s="59">
        <v>2392862.5</v>
      </c>
      <c r="W187" s="59">
        <f>M187-V187</f>
        <v>0</v>
      </c>
      <c r="X187" s="30">
        <f t="shared" si="72"/>
        <v>0</v>
      </c>
    </row>
    <row r="188" spans="1:24" ht="14.25" customHeight="1" x14ac:dyDescent="0.3">
      <c r="A188" s="116">
        <v>24</v>
      </c>
      <c r="B188" s="108"/>
      <c r="C188" s="108" t="s">
        <v>2012</v>
      </c>
      <c r="D188" s="108"/>
      <c r="E188" s="109"/>
      <c r="F188" s="73"/>
      <c r="G188" s="74"/>
      <c r="H188" s="74"/>
      <c r="I188" s="75"/>
      <c r="J188" s="76"/>
      <c r="K188" s="54"/>
      <c r="L188" s="54"/>
      <c r="M188" s="77"/>
      <c r="N188" s="78"/>
      <c r="O188" s="53">
        <f>SUM(M189:M197)</f>
        <v>73947208.483023062</v>
      </c>
      <c r="P188" s="54">
        <f>SUM(N189:N197)</f>
        <v>73947208.483023062</v>
      </c>
      <c r="Q188" s="46"/>
      <c r="R188" s="46"/>
      <c r="S188" s="46"/>
      <c r="T188" s="46"/>
      <c r="U188" s="46"/>
      <c r="V188" s="54"/>
      <c r="W188" s="54"/>
      <c r="X188" s="30">
        <f t="shared" si="72"/>
        <v>0</v>
      </c>
    </row>
    <row r="189" spans="1:24" ht="14.25" customHeight="1" x14ac:dyDescent="0.3">
      <c r="A189" s="110">
        <v>24.01</v>
      </c>
      <c r="B189" s="111" t="s">
        <v>2012</v>
      </c>
      <c r="C189" s="111" t="s">
        <v>397</v>
      </c>
      <c r="D189" s="111" t="s">
        <v>41</v>
      </c>
      <c r="E189" s="112">
        <v>19</v>
      </c>
      <c r="F189" s="55">
        <f>IF(Q189&lt;&gt;"",IFERROR(VLOOKUP(Q189,PARTIDAS!A:P,13,FALSE()),0),0)</f>
        <v>0</v>
      </c>
      <c r="G189" s="56">
        <f>IF(Q189&lt;&gt;"",IFERROR(VLOOKUP(Q189,PARTIDAS!A:P,14,FALSE()),0),0)</f>
        <v>806885.98632321204</v>
      </c>
      <c r="H189" s="56">
        <f>IF(Q189&lt;&gt;"",IFERROR(VLOOKUP(Q189,PARTIDAS!A:P,15,FALSE()),0),0)</f>
        <v>0</v>
      </c>
      <c r="I189" s="57">
        <f t="shared" ref="I189:I197" si="80">F189+G189+H189</f>
        <v>806885.98632321204</v>
      </c>
      <c r="J189" s="58">
        <f t="shared" ref="J189:J197" si="81">F189*E189</f>
        <v>0</v>
      </c>
      <c r="K189" s="59">
        <f t="shared" ref="K189:K197" si="82">G189*E189</f>
        <v>15330833.740141029</v>
      </c>
      <c r="L189" s="59">
        <f t="shared" ref="L189:L197" si="83">H189*E189</f>
        <v>0</v>
      </c>
      <c r="M189" s="60">
        <f t="shared" ref="M189:M197" si="84">I189*E189</f>
        <v>15330833.740141029</v>
      </c>
      <c r="N189" s="61">
        <f t="shared" ref="N189:N197" si="85">M189*$N$2</f>
        <v>15330833.740141029</v>
      </c>
      <c r="O189" s="62"/>
      <c r="P189" s="59"/>
      <c r="Q189" s="63" t="s">
        <v>398</v>
      </c>
      <c r="R189" s="63">
        <v>1</v>
      </c>
      <c r="S189" s="63" t="s">
        <v>399</v>
      </c>
      <c r="T189" s="63"/>
      <c r="U189" s="63"/>
      <c r="V189" s="59">
        <v>15330833.740141001</v>
      </c>
      <c r="W189" s="59">
        <f t="shared" ref="W189:W197" si="86">M189-V189</f>
        <v>2.7939677238464355E-8</v>
      </c>
      <c r="X189" s="30">
        <f t="shared" si="72"/>
        <v>1.8224499536062014E-15</v>
      </c>
    </row>
    <row r="190" spans="1:24" ht="14.25" customHeight="1" x14ac:dyDescent="0.3">
      <c r="A190" s="113">
        <v>24.02</v>
      </c>
      <c r="B190" s="114" t="s">
        <v>2012</v>
      </c>
      <c r="C190" s="114" t="s">
        <v>400</v>
      </c>
      <c r="D190" s="114" t="s">
        <v>41</v>
      </c>
      <c r="E190" s="115">
        <v>1</v>
      </c>
      <c r="F190" s="64">
        <f>IF(Q190&lt;&gt;"",IFERROR(VLOOKUP(Q190,PARTIDAS!A:P,13,FALSE()),0),0)</f>
        <v>0</v>
      </c>
      <c r="G190" s="65">
        <f>IF(Q190&lt;&gt;"",IFERROR(VLOOKUP(Q190,PARTIDAS!A:P,14,FALSE()),0),0)</f>
        <v>1623254.46014153</v>
      </c>
      <c r="H190" s="65">
        <f>IF(Q190&lt;&gt;"",IFERROR(VLOOKUP(Q190,PARTIDAS!A:P,15,FALSE()),0),0)</f>
        <v>0</v>
      </c>
      <c r="I190" s="66">
        <f t="shared" si="80"/>
        <v>1623254.46014153</v>
      </c>
      <c r="J190" s="67">
        <f t="shared" si="81"/>
        <v>0</v>
      </c>
      <c r="K190" s="68">
        <f t="shared" si="82"/>
        <v>1623254.46014153</v>
      </c>
      <c r="L190" s="68">
        <f t="shared" si="83"/>
        <v>0</v>
      </c>
      <c r="M190" s="69">
        <f t="shared" si="84"/>
        <v>1623254.46014153</v>
      </c>
      <c r="N190" s="70">
        <f t="shared" si="85"/>
        <v>1623254.46014153</v>
      </c>
      <c r="O190" s="71"/>
      <c r="P190" s="68"/>
      <c r="Q190" s="72" t="s">
        <v>401</v>
      </c>
      <c r="R190" s="72">
        <v>1</v>
      </c>
      <c r="S190" s="72" t="s">
        <v>399</v>
      </c>
      <c r="T190" s="72"/>
      <c r="U190" s="72"/>
      <c r="V190" s="68">
        <v>1623254.46014153</v>
      </c>
      <c r="W190" s="68">
        <f t="shared" si="86"/>
        <v>0</v>
      </c>
      <c r="X190" s="30">
        <f t="shared" si="72"/>
        <v>0</v>
      </c>
    </row>
    <row r="191" spans="1:24" ht="14.25" customHeight="1" x14ac:dyDescent="0.3">
      <c r="A191" s="110">
        <v>24.03</v>
      </c>
      <c r="B191" s="111" t="s">
        <v>2012</v>
      </c>
      <c r="C191" s="111" t="s">
        <v>402</v>
      </c>
      <c r="D191" s="111" t="s">
        <v>41</v>
      </c>
      <c r="E191" s="112">
        <v>19</v>
      </c>
      <c r="F191" s="55">
        <f>IF(Q191&lt;&gt;"",IFERROR(VLOOKUP(Q191,PARTIDAS!A:P,13,FALSE()),0),0)</f>
        <v>0</v>
      </c>
      <c r="G191" s="56">
        <f>IF(Q191&lt;&gt;"",IFERROR(VLOOKUP(Q191,PARTIDAS!A:P,14,FALSE()),0),0)</f>
        <v>300000</v>
      </c>
      <c r="H191" s="56">
        <f>IF(Q191&lt;&gt;"",IFERROR(VLOOKUP(Q191,PARTIDAS!A:P,15,FALSE()),0),0)</f>
        <v>0</v>
      </c>
      <c r="I191" s="57">
        <f t="shared" si="80"/>
        <v>300000</v>
      </c>
      <c r="J191" s="58">
        <f t="shared" si="81"/>
        <v>0</v>
      </c>
      <c r="K191" s="59">
        <f t="shared" si="82"/>
        <v>5700000</v>
      </c>
      <c r="L191" s="59">
        <f t="shared" si="83"/>
        <v>0</v>
      </c>
      <c r="M191" s="60">
        <f t="shared" si="84"/>
        <v>5700000</v>
      </c>
      <c r="N191" s="61">
        <f t="shared" si="85"/>
        <v>5700000</v>
      </c>
      <c r="O191" s="62"/>
      <c r="P191" s="59"/>
      <c r="Q191" s="63" t="s">
        <v>403</v>
      </c>
      <c r="R191" s="63">
        <v>1</v>
      </c>
      <c r="S191" s="63" t="s">
        <v>399</v>
      </c>
      <c r="T191" s="63"/>
      <c r="U191" s="63"/>
      <c r="V191" s="59">
        <v>5700000</v>
      </c>
      <c r="W191" s="59">
        <f t="shared" si="86"/>
        <v>0</v>
      </c>
      <c r="X191" s="30">
        <f t="shared" si="72"/>
        <v>0</v>
      </c>
    </row>
    <row r="192" spans="1:24" ht="14.25" customHeight="1" x14ac:dyDescent="0.3">
      <c r="A192" s="113">
        <v>24.04</v>
      </c>
      <c r="B192" s="114" t="s">
        <v>2012</v>
      </c>
      <c r="C192" s="114" t="s">
        <v>404</v>
      </c>
      <c r="D192" s="114" t="s">
        <v>26</v>
      </c>
      <c r="E192" s="115">
        <v>1</v>
      </c>
      <c r="F192" s="64">
        <f>IF(Q192&lt;&gt;"",IFERROR(VLOOKUP(Q192,PARTIDAS!A:P,13,FALSE()),0),0)</f>
        <v>4076935.9416666711</v>
      </c>
      <c r="G192" s="65">
        <f>IF(Q192&lt;&gt;"",IFERROR(VLOOKUP(Q192,PARTIDAS!A:P,14,FALSE()),0),0)</f>
        <v>5599453.4722428042</v>
      </c>
      <c r="H192" s="65">
        <f>IF(Q192&lt;&gt;"",IFERROR(VLOOKUP(Q192,PARTIDAS!A:P,15,FALSE()),0),0)</f>
        <v>145145.841208642</v>
      </c>
      <c r="I192" s="66">
        <f t="shared" si="80"/>
        <v>9821535.2551181186</v>
      </c>
      <c r="J192" s="67">
        <f t="shared" si="81"/>
        <v>4076935.9416666711</v>
      </c>
      <c r="K192" s="68">
        <f t="shared" si="82"/>
        <v>5599453.4722428042</v>
      </c>
      <c r="L192" s="68">
        <f t="shared" si="83"/>
        <v>145145.841208642</v>
      </c>
      <c r="M192" s="69">
        <f t="shared" si="84"/>
        <v>9821535.2551181186</v>
      </c>
      <c r="N192" s="70">
        <f t="shared" si="85"/>
        <v>9821535.2551181186</v>
      </c>
      <c r="O192" s="71"/>
      <c r="P192" s="68"/>
      <c r="Q192" s="72" t="s">
        <v>405</v>
      </c>
      <c r="R192" s="72">
        <v>1</v>
      </c>
      <c r="S192" s="72" t="s">
        <v>32</v>
      </c>
      <c r="T192" s="72"/>
      <c r="U192" s="72"/>
      <c r="V192" s="68">
        <v>9821535.2551181205</v>
      </c>
      <c r="W192" s="68">
        <f t="shared" si="86"/>
        <v>0</v>
      </c>
      <c r="X192" s="30">
        <f t="shared" si="72"/>
        <v>0</v>
      </c>
    </row>
    <row r="193" spans="1:24" ht="14.25" customHeight="1" x14ac:dyDescent="0.3">
      <c r="A193" s="110">
        <v>24.05</v>
      </c>
      <c r="B193" s="111" t="s">
        <v>2012</v>
      </c>
      <c r="C193" s="111" t="s">
        <v>406</v>
      </c>
      <c r="D193" s="111" t="s">
        <v>41</v>
      </c>
      <c r="E193" s="112">
        <v>19</v>
      </c>
      <c r="F193" s="55">
        <f>IF(Q193&lt;&gt;"",IFERROR(VLOOKUP(Q193,PARTIDAS!A:P,13,FALSE()),0),0)</f>
        <v>50000</v>
      </c>
      <c r="G193" s="56">
        <f>IF(Q193&lt;&gt;"",IFERROR(VLOOKUP(Q193,PARTIDAS!A:P,14,FALSE()),0),0)</f>
        <v>657280.53129030485</v>
      </c>
      <c r="H193" s="56">
        <f>IF(Q193&lt;&gt;"",IFERROR(VLOOKUP(Q193,PARTIDAS!A:P,15,FALSE()),0),0)</f>
        <v>10609.2079693546</v>
      </c>
      <c r="I193" s="57">
        <f t="shared" si="80"/>
        <v>717889.73925965943</v>
      </c>
      <c r="J193" s="58">
        <f t="shared" si="81"/>
        <v>950000</v>
      </c>
      <c r="K193" s="59">
        <f t="shared" si="82"/>
        <v>12488330.094515793</v>
      </c>
      <c r="L193" s="59">
        <f t="shared" si="83"/>
        <v>201574.95141773741</v>
      </c>
      <c r="M193" s="60">
        <f t="shared" si="84"/>
        <v>13639905.04593353</v>
      </c>
      <c r="N193" s="61">
        <f t="shared" si="85"/>
        <v>13639905.04593353</v>
      </c>
      <c r="O193" s="62"/>
      <c r="P193" s="59"/>
      <c r="Q193" s="63" t="s">
        <v>407</v>
      </c>
      <c r="R193" s="63">
        <v>1</v>
      </c>
      <c r="S193" s="63" t="s">
        <v>32</v>
      </c>
      <c r="T193" s="63"/>
      <c r="U193" s="63"/>
      <c r="V193" s="59">
        <v>13639905.0459335</v>
      </c>
      <c r="W193" s="59">
        <f t="shared" si="86"/>
        <v>2.9802322387695313E-8</v>
      </c>
      <c r="X193" s="30">
        <f t="shared" si="72"/>
        <v>2.1849362064716392E-15</v>
      </c>
    </row>
    <row r="194" spans="1:24" ht="14.25" customHeight="1" x14ac:dyDescent="0.3">
      <c r="A194" s="113">
        <v>24.06</v>
      </c>
      <c r="B194" s="114" t="s">
        <v>2012</v>
      </c>
      <c r="C194" s="114" t="s">
        <v>408</v>
      </c>
      <c r="D194" s="114" t="s">
        <v>41</v>
      </c>
      <c r="E194" s="115">
        <v>19</v>
      </c>
      <c r="F194" s="64">
        <f>IF(Q194&lt;&gt;"",IFERROR(VLOOKUP(Q194,PARTIDAS!A:P,13,FALSE()),0),0)</f>
        <v>50000</v>
      </c>
      <c r="G194" s="65">
        <f>IF(Q194&lt;&gt;"",IFERROR(VLOOKUP(Q194,PARTIDAS!A:P,14,FALSE()),0),0)</f>
        <v>591716.38997035497</v>
      </c>
      <c r="H194" s="65">
        <f>IF(Q194&lt;&gt;"",IFERROR(VLOOKUP(Q194,PARTIDAS!A:P,15,FALSE()),0),0)</f>
        <v>9625.7458495553292</v>
      </c>
      <c r="I194" s="66">
        <f t="shared" si="80"/>
        <v>651342.13581991033</v>
      </c>
      <c r="J194" s="67">
        <f t="shared" si="81"/>
        <v>950000</v>
      </c>
      <c r="K194" s="68">
        <f t="shared" si="82"/>
        <v>11242611.409436744</v>
      </c>
      <c r="L194" s="68">
        <f t="shared" si="83"/>
        <v>182889.17114155125</v>
      </c>
      <c r="M194" s="69">
        <f t="shared" si="84"/>
        <v>12375500.580578296</v>
      </c>
      <c r="N194" s="70">
        <f t="shared" si="85"/>
        <v>12375500.580578296</v>
      </c>
      <c r="O194" s="71"/>
      <c r="P194" s="68"/>
      <c r="Q194" s="72" t="s">
        <v>409</v>
      </c>
      <c r="R194" s="72">
        <v>1</v>
      </c>
      <c r="S194" s="72" t="s">
        <v>32</v>
      </c>
      <c r="T194" s="72"/>
      <c r="U194" s="72"/>
      <c r="V194" s="68">
        <v>12375500.580578299</v>
      </c>
      <c r="W194" s="68">
        <f t="shared" si="86"/>
        <v>0</v>
      </c>
      <c r="X194" s="30">
        <f t="shared" si="72"/>
        <v>0</v>
      </c>
    </row>
    <row r="195" spans="1:24" ht="14.25" customHeight="1" x14ac:dyDescent="0.3">
      <c r="A195" s="110">
        <v>24.07</v>
      </c>
      <c r="B195" s="111" t="s">
        <v>2012</v>
      </c>
      <c r="C195" s="111" t="s">
        <v>410</v>
      </c>
      <c r="D195" s="111" t="s">
        <v>26</v>
      </c>
      <c r="E195" s="112">
        <v>1</v>
      </c>
      <c r="F195" s="55">
        <f>IF(Q195&lt;&gt;"",IFERROR(VLOOKUP(Q195,PARTIDAS!A:P,13,FALSE()),0),0)</f>
        <v>500000</v>
      </c>
      <c r="G195" s="56">
        <f>IF(Q195&lt;&gt;"",IFERROR(VLOOKUP(Q195,PARTIDAS!A:P,14,FALSE()),0),0)</f>
        <v>4034429.9316160562</v>
      </c>
      <c r="H195" s="56">
        <f>IF(Q195&lt;&gt;"",IFERROR(VLOOKUP(Q195,PARTIDAS!A:P,15,FALSE()),0),0)</f>
        <v>68016.448974240906</v>
      </c>
      <c r="I195" s="57">
        <f t="shared" si="80"/>
        <v>4602446.3805902973</v>
      </c>
      <c r="J195" s="58">
        <f t="shared" si="81"/>
        <v>500000</v>
      </c>
      <c r="K195" s="59">
        <f t="shared" si="82"/>
        <v>4034429.9316160562</v>
      </c>
      <c r="L195" s="59">
        <f t="shared" si="83"/>
        <v>68016.448974240906</v>
      </c>
      <c r="M195" s="60">
        <f t="shared" si="84"/>
        <v>4602446.3805902973</v>
      </c>
      <c r="N195" s="61">
        <f t="shared" si="85"/>
        <v>4602446.3805902973</v>
      </c>
      <c r="O195" s="62"/>
      <c r="P195" s="59"/>
      <c r="Q195" s="63" t="s">
        <v>411</v>
      </c>
      <c r="R195" s="63">
        <v>1</v>
      </c>
      <c r="S195" s="63" t="s">
        <v>32</v>
      </c>
      <c r="T195" s="63"/>
      <c r="U195" s="63"/>
      <c r="V195" s="59">
        <v>4602446.3805903001</v>
      </c>
      <c r="W195" s="59">
        <f t="shared" si="86"/>
        <v>0</v>
      </c>
      <c r="X195" s="30">
        <f t="shared" si="72"/>
        <v>0</v>
      </c>
    </row>
    <row r="196" spans="1:24" ht="14.25" customHeight="1" x14ac:dyDescent="0.3">
      <c r="A196" s="113">
        <v>24.08</v>
      </c>
      <c r="B196" s="114" t="s">
        <v>2012</v>
      </c>
      <c r="C196" s="114" t="s">
        <v>412</v>
      </c>
      <c r="D196" s="114" t="s">
        <v>41</v>
      </c>
      <c r="E196" s="115">
        <v>19</v>
      </c>
      <c r="F196" s="64">
        <f>IF(Q196&lt;&gt;"",IFERROR(VLOOKUP(Q196,PARTIDAS!A:P,13,FALSE()),0),0)</f>
        <v>0</v>
      </c>
      <c r="G196" s="65">
        <f>IF(Q196&lt;&gt;"",IFERROR(VLOOKUP(Q196,PARTIDAS!A:P,14,FALSE()),0),0)</f>
        <v>300000</v>
      </c>
      <c r="H196" s="65">
        <f>IF(Q196&lt;&gt;"",IFERROR(VLOOKUP(Q196,PARTIDAS!A:P,15,FALSE()),0),0)</f>
        <v>0</v>
      </c>
      <c r="I196" s="66">
        <f t="shared" si="80"/>
        <v>300000</v>
      </c>
      <c r="J196" s="67">
        <f t="shared" si="81"/>
        <v>0</v>
      </c>
      <c r="K196" s="68">
        <f t="shared" si="82"/>
        <v>5700000</v>
      </c>
      <c r="L196" s="68">
        <f t="shared" si="83"/>
        <v>0</v>
      </c>
      <c r="M196" s="69">
        <f t="shared" si="84"/>
        <v>5700000</v>
      </c>
      <c r="N196" s="70">
        <f t="shared" si="85"/>
        <v>5700000</v>
      </c>
      <c r="O196" s="71"/>
      <c r="P196" s="68"/>
      <c r="Q196" s="72" t="s">
        <v>413</v>
      </c>
      <c r="R196" s="72">
        <v>1</v>
      </c>
      <c r="S196" s="72" t="s">
        <v>28</v>
      </c>
      <c r="T196" s="72"/>
      <c r="U196" s="72"/>
      <c r="V196" s="68">
        <v>5700000</v>
      </c>
      <c r="W196" s="68">
        <f t="shared" si="86"/>
        <v>0</v>
      </c>
      <c r="X196" s="30">
        <f t="shared" si="72"/>
        <v>0</v>
      </c>
    </row>
    <row r="197" spans="1:24" ht="14.25" customHeight="1" x14ac:dyDescent="0.3">
      <c r="A197" s="110">
        <v>24.09</v>
      </c>
      <c r="B197" s="111" t="s">
        <v>2012</v>
      </c>
      <c r="C197" s="111" t="s">
        <v>414</v>
      </c>
      <c r="D197" s="111" t="s">
        <v>41</v>
      </c>
      <c r="E197" s="112">
        <v>19</v>
      </c>
      <c r="F197" s="55">
        <f>IF(Q197&lt;&gt;"",IFERROR(VLOOKUP(Q197,PARTIDAS!A:P,13,FALSE()),0),0)</f>
        <v>200000</v>
      </c>
      <c r="G197" s="56">
        <f>IF(Q197&lt;&gt;"",IFERROR(VLOOKUP(Q197,PARTIDAS!A:P,14,FALSE()),0),0)</f>
        <v>67240.498860267602</v>
      </c>
      <c r="H197" s="56">
        <f>IF(Q197&lt;&gt;"",IFERROR(VLOOKUP(Q197,PARTIDAS!A:P,15,FALSE()),0),0)</f>
        <v>4008.6074829040099</v>
      </c>
      <c r="I197" s="57">
        <f t="shared" si="80"/>
        <v>271249.10634317156</v>
      </c>
      <c r="J197" s="58">
        <f t="shared" si="81"/>
        <v>3800000</v>
      </c>
      <c r="K197" s="59">
        <f t="shared" si="82"/>
        <v>1277569.4783450845</v>
      </c>
      <c r="L197" s="59">
        <f t="shared" si="83"/>
        <v>76163.54217517619</v>
      </c>
      <c r="M197" s="60">
        <f t="shared" si="84"/>
        <v>5153733.0205202596</v>
      </c>
      <c r="N197" s="61">
        <f t="shared" si="85"/>
        <v>5153733.0205202596</v>
      </c>
      <c r="O197" s="62"/>
      <c r="P197" s="59"/>
      <c r="Q197" s="63" t="s">
        <v>415</v>
      </c>
      <c r="R197" s="63">
        <v>1</v>
      </c>
      <c r="S197" s="63" t="s">
        <v>32</v>
      </c>
      <c r="T197" s="63"/>
      <c r="U197" s="63"/>
      <c r="V197" s="59">
        <v>5153733.0205202596</v>
      </c>
      <c r="W197" s="59">
        <f t="shared" si="86"/>
        <v>0</v>
      </c>
      <c r="X197" s="30">
        <f t="shared" si="72"/>
        <v>0</v>
      </c>
    </row>
    <row r="198" spans="1:24" ht="14.25" customHeight="1" x14ac:dyDescent="0.3">
      <c r="A198" s="116">
        <v>25</v>
      </c>
      <c r="B198" s="108"/>
      <c r="C198" s="108" t="s">
        <v>2013</v>
      </c>
      <c r="D198" s="108"/>
      <c r="E198" s="109"/>
      <c r="F198" s="73"/>
      <c r="G198" s="74"/>
      <c r="H198" s="74"/>
      <c r="I198" s="75"/>
      <c r="J198" s="76"/>
      <c r="K198" s="54"/>
      <c r="L198" s="54"/>
      <c r="M198" s="77"/>
      <c r="N198" s="78"/>
      <c r="O198" s="53">
        <f>SUM(M199:M200)</f>
        <v>71183669.485378146</v>
      </c>
      <c r="P198" s="54">
        <f>SUM(N199:N200)</f>
        <v>71183669.485378146</v>
      </c>
      <c r="Q198" s="46"/>
      <c r="R198" s="46"/>
      <c r="S198" s="46"/>
      <c r="T198" s="46"/>
      <c r="U198" s="46"/>
      <c r="V198" s="54"/>
      <c r="W198" s="54"/>
      <c r="X198" s="30">
        <f t="shared" ref="X198:X236" si="87">IFERROR(W198/V198,0)</f>
        <v>0</v>
      </c>
    </row>
    <row r="199" spans="1:24" ht="14.25" customHeight="1" x14ac:dyDescent="0.3">
      <c r="A199" s="110">
        <v>25.01</v>
      </c>
      <c r="B199" s="111" t="s">
        <v>2013</v>
      </c>
      <c r="C199" s="111" t="s">
        <v>416</v>
      </c>
      <c r="D199" s="111" t="s">
        <v>41</v>
      </c>
      <c r="E199" s="112">
        <v>19</v>
      </c>
      <c r="F199" s="55">
        <f>IF(Q199&lt;&gt;"",IFERROR(VLOOKUP(Q199,PARTIDAS!A:P,13,FALSE()),0),0)</f>
        <v>0</v>
      </c>
      <c r="G199" s="56">
        <f>IF(Q199&lt;&gt;"",IFERROR(VLOOKUP(Q199,PARTIDAS!A:P,14,FALSE()),0),0)</f>
        <v>3246508.9202830601</v>
      </c>
      <c r="H199" s="56">
        <f>IF(Q199&lt;&gt;"",IFERROR(VLOOKUP(Q199,PARTIDAS!A:P,15,FALSE()),0),0)</f>
        <v>0</v>
      </c>
      <c r="I199" s="57">
        <f>F199+G199+H199</f>
        <v>3246508.9202830601</v>
      </c>
      <c r="J199" s="58">
        <f>F199*E199</f>
        <v>0</v>
      </c>
      <c r="K199" s="59">
        <f>G199*E199</f>
        <v>61683669.485378139</v>
      </c>
      <c r="L199" s="59">
        <f>H199*E199</f>
        <v>0</v>
      </c>
      <c r="M199" s="60">
        <f>I199*E199</f>
        <v>61683669.485378139</v>
      </c>
      <c r="N199" s="61">
        <f>M199*$N$2</f>
        <v>61683669.485378139</v>
      </c>
      <c r="O199" s="62"/>
      <c r="P199" s="59"/>
      <c r="Q199" s="63" t="s">
        <v>417</v>
      </c>
      <c r="R199" s="63">
        <v>1</v>
      </c>
      <c r="S199" s="63" t="s">
        <v>399</v>
      </c>
      <c r="T199" s="63"/>
      <c r="U199" s="63"/>
      <c r="V199" s="59">
        <v>61683669.485378198</v>
      </c>
      <c r="W199" s="59">
        <f>M199-V199</f>
        <v>-5.9604644775390625E-8</v>
      </c>
      <c r="X199" s="30">
        <f t="shared" si="87"/>
        <v>-9.6629537886878804E-16</v>
      </c>
    </row>
    <row r="200" spans="1:24" ht="14.25" customHeight="1" x14ac:dyDescent="0.3">
      <c r="A200" s="113">
        <v>25.02</v>
      </c>
      <c r="B200" s="114" t="s">
        <v>2013</v>
      </c>
      <c r="C200" s="114" t="s">
        <v>418</v>
      </c>
      <c r="D200" s="114" t="s">
        <v>41</v>
      </c>
      <c r="E200" s="115">
        <v>19</v>
      </c>
      <c r="F200" s="64">
        <f>IF(Q200&lt;&gt;"",IFERROR(VLOOKUP(Q200,PARTIDAS!A:P,13,FALSE()),0),0)</f>
        <v>0</v>
      </c>
      <c r="G200" s="65">
        <f>IF(Q200&lt;&gt;"",IFERROR(VLOOKUP(Q200,PARTIDAS!A:P,14,FALSE()),0),0)</f>
        <v>500000</v>
      </c>
      <c r="H200" s="65">
        <f>IF(Q200&lt;&gt;"",IFERROR(VLOOKUP(Q200,PARTIDAS!A:P,15,FALSE()),0),0)</f>
        <v>0</v>
      </c>
      <c r="I200" s="66">
        <f>F200+G200+H200</f>
        <v>500000</v>
      </c>
      <c r="J200" s="67">
        <f>F200*E200</f>
        <v>0</v>
      </c>
      <c r="K200" s="68">
        <f>G200*E200</f>
        <v>9500000</v>
      </c>
      <c r="L200" s="68">
        <f>H200*E200</f>
        <v>0</v>
      </c>
      <c r="M200" s="69">
        <f>I200*E200</f>
        <v>9500000</v>
      </c>
      <c r="N200" s="70">
        <f>M200*$N$2</f>
        <v>9500000</v>
      </c>
      <c r="O200" s="71"/>
      <c r="P200" s="68"/>
      <c r="Q200" s="72" t="s">
        <v>419</v>
      </c>
      <c r="R200" s="72">
        <v>1</v>
      </c>
      <c r="S200" s="72" t="s">
        <v>399</v>
      </c>
      <c r="T200" s="72"/>
      <c r="U200" s="72"/>
      <c r="V200" s="68">
        <v>9500000</v>
      </c>
      <c r="W200" s="68">
        <f>M200-V200</f>
        <v>0</v>
      </c>
      <c r="X200" s="30">
        <f t="shared" si="87"/>
        <v>0</v>
      </c>
    </row>
    <row r="201" spans="1:24" ht="14.25" customHeight="1" x14ac:dyDescent="0.3">
      <c r="A201" s="116">
        <v>26</v>
      </c>
      <c r="B201" s="108"/>
      <c r="C201" s="108" t="s">
        <v>2014</v>
      </c>
      <c r="D201" s="108"/>
      <c r="E201" s="109"/>
      <c r="F201" s="73"/>
      <c r="G201" s="74"/>
      <c r="H201" s="74"/>
      <c r="I201" s="75"/>
      <c r="J201" s="76"/>
      <c r="K201" s="54"/>
      <c r="L201" s="54"/>
      <c r="M201" s="77"/>
      <c r="N201" s="78"/>
      <c r="O201" s="53">
        <f>SUM(M202:M203)</f>
        <v>1728642</v>
      </c>
      <c r="P201" s="54">
        <f>SUM(N202:N203)</f>
        <v>1728642</v>
      </c>
      <c r="Q201" s="46"/>
      <c r="R201" s="46"/>
      <c r="S201" s="46"/>
      <c r="T201" s="46"/>
      <c r="U201" s="46"/>
      <c r="V201" s="54"/>
      <c r="W201" s="54"/>
      <c r="X201" s="30">
        <f t="shared" si="87"/>
        <v>0</v>
      </c>
    </row>
    <row r="202" spans="1:24" ht="14.25" customHeight="1" x14ac:dyDescent="0.3">
      <c r="A202" s="113">
        <v>26.03</v>
      </c>
      <c r="B202" s="114" t="s">
        <v>2014</v>
      </c>
      <c r="C202" s="114" t="s">
        <v>420</v>
      </c>
      <c r="D202" s="114" t="s">
        <v>98</v>
      </c>
      <c r="E202" s="115">
        <v>5</v>
      </c>
      <c r="F202" s="64">
        <f>IF(Q202&lt;&gt;"",IFERROR(VLOOKUP(Q202,PARTIDAS!A:P,13,FALSE()),0),0)</f>
        <v>300000</v>
      </c>
      <c r="G202" s="65">
        <f>IF(Q202&lt;&gt;"",IFERROR(VLOOKUP(Q202,PARTIDAS!A:P,14,FALSE()),0),0)</f>
        <v>0</v>
      </c>
      <c r="H202" s="65">
        <f>IF(Q202&lt;&gt;"",IFERROR(VLOOKUP(Q202,PARTIDAS!A:P,15,FALSE()),0),0)</f>
        <v>0</v>
      </c>
      <c r="I202" s="66">
        <f>F202+G202+H202</f>
        <v>300000</v>
      </c>
      <c r="J202" s="67">
        <f>F202*E202</f>
        <v>1500000</v>
      </c>
      <c r="K202" s="68">
        <f>G202*E202</f>
        <v>0</v>
      </c>
      <c r="L202" s="68">
        <f>H202*E202</f>
        <v>0</v>
      </c>
      <c r="M202" s="69">
        <f>I202*E202</f>
        <v>1500000</v>
      </c>
      <c r="N202" s="70">
        <f>M202*$N$2</f>
        <v>1500000</v>
      </c>
      <c r="O202" s="71"/>
      <c r="P202" s="68"/>
      <c r="Q202" s="72" t="s">
        <v>421</v>
      </c>
      <c r="R202" s="72">
        <v>1</v>
      </c>
      <c r="S202" s="72" t="s">
        <v>28</v>
      </c>
      <c r="T202" s="72"/>
      <c r="U202" s="72"/>
      <c r="V202" s="68">
        <v>1500000</v>
      </c>
      <c r="W202" s="68">
        <f>M202-V202</f>
        <v>0</v>
      </c>
      <c r="X202" s="30">
        <f t="shared" si="87"/>
        <v>0</v>
      </c>
    </row>
    <row r="203" spans="1:24" ht="14.25" customHeight="1" x14ac:dyDescent="0.3">
      <c r="A203" s="110">
        <v>26.05</v>
      </c>
      <c r="B203" s="111" t="s">
        <v>2014</v>
      </c>
      <c r="C203" s="111" t="s">
        <v>422</v>
      </c>
      <c r="D203" s="111" t="s">
        <v>98</v>
      </c>
      <c r="E203" s="112">
        <v>1</v>
      </c>
      <c r="F203" s="55">
        <f>IF(Q203&lt;&gt;"",IFERROR(VLOOKUP(Q203,PARTIDAS!A:P,13,FALSE()),0),0)</f>
        <v>228642</v>
      </c>
      <c r="G203" s="56">
        <f>IF(Q203&lt;&gt;"",IFERROR(VLOOKUP(Q203,PARTIDAS!A:P,14,FALSE()),0),0)</f>
        <v>0</v>
      </c>
      <c r="H203" s="56">
        <f>IF(Q203&lt;&gt;"",IFERROR(VLOOKUP(Q203,PARTIDAS!A:P,15,FALSE()),0),0)</f>
        <v>0</v>
      </c>
      <c r="I203" s="57">
        <f>F203+G203+H203</f>
        <v>228642</v>
      </c>
      <c r="J203" s="58">
        <f>F203*E203</f>
        <v>228642</v>
      </c>
      <c r="K203" s="59">
        <f>G203*E203</f>
        <v>0</v>
      </c>
      <c r="L203" s="59">
        <f>H203*E203</f>
        <v>0</v>
      </c>
      <c r="M203" s="60">
        <f>I203*E203</f>
        <v>228642</v>
      </c>
      <c r="N203" s="61">
        <f>M203*$N$2</f>
        <v>228642</v>
      </c>
      <c r="O203" s="62"/>
      <c r="P203" s="59"/>
      <c r="Q203" s="63" t="s">
        <v>423</v>
      </c>
      <c r="R203" s="63">
        <v>1</v>
      </c>
      <c r="S203" s="63" t="s">
        <v>424</v>
      </c>
      <c r="T203" s="63"/>
      <c r="U203" s="63"/>
      <c r="V203" s="59">
        <v>228642</v>
      </c>
      <c r="W203" s="59">
        <f>M203-V203</f>
        <v>0</v>
      </c>
      <c r="X203" s="30">
        <f t="shared" si="87"/>
        <v>0</v>
      </c>
    </row>
    <row r="204" spans="1:24" ht="14.25" customHeight="1" x14ac:dyDescent="0.3">
      <c r="A204" s="116">
        <v>27</v>
      </c>
      <c r="B204" s="108"/>
      <c r="C204" s="108" t="s">
        <v>2032</v>
      </c>
      <c r="D204" s="108"/>
      <c r="E204" s="109"/>
      <c r="F204" s="73"/>
      <c r="G204" s="74"/>
      <c r="H204" s="74"/>
      <c r="I204" s="75"/>
      <c r="J204" s="76"/>
      <c r="K204" s="54"/>
      <c r="L204" s="54"/>
      <c r="M204" s="77"/>
      <c r="N204" s="78"/>
      <c r="O204" s="53">
        <f>SUM(M205:M211)</f>
        <v>4215000</v>
      </c>
      <c r="P204" s="54">
        <f>SUM(N205:N211)</f>
        <v>4215000</v>
      </c>
      <c r="Q204" s="46"/>
      <c r="R204" s="46"/>
      <c r="S204" s="46"/>
      <c r="T204" s="46"/>
      <c r="U204" s="46"/>
      <c r="V204" s="54"/>
      <c r="W204" s="54"/>
      <c r="X204" s="30">
        <f t="shared" si="87"/>
        <v>0</v>
      </c>
    </row>
    <row r="205" spans="1:24" ht="14.25" customHeight="1" x14ac:dyDescent="0.3">
      <c r="A205" s="110">
        <v>27.01</v>
      </c>
      <c r="B205" s="111" t="s">
        <v>2032</v>
      </c>
      <c r="C205" s="111" t="s">
        <v>425</v>
      </c>
      <c r="D205" s="111" t="s">
        <v>98</v>
      </c>
      <c r="E205" s="112">
        <v>2</v>
      </c>
      <c r="F205" s="55">
        <f>IF(Q205&lt;&gt;"",IFERROR(VLOOKUP(Q205,PARTIDAS!A:P,13,FALSE()),0),0)</f>
        <v>550000</v>
      </c>
      <c r="G205" s="56">
        <f>IF(Q205&lt;&gt;"",IFERROR(VLOOKUP(Q205,PARTIDAS!A:P,14,FALSE()),0),0)</f>
        <v>0</v>
      </c>
      <c r="H205" s="56">
        <f>IF(Q205&lt;&gt;"",IFERROR(VLOOKUP(Q205,PARTIDAS!A:P,15,FALSE()),0),0)</f>
        <v>0</v>
      </c>
      <c r="I205" s="57">
        <f t="shared" ref="I205:I211" si="88">F205+G205+H205</f>
        <v>550000</v>
      </c>
      <c r="J205" s="58">
        <f t="shared" ref="J205:J211" si="89">F205*E205</f>
        <v>1100000</v>
      </c>
      <c r="K205" s="59">
        <f t="shared" ref="K205:K211" si="90">G205*E205</f>
        <v>0</v>
      </c>
      <c r="L205" s="59">
        <f t="shared" ref="L205:L211" si="91">H205*E205</f>
        <v>0</v>
      </c>
      <c r="M205" s="60">
        <f t="shared" ref="M205:M211" si="92">I205*E205</f>
        <v>1100000</v>
      </c>
      <c r="N205" s="61">
        <f t="shared" ref="N205:N211" si="93">M205*$N$2</f>
        <v>1100000</v>
      </c>
      <c r="O205" s="62"/>
      <c r="P205" s="59"/>
      <c r="Q205" s="63" t="s">
        <v>426</v>
      </c>
      <c r="R205" s="63">
        <v>1</v>
      </c>
      <c r="S205" s="63" t="s">
        <v>28</v>
      </c>
      <c r="T205" s="63"/>
      <c r="U205" s="63"/>
      <c r="V205" s="59">
        <v>1100000</v>
      </c>
      <c r="W205" s="59">
        <f t="shared" ref="W205:W211" si="94">M205-V205</f>
        <v>0</v>
      </c>
      <c r="X205" s="30">
        <f t="shared" si="87"/>
        <v>0</v>
      </c>
    </row>
    <row r="206" spans="1:24" ht="14.25" customHeight="1" x14ac:dyDescent="0.3">
      <c r="A206" s="113">
        <v>27.02</v>
      </c>
      <c r="B206" s="114" t="s">
        <v>2032</v>
      </c>
      <c r="C206" s="114" t="s">
        <v>427</v>
      </c>
      <c r="D206" s="114" t="s">
        <v>98</v>
      </c>
      <c r="E206" s="115">
        <v>2</v>
      </c>
      <c r="F206" s="64">
        <f>IF(Q206&lt;&gt;"",IFERROR(VLOOKUP(Q206,PARTIDAS!A:P,13,FALSE()),0),0)</f>
        <v>550000</v>
      </c>
      <c r="G206" s="65">
        <f>IF(Q206&lt;&gt;"",IFERROR(VLOOKUP(Q206,PARTIDAS!A:P,14,FALSE()),0),0)</f>
        <v>0</v>
      </c>
      <c r="H206" s="65">
        <f>IF(Q206&lt;&gt;"",IFERROR(VLOOKUP(Q206,PARTIDAS!A:P,15,FALSE()),0),0)</f>
        <v>0</v>
      </c>
      <c r="I206" s="66">
        <f t="shared" si="88"/>
        <v>550000</v>
      </c>
      <c r="J206" s="67">
        <f t="shared" si="89"/>
        <v>1100000</v>
      </c>
      <c r="K206" s="68">
        <f t="shared" si="90"/>
        <v>0</v>
      </c>
      <c r="L206" s="68">
        <f t="shared" si="91"/>
        <v>0</v>
      </c>
      <c r="M206" s="69">
        <f t="shared" si="92"/>
        <v>1100000</v>
      </c>
      <c r="N206" s="70">
        <f t="shared" si="93"/>
        <v>1100000</v>
      </c>
      <c r="O206" s="71"/>
      <c r="P206" s="68"/>
      <c r="Q206" s="72" t="s">
        <v>428</v>
      </c>
      <c r="R206" s="72">
        <v>1</v>
      </c>
      <c r="S206" s="72" t="s">
        <v>28</v>
      </c>
      <c r="T206" s="72"/>
      <c r="U206" s="72"/>
      <c r="V206" s="68">
        <v>1100000</v>
      </c>
      <c r="W206" s="68">
        <f t="shared" si="94"/>
        <v>0</v>
      </c>
      <c r="X206" s="30">
        <f t="shared" si="87"/>
        <v>0</v>
      </c>
    </row>
    <row r="207" spans="1:24" ht="14.25" customHeight="1" x14ac:dyDescent="0.3">
      <c r="A207" s="110">
        <v>27.03</v>
      </c>
      <c r="B207" s="111" t="s">
        <v>2032</v>
      </c>
      <c r="C207" s="111" t="s">
        <v>429</v>
      </c>
      <c r="D207" s="111" t="s">
        <v>98</v>
      </c>
      <c r="E207" s="112">
        <v>2</v>
      </c>
      <c r="F207" s="55">
        <f>IF(Q207&lt;&gt;"",IFERROR(VLOOKUP(Q207,PARTIDAS!A:P,13,FALSE()),0),0)</f>
        <v>125000</v>
      </c>
      <c r="G207" s="56">
        <f>IF(Q207&lt;&gt;"",IFERROR(VLOOKUP(Q207,PARTIDAS!A:P,14,FALSE()),0),0)</f>
        <v>0</v>
      </c>
      <c r="H207" s="56">
        <f>IF(Q207&lt;&gt;"",IFERROR(VLOOKUP(Q207,PARTIDAS!A:P,15,FALSE()),0),0)</f>
        <v>0</v>
      </c>
      <c r="I207" s="57">
        <f t="shared" si="88"/>
        <v>125000</v>
      </c>
      <c r="J207" s="58">
        <f t="shared" si="89"/>
        <v>250000</v>
      </c>
      <c r="K207" s="59">
        <f t="shared" si="90"/>
        <v>0</v>
      </c>
      <c r="L207" s="59">
        <f t="shared" si="91"/>
        <v>0</v>
      </c>
      <c r="M207" s="60">
        <f t="shared" si="92"/>
        <v>250000</v>
      </c>
      <c r="N207" s="61">
        <f t="shared" si="93"/>
        <v>250000</v>
      </c>
      <c r="O207" s="62"/>
      <c r="P207" s="59"/>
      <c r="Q207" s="63" t="s">
        <v>430</v>
      </c>
      <c r="R207" s="63">
        <v>1</v>
      </c>
      <c r="S207" s="63" t="s">
        <v>28</v>
      </c>
      <c r="T207" s="63"/>
      <c r="U207" s="63"/>
      <c r="V207" s="59">
        <v>250000</v>
      </c>
      <c r="W207" s="59">
        <f t="shared" si="94"/>
        <v>0</v>
      </c>
      <c r="X207" s="30">
        <f t="shared" si="87"/>
        <v>0</v>
      </c>
    </row>
    <row r="208" spans="1:24" ht="14.25" customHeight="1" x14ac:dyDescent="0.3">
      <c r="A208" s="113">
        <v>27.04</v>
      </c>
      <c r="B208" s="114" t="s">
        <v>2032</v>
      </c>
      <c r="C208" s="114" t="s">
        <v>431</v>
      </c>
      <c r="D208" s="114" t="s">
        <v>98</v>
      </c>
      <c r="E208" s="115">
        <v>2</v>
      </c>
      <c r="F208" s="64">
        <f>IF(Q208&lt;&gt;"",IFERROR(VLOOKUP(Q208,PARTIDAS!A:P,13,FALSE()),0),0)</f>
        <v>135000</v>
      </c>
      <c r="G208" s="65">
        <f>IF(Q208&lt;&gt;"",IFERROR(VLOOKUP(Q208,PARTIDAS!A:P,14,FALSE()),0),0)</f>
        <v>0</v>
      </c>
      <c r="H208" s="65">
        <f>IF(Q208&lt;&gt;"",IFERROR(VLOOKUP(Q208,PARTIDAS!A:P,15,FALSE()),0),0)</f>
        <v>0</v>
      </c>
      <c r="I208" s="66">
        <f t="shared" si="88"/>
        <v>135000</v>
      </c>
      <c r="J208" s="67">
        <f t="shared" si="89"/>
        <v>270000</v>
      </c>
      <c r="K208" s="68">
        <f t="shared" si="90"/>
        <v>0</v>
      </c>
      <c r="L208" s="68">
        <f t="shared" si="91"/>
        <v>0</v>
      </c>
      <c r="M208" s="69">
        <f t="shared" si="92"/>
        <v>270000</v>
      </c>
      <c r="N208" s="70">
        <f t="shared" si="93"/>
        <v>270000</v>
      </c>
      <c r="O208" s="71"/>
      <c r="P208" s="68"/>
      <c r="Q208" s="72" t="s">
        <v>432</v>
      </c>
      <c r="R208" s="72">
        <v>1</v>
      </c>
      <c r="S208" s="72" t="s">
        <v>28</v>
      </c>
      <c r="T208" s="72"/>
      <c r="U208" s="72"/>
      <c r="V208" s="68">
        <v>270000</v>
      </c>
      <c r="W208" s="68">
        <f t="shared" si="94"/>
        <v>0</v>
      </c>
      <c r="X208" s="30">
        <f t="shared" si="87"/>
        <v>0</v>
      </c>
    </row>
    <row r="209" spans="1:24" ht="14.25" customHeight="1" x14ac:dyDescent="0.3">
      <c r="A209" s="110">
        <v>27.05</v>
      </c>
      <c r="B209" s="111" t="s">
        <v>2032</v>
      </c>
      <c r="C209" s="111" t="s">
        <v>433</v>
      </c>
      <c r="D209" s="111" t="s">
        <v>98</v>
      </c>
      <c r="E209" s="112">
        <v>2</v>
      </c>
      <c r="F209" s="55">
        <f>IF(Q209&lt;&gt;"",IFERROR(VLOOKUP(Q209,PARTIDAS!A:P,13,FALSE()),0),0)</f>
        <v>300000</v>
      </c>
      <c r="G209" s="56">
        <f>IF(Q209&lt;&gt;"",IFERROR(VLOOKUP(Q209,PARTIDAS!A:P,14,FALSE()),0),0)</f>
        <v>0</v>
      </c>
      <c r="H209" s="56">
        <f>IF(Q209&lt;&gt;"",IFERROR(VLOOKUP(Q209,PARTIDAS!A:P,15,FALSE()),0),0)</f>
        <v>0</v>
      </c>
      <c r="I209" s="57">
        <f t="shared" si="88"/>
        <v>300000</v>
      </c>
      <c r="J209" s="58">
        <f t="shared" si="89"/>
        <v>600000</v>
      </c>
      <c r="K209" s="59">
        <f t="shared" si="90"/>
        <v>0</v>
      </c>
      <c r="L209" s="59">
        <f t="shared" si="91"/>
        <v>0</v>
      </c>
      <c r="M209" s="60">
        <f t="shared" si="92"/>
        <v>600000</v>
      </c>
      <c r="N209" s="61">
        <f t="shared" si="93"/>
        <v>600000</v>
      </c>
      <c r="O209" s="62"/>
      <c r="P209" s="59"/>
      <c r="Q209" s="63" t="s">
        <v>434</v>
      </c>
      <c r="R209" s="63">
        <v>1</v>
      </c>
      <c r="S209" s="63" t="s">
        <v>28</v>
      </c>
      <c r="T209" s="63"/>
      <c r="U209" s="63"/>
      <c r="V209" s="59">
        <v>600000</v>
      </c>
      <c r="W209" s="59">
        <f t="shared" si="94"/>
        <v>0</v>
      </c>
      <c r="X209" s="30">
        <f t="shared" si="87"/>
        <v>0</v>
      </c>
    </row>
    <row r="210" spans="1:24" ht="14.25" customHeight="1" x14ac:dyDescent="0.3">
      <c r="A210" s="113">
        <v>27.06</v>
      </c>
      <c r="B210" s="114" t="s">
        <v>2032</v>
      </c>
      <c r="C210" s="114" t="s">
        <v>435</v>
      </c>
      <c r="D210" s="114" t="s">
        <v>98</v>
      </c>
      <c r="E210" s="115">
        <v>1</v>
      </c>
      <c r="F210" s="64">
        <f>IF(Q210&lt;&gt;"",IFERROR(VLOOKUP(Q210,PARTIDAS!A:P,13,FALSE()),0),0)</f>
        <v>700000</v>
      </c>
      <c r="G210" s="65">
        <f>IF(Q210&lt;&gt;"",IFERROR(VLOOKUP(Q210,PARTIDAS!A:P,14,FALSE()),0),0)</f>
        <v>0</v>
      </c>
      <c r="H210" s="65">
        <f>IF(Q210&lt;&gt;"",IFERROR(VLOOKUP(Q210,PARTIDAS!A:P,15,FALSE()),0),0)</f>
        <v>0</v>
      </c>
      <c r="I210" s="66">
        <f t="shared" si="88"/>
        <v>700000</v>
      </c>
      <c r="J210" s="67">
        <f t="shared" si="89"/>
        <v>700000</v>
      </c>
      <c r="K210" s="68">
        <f t="shared" si="90"/>
        <v>0</v>
      </c>
      <c r="L210" s="68">
        <f t="shared" si="91"/>
        <v>0</v>
      </c>
      <c r="M210" s="69">
        <f t="shared" si="92"/>
        <v>700000</v>
      </c>
      <c r="N210" s="70">
        <f t="shared" si="93"/>
        <v>700000</v>
      </c>
      <c r="O210" s="71"/>
      <c r="P210" s="68"/>
      <c r="Q210" s="72" t="s">
        <v>436</v>
      </c>
      <c r="R210" s="72">
        <v>1</v>
      </c>
      <c r="S210" s="72" t="s">
        <v>28</v>
      </c>
      <c r="T210" s="72"/>
      <c r="U210" s="72"/>
      <c r="V210" s="68">
        <v>700000</v>
      </c>
      <c r="W210" s="68">
        <f t="shared" si="94"/>
        <v>0</v>
      </c>
      <c r="X210" s="30">
        <f t="shared" si="87"/>
        <v>0</v>
      </c>
    </row>
    <row r="211" spans="1:24" ht="14.25" customHeight="1" x14ac:dyDescent="0.3">
      <c r="A211" s="110">
        <v>27.07</v>
      </c>
      <c r="B211" s="111" t="s">
        <v>2032</v>
      </c>
      <c r="C211" s="111" t="s">
        <v>437</v>
      </c>
      <c r="D211" s="111" t="s">
        <v>36</v>
      </c>
      <c r="E211" s="112">
        <v>3</v>
      </c>
      <c r="F211" s="55">
        <f>IF(Q211&lt;&gt;"",IFERROR(VLOOKUP(Q211,PARTIDAS!A:P,13,FALSE()),0),0)</f>
        <v>65000</v>
      </c>
      <c r="G211" s="56">
        <f>IF(Q211&lt;&gt;"",IFERROR(VLOOKUP(Q211,PARTIDAS!A:P,14,FALSE()),0),0)</f>
        <v>0</v>
      </c>
      <c r="H211" s="56">
        <f>IF(Q211&lt;&gt;"",IFERROR(VLOOKUP(Q211,PARTIDAS!A:P,15,FALSE()),0),0)</f>
        <v>0</v>
      </c>
      <c r="I211" s="57">
        <f t="shared" si="88"/>
        <v>65000</v>
      </c>
      <c r="J211" s="58">
        <f t="shared" si="89"/>
        <v>195000</v>
      </c>
      <c r="K211" s="59">
        <f t="shared" si="90"/>
        <v>0</v>
      </c>
      <c r="L211" s="59">
        <f t="shared" si="91"/>
        <v>0</v>
      </c>
      <c r="M211" s="60">
        <f t="shared" si="92"/>
        <v>195000</v>
      </c>
      <c r="N211" s="61">
        <f t="shared" si="93"/>
        <v>195000</v>
      </c>
      <c r="O211" s="62"/>
      <c r="P211" s="59"/>
      <c r="Q211" s="63" t="s">
        <v>438</v>
      </c>
      <c r="R211" s="63">
        <v>1</v>
      </c>
      <c r="S211" s="63" t="s">
        <v>28</v>
      </c>
      <c r="T211" s="63"/>
      <c r="U211" s="63"/>
      <c r="V211" s="59">
        <v>195000</v>
      </c>
      <c r="W211" s="59">
        <f t="shared" si="94"/>
        <v>0</v>
      </c>
      <c r="X211" s="30">
        <f t="shared" si="87"/>
        <v>0</v>
      </c>
    </row>
    <row r="212" spans="1:24" ht="14.25" customHeight="1" x14ac:dyDescent="0.3">
      <c r="A212" s="116">
        <v>28</v>
      </c>
      <c r="B212" s="108"/>
      <c r="C212" s="108" t="s">
        <v>2033</v>
      </c>
      <c r="D212" s="108"/>
      <c r="E212" s="109"/>
      <c r="F212" s="73"/>
      <c r="G212" s="74"/>
      <c r="H212" s="74"/>
      <c r="I212" s="75"/>
      <c r="J212" s="76"/>
      <c r="K212" s="54"/>
      <c r="L212" s="54"/>
      <c r="M212" s="77"/>
      <c r="N212" s="78"/>
      <c r="O212" s="53">
        <f>SUM(M213:M220)</f>
        <v>3263367.0680649439</v>
      </c>
      <c r="P212" s="54">
        <f>SUM(N213:N220)</f>
        <v>3263367.0680649439</v>
      </c>
      <c r="Q212" s="46"/>
      <c r="R212" s="46"/>
      <c r="S212" s="46"/>
      <c r="T212" s="46"/>
      <c r="U212" s="46"/>
      <c r="V212" s="54"/>
      <c r="W212" s="54"/>
      <c r="X212" s="30">
        <f t="shared" si="87"/>
        <v>0</v>
      </c>
    </row>
    <row r="213" spans="1:24" ht="14.25" customHeight="1" x14ac:dyDescent="0.3">
      <c r="A213" s="110">
        <v>28.01</v>
      </c>
      <c r="B213" s="111" t="s">
        <v>2033</v>
      </c>
      <c r="C213" s="111" t="s">
        <v>440</v>
      </c>
      <c r="D213" s="111" t="s">
        <v>98</v>
      </c>
      <c r="E213" s="112">
        <v>4</v>
      </c>
      <c r="F213" s="55">
        <f>IF(Q213&lt;&gt;"",IFERROR(VLOOKUP(Q213,PARTIDAS!A:P,13,FALSE()),0),0)</f>
        <v>51214.714802856899</v>
      </c>
      <c r="G213" s="56">
        <f>IF(Q213&lt;&gt;"",IFERROR(VLOOKUP(Q213,PARTIDAS!A:P,14,FALSE()),0),0)</f>
        <v>0</v>
      </c>
      <c r="H213" s="56">
        <f>IF(Q213&lt;&gt;"",IFERROR(VLOOKUP(Q213,PARTIDAS!A:P,15,FALSE()),0),0)</f>
        <v>0</v>
      </c>
      <c r="I213" s="57">
        <f t="shared" ref="I213:I220" si="95">F213+G213+H213</f>
        <v>51214.714802856899</v>
      </c>
      <c r="J213" s="58">
        <f t="shared" ref="J213:J220" si="96">F213*E213</f>
        <v>204858.8592114276</v>
      </c>
      <c r="K213" s="59">
        <f t="shared" ref="K213:K220" si="97">G213*E213</f>
        <v>0</v>
      </c>
      <c r="L213" s="59">
        <f t="shared" ref="L213:L220" si="98">H213*E213</f>
        <v>0</v>
      </c>
      <c r="M213" s="60">
        <f t="shared" ref="M213:M220" si="99">I213*E213</f>
        <v>204858.8592114276</v>
      </c>
      <c r="N213" s="61">
        <f t="shared" ref="N213:N220" si="100">M213*$N$2</f>
        <v>204858.8592114276</v>
      </c>
      <c r="O213" s="62"/>
      <c r="P213" s="59"/>
      <c r="Q213" s="63" t="s">
        <v>441</v>
      </c>
      <c r="R213" s="63">
        <v>1</v>
      </c>
      <c r="S213" s="63" t="s">
        <v>424</v>
      </c>
      <c r="T213" s="63"/>
      <c r="U213" s="63"/>
      <c r="V213" s="59">
        <v>204858.859211428</v>
      </c>
      <c r="W213" s="59">
        <f t="shared" ref="W213:W220" si="101">M213-V213</f>
        <v>-4.0745362639427185E-10</v>
      </c>
      <c r="X213" s="30">
        <f t="shared" si="87"/>
        <v>-1.9889480394584865E-15</v>
      </c>
    </row>
    <row r="214" spans="1:24" ht="14.25" customHeight="1" x14ac:dyDescent="0.3">
      <c r="A214" s="113">
        <v>28.02</v>
      </c>
      <c r="B214" s="114" t="s">
        <v>2033</v>
      </c>
      <c r="C214" s="114" t="s">
        <v>442</v>
      </c>
      <c r="D214" s="114" t="s">
        <v>98</v>
      </c>
      <c r="E214" s="115">
        <v>4</v>
      </c>
      <c r="F214" s="64">
        <f>IF(Q214&lt;&gt;"",IFERROR(VLOOKUP(Q214,PARTIDAS!A:P,13,FALSE()),0),0)</f>
        <v>56938.712339646801</v>
      </c>
      <c r="G214" s="65">
        <f>IF(Q214&lt;&gt;"",IFERROR(VLOOKUP(Q214,PARTIDAS!A:P,14,FALSE()),0),0)</f>
        <v>0</v>
      </c>
      <c r="H214" s="65">
        <f>IF(Q214&lt;&gt;"",IFERROR(VLOOKUP(Q214,PARTIDAS!A:P,15,FALSE()),0),0)</f>
        <v>0</v>
      </c>
      <c r="I214" s="66">
        <f t="shared" si="95"/>
        <v>56938.712339646801</v>
      </c>
      <c r="J214" s="67">
        <f t="shared" si="96"/>
        <v>227754.84935858721</v>
      </c>
      <c r="K214" s="68">
        <f t="shared" si="97"/>
        <v>0</v>
      </c>
      <c r="L214" s="68">
        <f t="shared" si="98"/>
        <v>0</v>
      </c>
      <c r="M214" s="69">
        <f t="shared" si="99"/>
        <v>227754.84935858721</v>
      </c>
      <c r="N214" s="70">
        <f t="shared" si="100"/>
        <v>227754.84935858721</v>
      </c>
      <c r="O214" s="71"/>
      <c r="P214" s="68"/>
      <c r="Q214" s="72" t="s">
        <v>443</v>
      </c>
      <c r="R214" s="72">
        <v>1</v>
      </c>
      <c r="S214" s="72" t="s">
        <v>424</v>
      </c>
      <c r="T214" s="72"/>
      <c r="U214" s="72"/>
      <c r="V214" s="68">
        <v>227754.849358587</v>
      </c>
      <c r="W214" s="68">
        <f t="shared" si="101"/>
        <v>0</v>
      </c>
      <c r="X214" s="30">
        <f t="shared" si="87"/>
        <v>0</v>
      </c>
    </row>
    <row r="215" spans="1:24" ht="14.25" customHeight="1" x14ac:dyDescent="0.3">
      <c r="A215" s="110">
        <v>28.03</v>
      </c>
      <c r="B215" s="111" t="s">
        <v>2033</v>
      </c>
      <c r="C215" s="111" t="s">
        <v>444</v>
      </c>
      <c r="D215" s="111" t="s">
        <v>98</v>
      </c>
      <c r="E215" s="112">
        <v>4</v>
      </c>
      <c r="F215" s="55">
        <f>IF(Q215&lt;&gt;"",IFERROR(VLOOKUP(Q215,PARTIDAS!A:P,13,FALSE()),0),0)</f>
        <v>286985.31259172299</v>
      </c>
      <c r="G215" s="56">
        <f>IF(Q215&lt;&gt;"",IFERROR(VLOOKUP(Q215,PARTIDAS!A:P,14,FALSE()),0),0)</f>
        <v>0</v>
      </c>
      <c r="H215" s="56">
        <f>IF(Q215&lt;&gt;"",IFERROR(VLOOKUP(Q215,PARTIDAS!A:P,15,FALSE()),0),0)</f>
        <v>0</v>
      </c>
      <c r="I215" s="57">
        <f t="shared" si="95"/>
        <v>286985.31259172299</v>
      </c>
      <c r="J215" s="58">
        <f t="shared" si="96"/>
        <v>1147941.250366892</v>
      </c>
      <c r="K215" s="59">
        <f t="shared" si="97"/>
        <v>0</v>
      </c>
      <c r="L215" s="59">
        <f t="shared" si="98"/>
        <v>0</v>
      </c>
      <c r="M215" s="60">
        <f t="shared" si="99"/>
        <v>1147941.250366892</v>
      </c>
      <c r="N215" s="61">
        <f t="shared" si="100"/>
        <v>1147941.250366892</v>
      </c>
      <c r="O215" s="62"/>
      <c r="P215" s="59"/>
      <c r="Q215" s="63" t="s">
        <v>445</v>
      </c>
      <c r="R215" s="63">
        <v>1</v>
      </c>
      <c r="S215" s="63" t="s">
        <v>424</v>
      </c>
      <c r="T215" s="63"/>
      <c r="U215" s="63"/>
      <c r="V215" s="59">
        <v>1147941.2503668901</v>
      </c>
      <c r="W215" s="59">
        <f t="shared" si="101"/>
        <v>1.862645149230957E-9</v>
      </c>
      <c r="X215" s="30">
        <f t="shared" si="87"/>
        <v>1.6225962335926535E-15</v>
      </c>
    </row>
    <row r="216" spans="1:24" ht="14.25" customHeight="1" x14ac:dyDescent="0.3">
      <c r="A216" s="113">
        <v>28.04</v>
      </c>
      <c r="B216" s="114" t="s">
        <v>2033</v>
      </c>
      <c r="C216" s="114" t="s">
        <v>446</v>
      </c>
      <c r="D216" s="114" t="s">
        <v>98</v>
      </c>
      <c r="E216" s="115">
        <v>4</v>
      </c>
      <c r="F216" s="64">
        <f>IF(Q216&lt;&gt;"",IFERROR(VLOOKUP(Q216,PARTIDAS!A:P,13,FALSE()),0),0)</f>
        <v>47125.768554935901</v>
      </c>
      <c r="G216" s="65">
        <f>IF(Q216&lt;&gt;"",IFERROR(VLOOKUP(Q216,PARTIDAS!A:P,14,FALSE()),0),0)</f>
        <v>0</v>
      </c>
      <c r="H216" s="65">
        <f>IF(Q216&lt;&gt;"",IFERROR(VLOOKUP(Q216,PARTIDAS!A:P,15,FALSE()),0),0)</f>
        <v>0</v>
      </c>
      <c r="I216" s="66">
        <f t="shared" si="95"/>
        <v>47125.768554935901</v>
      </c>
      <c r="J216" s="67">
        <f t="shared" si="96"/>
        <v>188503.0742197436</v>
      </c>
      <c r="K216" s="68">
        <f t="shared" si="97"/>
        <v>0</v>
      </c>
      <c r="L216" s="68">
        <f t="shared" si="98"/>
        <v>0</v>
      </c>
      <c r="M216" s="69">
        <f t="shared" si="99"/>
        <v>188503.0742197436</v>
      </c>
      <c r="N216" s="70">
        <f t="shared" si="100"/>
        <v>188503.0742197436</v>
      </c>
      <c r="O216" s="71"/>
      <c r="P216" s="68"/>
      <c r="Q216" s="72" t="s">
        <v>447</v>
      </c>
      <c r="R216" s="72">
        <v>1</v>
      </c>
      <c r="S216" s="72" t="s">
        <v>424</v>
      </c>
      <c r="T216" s="72"/>
      <c r="U216" s="72"/>
      <c r="V216" s="68">
        <v>188503.07421974401</v>
      </c>
      <c r="W216" s="68">
        <f t="shared" si="101"/>
        <v>-4.0745362639427185E-10</v>
      </c>
      <c r="X216" s="30">
        <f t="shared" si="87"/>
        <v>-2.1615224477415697E-15</v>
      </c>
    </row>
    <row r="217" spans="1:24" ht="14.25" customHeight="1" x14ac:dyDescent="0.3">
      <c r="A217" s="110">
        <v>28.05</v>
      </c>
      <c r="B217" s="111" t="s">
        <v>2033</v>
      </c>
      <c r="C217" s="111" t="s">
        <v>448</v>
      </c>
      <c r="D217" s="111" t="s">
        <v>98</v>
      </c>
      <c r="E217" s="112">
        <v>1</v>
      </c>
      <c r="F217" s="55">
        <f>IF(Q217&lt;&gt;"",IFERROR(VLOOKUP(Q217,PARTIDAS!A:P,13,FALSE()),0),0)</f>
        <v>137686.18800508801</v>
      </c>
      <c r="G217" s="56">
        <f>IF(Q217&lt;&gt;"",IFERROR(VLOOKUP(Q217,PARTIDAS!A:P,14,FALSE()),0),0)</f>
        <v>0</v>
      </c>
      <c r="H217" s="56">
        <f>IF(Q217&lt;&gt;"",IFERROR(VLOOKUP(Q217,PARTIDAS!A:P,15,FALSE()),0),0)</f>
        <v>0</v>
      </c>
      <c r="I217" s="57">
        <f t="shared" si="95"/>
        <v>137686.18800508801</v>
      </c>
      <c r="J217" s="58">
        <f t="shared" si="96"/>
        <v>137686.18800508801</v>
      </c>
      <c r="K217" s="59">
        <f t="shared" si="97"/>
        <v>0</v>
      </c>
      <c r="L217" s="59">
        <f t="shared" si="98"/>
        <v>0</v>
      </c>
      <c r="M217" s="60">
        <f t="shared" si="99"/>
        <v>137686.18800508801</v>
      </c>
      <c r="N217" s="61">
        <f t="shared" si="100"/>
        <v>137686.18800508801</v>
      </c>
      <c r="O217" s="62"/>
      <c r="P217" s="59"/>
      <c r="Q217" s="63" t="s">
        <v>449</v>
      </c>
      <c r="R217" s="63">
        <v>1</v>
      </c>
      <c r="S217" s="63" t="s">
        <v>424</v>
      </c>
      <c r="T217" s="63"/>
      <c r="U217" s="63"/>
      <c r="V217" s="59">
        <v>137686.18800508801</v>
      </c>
      <c r="W217" s="59">
        <f t="shared" si="101"/>
        <v>0</v>
      </c>
      <c r="X217" s="30">
        <f t="shared" si="87"/>
        <v>0</v>
      </c>
    </row>
    <row r="218" spans="1:24" ht="14.25" customHeight="1" x14ac:dyDescent="0.3">
      <c r="A218" s="113">
        <v>28.06</v>
      </c>
      <c r="B218" s="114" t="s">
        <v>2033</v>
      </c>
      <c r="C218" s="114" t="s">
        <v>450</v>
      </c>
      <c r="D218" s="114" t="s">
        <v>98</v>
      </c>
      <c r="E218" s="115">
        <v>1</v>
      </c>
      <c r="F218" s="64">
        <f>IF(Q218&lt;&gt;"",IFERROR(VLOOKUP(Q218,PARTIDAS!A:P,13,FALSE()),0),0)</f>
        <v>48000.991448977598</v>
      </c>
      <c r="G218" s="65">
        <f>IF(Q218&lt;&gt;"",IFERROR(VLOOKUP(Q218,PARTIDAS!A:P,14,FALSE()),0),0)</f>
        <v>0</v>
      </c>
      <c r="H218" s="65">
        <f>IF(Q218&lt;&gt;"",IFERROR(VLOOKUP(Q218,PARTIDAS!A:P,15,FALSE()),0),0)</f>
        <v>0</v>
      </c>
      <c r="I218" s="66">
        <f t="shared" si="95"/>
        <v>48000.991448977598</v>
      </c>
      <c r="J218" s="67">
        <f t="shared" si="96"/>
        <v>48000.991448977598</v>
      </c>
      <c r="K218" s="68">
        <f t="shared" si="97"/>
        <v>0</v>
      </c>
      <c r="L218" s="68">
        <f t="shared" si="98"/>
        <v>0</v>
      </c>
      <c r="M218" s="69">
        <f t="shared" si="99"/>
        <v>48000.991448977598</v>
      </c>
      <c r="N218" s="70">
        <f t="shared" si="100"/>
        <v>48000.991448977598</v>
      </c>
      <c r="O218" s="71"/>
      <c r="P218" s="68"/>
      <c r="Q218" s="72" t="s">
        <v>451</v>
      </c>
      <c r="R218" s="72">
        <v>1</v>
      </c>
      <c r="S218" s="72" t="s">
        <v>424</v>
      </c>
      <c r="T218" s="72"/>
      <c r="U218" s="72"/>
      <c r="V218" s="68">
        <v>48000.991448977598</v>
      </c>
      <c r="W218" s="68">
        <f t="shared" si="101"/>
        <v>0</v>
      </c>
      <c r="X218" s="30">
        <f t="shared" si="87"/>
        <v>0</v>
      </c>
    </row>
    <row r="219" spans="1:24" ht="14.25" customHeight="1" x14ac:dyDescent="0.3">
      <c r="A219" s="110">
        <v>28.07</v>
      </c>
      <c r="B219" s="111" t="s">
        <v>2033</v>
      </c>
      <c r="C219" s="111" t="s">
        <v>452</v>
      </c>
      <c r="D219" s="111" t="s">
        <v>98</v>
      </c>
      <c r="E219" s="112">
        <v>7</v>
      </c>
      <c r="F219" s="55">
        <f>IF(Q219&lt;&gt;"",IFERROR(VLOOKUP(Q219,PARTIDAS!A:P,13,FALSE()),0),0)</f>
        <v>63187.068936503303</v>
      </c>
      <c r="G219" s="56">
        <f>IF(Q219&lt;&gt;"",IFERROR(VLOOKUP(Q219,PARTIDAS!A:P,14,FALSE()),0),0)</f>
        <v>0</v>
      </c>
      <c r="H219" s="56">
        <f>IF(Q219&lt;&gt;"",IFERROR(VLOOKUP(Q219,PARTIDAS!A:P,15,FALSE()),0),0)</f>
        <v>0</v>
      </c>
      <c r="I219" s="57">
        <f t="shared" si="95"/>
        <v>63187.068936503303</v>
      </c>
      <c r="J219" s="58">
        <f t="shared" si="96"/>
        <v>442309.48255552311</v>
      </c>
      <c r="K219" s="59">
        <f t="shared" si="97"/>
        <v>0</v>
      </c>
      <c r="L219" s="59">
        <f t="shared" si="98"/>
        <v>0</v>
      </c>
      <c r="M219" s="60">
        <f t="shared" si="99"/>
        <v>442309.48255552311</v>
      </c>
      <c r="N219" s="61">
        <f t="shared" si="100"/>
        <v>442309.48255552311</v>
      </c>
      <c r="O219" s="62"/>
      <c r="P219" s="59"/>
      <c r="Q219" s="63" t="s">
        <v>453</v>
      </c>
      <c r="R219" s="63">
        <v>1</v>
      </c>
      <c r="S219" s="63" t="s">
        <v>424</v>
      </c>
      <c r="T219" s="63"/>
      <c r="U219" s="63"/>
      <c r="V219" s="59">
        <v>442309.48255552299</v>
      </c>
      <c r="W219" s="59">
        <f t="shared" si="101"/>
        <v>0</v>
      </c>
      <c r="X219" s="30">
        <f t="shared" si="87"/>
        <v>0</v>
      </c>
    </row>
    <row r="220" spans="1:24" ht="14.25" customHeight="1" x14ac:dyDescent="0.3">
      <c r="A220" s="113">
        <v>28.08</v>
      </c>
      <c r="B220" s="114" t="s">
        <v>2033</v>
      </c>
      <c r="C220" s="114" t="s">
        <v>454</v>
      </c>
      <c r="D220" s="114" t="s">
        <v>98</v>
      </c>
      <c r="E220" s="115">
        <v>3</v>
      </c>
      <c r="F220" s="64">
        <f>IF(Q220&lt;&gt;"",IFERROR(VLOOKUP(Q220,PARTIDAS!A:P,13,FALSE()),0),0)</f>
        <v>288770.79096623498</v>
      </c>
      <c r="G220" s="65">
        <f>IF(Q220&lt;&gt;"",IFERROR(VLOOKUP(Q220,PARTIDAS!A:P,14,FALSE()),0),0)</f>
        <v>0</v>
      </c>
      <c r="H220" s="65">
        <f>IF(Q220&lt;&gt;"",IFERROR(VLOOKUP(Q220,PARTIDAS!A:P,15,FALSE()),0),0)</f>
        <v>0</v>
      </c>
      <c r="I220" s="66">
        <f t="shared" si="95"/>
        <v>288770.79096623498</v>
      </c>
      <c r="J220" s="67">
        <f t="shared" si="96"/>
        <v>866312.37289870495</v>
      </c>
      <c r="K220" s="68">
        <f t="shared" si="97"/>
        <v>0</v>
      </c>
      <c r="L220" s="68">
        <f t="shared" si="98"/>
        <v>0</v>
      </c>
      <c r="M220" s="69">
        <f t="shared" si="99"/>
        <v>866312.37289870495</v>
      </c>
      <c r="N220" s="70">
        <f t="shared" si="100"/>
        <v>866312.37289870495</v>
      </c>
      <c r="O220" s="71"/>
      <c r="P220" s="68"/>
      <c r="Q220" s="72" t="s">
        <v>455</v>
      </c>
      <c r="R220" s="72">
        <v>1</v>
      </c>
      <c r="S220" s="72" t="s">
        <v>424</v>
      </c>
      <c r="T220" s="72"/>
      <c r="U220" s="72"/>
      <c r="V220" s="68">
        <v>866312.37289870402</v>
      </c>
      <c r="W220" s="68">
        <f t="shared" si="101"/>
        <v>9.3132257461547852E-10</v>
      </c>
      <c r="X220" s="30">
        <f t="shared" si="87"/>
        <v>1.075042448602285E-15</v>
      </c>
    </row>
    <row r="221" spans="1:24" ht="14.25" customHeight="1" x14ac:dyDescent="0.3">
      <c r="A221" s="116">
        <v>29</v>
      </c>
      <c r="B221" s="108"/>
      <c r="C221" s="108" t="s">
        <v>2031</v>
      </c>
      <c r="D221" s="108"/>
      <c r="E221" s="109"/>
      <c r="F221" s="73"/>
      <c r="G221" s="74"/>
      <c r="H221" s="74"/>
      <c r="I221" s="75"/>
      <c r="J221" s="76"/>
      <c r="K221" s="54"/>
      <c r="L221" s="54"/>
      <c r="M221" s="77"/>
      <c r="N221" s="78"/>
      <c r="O221" s="53">
        <f>SUM(M222:M228)</f>
        <v>10641154.679665048</v>
      </c>
      <c r="P221" s="54">
        <f>SUM(N222:N228)</f>
        <v>10641154.679665048</v>
      </c>
      <c r="Q221" s="46"/>
      <c r="R221" s="46"/>
      <c r="S221" s="46"/>
      <c r="T221" s="46"/>
      <c r="U221" s="46"/>
      <c r="V221" s="54"/>
      <c r="W221" s="54"/>
      <c r="X221" s="30">
        <f t="shared" si="87"/>
        <v>0</v>
      </c>
    </row>
    <row r="222" spans="1:24" ht="14.25" customHeight="1" x14ac:dyDescent="0.3">
      <c r="A222" s="113">
        <v>29.01</v>
      </c>
      <c r="B222" s="114" t="s">
        <v>2031</v>
      </c>
      <c r="C222" s="114" t="s">
        <v>456</v>
      </c>
      <c r="D222" s="114" t="s">
        <v>98</v>
      </c>
      <c r="E222" s="115">
        <v>1</v>
      </c>
      <c r="F222" s="64">
        <f>IF(Q222&lt;&gt;"",IFERROR(VLOOKUP(Q222,PARTIDAS!A:P,13,FALSE()),0),0)</f>
        <v>285491.67201643699</v>
      </c>
      <c r="G222" s="65">
        <f>IF(Q222&lt;&gt;"",IFERROR(VLOOKUP(Q222,PARTIDAS!A:P,14,FALSE()),0),0)</f>
        <v>0</v>
      </c>
      <c r="H222" s="65">
        <f>IF(Q222&lt;&gt;"",IFERROR(VLOOKUP(Q222,PARTIDAS!A:P,15,FALSE()),0),0)</f>
        <v>0</v>
      </c>
      <c r="I222" s="66">
        <f t="shared" ref="I222:I228" si="102">F222+G222+H222</f>
        <v>285491.67201643699</v>
      </c>
      <c r="J222" s="67">
        <f t="shared" ref="J222:J228" si="103">F222*E222</f>
        <v>285491.67201643699</v>
      </c>
      <c r="K222" s="68">
        <f t="shared" ref="K222:K228" si="104">G222*E222</f>
        <v>0</v>
      </c>
      <c r="L222" s="68">
        <f t="shared" ref="L222:L228" si="105">H222*E222</f>
        <v>0</v>
      </c>
      <c r="M222" s="69">
        <f t="shared" ref="M222:M228" si="106">I222*E222</f>
        <v>285491.67201643699</v>
      </c>
      <c r="N222" s="70">
        <f t="shared" ref="N222:N228" si="107">M222*$N$2</f>
        <v>285491.67201643699</v>
      </c>
      <c r="O222" s="71"/>
      <c r="P222" s="68"/>
      <c r="Q222" s="72" t="s">
        <v>457</v>
      </c>
      <c r="R222" s="72">
        <v>1</v>
      </c>
      <c r="S222" s="72" t="s">
        <v>424</v>
      </c>
      <c r="T222" s="72"/>
      <c r="U222" s="72"/>
      <c r="V222" s="68">
        <v>285491.67201643699</v>
      </c>
      <c r="W222" s="68">
        <f t="shared" ref="W222:W228" si="108">M222-V222</f>
        <v>0</v>
      </c>
      <c r="X222" s="30">
        <f t="shared" si="87"/>
        <v>0</v>
      </c>
    </row>
    <row r="223" spans="1:24" ht="14.25" customHeight="1" x14ac:dyDescent="0.3">
      <c r="A223" s="110">
        <v>29.02</v>
      </c>
      <c r="B223" s="111" t="s">
        <v>2031</v>
      </c>
      <c r="C223" s="111" t="s">
        <v>458</v>
      </c>
      <c r="D223" s="111" t="s">
        <v>98</v>
      </c>
      <c r="E223" s="112">
        <v>3</v>
      </c>
      <c r="F223" s="55">
        <f>IF(Q223&lt;&gt;"",IFERROR(VLOOKUP(Q223,PARTIDAS!A:P,13,FALSE()),0),0)</f>
        <v>326160.39477108797</v>
      </c>
      <c r="G223" s="56">
        <f>IF(Q223&lt;&gt;"",IFERROR(VLOOKUP(Q223,PARTIDAS!A:P,14,FALSE()),0),0)</f>
        <v>0</v>
      </c>
      <c r="H223" s="56">
        <f>IF(Q223&lt;&gt;"",IFERROR(VLOOKUP(Q223,PARTIDAS!A:P,15,FALSE()),0),0)</f>
        <v>0</v>
      </c>
      <c r="I223" s="57">
        <f t="shared" si="102"/>
        <v>326160.39477108797</v>
      </c>
      <c r="J223" s="58">
        <f t="shared" si="103"/>
        <v>978481.18431326398</v>
      </c>
      <c r="K223" s="59">
        <f t="shared" si="104"/>
        <v>0</v>
      </c>
      <c r="L223" s="59">
        <f t="shared" si="105"/>
        <v>0</v>
      </c>
      <c r="M223" s="60">
        <f t="shared" si="106"/>
        <v>978481.18431326398</v>
      </c>
      <c r="N223" s="61">
        <f t="shared" si="107"/>
        <v>978481.18431326398</v>
      </c>
      <c r="O223" s="62"/>
      <c r="P223" s="59"/>
      <c r="Q223" s="63" t="s">
        <v>459</v>
      </c>
      <c r="R223" s="63">
        <v>1</v>
      </c>
      <c r="S223" s="63" t="s">
        <v>424</v>
      </c>
      <c r="T223" s="63"/>
      <c r="U223" s="63"/>
      <c r="V223" s="59">
        <v>978481.18431326502</v>
      </c>
      <c r="W223" s="59">
        <f t="shared" si="108"/>
        <v>-1.0477378964424133E-9</v>
      </c>
      <c r="X223" s="30">
        <f t="shared" si="87"/>
        <v>-1.0707798098108093E-15</v>
      </c>
    </row>
    <row r="224" spans="1:24" ht="14.25" customHeight="1" x14ac:dyDescent="0.3">
      <c r="A224" s="113">
        <v>29.03</v>
      </c>
      <c r="B224" s="114" t="s">
        <v>2031</v>
      </c>
      <c r="C224" s="114" t="s">
        <v>460</v>
      </c>
      <c r="D224" s="114" t="s">
        <v>98</v>
      </c>
      <c r="E224" s="115">
        <v>1</v>
      </c>
      <c r="F224" s="64">
        <f>IF(Q224&lt;&gt;"",IFERROR(VLOOKUP(Q224,PARTIDAS!A:P,13,FALSE()),0),0)</f>
        <v>78983.161018664003</v>
      </c>
      <c r="G224" s="65">
        <f>IF(Q224&lt;&gt;"",IFERROR(VLOOKUP(Q224,PARTIDAS!A:P,14,FALSE()),0),0)</f>
        <v>0</v>
      </c>
      <c r="H224" s="65">
        <f>IF(Q224&lt;&gt;"",IFERROR(VLOOKUP(Q224,PARTIDAS!A:P,15,FALSE()),0),0)</f>
        <v>0</v>
      </c>
      <c r="I224" s="66">
        <f t="shared" si="102"/>
        <v>78983.161018664003</v>
      </c>
      <c r="J224" s="67">
        <f t="shared" si="103"/>
        <v>78983.161018664003</v>
      </c>
      <c r="K224" s="68">
        <f t="shared" si="104"/>
        <v>0</v>
      </c>
      <c r="L224" s="68">
        <f t="shared" si="105"/>
        <v>0</v>
      </c>
      <c r="M224" s="69">
        <f t="shared" si="106"/>
        <v>78983.161018664003</v>
      </c>
      <c r="N224" s="70">
        <f t="shared" si="107"/>
        <v>78983.161018664003</v>
      </c>
      <c r="O224" s="71"/>
      <c r="P224" s="68"/>
      <c r="Q224" s="72" t="s">
        <v>461</v>
      </c>
      <c r="R224" s="72">
        <v>1</v>
      </c>
      <c r="S224" s="72" t="s">
        <v>424</v>
      </c>
      <c r="T224" s="72"/>
      <c r="U224" s="72"/>
      <c r="V224" s="68">
        <v>78983.161018664003</v>
      </c>
      <c r="W224" s="68">
        <f t="shared" si="108"/>
        <v>0</v>
      </c>
      <c r="X224" s="30">
        <f t="shared" si="87"/>
        <v>0</v>
      </c>
    </row>
    <row r="225" spans="1:24" ht="14.25" customHeight="1" x14ac:dyDescent="0.3">
      <c r="A225" s="110">
        <v>29.04</v>
      </c>
      <c r="B225" s="111" t="s">
        <v>2031</v>
      </c>
      <c r="C225" s="111" t="s">
        <v>462</v>
      </c>
      <c r="D225" s="111" t="s">
        <v>98</v>
      </c>
      <c r="E225" s="112">
        <v>3</v>
      </c>
      <c r="F225" s="55">
        <f>IF(Q225&lt;&gt;"",IFERROR(VLOOKUP(Q225,PARTIDAS!A:P,13,FALSE()),0),0)</f>
        <v>100197.178160304</v>
      </c>
      <c r="G225" s="56">
        <f>IF(Q225&lt;&gt;"",IFERROR(VLOOKUP(Q225,PARTIDAS!A:P,14,FALSE()),0),0)</f>
        <v>0</v>
      </c>
      <c r="H225" s="56">
        <f>IF(Q225&lt;&gt;"",IFERROR(VLOOKUP(Q225,PARTIDAS!A:P,15,FALSE()),0),0)</f>
        <v>0</v>
      </c>
      <c r="I225" s="57">
        <f t="shared" si="102"/>
        <v>100197.178160304</v>
      </c>
      <c r="J225" s="58">
        <f t="shared" si="103"/>
        <v>300591.53448091203</v>
      </c>
      <c r="K225" s="59">
        <f t="shared" si="104"/>
        <v>0</v>
      </c>
      <c r="L225" s="59">
        <f t="shared" si="105"/>
        <v>0</v>
      </c>
      <c r="M225" s="60">
        <f t="shared" si="106"/>
        <v>300591.53448091203</v>
      </c>
      <c r="N225" s="61">
        <f t="shared" si="107"/>
        <v>300591.53448091203</v>
      </c>
      <c r="O225" s="62"/>
      <c r="P225" s="59"/>
      <c r="Q225" s="63" t="s">
        <v>463</v>
      </c>
      <c r="R225" s="63">
        <v>1</v>
      </c>
      <c r="S225" s="63" t="s">
        <v>424</v>
      </c>
      <c r="T225" s="63"/>
      <c r="U225" s="63"/>
      <c r="V225" s="59">
        <v>300591.53448091302</v>
      </c>
      <c r="W225" s="59">
        <f t="shared" si="108"/>
        <v>-9.8953023552894592E-10</v>
      </c>
      <c r="X225" s="30">
        <f t="shared" si="87"/>
        <v>-3.2919431255366213E-15</v>
      </c>
    </row>
    <row r="226" spans="1:24" ht="14.25" customHeight="1" x14ac:dyDescent="0.3">
      <c r="A226" s="113">
        <v>29.05</v>
      </c>
      <c r="B226" s="114" t="s">
        <v>2031</v>
      </c>
      <c r="C226" s="114" t="s">
        <v>464</v>
      </c>
      <c r="D226" s="114" t="s">
        <v>98</v>
      </c>
      <c r="E226" s="115">
        <v>4</v>
      </c>
      <c r="F226" s="64">
        <f>IF(Q226&lt;&gt;"",IFERROR(VLOOKUP(Q226,PARTIDAS!A:P,13,FALSE()),0),0)</f>
        <v>30601.781958942702</v>
      </c>
      <c r="G226" s="65">
        <f>IF(Q226&lt;&gt;"",IFERROR(VLOOKUP(Q226,PARTIDAS!A:P,14,FALSE()),0),0)</f>
        <v>0</v>
      </c>
      <c r="H226" s="65">
        <f>IF(Q226&lt;&gt;"",IFERROR(VLOOKUP(Q226,PARTIDAS!A:P,15,FALSE()),0),0)</f>
        <v>0</v>
      </c>
      <c r="I226" s="66">
        <f t="shared" si="102"/>
        <v>30601.781958942702</v>
      </c>
      <c r="J226" s="67">
        <f t="shared" si="103"/>
        <v>122407.12783577081</v>
      </c>
      <c r="K226" s="68">
        <f t="shared" si="104"/>
        <v>0</v>
      </c>
      <c r="L226" s="68">
        <f t="shared" si="105"/>
        <v>0</v>
      </c>
      <c r="M226" s="69">
        <f t="shared" si="106"/>
        <v>122407.12783577081</v>
      </c>
      <c r="N226" s="70">
        <f t="shared" si="107"/>
        <v>122407.12783577081</v>
      </c>
      <c r="O226" s="71"/>
      <c r="P226" s="68"/>
      <c r="Q226" s="72" t="s">
        <v>465</v>
      </c>
      <c r="R226" s="72">
        <v>1</v>
      </c>
      <c r="S226" s="72" t="s">
        <v>424</v>
      </c>
      <c r="T226" s="72"/>
      <c r="U226" s="72"/>
      <c r="V226" s="68">
        <v>122407.127835771</v>
      </c>
      <c r="W226" s="68">
        <f t="shared" si="108"/>
        <v>-1.8917489796876907E-10</v>
      </c>
      <c r="X226" s="30">
        <f t="shared" si="87"/>
        <v>-1.5454565539890606E-15</v>
      </c>
    </row>
    <row r="227" spans="1:24" ht="14.25" customHeight="1" x14ac:dyDescent="0.3">
      <c r="A227" s="110">
        <v>29.06</v>
      </c>
      <c r="B227" s="111" t="s">
        <v>2031</v>
      </c>
      <c r="C227" s="111" t="s">
        <v>466</v>
      </c>
      <c r="D227" s="111" t="s">
        <v>98</v>
      </c>
      <c r="E227" s="112">
        <v>4</v>
      </c>
      <c r="F227" s="55">
        <f>IF(Q227&lt;&gt;"",IFERROR(VLOOKUP(Q227,PARTIDAS!A:P,13,FALSE()),0),0)</f>
        <v>2020800</v>
      </c>
      <c r="G227" s="56">
        <f>IF(Q227&lt;&gt;"",IFERROR(VLOOKUP(Q227,PARTIDAS!A:P,14,FALSE()),0),0)</f>
        <v>0</v>
      </c>
      <c r="H227" s="56">
        <f>IF(Q227&lt;&gt;"",IFERROR(VLOOKUP(Q227,PARTIDAS!A:P,15,FALSE()),0),0)</f>
        <v>0</v>
      </c>
      <c r="I227" s="57">
        <f t="shared" si="102"/>
        <v>2020800</v>
      </c>
      <c r="J227" s="58">
        <f t="shared" si="103"/>
        <v>8083200</v>
      </c>
      <c r="K227" s="59">
        <f t="shared" si="104"/>
        <v>0</v>
      </c>
      <c r="L227" s="59">
        <f t="shared" si="105"/>
        <v>0</v>
      </c>
      <c r="M227" s="60">
        <f t="shared" si="106"/>
        <v>8083200</v>
      </c>
      <c r="N227" s="61">
        <f t="shared" si="107"/>
        <v>8083200</v>
      </c>
      <c r="O227" s="62"/>
      <c r="P227" s="59"/>
      <c r="Q227" s="63" t="s">
        <v>467</v>
      </c>
      <c r="R227" s="63">
        <v>1</v>
      </c>
      <c r="S227" s="63" t="s">
        <v>424</v>
      </c>
      <c r="T227" s="63"/>
      <c r="U227" s="63"/>
      <c r="V227" s="59">
        <v>8083200</v>
      </c>
      <c r="W227" s="59">
        <f t="shared" si="108"/>
        <v>0</v>
      </c>
      <c r="X227" s="30">
        <f t="shared" si="87"/>
        <v>0</v>
      </c>
    </row>
    <row r="228" spans="1:24" ht="14.25" customHeight="1" x14ac:dyDescent="0.3">
      <c r="A228" s="113">
        <v>29.07</v>
      </c>
      <c r="B228" s="114" t="s">
        <v>2031</v>
      </c>
      <c r="C228" s="114" t="s">
        <v>468</v>
      </c>
      <c r="D228" s="114" t="s">
        <v>98</v>
      </c>
      <c r="E228" s="115">
        <v>12</v>
      </c>
      <c r="F228" s="64">
        <f>IF(Q228&lt;&gt;"",IFERROR(VLOOKUP(Q228,PARTIDAS!A:P,13,FALSE()),0),0)</f>
        <v>66000</v>
      </c>
      <c r="G228" s="65">
        <f>IF(Q228&lt;&gt;"",IFERROR(VLOOKUP(Q228,PARTIDAS!A:P,14,FALSE()),0),0)</f>
        <v>0</v>
      </c>
      <c r="H228" s="65">
        <f>IF(Q228&lt;&gt;"",IFERROR(VLOOKUP(Q228,PARTIDAS!A:P,15,FALSE()),0),0)</f>
        <v>0</v>
      </c>
      <c r="I228" s="66">
        <f t="shared" si="102"/>
        <v>66000</v>
      </c>
      <c r="J228" s="67">
        <f t="shared" si="103"/>
        <v>792000</v>
      </c>
      <c r="K228" s="68">
        <f t="shared" si="104"/>
        <v>0</v>
      </c>
      <c r="L228" s="68">
        <f t="shared" si="105"/>
        <v>0</v>
      </c>
      <c r="M228" s="69">
        <f t="shared" si="106"/>
        <v>792000</v>
      </c>
      <c r="N228" s="70">
        <f t="shared" si="107"/>
        <v>792000</v>
      </c>
      <c r="O228" s="71"/>
      <c r="P228" s="68"/>
      <c r="Q228" s="72" t="s">
        <v>469</v>
      </c>
      <c r="R228" s="72">
        <v>1</v>
      </c>
      <c r="S228" s="72" t="s">
        <v>424</v>
      </c>
      <c r="T228" s="72"/>
      <c r="U228" s="72"/>
      <c r="V228" s="68">
        <v>792000</v>
      </c>
      <c r="W228" s="68">
        <f t="shared" si="108"/>
        <v>0</v>
      </c>
      <c r="X228" s="30">
        <f t="shared" si="87"/>
        <v>0</v>
      </c>
    </row>
    <row r="229" spans="1:24" ht="14.25" customHeight="1" x14ac:dyDescent="0.3">
      <c r="A229" s="116">
        <v>30</v>
      </c>
      <c r="B229" s="108"/>
      <c r="C229" s="108" t="s">
        <v>2034</v>
      </c>
      <c r="D229" s="108"/>
      <c r="E229" s="109"/>
      <c r="F229" s="73"/>
      <c r="G229" s="74"/>
      <c r="H229" s="74"/>
      <c r="I229" s="75"/>
      <c r="J229" s="76"/>
      <c r="K229" s="54"/>
      <c r="L229" s="54"/>
      <c r="M229" s="77"/>
      <c r="N229" s="78"/>
      <c r="O229" s="53">
        <f>SUM(M230:M236)</f>
        <v>0</v>
      </c>
      <c r="P229" s="54">
        <f>SUM(N230:N236)</f>
        <v>0</v>
      </c>
      <c r="Q229" s="46"/>
      <c r="R229" s="46"/>
      <c r="S229" s="46"/>
      <c r="T229" s="46"/>
      <c r="U229" s="46"/>
      <c r="V229" s="54"/>
      <c r="W229" s="54"/>
      <c r="X229" s="30">
        <f t="shared" si="87"/>
        <v>0</v>
      </c>
    </row>
    <row r="230" spans="1:24" ht="14.25" customHeight="1" x14ac:dyDescent="0.3">
      <c r="A230" s="113">
        <v>30.01</v>
      </c>
      <c r="B230" s="114" t="s">
        <v>2034</v>
      </c>
      <c r="C230" s="114" t="s">
        <v>470</v>
      </c>
      <c r="D230" s="114" t="s">
        <v>98</v>
      </c>
      <c r="E230" s="115">
        <v>0</v>
      </c>
      <c r="F230" s="64">
        <f>IF(Q230&lt;&gt;"",IFERROR(VLOOKUP(Q230,PARTIDAS!A:P,13,FALSE()),0),0)</f>
        <v>5892.0807877668303</v>
      </c>
      <c r="G230" s="65">
        <f>IF(Q230&lt;&gt;"",IFERROR(VLOOKUP(Q230,PARTIDAS!A:P,14,FALSE()),0),0)</f>
        <v>0</v>
      </c>
      <c r="H230" s="65">
        <f>IF(Q230&lt;&gt;"",IFERROR(VLOOKUP(Q230,PARTIDAS!A:P,15,FALSE()),0),0)</f>
        <v>0</v>
      </c>
      <c r="I230" s="66">
        <f t="shared" ref="I230:I236" si="109">F230+G230+H230</f>
        <v>5892.0807877668303</v>
      </c>
      <c r="J230" s="67">
        <f t="shared" ref="J230:J236" si="110">F230*E230</f>
        <v>0</v>
      </c>
      <c r="K230" s="68">
        <f t="shared" ref="K230:K236" si="111">G230*E230</f>
        <v>0</v>
      </c>
      <c r="L230" s="68">
        <f t="shared" ref="L230:L236" si="112">H230*E230</f>
        <v>0</v>
      </c>
      <c r="M230" s="69">
        <f t="shared" ref="M230:M236" si="113">I230*E230</f>
        <v>0</v>
      </c>
      <c r="N230" s="70">
        <f t="shared" ref="N230:N236" si="114">M230*$N$2</f>
        <v>0</v>
      </c>
      <c r="O230" s="71"/>
      <c r="P230" s="68"/>
      <c r="Q230" s="72" t="s">
        <v>471</v>
      </c>
      <c r="R230" s="72">
        <v>1</v>
      </c>
      <c r="S230" s="72" t="s">
        <v>304</v>
      </c>
      <c r="T230" s="72"/>
      <c r="U230" s="72"/>
      <c r="V230" s="68">
        <v>0</v>
      </c>
      <c r="W230" s="68">
        <f t="shared" ref="W230:W236" si="115">M230-V230</f>
        <v>0</v>
      </c>
      <c r="X230" s="30">
        <f t="shared" si="87"/>
        <v>0</v>
      </c>
    </row>
    <row r="231" spans="1:24" ht="14.25" customHeight="1" x14ac:dyDescent="0.3">
      <c r="A231" s="110">
        <v>30.02</v>
      </c>
      <c r="B231" s="111" t="s">
        <v>2034</v>
      </c>
      <c r="C231" s="111" t="s">
        <v>472</v>
      </c>
      <c r="D231" s="111" t="s">
        <v>98</v>
      </c>
      <c r="E231" s="112">
        <v>0</v>
      </c>
      <c r="F231" s="55">
        <f>IF(Q231&lt;&gt;"",IFERROR(VLOOKUP(Q231,PARTIDAS!A:P,13,FALSE()),0),0)</f>
        <v>1885.5105394124801</v>
      </c>
      <c r="G231" s="56">
        <f>IF(Q231&lt;&gt;"",IFERROR(VLOOKUP(Q231,PARTIDAS!A:P,14,FALSE()),0),0)</f>
        <v>0</v>
      </c>
      <c r="H231" s="56">
        <f>IF(Q231&lt;&gt;"",IFERROR(VLOOKUP(Q231,PARTIDAS!A:P,15,FALSE()),0),0)</f>
        <v>0</v>
      </c>
      <c r="I231" s="57">
        <f t="shared" si="109"/>
        <v>1885.5105394124801</v>
      </c>
      <c r="J231" s="58">
        <f t="shared" si="110"/>
        <v>0</v>
      </c>
      <c r="K231" s="59">
        <f t="shared" si="111"/>
        <v>0</v>
      </c>
      <c r="L231" s="59">
        <f t="shared" si="112"/>
        <v>0</v>
      </c>
      <c r="M231" s="60">
        <f t="shared" si="113"/>
        <v>0</v>
      </c>
      <c r="N231" s="61">
        <f t="shared" si="114"/>
        <v>0</v>
      </c>
      <c r="O231" s="62"/>
      <c r="P231" s="59"/>
      <c r="Q231" s="63" t="s">
        <v>473</v>
      </c>
      <c r="R231" s="63">
        <v>1</v>
      </c>
      <c r="S231" s="63" t="s">
        <v>304</v>
      </c>
      <c r="T231" s="63"/>
      <c r="U231" s="63"/>
      <c r="V231" s="59">
        <v>0</v>
      </c>
      <c r="W231" s="59">
        <f t="shared" si="115"/>
        <v>0</v>
      </c>
      <c r="X231" s="30">
        <f t="shared" si="87"/>
        <v>0</v>
      </c>
    </row>
    <row r="232" spans="1:24" ht="14.25" customHeight="1" x14ac:dyDescent="0.3">
      <c r="A232" s="113">
        <v>30.03</v>
      </c>
      <c r="B232" s="114" t="s">
        <v>2034</v>
      </c>
      <c r="C232" s="114" t="s">
        <v>474</v>
      </c>
      <c r="D232" s="114" t="s">
        <v>98</v>
      </c>
      <c r="E232" s="115">
        <v>0</v>
      </c>
      <c r="F232" s="64">
        <f>IF(Q232&lt;&gt;"",IFERROR(VLOOKUP(Q232,PARTIDAS!A:P,13,FALSE()),0),0)</f>
        <v>3839.53452028022</v>
      </c>
      <c r="G232" s="65">
        <f>IF(Q232&lt;&gt;"",IFERROR(VLOOKUP(Q232,PARTIDAS!A:P,14,FALSE()),0),0)</f>
        <v>0</v>
      </c>
      <c r="H232" s="65">
        <f>IF(Q232&lt;&gt;"",IFERROR(VLOOKUP(Q232,PARTIDAS!A:P,15,FALSE()),0),0)</f>
        <v>0</v>
      </c>
      <c r="I232" s="66">
        <f t="shared" si="109"/>
        <v>3839.53452028022</v>
      </c>
      <c r="J232" s="67">
        <f t="shared" si="110"/>
        <v>0</v>
      </c>
      <c r="K232" s="68">
        <f t="shared" si="111"/>
        <v>0</v>
      </c>
      <c r="L232" s="68">
        <f t="shared" si="112"/>
        <v>0</v>
      </c>
      <c r="M232" s="69">
        <f t="shared" si="113"/>
        <v>0</v>
      </c>
      <c r="N232" s="70">
        <f t="shared" si="114"/>
        <v>0</v>
      </c>
      <c r="O232" s="71"/>
      <c r="P232" s="68"/>
      <c r="Q232" s="72" t="s">
        <v>475</v>
      </c>
      <c r="R232" s="72">
        <v>1</v>
      </c>
      <c r="S232" s="72" t="s">
        <v>304</v>
      </c>
      <c r="T232" s="72"/>
      <c r="U232" s="72"/>
      <c r="V232" s="68">
        <v>0</v>
      </c>
      <c r="W232" s="68">
        <f t="shared" si="115"/>
        <v>0</v>
      </c>
      <c r="X232" s="30">
        <f t="shared" si="87"/>
        <v>0</v>
      </c>
    </row>
    <row r="233" spans="1:24" ht="14.25" customHeight="1" x14ac:dyDescent="0.3">
      <c r="A233" s="110">
        <v>30.04</v>
      </c>
      <c r="B233" s="111" t="s">
        <v>2034</v>
      </c>
      <c r="C233" s="111" t="s">
        <v>476</v>
      </c>
      <c r="D233" s="111" t="s">
        <v>98</v>
      </c>
      <c r="E233" s="112">
        <v>0</v>
      </c>
      <c r="F233" s="55">
        <f>IF(Q233&lt;&gt;"",IFERROR(VLOOKUP(Q233,PARTIDAS!A:P,13,FALSE()),0),0)</f>
        <v>6314.6459338307404</v>
      </c>
      <c r="G233" s="56">
        <f>IF(Q233&lt;&gt;"",IFERROR(VLOOKUP(Q233,PARTIDAS!A:P,14,FALSE()),0),0)</f>
        <v>0</v>
      </c>
      <c r="H233" s="56">
        <f>IF(Q233&lt;&gt;"",IFERROR(VLOOKUP(Q233,PARTIDAS!A:P,15,FALSE()),0),0)</f>
        <v>0</v>
      </c>
      <c r="I233" s="57">
        <f t="shared" si="109"/>
        <v>6314.6459338307404</v>
      </c>
      <c r="J233" s="58">
        <f t="shared" si="110"/>
        <v>0</v>
      </c>
      <c r="K233" s="59">
        <f t="shared" si="111"/>
        <v>0</v>
      </c>
      <c r="L233" s="59">
        <f t="shared" si="112"/>
        <v>0</v>
      </c>
      <c r="M233" s="60">
        <f t="shared" si="113"/>
        <v>0</v>
      </c>
      <c r="N233" s="61">
        <f t="shared" si="114"/>
        <v>0</v>
      </c>
      <c r="O233" s="62"/>
      <c r="P233" s="59"/>
      <c r="Q233" s="63" t="s">
        <v>477</v>
      </c>
      <c r="R233" s="63">
        <v>1</v>
      </c>
      <c r="S233" s="63" t="s">
        <v>304</v>
      </c>
      <c r="T233" s="63"/>
      <c r="U233" s="63"/>
      <c r="V233" s="59">
        <v>0</v>
      </c>
      <c r="W233" s="59">
        <f t="shared" si="115"/>
        <v>0</v>
      </c>
      <c r="X233" s="30">
        <f t="shared" si="87"/>
        <v>0</v>
      </c>
    </row>
    <row r="234" spans="1:24" ht="14.25" customHeight="1" x14ac:dyDescent="0.3">
      <c r="A234" s="113">
        <v>30.05</v>
      </c>
      <c r="B234" s="114" t="s">
        <v>2034</v>
      </c>
      <c r="C234" s="114" t="s">
        <v>478</v>
      </c>
      <c r="D234" s="114" t="s">
        <v>98</v>
      </c>
      <c r="E234" s="115">
        <v>0</v>
      </c>
      <c r="F234" s="64">
        <f>IF(Q234&lt;&gt;"",IFERROR(VLOOKUP(Q234,PARTIDAS!A:P,13,FALSE()),0),0)</f>
        <v>4996.5593136686502</v>
      </c>
      <c r="G234" s="65">
        <f>IF(Q234&lt;&gt;"",IFERROR(VLOOKUP(Q234,PARTIDAS!A:P,14,FALSE()),0),0)</f>
        <v>0</v>
      </c>
      <c r="H234" s="65">
        <f>IF(Q234&lt;&gt;"",IFERROR(VLOOKUP(Q234,PARTIDAS!A:P,15,FALSE()),0),0)</f>
        <v>0</v>
      </c>
      <c r="I234" s="66">
        <f t="shared" si="109"/>
        <v>4996.5593136686502</v>
      </c>
      <c r="J234" s="67">
        <f t="shared" si="110"/>
        <v>0</v>
      </c>
      <c r="K234" s="68">
        <f t="shared" si="111"/>
        <v>0</v>
      </c>
      <c r="L234" s="68">
        <f t="shared" si="112"/>
        <v>0</v>
      </c>
      <c r="M234" s="69">
        <f t="shared" si="113"/>
        <v>0</v>
      </c>
      <c r="N234" s="70">
        <f t="shared" si="114"/>
        <v>0</v>
      </c>
      <c r="O234" s="71"/>
      <c r="P234" s="68"/>
      <c r="Q234" s="72" t="s">
        <v>479</v>
      </c>
      <c r="R234" s="72">
        <v>1</v>
      </c>
      <c r="S234" s="72" t="s">
        <v>304</v>
      </c>
      <c r="T234" s="72"/>
      <c r="U234" s="72"/>
      <c r="V234" s="68">
        <v>0</v>
      </c>
      <c r="W234" s="68">
        <f t="shared" si="115"/>
        <v>0</v>
      </c>
      <c r="X234" s="30">
        <f t="shared" si="87"/>
        <v>0</v>
      </c>
    </row>
    <row r="235" spans="1:24" ht="14.25" customHeight="1" x14ac:dyDescent="0.3">
      <c r="A235" s="110">
        <v>30.06</v>
      </c>
      <c r="B235" s="111" t="s">
        <v>2034</v>
      </c>
      <c r="C235" s="111" t="s">
        <v>480</v>
      </c>
      <c r="D235" s="111" t="s">
        <v>98</v>
      </c>
      <c r="E235" s="112">
        <v>0</v>
      </c>
      <c r="F235" s="55">
        <f>IF(Q235&lt;&gt;"",IFERROR(VLOOKUP(Q235,PARTIDAS!A:P,13,FALSE()),0),0)</f>
        <v>12629.291867661501</v>
      </c>
      <c r="G235" s="56">
        <f>IF(Q235&lt;&gt;"",IFERROR(VLOOKUP(Q235,PARTIDAS!A:P,14,FALSE()),0),0)</f>
        <v>0</v>
      </c>
      <c r="H235" s="56">
        <f>IF(Q235&lt;&gt;"",IFERROR(VLOOKUP(Q235,PARTIDAS!A:P,15,FALSE()),0),0)</f>
        <v>0</v>
      </c>
      <c r="I235" s="57">
        <f t="shared" si="109"/>
        <v>12629.291867661501</v>
      </c>
      <c r="J235" s="58">
        <f t="shared" si="110"/>
        <v>0</v>
      </c>
      <c r="K235" s="59">
        <f t="shared" si="111"/>
        <v>0</v>
      </c>
      <c r="L235" s="59">
        <f t="shared" si="112"/>
        <v>0</v>
      </c>
      <c r="M235" s="60">
        <f t="shared" si="113"/>
        <v>0</v>
      </c>
      <c r="N235" s="61">
        <f t="shared" si="114"/>
        <v>0</v>
      </c>
      <c r="O235" s="62"/>
      <c r="P235" s="59"/>
      <c r="Q235" s="63" t="s">
        <v>481</v>
      </c>
      <c r="R235" s="63">
        <v>1</v>
      </c>
      <c r="S235" s="63" t="s">
        <v>304</v>
      </c>
      <c r="T235" s="63"/>
      <c r="U235" s="63"/>
      <c r="V235" s="59">
        <v>0</v>
      </c>
      <c r="W235" s="59">
        <f t="shared" si="115"/>
        <v>0</v>
      </c>
      <c r="X235" s="30">
        <f t="shared" si="87"/>
        <v>0</v>
      </c>
    </row>
    <row r="236" spans="1:24" ht="15" customHeight="1" x14ac:dyDescent="0.3">
      <c r="A236" s="113">
        <v>30.07</v>
      </c>
      <c r="B236" s="114" t="s">
        <v>2034</v>
      </c>
      <c r="C236" s="114" t="s">
        <v>482</v>
      </c>
      <c r="D236" s="114" t="s">
        <v>98</v>
      </c>
      <c r="E236" s="115">
        <v>0</v>
      </c>
      <c r="F236" s="79">
        <f>IF(Q236&lt;&gt;"",IFERROR(VLOOKUP(Q236,PARTIDAS!A:P,13,FALSE()),0),0)</f>
        <v>2203.1708839165899</v>
      </c>
      <c r="G236" s="80">
        <f>IF(Q236&lt;&gt;"",IFERROR(VLOOKUP(Q236,PARTIDAS!A:P,14,FALSE()),0),0)</f>
        <v>0</v>
      </c>
      <c r="H236" s="80">
        <f>IF(Q236&lt;&gt;"",IFERROR(VLOOKUP(Q236,PARTIDAS!A:P,15,FALSE()),0),0)</f>
        <v>0</v>
      </c>
      <c r="I236" s="81">
        <f t="shared" si="109"/>
        <v>2203.1708839165899</v>
      </c>
      <c r="J236" s="67">
        <f t="shared" si="110"/>
        <v>0</v>
      </c>
      <c r="K236" s="68">
        <f t="shared" si="111"/>
        <v>0</v>
      </c>
      <c r="L236" s="68">
        <f t="shared" si="112"/>
        <v>0</v>
      </c>
      <c r="M236" s="69">
        <f t="shared" si="113"/>
        <v>0</v>
      </c>
      <c r="N236" s="70">
        <f t="shared" si="114"/>
        <v>0</v>
      </c>
      <c r="O236" s="71"/>
      <c r="P236" s="68"/>
      <c r="Q236" s="72" t="s">
        <v>483</v>
      </c>
      <c r="R236" s="72">
        <v>1</v>
      </c>
      <c r="S236" s="72" t="s">
        <v>304</v>
      </c>
      <c r="T236" s="72"/>
      <c r="U236" s="72"/>
      <c r="V236" s="68">
        <v>0</v>
      </c>
      <c r="W236" s="68">
        <f t="shared" si="115"/>
        <v>0</v>
      </c>
      <c r="X236" s="30">
        <f t="shared" si="87"/>
        <v>0</v>
      </c>
    </row>
    <row r="237" spans="1:24" ht="15" customHeight="1" x14ac:dyDescent="0.3">
      <c r="A237" s="117"/>
      <c r="B237" s="117"/>
      <c r="C237" s="37" t="s">
        <v>484</v>
      </c>
      <c r="D237" s="117"/>
      <c r="E237" s="117"/>
      <c r="F237" s="83"/>
      <c r="G237" s="83"/>
      <c r="H237" s="83"/>
      <c r="I237" s="84"/>
      <c r="J237" s="85"/>
      <c r="K237" s="86"/>
      <c r="L237" s="86"/>
      <c r="M237" s="87">
        <f>SUM(M4:M236)</f>
        <v>1146859176.5516059</v>
      </c>
      <c r="N237" s="88">
        <f>SUM(N4:N236)</f>
        <v>1146859176.5516059</v>
      </c>
      <c r="O237" s="89"/>
      <c r="P237" s="90"/>
      <c r="Q237" s="82"/>
      <c r="R237" s="82"/>
      <c r="S237" s="82"/>
      <c r="T237" s="82"/>
      <c r="U237" s="82"/>
      <c r="V237" s="90">
        <f>+SUM(V4:V236)</f>
        <v>1155594941.1427679</v>
      </c>
      <c r="W237" s="90">
        <f>+SUM(W4:W236)</f>
        <v>-8735764.5911619589</v>
      </c>
    </row>
    <row r="239" spans="1:24" ht="14.25" customHeight="1" x14ac:dyDescent="0.3">
      <c r="N239" s="91">
        <f>+N237-V237</f>
        <v>-8735764.5911619663</v>
      </c>
    </row>
    <row r="240" spans="1:24" ht="14.25" customHeight="1" x14ac:dyDescent="0.3">
      <c r="N240" s="92">
        <f>+N239/V237</f>
        <v>-7.5595386239084503E-3</v>
      </c>
    </row>
    <row r="242" spans="14:14" ht="14.25" customHeight="1" x14ac:dyDescent="0.3">
      <c r="N242" s="91">
        <v>1164235.46598887</v>
      </c>
    </row>
    <row r="243" spans="14:14" ht="14.25" customHeight="1" x14ac:dyDescent="0.3">
      <c r="N243" s="92">
        <v>1.0074771224228101E-3</v>
      </c>
    </row>
    <row r="245" spans="14:14" ht="14.25" customHeight="1" x14ac:dyDescent="0.3">
      <c r="N245" s="93">
        <f>+N239-N242</f>
        <v>-9900000.057150837</v>
      </c>
    </row>
  </sheetData>
  <autoFilter ref="A3:W237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1C02-24E3-4F08-8B38-94FB444983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MATERIALES</vt:lpstr>
      <vt:lpstr>EQUIPOS</vt:lpstr>
      <vt:lpstr>SUBCONTRATOS_PRY</vt:lpstr>
      <vt:lpstr>MANO_DE_OBRA</vt:lpstr>
      <vt:lpstr>COMPOSICIÓN</vt:lpstr>
      <vt:lpstr>PARTIDAS</vt:lpstr>
      <vt:lpstr>PPTO_GENERADOR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Pagliaricci</cp:lastModifiedBy>
  <cp:revision>0</cp:revision>
  <dcterms:created xsi:type="dcterms:W3CDTF">2026-05-13T17:12:54Z</dcterms:created>
  <dcterms:modified xsi:type="dcterms:W3CDTF">2026-06-14T15:29:21Z</dcterms:modified>
  <dc:language>en-US</dc:language>
</cp:coreProperties>
</file>